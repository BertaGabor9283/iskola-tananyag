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unicorvinus-my.sharepoint.com/personal/b_mocsai_andrea_uni-corvinus_hu/Documents/BCE/Tananyag/Statisztika I GI 2026-2027 I/Excel modellek GI Stat I 2026I/"/>
    </mc:Choice>
  </mc:AlternateContent>
  <xr:revisionPtr revIDLastSave="76" documentId="8_{6ED22F3D-60DA-45B0-BF85-890E2D7C6B8C}" xr6:coauthVersionLast="47" xr6:coauthVersionMax="47" xr10:uidLastSave="{958B5631-6C9E-4549-86BF-088DE8722CF8}"/>
  <bookViews>
    <workbookView xWindow="-120" yWindow="-120" windowWidth="29040" windowHeight="15720" xr2:uid="{00000000-000D-0000-FFFF-FFFF00000000}"/>
  </bookViews>
  <sheets>
    <sheet name="E1.1" sheetId="48" r:id="rId1"/>
    <sheet name="E1.2" sheetId="58" r:id="rId2"/>
    <sheet name="E1.3" sheetId="46" r:id="rId3"/>
    <sheet name="E1.4" sheetId="49" r:id="rId4"/>
    <sheet name="E1.5" sheetId="56" r:id="rId5"/>
    <sheet name="E1.6" sheetId="57" r:id="rId6"/>
    <sheet name="E1.7" sheetId="59" r:id="rId7"/>
    <sheet name="Gy1.4v" sheetId="2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9" i="58" l="1"/>
  <c r="E9" i="58"/>
  <c r="G9" i="58"/>
  <c r="H9" i="58"/>
  <c r="J9" i="58"/>
  <c r="I9" i="58"/>
  <c r="D9" i="58"/>
  <c r="C9" i="58"/>
  <c r="D10" i="56" l="1"/>
  <c r="C10" i="56"/>
  <c r="Q18" i="48" l="1"/>
  <c r="I18" i="48"/>
  <c r="H18" i="48"/>
  <c r="C11" i="49" l="1"/>
  <c r="D11" i="49"/>
  <c r="L18" i="48" l="1"/>
  <c r="M18" i="48"/>
  <c r="N18" i="48"/>
  <c r="O18" i="48"/>
  <c r="R18" i="48"/>
  <c r="C18" i="48"/>
  <c r="D18" i="48"/>
  <c r="E18" i="48"/>
  <c r="F18" i="48"/>
  <c r="D10" i="29" l="1"/>
  <c r="C10" i="29"/>
  <c r="B48" i="46" l="1"/>
  <c r="C48" i="46"/>
  <c r="D48" i="46" s="1"/>
  <c r="B49" i="46"/>
  <c r="C49" i="46"/>
  <c r="D49" i="46" s="1"/>
  <c r="B50" i="46"/>
  <c r="D50" i="46" s="1"/>
  <c r="C50" i="46"/>
  <c r="B51" i="46"/>
  <c r="C51" i="46"/>
  <c r="D51" i="46" s="1"/>
  <c r="B52" i="46"/>
  <c r="C52" i="46"/>
  <c r="B53" i="46"/>
  <c r="C53" i="46"/>
  <c r="D53" i="46" s="1"/>
  <c r="D52" i="4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7323923A-291B-4B40-A435-0A8C6737190F}">
      <text>
        <r>
          <rPr>
            <sz val="9"/>
            <color indexed="81"/>
            <rFont val="Tahoma"/>
            <family val="2"/>
          </rPr>
          <t>WorldBank, SP.POP.0014.TO.ZS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6902B679-36F3-44B8-9B73-7D0C7560B6CB}">
      <text>
        <r>
          <rPr>
            <sz val="9"/>
            <color indexed="81"/>
            <rFont val="Tahoma"/>
            <family val="2"/>
          </rPr>
          <t>KSH, Népszámlálási adatbázis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265CEF1A-9953-4C31-918C-54449150BE37}">
      <text>
        <r>
          <rPr>
            <sz val="9"/>
            <color indexed="81"/>
            <rFont val="Tahoma"/>
            <family val="2"/>
          </rPr>
          <t>Adatok forrása:
https://www.mortality.org/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Balázsné Mócsai Andrea</author>
  </authors>
  <commentList>
    <comment ref="B2" authorId="0" shapeId="0" xr:uid="{937163C1-3E6C-4975-8116-708775B4E469}">
      <text>
        <r>
          <rPr>
            <sz val="9"/>
            <color indexed="81"/>
            <rFont val="Tahoma"/>
            <family val="2"/>
            <charset val="238"/>
          </rPr>
          <t>KSH, 27.1.1.4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Balázsné Mócsai Andrea</author>
  </authors>
  <commentList>
    <comment ref="B2" authorId="0" shapeId="0" xr:uid="{E6C5688E-A6E6-4088-9527-5455C921636D}">
      <text>
        <r>
          <rPr>
            <sz val="9"/>
            <color indexed="81"/>
            <rFont val="Tahoma"/>
            <family val="2"/>
            <charset val="238"/>
          </rPr>
          <t>KSH, 22.1.1.3, Eurostat</t>
        </r>
      </text>
    </comment>
    <comment ref="B98" authorId="0" shapeId="0" xr:uid="{5EEAEBB7-5140-4898-914E-F7E1B2ACE7CE}">
      <text>
        <r>
          <rPr>
            <sz val="9"/>
            <color indexed="81"/>
            <rFont val="Tahoma"/>
            <family val="2"/>
            <charset val="238"/>
          </rPr>
          <t xml:space="preserve">90+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Kovács László</author>
  </authors>
  <commentList>
    <comment ref="B2" authorId="0" shapeId="0" xr:uid="{A836E10A-60E2-440A-9B4E-514EC6C2233E}">
      <text>
        <r>
          <rPr>
            <sz val="9"/>
            <color indexed="81"/>
            <rFont val="Tahoma"/>
            <family val="2"/>
          </rPr>
          <t>KSH, 21.1.1.37</t>
        </r>
      </text>
    </comment>
  </commentList>
</comments>
</file>

<file path=xl/sharedStrings.xml><?xml version="1.0" encoding="utf-8"?>
<sst xmlns="http://schemas.openxmlformats.org/spreadsheetml/2006/main" count="349" uniqueCount="189">
  <si>
    <t>Megnevezés</t>
  </si>
  <si>
    <t>Tartós termékek</t>
  </si>
  <si>
    <t>Nem tartós termékek</t>
  </si>
  <si>
    <t>Szolgáltatások</t>
  </si>
  <si>
    <t>Megoszlási viszonyszám %</t>
  </si>
  <si>
    <t>Dinamikus 
viszonyszámok %</t>
  </si>
  <si>
    <t>Kiadás (Milliárd Ft)</t>
  </si>
  <si>
    <t>A háztartások fogyasztási kiadásának alakulása a termékek tartóssága szerint, folyó áron:</t>
  </si>
  <si>
    <t>Elemezze viszonyszámokkal és grafikus ábrával a háztartási kiadások nagyságának és megoszlásának alakulását!</t>
  </si>
  <si>
    <t>Megoszlás
dinamikája %</t>
  </si>
  <si>
    <t>Féltartós termékek</t>
  </si>
  <si>
    <t>a)</t>
  </si>
  <si>
    <t>b)</t>
  </si>
  <si>
    <t>c)</t>
  </si>
  <si>
    <t>Összesen</t>
  </si>
  <si>
    <t>Ázsia</t>
  </si>
  <si>
    <t>Ausztrália</t>
  </si>
  <si>
    <t>Amerika</t>
  </si>
  <si>
    <t>Afrika</t>
  </si>
  <si>
    <t>Kontinens</t>
  </si>
  <si>
    <t>Utazások száma (ezer db)</t>
  </si>
  <si>
    <t>Érték különbség</t>
  </si>
  <si>
    <t>Érték hányados</t>
  </si>
  <si>
    <t>Arány különbség</t>
  </si>
  <si>
    <t>Arány hányados</t>
  </si>
  <si>
    <t>2018. év</t>
  </si>
  <si>
    <t>85+</t>
  </si>
  <si>
    <t>75-84</t>
  </si>
  <si>
    <t>65-74</t>
  </si>
  <si>
    <t>15-64</t>
  </si>
  <si>
    <t>2020. év</t>
  </si>
  <si>
    <t>2019. év</t>
  </si>
  <si>
    <t>Korcsoport</t>
  </si>
  <si>
    <t>Női halálozások száma (fő)</t>
  </si>
  <si>
    <t>Az alábbi táblázatban a női halálozások száma (fő) látható Magyarországon,
korcsoportok szerint 2019-ben és 2020-ban:</t>
  </si>
  <si>
    <t xml:space="preserve">  0-14</t>
  </si>
  <si>
    <t>Elemezze viszonyszámokkal és grafikus ábrával a női halálozás számának és megoszlásának alakulását a 2019. és a 2020. évben!</t>
  </si>
  <si>
    <t>Megoszlási viszonyszámok</t>
  </si>
  <si>
    <t>Dinamikus 
viszonyszámok</t>
  </si>
  <si>
    <t>Megoszlásiból dinamikus = dinamikusból megoszlási</t>
  </si>
  <si>
    <t>Magyar nyelvű szakok</t>
  </si>
  <si>
    <t>Hallgatók száma (fő)</t>
  </si>
  <si>
    <t>Angol nyelvű szakok</t>
  </si>
  <si>
    <t>2021. év</t>
  </si>
  <si>
    <t>2022. év</t>
  </si>
  <si>
    <t>2023. év</t>
  </si>
  <si>
    <t>alkalmazott közgazdaságtan</t>
  </si>
  <si>
    <t xml:space="preserve">alkalmazott közgazdaságtan </t>
  </si>
  <si>
    <t>gazdálkodási és menedzsment</t>
  </si>
  <si>
    <t>filozófia, politika, gazdaság</t>
  </si>
  <si>
    <t>gazdaság- és pénzügy-matematikai elemzés</t>
  </si>
  <si>
    <t xml:space="preserve">gazdálkodási és menedzsment </t>
  </si>
  <si>
    <t>gazdaságinformatikus</t>
  </si>
  <si>
    <t xml:space="preserve">kommunikáció- és médiatudomány </t>
  </si>
  <si>
    <t>kommunikáció- és médiatudomány</t>
  </si>
  <si>
    <t xml:space="preserve">nemzetközi gazdálkodás </t>
  </si>
  <si>
    <t>nemzetközi tanulmányok</t>
  </si>
  <si>
    <t xml:space="preserve">nemzetközi tanulmányok </t>
  </si>
  <si>
    <t>pénzügy és számvitel</t>
  </si>
  <si>
    <t xml:space="preserve">szociológia </t>
  </si>
  <si>
    <t>politikatudományok</t>
  </si>
  <si>
    <t>üzleti adattudomány</t>
  </si>
  <si>
    <t>szociológia</t>
  </si>
  <si>
    <t>Megoszlás
dinamikája</t>
  </si>
  <si>
    <t>Arány kül.</t>
  </si>
  <si>
    <t>Arány hányad</t>
  </si>
  <si>
    <t>bázis (dinamikus)</t>
  </si>
  <si>
    <t>lánc (dinamikus)</t>
  </si>
  <si>
    <t>megoszlási</t>
  </si>
  <si>
    <t>megoszlási lánc</t>
  </si>
  <si>
    <t>Az alábbi táblázatban a más kontinensekről Magyarországra tett külföldi utazások száma (ezer db) látható 2018-ban (a Covid előtt) és 2022-ben:</t>
  </si>
  <si>
    <t>Elemezze viszonyszámokkal és grafikus ábrával az utazások számának és megoszlásának alakulását a 2018. és a 2022. évben!</t>
  </si>
  <si>
    <t>Érték</t>
  </si>
  <si>
    <t>Alternatív típus</t>
  </si>
  <si>
    <t>Viszonyszám típusa</t>
  </si>
  <si>
    <t>Értelmezés</t>
  </si>
  <si>
    <t>V</t>
  </si>
  <si>
    <t>B</t>
  </si>
  <si>
    <t>A</t>
  </si>
  <si>
    <t>Hányszorosa volt a 0-14 éves népesség aránya Pest megyében Budapesthez képest 2022-ben?</t>
  </si>
  <si>
    <t>Hogyan változott az ország lakosságán belül a Pest megyeiek aránya 2001-ről 2022-re?</t>
  </si>
  <si>
    <t>2022-ben hány lakás jutott száz lakosra?</t>
  </si>
  <si>
    <t>2022-ben átlagosan hányan laktak egy lakásban?</t>
  </si>
  <si>
    <t>A 15-64 korcsoportban milyen volt a férfi/nő arány 2022-ben?</t>
  </si>
  <si>
    <t>A 15 évnél fiatalabbak között milyen volt a nők aránya 2022-ben?</t>
  </si>
  <si>
    <t>Hogyan változott a budapestiek száma 2001-ről 2022-re?</t>
  </si>
  <si>
    <t>A népesség hány százaléka volt budapesti 2001-ben?</t>
  </si>
  <si>
    <t>Válasz</t>
  </si>
  <si>
    <t>Meghatározás</t>
  </si>
  <si>
    <t>Dél-Alföld régió</t>
  </si>
  <si>
    <t>Észak-Alföld régió</t>
  </si>
  <si>
    <t>Észak-Magyarország régió</t>
  </si>
  <si>
    <t>Dél-Dunántúl régió</t>
  </si>
  <si>
    <t>Nyugat-Dunántúl régió</t>
  </si>
  <si>
    <t>Közép-Dunántúl régió</t>
  </si>
  <si>
    <t>Pest</t>
  </si>
  <si>
    <t>Budapest</t>
  </si>
  <si>
    <t>Nő</t>
  </si>
  <si>
    <t>Férfi</t>
  </si>
  <si>
    <t>Régió</t>
  </si>
  <si>
    <t>65+ éves</t>
  </si>
  <si>
    <t>15-64 éves</t>
  </si>
  <si>
    <t>0-14 éves</t>
  </si>
  <si>
    <t>Lakások száma</t>
  </si>
  <si>
    <t>Népesség száma</t>
  </si>
  <si>
    <t>a) Nevezze meg a meghatározásokhoz tartozó viszonyszámtípusokat, és határozza meg az értéküket! Ahol két válasz is lehetséges, ott adja meg mindkettőt!
b) Nevezze meg a képletekhez tartozó viszonyszámtípusokat, és adja meg az értelmezésüket! Ahol van alternatív képlet, ott azzal is számolja ki az értéket!</t>
  </si>
  <si>
    <t>Lentebb a KSH adatai láthatók a 2001-es, illetve a 2022-es népszámlálás alapján: magyarországi régiók szerinti bontásban korcsoportonként a férfiak és a nők száma, valamint a lakások száma.</t>
  </si>
  <si>
    <t>2024. év</t>
  </si>
  <si>
    <t>az angol képzésekre járók arányának változása 2020-hoz képest</t>
  </si>
  <si>
    <t>a magyar GM kontra GI szakosok arányának változása tavalyhoz képest</t>
  </si>
  <si>
    <t>d)</t>
  </si>
  <si>
    <t>Hogyan változott a népességen belül az idősek aránya Pest megyéhez képest Budapesten 2001-ről 2022-re?</t>
  </si>
  <si>
    <t>Hány %-ponttal változott a Pest megyeiek aránya?</t>
  </si>
  <si>
    <r>
      <t xml:space="preserve">gazdaságinformatikus 2020 </t>
    </r>
    <r>
      <rPr>
        <sz val="10"/>
        <rFont val="Symbol"/>
        <family val="1"/>
        <charset val="2"/>
      </rPr>
      <t xml:space="preserve">® </t>
    </r>
    <r>
      <rPr>
        <sz val="10"/>
        <rFont val="Arial"/>
        <family val="2"/>
        <charset val="238"/>
      </rPr>
      <t>2025</t>
    </r>
  </si>
  <si>
    <t>a magyar GM szakosok arányának az angolhoz képesti változása tavaly óta</t>
  </si>
  <si>
    <t>a GI szakos hallgatók számának változása 2021-hez képest</t>
  </si>
  <si>
    <t>2025. év</t>
  </si>
  <si>
    <t>Korév</t>
  </si>
  <si>
    <t>Ország összesen</t>
  </si>
  <si>
    <t>Csongrád-Csanád</t>
  </si>
  <si>
    <t>Békés</t>
  </si>
  <si>
    <t>Szabolcs-Szatmár-Bereg</t>
  </si>
  <si>
    <t>Jász-Nagykun-Szolnok</t>
  </si>
  <si>
    <t>Hajdú-Bihar</t>
  </si>
  <si>
    <t>Zala</t>
  </si>
  <si>
    <t>Heves</t>
  </si>
  <si>
    <t>Veszprém</t>
  </si>
  <si>
    <t>Borsod-Abaúj-Zemplén</t>
  </si>
  <si>
    <t>Somogy</t>
  </si>
  <si>
    <t>Vas</t>
  </si>
  <si>
    <t>Baranya</t>
  </si>
  <si>
    <t>Komárom-Esztergom</t>
  </si>
  <si>
    <t>Győr-Moson-Sopron</t>
  </si>
  <si>
    <t>Fejér</t>
  </si>
  <si>
    <t>Öregedési index</t>
  </si>
  <si>
    <t>Megye</t>
  </si>
  <si>
    <t>Magyarország</t>
  </si>
  <si>
    <t>2015. év</t>
  </si>
  <si>
    <t>A lenti táblázatban az egyetemre felvett alap és osztatlan képzésben részt vevő hallgatók nyilvántartása látható 2020-tól 2026-ig. (2021-től az új GM szakba olvadtak be a 2020-as képzésben még külön szereplő EE, KM, TV és VA szakok, így azokat 2020-ban is ahhoz számoltuk.)</t>
  </si>
  <si>
    <t>2026. év</t>
  </si>
  <si>
    <t>a) Elemezze a 2020-as és 2026-os értékeket viszonyszámokkal! (Töltse ki a táblázatot, és értelmezze az eredményeket!)
b) Adja meg a változás mértékét különböző értékekkel a GI szakra vonatkozóan!
c) Elemezze a 2020-as és 2026-os magyar nyelvű hallgatói létszámokat grafikusan!
d) A leírásban szereplő viszonyszámok segítségével mutassa be a hallgatói létszámokat!</t>
  </si>
  <si>
    <t>Dinamikus 
viszonyszám</t>
  </si>
  <si>
    <t>Érték kül.</t>
  </si>
  <si>
    <t>Érték hányad</t>
  </si>
  <si>
    <t>a GI szak hallgatóinak aránya a magyar nyelvű szakoknál 2026-ban</t>
  </si>
  <si>
    <t>az angol és a magyar nyelvű képzések hallgatói aránya 2026-ban</t>
  </si>
  <si>
    <t>a gazdaságinformatikus hallgatók aránya az elsőévesek közt 2026-ban</t>
  </si>
  <si>
    <t>A lenti táblázatban Magyarország népessége látható korév és nem szerint, 2026. január 1-jén.</t>
  </si>
  <si>
    <t>65+</t>
  </si>
  <si>
    <t xml:space="preserve"> 0 - 14</t>
  </si>
  <si>
    <t>15 - 24</t>
  </si>
  <si>
    <t>25 - 34</t>
  </si>
  <si>
    <t>35 - 44</t>
  </si>
  <si>
    <t>45 - 54</t>
  </si>
  <si>
    <t>55 - 64</t>
  </si>
  <si>
    <t>Férfi arány</t>
  </si>
  <si>
    <t>Nő 1000 férfira</t>
  </si>
  <si>
    <t>Változás</t>
  </si>
  <si>
    <t>Írországhoz</t>
  </si>
  <si>
    <t>Olaszországhoz</t>
  </si>
  <si>
    <t>Niger</t>
  </si>
  <si>
    <t>2000. év</t>
  </si>
  <si>
    <t>Japán</t>
  </si>
  <si>
    <t>Dél-Korea</t>
  </si>
  <si>
    <t>NIGER</t>
  </si>
  <si>
    <t>Változás 0-14</t>
  </si>
  <si>
    <t>JAPÁN</t>
  </si>
  <si>
    <t>DÉL-KOREA</t>
  </si>
  <si>
    <t>Név</t>
  </si>
  <si>
    <t>Öregedési index változása</t>
  </si>
  <si>
    <t>a) Elemezze viszonyszámokkal és grafikus ábrával a népesség számának és megoszlásának alakulását a 2000. és a 2025. évben!
b) Milyen változás következett be Nigerben a 0-14 éves korcsoportban?
c) Elemezze grafikus ábrával Nigerben a népesség számának és megoszlásának alakulását a 2000. és a 2025. évben!
d) Határozza meg az egyes években az egyes országokban a népesség öregedési indexét (100 gyerekkorúra jutó idősek számát) és idős-eltartottsági rátáját (100 munkaképes korúra jutó időskorú személy számát)! Milyen viszonyszámokat számolt? Melyik országban a legnagyobbak, illetve legkisebbek ezek, és hol volt legnagyobb/legkisebb változás ezekben?</t>
  </si>
  <si>
    <t>MAGYAR-ORSZÁG</t>
  </si>
  <si>
    <t>Az alábbi táblázatban Niger, Japán, Dél-Korea és Magyarország népességének száma látható korcsoportok szerint 2000-ben és 2025-ben:</t>
  </si>
  <si>
    <t>a) Határozza meg a táblázatban megadott korcsoportok szerint a férfiak és a nők számát, illetve ezek összegét!
b) Határozza meg a férfiak arányát, valamint az 1000 férfira jutó nők számát az egyes korcsoportokban!
c) Határozza meg Magyarország öregedési indexét! Vesse össze ezt a 2020-as értékkel, ami 1,285 volt, illetve az EU kimagaslóan alacsony és kimagaslóan magas öregedési indexű két országával, Írországgal (0,83) és Olaszországgal (1,99)!
d) Milyen viszonyszámokat számolt? Értelmezze az eredményeket!</t>
  </si>
  <si>
    <t>Idős-eltartottsági ráta változása</t>
  </si>
  <si>
    <t>Idős-eltartottsági ráta</t>
  </si>
  <si>
    <t xml:space="preserve">Pest </t>
  </si>
  <si>
    <t xml:space="preserve">Tolna </t>
  </si>
  <si>
    <t xml:space="preserve">Nógrád </t>
  </si>
  <si>
    <t xml:space="preserve">Bács-Kiskun </t>
  </si>
  <si>
    <t>A feladatban Magyarország egyes megyéinek 2025-ös 15-64 éves munkanélküliségi rátájáról lesz szó. (Ha a munkanélküliségi ráta pontos jelentését nem ismeri, akkor keressen rá!)</t>
  </si>
  <si>
    <t>Gazdaságilag aktívak</t>
  </si>
  <si>
    <t>Munka-nélküliek</t>
  </si>
  <si>
    <t>Sorszám</t>
  </si>
  <si>
    <t>Munkanélküli-ségi ráta</t>
  </si>
  <si>
    <t>3. legnagyobb</t>
  </si>
  <si>
    <t>2. legkisebb</t>
  </si>
  <si>
    <t>Arányuk</t>
  </si>
  <si>
    <t>a) A KSH honlapján keresse meg a megfelelő táblát, majd töltse fel a lenti táblázatot adatokkal!
b) Határozza meg a 15-64 éves munkanélküliségi rátát az egyes megyékben, majd írja be a megyék sorszámát növekvő munkanélküliségi ráta szerint! Képletekkel dolgozzon!
c) Hányszorosa a 4. legnagyobb munkanélküliségi ráta a 2. legkisebbnek? Melyik megyékről van szó? Képletekkel dolgozzon!
d) Adja meg, hogy milyen típusú viszonyszámokat számolt az egyes kérdésekben!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</si>
</sst>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.000"/>
    <numFmt numFmtId="166" formatCode="0.000"/>
    <numFmt numFmtId="167" formatCode="0.00000000000"/>
    <numFmt numFmtId="168" formatCode="0.0"/>
  </numFmts>
  <fonts count="15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charset val="238"/>
    </font>
    <font>
      <sz val="10"/>
      <name val="Arial"/>
      <family val="2"/>
      <charset val="238"/>
    </font>
    <font>
      <b/>
      <sz val="10"/>
      <color indexed="9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</font>
    <font>
      <sz val="9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Symbol"/>
      <family val="1"/>
      <charset val="2"/>
    </font>
    <font>
      <sz val="10"/>
      <color theme="4"/>
      <name val="Arial"/>
      <family val="2"/>
      <charset val="238"/>
    </font>
    <font>
      <b/>
      <sz val="10"/>
      <color theme="0"/>
      <name val="Arial"/>
      <family val="2"/>
      <charset val="238"/>
    </font>
    <font>
      <sz val="9"/>
      <color indexed="81"/>
      <name val="Tahoma"/>
      <family val="2"/>
      <charset val="238"/>
    </font>
    <font>
      <sz val="8"/>
      <name val="Arial CE"/>
      <charset val="238"/>
    </font>
  </fonts>
  <fills count="7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</fills>
  <borders count="1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21"/>
      </left>
      <right/>
      <top style="medium">
        <color indexed="21"/>
      </top>
      <bottom style="medium">
        <color indexed="21"/>
      </bottom>
      <diagonal/>
    </border>
    <border>
      <left/>
      <right/>
      <top style="medium">
        <color indexed="21"/>
      </top>
      <bottom style="medium">
        <color indexed="21"/>
      </bottom>
      <diagonal/>
    </border>
    <border>
      <left/>
      <right style="thin">
        <color indexed="21"/>
      </right>
      <top style="medium">
        <color indexed="21"/>
      </top>
      <bottom style="medium">
        <color indexed="21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thin">
        <color indexed="9"/>
      </left>
      <right style="thin">
        <color indexed="64"/>
      </right>
      <top/>
      <bottom style="medium">
        <color indexed="64"/>
      </bottom>
      <diagonal/>
    </border>
    <border>
      <left style="thin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thin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9"/>
      </left>
      <right/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theme="0"/>
      </left>
      <right/>
      <top style="medium">
        <color auto="1"/>
      </top>
      <bottom style="medium">
        <color indexed="64"/>
      </bottom>
      <diagonal/>
    </border>
    <border>
      <left style="thin">
        <color indexed="9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/>
      <top style="medium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indexed="64"/>
      </right>
      <top/>
      <bottom style="medium">
        <color indexed="64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indexed="9"/>
      </left>
      <right/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/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medium">
        <color auto="1"/>
      </top>
      <bottom style="medium">
        <color indexed="64"/>
      </bottom>
      <diagonal/>
    </border>
    <border>
      <left style="thin">
        <color indexed="9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9"/>
      </left>
      <right/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medium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indexed="9"/>
      </right>
      <top style="medium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</cellStyleXfs>
  <cellXfs count="335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10" fontId="3" fillId="0" borderId="0" xfId="1" applyNumberFormat="1" applyFont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9" fontId="3" fillId="0" borderId="0" xfId="1" applyFont="1" applyAlignment="1">
      <alignment vertical="center"/>
    </xf>
    <xf numFmtId="0" fontId="3" fillId="0" borderId="0" xfId="0" applyFont="1" applyAlignment="1">
      <alignment horizontal="distributed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2" fontId="3" fillId="0" borderId="0" xfId="0" applyNumberFormat="1" applyFont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right" vertical="center" wrapText="1" indent="3"/>
    </xf>
    <xf numFmtId="3" fontId="3" fillId="0" borderId="4" xfId="0" applyNumberFormat="1" applyFont="1" applyBorder="1" applyAlignment="1">
      <alignment horizontal="right" vertical="center" wrapText="1" indent="3"/>
    </xf>
    <xf numFmtId="3" fontId="3" fillId="0" borderId="5" xfId="0" applyNumberFormat="1" applyFont="1" applyBorder="1" applyAlignment="1">
      <alignment horizontal="right" vertical="center" wrapText="1" indent="3"/>
    </xf>
    <xf numFmtId="3" fontId="3" fillId="0" borderId="6" xfId="0" applyNumberFormat="1" applyFont="1" applyBorder="1" applyAlignment="1">
      <alignment horizontal="right" vertical="center" wrapText="1" indent="3"/>
    </xf>
    <xf numFmtId="0" fontId="5" fillId="0" borderId="6" xfId="0" applyFont="1" applyBorder="1" applyAlignment="1">
      <alignment horizontal="center" vertical="center" wrapText="1"/>
    </xf>
    <xf numFmtId="10" fontId="3" fillId="0" borderId="3" xfId="1" applyNumberFormat="1" applyFont="1" applyBorder="1" applyAlignment="1">
      <alignment horizontal="right" vertical="center" wrapText="1" indent="3"/>
    </xf>
    <xf numFmtId="10" fontId="3" fillId="0" borderId="3" xfId="1" applyNumberFormat="1" applyFont="1" applyBorder="1" applyAlignment="1">
      <alignment horizontal="right" vertical="center" indent="3"/>
    </xf>
    <xf numFmtId="10" fontId="3" fillId="0" borderId="4" xfId="1" applyNumberFormat="1" applyFont="1" applyBorder="1" applyAlignment="1">
      <alignment horizontal="right" vertical="center" wrapText="1" indent="3"/>
    </xf>
    <xf numFmtId="10" fontId="3" fillId="0" borderId="4" xfId="1" applyNumberFormat="1" applyFont="1" applyBorder="1" applyAlignment="1">
      <alignment horizontal="right" vertical="center" indent="3"/>
    </xf>
    <xf numFmtId="10" fontId="3" fillId="0" borderId="5" xfId="1" applyNumberFormat="1" applyFont="1" applyBorder="1" applyAlignment="1">
      <alignment horizontal="right" vertical="center" wrapText="1" indent="3"/>
    </xf>
    <xf numFmtId="10" fontId="3" fillId="0" borderId="5" xfId="1" applyNumberFormat="1" applyFont="1" applyBorder="1" applyAlignment="1">
      <alignment horizontal="right" vertical="center" indent="3"/>
    </xf>
    <xf numFmtId="10" fontId="3" fillId="0" borderId="6" xfId="1" applyNumberFormat="1" applyFont="1" applyBorder="1" applyAlignment="1">
      <alignment horizontal="right" vertical="center" wrapText="1" indent="3"/>
    </xf>
    <xf numFmtId="10" fontId="3" fillId="0" borderId="6" xfId="1" applyNumberFormat="1" applyFont="1" applyBorder="1" applyAlignment="1">
      <alignment horizontal="right" vertical="center" indent="3"/>
    </xf>
    <xf numFmtId="0" fontId="4" fillId="3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 indent="2"/>
    </xf>
    <xf numFmtId="164" fontId="3" fillId="0" borderId="3" xfId="1" applyNumberFormat="1" applyFont="1" applyBorder="1" applyAlignment="1">
      <alignment horizontal="right" vertical="center" wrapText="1" indent="3"/>
    </xf>
    <xf numFmtId="164" fontId="3" fillId="0" borderId="3" xfId="1" applyNumberFormat="1" applyFont="1" applyBorder="1" applyAlignment="1">
      <alignment horizontal="right" vertical="center" indent="3"/>
    </xf>
    <xf numFmtId="164" fontId="3" fillId="0" borderId="6" xfId="1" applyNumberFormat="1" applyFont="1" applyBorder="1" applyAlignment="1">
      <alignment horizontal="right" vertical="center" wrapText="1" indent="3"/>
    </xf>
    <xf numFmtId="164" fontId="3" fillId="0" borderId="6" xfId="1" applyNumberFormat="1" applyFont="1" applyBorder="1" applyAlignment="1">
      <alignment horizontal="right" vertical="center" indent="3"/>
    </xf>
    <xf numFmtId="0" fontId="5" fillId="0" borderId="0" xfId="0" applyFont="1" applyAlignment="1">
      <alignment horizontal="center" vertical="center" wrapText="1"/>
    </xf>
    <xf numFmtId="164" fontId="3" fillId="0" borderId="0" xfId="1" applyNumberFormat="1" applyFont="1" applyBorder="1" applyAlignment="1">
      <alignment horizontal="right" vertical="center" wrapText="1" indent="3"/>
    </xf>
    <xf numFmtId="164" fontId="3" fillId="0" borderId="0" xfId="1" applyNumberFormat="1" applyFont="1" applyBorder="1" applyAlignment="1">
      <alignment horizontal="right" vertical="center" indent="3"/>
    </xf>
    <xf numFmtId="0" fontId="3" fillId="0" borderId="6" xfId="0" applyFont="1" applyBorder="1" applyAlignment="1">
      <alignment horizontal="left" vertical="center" wrapText="1" indent="2"/>
    </xf>
    <xf numFmtId="164" fontId="3" fillId="0" borderId="6" xfId="1" applyNumberFormat="1" applyFont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center" wrapText="1"/>
    </xf>
    <xf numFmtId="0" fontId="4" fillId="4" borderId="29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3" fillId="0" borderId="0" xfId="1" applyNumberFormat="1" applyFont="1" applyAlignment="1">
      <alignment vertical="center"/>
    </xf>
    <xf numFmtId="3" fontId="0" fillId="0" borderId="0" xfId="0" applyNumberFormat="1"/>
    <xf numFmtId="0" fontId="3" fillId="0" borderId="3" xfId="0" applyFont="1" applyBorder="1" applyAlignment="1">
      <alignment horizontal="right" vertical="center" wrapText="1" indent="3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left" vertical="center" wrapText="1"/>
    </xf>
    <xf numFmtId="0" fontId="6" fillId="0" borderId="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 indent="2"/>
    </xf>
    <xf numFmtId="3" fontId="6" fillId="0" borderId="3" xfId="0" applyNumberFormat="1" applyFont="1" applyBorder="1" applyAlignment="1">
      <alignment horizontal="right" vertical="center" wrapText="1" indent="3"/>
    </xf>
    <xf numFmtId="10" fontId="6" fillId="0" borderId="0" xfId="1" applyNumberFormat="1" applyFont="1" applyAlignment="1">
      <alignment vertical="center"/>
    </xf>
    <xf numFmtId="0" fontId="6" fillId="0" borderId="4" xfId="0" applyFont="1" applyBorder="1" applyAlignment="1">
      <alignment horizontal="left" vertical="center" wrapText="1" indent="2"/>
    </xf>
    <xf numFmtId="3" fontId="6" fillId="0" borderId="4" xfId="0" applyNumberFormat="1" applyFont="1" applyBorder="1" applyAlignment="1">
      <alignment horizontal="right" vertical="center" wrapText="1" indent="3"/>
    </xf>
    <xf numFmtId="0" fontId="6" fillId="0" borderId="5" xfId="0" applyFont="1" applyBorder="1" applyAlignment="1">
      <alignment horizontal="left" vertical="center" wrapText="1" indent="2"/>
    </xf>
    <xf numFmtId="3" fontId="6" fillId="0" borderId="5" xfId="0" applyNumberFormat="1" applyFont="1" applyBorder="1" applyAlignment="1">
      <alignment horizontal="right" vertical="center" wrapText="1" indent="3"/>
    </xf>
    <xf numFmtId="0" fontId="9" fillId="0" borderId="6" xfId="0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right" vertical="center" wrapText="1" indent="3"/>
    </xf>
    <xf numFmtId="0" fontId="8" fillId="3" borderId="1" xfId="0" applyFont="1" applyFill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right" vertical="center" wrapText="1" indent="3"/>
    </xf>
    <xf numFmtId="164" fontId="6" fillId="0" borderId="3" xfId="1" applyNumberFormat="1" applyFont="1" applyBorder="1" applyAlignment="1">
      <alignment horizontal="right" vertical="center" indent="3"/>
    </xf>
    <xf numFmtId="9" fontId="6" fillId="0" borderId="0" xfId="1" applyFont="1" applyAlignment="1">
      <alignment vertical="center"/>
    </xf>
    <xf numFmtId="164" fontId="6" fillId="0" borderId="6" xfId="1" applyNumberFormat="1" applyFont="1" applyBorder="1" applyAlignment="1">
      <alignment horizontal="right" vertical="center" wrapText="1" indent="3"/>
    </xf>
    <xf numFmtId="164" fontId="6" fillId="0" borderId="6" xfId="1" applyNumberFormat="1" applyFont="1" applyBorder="1" applyAlignment="1">
      <alignment horizontal="right" vertical="center" indent="3"/>
    </xf>
    <xf numFmtId="0" fontId="9" fillId="0" borderId="0" xfId="0" applyFont="1" applyAlignment="1">
      <alignment horizontal="center" vertical="center" wrapText="1"/>
    </xf>
    <xf numFmtId="164" fontId="6" fillId="0" borderId="0" xfId="1" applyNumberFormat="1" applyFont="1" applyBorder="1" applyAlignment="1">
      <alignment horizontal="right" vertical="center" wrapText="1" indent="3"/>
    </xf>
    <xf numFmtId="164" fontId="6" fillId="0" borderId="0" xfId="1" applyNumberFormat="1" applyFont="1" applyBorder="1" applyAlignment="1">
      <alignment horizontal="right" vertical="center" indent="3"/>
    </xf>
    <xf numFmtId="0" fontId="8" fillId="4" borderId="2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 indent="2"/>
    </xf>
    <xf numFmtId="0" fontId="6" fillId="0" borderId="0" xfId="0" applyFont="1" applyAlignment="1">
      <alignment horizontal="distributed" vertical="center" wrapText="1"/>
    </xf>
    <xf numFmtId="166" fontId="3" fillId="0" borderId="7" xfId="1" applyNumberFormat="1" applyFont="1" applyBorder="1" applyAlignment="1">
      <alignment horizontal="center" vertical="center" wrapText="1"/>
    </xf>
    <xf numFmtId="165" fontId="3" fillId="0" borderId="7" xfId="1" applyNumberFormat="1" applyFont="1" applyBorder="1" applyAlignment="1">
      <alignment horizontal="center" vertical="center" wrapText="1"/>
    </xf>
    <xf numFmtId="166" fontId="3" fillId="0" borderId="3" xfId="1" applyNumberFormat="1" applyFont="1" applyBorder="1" applyAlignment="1">
      <alignment horizontal="center" vertical="center" wrapText="1"/>
    </xf>
    <xf numFmtId="166" fontId="3" fillId="0" borderId="4" xfId="1" applyNumberFormat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3" fontId="3" fillId="0" borderId="4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166" fontId="3" fillId="0" borderId="45" xfId="1" applyNumberFormat="1" applyFont="1" applyBorder="1" applyAlignment="1">
      <alignment horizontal="center" vertical="center" wrapText="1"/>
    </xf>
    <xf numFmtId="3" fontId="3" fillId="0" borderId="46" xfId="1" applyNumberFormat="1" applyFont="1" applyBorder="1" applyAlignment="1">
      <alignment horizontal="center" vertical="center" wrapText="1"/>
    </xf>
    <xf numFmtId="3" fontId="3" fillId="0" borderId="45" xfId="1" applyNumberFormat="1" applyFont="1" applyBorder="1" applyAlignment="1">
      <alignment horizontal="center" vertical="center" wrapText="1"/>
    </xf>
    <xf numFmtId="0" fontId="4" fillId="5" borderId="49" xfId="0" applyFont="1" applyFill="1" applyBorder="1" applyAlignment="1">
      <alignment horizontal="center" vertical="center" wrapText="1"/>
    </xf>
    <xf numFmtId="0" fontId="4" fillId="4" borderId="53" xfId="0" applyFont="1" applyFill="1" applyBorder="1" applyAlignment="1">
      <alignment horizontal="center" vertical="center" wrapText="1"/>
    </xf>
    <xf numFmtId="0" fontId="4" fillId="4" borderId="54" xfId="0" applyFont="1" applyFill="1" applyBorder="1" applyAlignment="1">
      <alignment horizontal="center" vertical="center" wrapText="1"/>
    </xf>
    <xf numFmtId="166" fontId="3" fillId="0" borderId="8" xfId="1" applyNumberFormat="1" applyFont="1" applyBorder="1" applyAlignment="1">
      <alignment horizontal="center" vertical="center" wrapText="1"/>
    </xf>
    <xf numFmtId="165" fontId="3" fillId="0" borderId="39" xfId="1" applyNumberFormat="1" applyFont="1" applyBorder="1" applyAlignment="1">
      <alignment horizontal="center" vertical="center" wrapText="1"/>
    </xf>
    <xf numFmtId="165" fontId="3" fillId="0" borderId="42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0" fontId="4" fillId="5" borderId="53" xfId="0" applyFont="1" applyFill="1" applyBorder="1" applyAlignment="1">
      <alignment horizontal="center" vertical="center" wrapText="1"/>
    </xf>
    <xf numFmtId="3" fontId="11" fillId="0" borderId="7" xfId="0" applyNumberFormat="1" applyFont="1" applyBorder="1" applyAlignment="1">
      <alignment horizontal="right" vertical="center" wrapText="1" indent="1"/>
    </xf>
    <xf numFmtId="3" fontId="11" fillId="0" borderId="5" xfId="0" applyNumberFormat="1" applyFont="1" applyBorder="1" applyAlignment="1">
      <alignment horizontal="right" vertical="center" wrapText="1" indent="1"/>
    </xf>
    <xf numFmtId="3" fontId="11" fillId="0" borderId="4" xfId="0" applyNumberFormat="1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vertical="center"/>
    </xf>
    <xf numFmtId="3" fontId="11" fillId="0" borderId="3" xfId="0" applyNumberFormat="1" applyFont="1" applyBorder="1" applyAlignment="1">
      <alignment horizontal="right" vertical="center" wrapText="1" indent="1"/>
    </xf>
    <xf numFmtId="0" fontId="4" fillId="6" borderId="65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3" fontId="11" fillId="0" borderId="0" xfId="0" applyNumberFormat="1" applyFont="1" applyAlignment="1">
      <alignment horizontal="right" vertical="center" wrapText="1" indent="1"/>
    </xf>
    <xf numFmtId="0" fontId="0" fillId="0" borderId="0" xfId="0" applyAlignment="1">
      <alignment horizontal="left"/>
    </xf>
    <xf numFmtId="0" fontId="3" fillId="0" borderId="0" xfId="0" applyFont="1" applyAlignment="1">
      <alignment horizontal="right" vertical="center"/>
    </xf>
    <xf numFmtId="3" fontId="3" fillId="0" borderId="3" xfId="1" applyNumberFormat="1" applyFont="1" applyBorder="1" applyAlignment="1">
      <alignment horizontal="right" vertical="center" wrapText="1" indent="3"/>
    </xf>
    <xf numFmtId="2" fontId="3" fillId="0" borderId="4" xfId="1" applyNumberFormat="1" applyFont="1" applyBorder="1" applyAlignment="1">
      <alignment horizontal="right" vertical="center" wrapText="1" indent="3"/>
    </xf>
    <xf numFmtId="3" fontId="3" fillId="0" borderId="4" xfId="1" applyNumberFormat="1" applyFont="1" applyBorder="1" applyAlignment="1">
      <alignment horizontal="right" vertical="center" wrapText="1" indent="3"/>
    </xf>
    <xf numFmtId="2" fontId="3" fillId="0" borderId="7" xfId="1" applyNumberFormat="1" applyFont="1" applyBorder="1" applyAlignment="1">
      <alignment horizontal="right" vertical="center" wrapText="1" indent="3"/>
    </xf>
    <xf numFmtId="0" fontId="3" fillId="0" borderId="6" xfId="0" applyFont="1" applyBorder="1" applyAlignment="1">
      <alignment vertical="center" wrapText="1"/>
    </xf>
    <xf numFmtId="164" fontId="3" fillId="0" borderId="0" xfId="1" applyNumberFormat="1" applyFont="1" applyBorder="1" applyAlignment="1">
      <alignment horizontal="center" vertical="center"/>
    </xf>
    <xf numFmtId="0" fontId="3" fillId="0" borderId="78" xfId="0" applyFont="1" applyBorder="1" applyAlignment="1">
      <alignment vertical="center" wrapText="1"/>
    </xf>
    <xf numFmtId="0" fontId="4" fillId="3" borderId="80" xfId="0" applyFont="1" applyFill="1" applyBorder="1" applyAlignment="1">
      <alignment horizontal="center" vertical="center" wrapText="1"/>
    </xf>
    <xf numFmtId="0" fontId="4" fillId="5" borderId="29" xfId="0" applyFont="1" applyFill="1" applyBorder="1" applyAlignment="1">
      <alignment horizontal="center" vertical="center" wrapText="1"/>
    </xf>
    <xf numFmtId="3" fontId="11" fillId="0" borderId="6" xfId="0" applyNumberFormat="1" applyFont="1" applyBorder="1" applyAlignment="1">
      <alignment horizontal="right" vertical="center" wrapText="1" indent="3"/>
    </xf>
    <xf numFmtId="3" fontId="11" fillId="0" borderId="78" xfId="0" applyNumberFormat="1" applyFont="1" applyBorder="1" applyAlignment="1">
      <alignment horizontal="right" vertical="center" wrapText="1" indent="3"/>
    </xf>
    <xf numFmtId="3" fontId="11" fillId="0" borderId="4" xfId="0" applyNumberFormat="1" applyFont="1" applyBorder="1" applyAlignment="1">
      <alignment horizontal="right" vertical="center" wrapText="1" indent="3"/>
    </xf>
    <xf numFmtId="3" fontId="11" fillId="0" borderId="3" xfId="0" applyNumberFormat="1" applyFont="1" applyBorder="1" applyAlignment="1">
      <alignment horizontal="right" vertical="center" wrapText="1" indent="3"/>
    </xf>
    <xf numFmtId="0" fontId="4" fillId="6" borderId="79" xfId="0" applyFont="1" applyFill="1" applyBorder="1" applyAlignment="1">
      <alignment horizontal="center" vertical="center" wrapText="1"/>
    </xf>
    <xf numFmtId="0" fontId="4" fillId="6" borderId="85" xfId="0" applyFont="1" applyFill="1" applyBorder="1" applyAlignment="1">
      <alignment horizontal="center" vertical="center" wrapText="1"/>
    </xf>
    <xf numFmtId="0" fontId="4" fillId="6" borderId="80" xfId="0" applyFont="1" applyFill="1" applyBorder="1" applyAlignment="1">
      <alignment horizontal="center" vertical="center" wrapText="1"/>
    </xf>
    <xf numFmtId="0" fontId="3" fillId="0" borderId="86" xfId="0" applyFont="1" applyBorder="1" applyAlignment="1">
      <alignment horizontal="right" vertical="center" wrapText="1" indent="3"/>
    </xf>
    <xf numFmtId="0" fontId="3" fillId="0" borderId="87" xfId="0" applyFont="1" applyBorder="1" applyAlignment="1">
      <alignment horizontal="right" vertical="center" wrapText="1" indent="3"/>
    </xf>
    <xf numFmtId="0" fontId="4" fillId="3" borderId="88" xfId="0" applyFont="1" applyFill="1" applyBorder="1" applyAlignment="1">
      <alignment horizontal="center" vertical="center" wrapText="1"/>
    </xf>
    <xf numFmtId="3" fontId="3" fillId="0" borderId="86" xfId="0" applyNumberFormat="1" applyFont="1" applyBorder="1" applyAlignment="1">
      <alignment horizontal="right" vertical="center" wrapText="1" indent="3"/>
    </xf>
    <xf numFmtId="0" fontId="3" fillId="0" borderId="86" xfId="0" applyFont="1" applyBorder="1" applyAlignment="1">
      <alignment horizontal="left" vertical="center" wrapText="1" indent="2"/>
    </xf>
    <xf numFmtId="3" fontId="3" fillId="0" borderId="87" xfId="0" applyNumberFormat="1" applyFont="1" applyBorder="1" applyAlignment="1">
      <alignment horizontal="right" vertical="center" wrapText="1" indent="3"/>
    </xf>
    <xf numFmtId="0" fontId="3" fillId="0" borderId="87" xfId="0" applyFont="1" applyBorder="1" applyAlignment="1">
      <alignment horizontal="left" vertical="center" wrapText="1" indent="2"/>
    </xf>
    <xf numFmtId="0" fontId="4" fillId="4" borderId="79" xfId="0" applyFont="1" applyFill="1" applyBorder="1" applyAlignment="1">
      <alignment horizontal="center" vertical="center" wrapText="1"/>
    </xf>
    <xf numFmtId="0" fontId="4" fillId="4" borderId="8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11" fillId="0" borderId="94" xfId="0" applyNumberFormat="1" applyFont="1" applyBorder="1" applyAlignment="1">
      <alignment horizontal="right" vertical="center" wrapText="1" indent="3"/>
    </xf>
    <xf numFmtId="164" fontId="3" fillId="0" borderId="3" xfId="1" applyNumberFormat="1" applyFont="1" applyBorder="1" applyAlignment="1">
      <alignment horizontal="right" vertical="center" indent="2"/>
    </xf>
    <xf numFmtId="164" fontId="3" fillId="0" borderId="6" xfId="1" applyNumberFormat="1" applyFont="1" applyBorder="1" applyAlignment="1">
      <alignment horizontal="right" vertical="center" indent="2"/>
    </xf>
    <xf numFmtId="0" fontId="3" fillId="0" borderId="94" xfId="0" applyFont="1" applyBorder="1" applyAlignment="1">
      <alignment vertical="center" wrapText="1"/>
    </xf>
    <xf numFmtId="164" fontId="3" fillId="0" borderId="3" xfId="1" applyNumberFormat="1" applyFont="1" applyBorder="1" applyAlignment="1">
      <alignment horizontal="right" vertical="center" wrapText="1" indent="2"/>
    </xf>
    <xf numFmtId="9" fontId="3" fillId="0" borderId="6" xfId="1" applyFont="1" applyBorder="1" applyAlignment="1">
      <alignment horizontal="right" vertical="center" wrapText="1" indent="2"/>
    </xf>
    <xf numFmtId="0" fontId="3" fillId="0" borderId="9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4" borderId="97" xfId="0" applyFont="1" applyFill="1" applyBorder="1" applyAlignment="1">
      <alignment horizontal="center" vertical="center"/>
    </xf>
    <xf numFmtId="0" fontId="12" fillId="4" borderId="98" xfId="0" applyFont="1" applyFill="1" applyBorder="1" applyAlignment="1">
      <alignment horizontal="center" vertical="center"/>
    </xf>
    <xf numFmtId="0" fontId="12" fillId="4" borderId="99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8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right" vertical="center" wrapText="1" indent="1"/>
    </xf>
    <xf numFmtId="3" fontId="3" fillId="0" borderId="4" xfId="0" applyNumberFormat="1" applyFont="1" applyBorder="1" applyAlignment="1">
      <alignment horizontal="right" vertical="center" wrapText="1" indent="1"/>
    </xf>
    <xf numFmtId="3" fontId="3" fillId="0" borderId="78" xfId="0" applyNumberFormat="1" applyFont="1" applyBorder="1" applyAlignment="1">
      <alignment horizontal="right" vertical="center" wrapText="1" indent="1"/>
    </xf>
    <xf numFmtId="3" fontId="3" fillId="0" borderId="6" xfId="0" applyNumberFormat="1" applyFont="1" applyBorder="1" applyAlignment="1">
      <alignment horizontal="right" vertical="center" wrapText="1" indent="1"/>
    </xf>
    <xf numFmtId="0" fontId="3" fillId="0" borderId="0" xfId="0" applyFont="1" applyAlignment="1">
      <alignment horizontal="left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164" fontId="3" fillId="0" borderId="78" xfId="1" applyNumberFormat="1" applyFont="1" applyBorder="1" applyAlignment="1">
      <alignment horizontal="center" vertical="center" wrapText="1"/>
    </xf>
    <xf numFmtId="164" fontId="3" fillId="0" borderId="3" xfId="1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right" vertical="center" wrapText="1" indent="2"/>
    </xf>
    <xf numFmtId="3" fontId="3" fillId="0" borderId="4" xfId="0" applyNumberFormat="1" applyFont="1" applyBorder="1" applyAlignment="1">
      <alignment horizontal="right" vertical="center" wrapText="1" indent="2"/>
    </xf>
    <xf numFmtId="3" fontId="3" fillId="0" borderId="78" xfId="0" applyNumberFormat="1" applyFont="1" applyBorder="1" applyAlignment="1">
      <alignment horizontal="right" vertical="center" wrapText="1" indent="2"/>
    </xf>
    <xf numFmtId="3" fontId="3" fillId="0" borderId="6" xfId="0" applyNumberFormat="1" applyFont="1" applyBorder="1" applyAlignment="1">
      <alignment horizontal="right" vertical="center" wrapText="1" indent="2"/>
    </xf>
    <xf numFmtId="2" fontId="3" fillId="0" borderId="8" xfId="0" applyNumberFormat="1" applyFont="1" applyBorder="1" applyAlignment="1">
      <alignment horizontal="center" vertical="center"/>
    </xf>
    <xf numFmtId="2" fontId="3" fillId="0" borderId="45" xfId="0" applyNumberFormat="1" applyFont="1" applyBorder="1" applyAlignment="1">
      <alignment horizontal="center" vertical="center"/>
    </xf>
    <xf numFmtId="2" fontId="3" fillId="0" borderId="94" xfId="0" applyNumberFormat="1" applyFont="1" applyBorder="1" applyAlignment="1">
      <alignment horizontal="center" vertical="center"/>
    </xf>
    <xf numFmtId="0" fontId="12" fillId="4" borderId="100" xfId="0" applyFont="1" applyFill="1" applyBorder="1" applyAlignment="1">
      <alignment horizontal="left" vertical="center"/>
    </xf>
    <xf numFmtId="0" fontId="12" fillId="4" borderId="101" xfId="0" applyFont="1" applyFill="1" applyBorder="1" applyAlignment="1">
      <alignment horizontal="left" vertical="center"/>
    </xf>
    <xf numFmtId="0" fontId="12" fillId="4" borderId="102" xfId="0" applyFont="1" applyFill="1" applyBorder="1" applyAlignment="1">
      <alignment horizontal="left" vertical="center"/>
    </xf>
    <xf numFmtId="0" fontId="12" fillId="4" borderId="103" xfId="0" applyFont="1" applyFill="1" applyBorder="1" applyAlignment="1">
      <alignment horizontal="left" vertical="center"/>
    </xf>
    <xf numFmtId="166" fontId="3" fillId="0" borderId="6" xfId="0" applyNumberFormat="1" applyFont="1" applyBorder="1" applyAlignment="1">
      <alignment horizontal="center" vertical="center"/>
    </xf>
    <xf numFmtId="3" fontId="3" fillId="0" borderId="87" xfId="0" applyNumberFormat="1" applyFont="1" applyBorder="1" applyAlignment="1">
      <alignment horizontal="right" vertical="center" wrapText="1" indent="1"/>
    </xf>
    <xf numFmtId="3" fontId="3" fillId="0" borderId="86" xfId="0" applyNumberFormat="1" applyFont="1" applyBorder="1" applyAlignment="1">
      <alignment horizontal="right" vertical="center" wrapText="1" indent="1"/>
    </xf>
    <xf numFmtId="164" fontId="3" fillId="0" borderId="6" xfId="1" applyNumberFormat="1" applyFont="1" applyBorder="1" applyAlignment="1">
      <alignment horizontal="right" vertical="center" wrapText="1" indent="2"/>
    </xf>
    <xf numFmtId="0" fontId="4" fillId="4" borderId="110" xfId="0" applyFont="1" applyFill="1" applyBorder="1" applyAlignment="1">
      <alignment horizontal="center" vertical="center" wrapText="1"/>
    </xf>
    <xf numFmtId="0" fontId="4" fillId="4" borderId="11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94" xfId="0" applyFont="1" applyBorder="1" applyAlignment="1">
      <alignment horizontal="left" vertical="center"/>
    </xf>
    <xf numFmtId="0" fontId="12" fillId="4" borderId="98" xfId="0" applyFont="1" applyFill="1" applyBorder="1" applyAlignment="1">
      <alignment horizontal="center" vertical="center" wrapText="1"/>
    </xf>
    <xf numFmtId="0" fontId="12" fillId="4" borderId="99" xfId="0" applyFont="1" applyFill="1" applyBorder="1" applyAlignment="1">
      <alignment horizontal="center" vertical="center" wrapText="1"/>
    </xf>
    <xf numFmtId="0" fontId="3" fillId="0" borderId="86" xfId="0" applyFont="1" applyBorder="1" applyAlignment="1">
      <alignment horizontal="left" vertical="center"/>
    </xf>
    <xf numFmtId="0" fontId="3" fillId="0" borderId="86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 indent="2"/>
    </xf>
    <xf numFmtId="0" fontId="3" fillId="0" borderId="94" xfId="0" applyFont="1" applyBorder="1" applyAlignment="1">
      <alignment horizontal="right" vertical="center" indent="2"/>
    </xf>
    <xf numFmtId="0" fontId="3" fillId="0" borderId="86" xfId="0" applyFont="1" applyBorder="1" applyAlignment="1">
      <alignment horizontal="right" vertical="center" indent="2"/>
    </xf>
    <xf numFmtId="0" fontId="3" fillId="0" borderId="6" xfId="0" applyFont="1" applyBorder="1" applyAlignment="1">
      <alignment horizontal="right" vertical="center" indent="2"/>
    </xf>
    <xf numFmtId="10" fontId="3" fillId="0" borderId="3" xfId="1" applyNumberFormat="1" applyFont="1" applyBorder="1" applyAlignment="1">
      <alignment horizontal="center" vertical="center"/>
    </xf>
    <xf numFmtId="10" fontId="3" fillId="0" borderId="94" xfId="1" applyNumberFormat="1" applyFont="1" applyBorder="1" applyAlignment="1">
      <alignment horizontal="center" vertical="center"/>
    </xf>
    <xf numFmtId="10" fontId="3" fillId="0" borderId="86" xfId="1" applyNumberFormat="1" applyFont="1" applyBorder="1" applyAlignment="1">
      <alignment horizontal="center" vertical="center"/>
    </xf>
    <xf numFmtId="10" fontId="3" fillId="0" borderId="6" xfId="1" applyNumberFormat="1" applyFont="1" applyBorder="1" applyAlignment="1">
      <alignment horizontal="center" vertical="center"/>
    </xf>
    <xf numFmtId="10" fontId="3" fillId="0" borderId="112" xfId="1" applyNumberFormat="1" applyFont="1" applyBorder="1" applyAlignment="1">
      <alignment horizontal="center" vertical="center" wrapText="1"/>
    </xf>
    <xf numFmtId="10" fontId="3" fillId="0" borderId="94" xfId="1" applyNumberFormat="1" applyFont="1" applyBorder="1" applyAlignment="1">
      <alignment horizontal="center" vertical="center" wrapText="1"/>
    </xf>
    <xf numFmtId="0" fontId="5" fillId="0" borderId="112" xfId="0" applyFont="1" applyBorder="1" applyAlignment="1">
      <alignment horizontal="left" vertical="center" wrapText="1" indent="1"/>
    </xf>
    <xf numFmtId="0" fontId="5" fillId="0" borderId="94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168" fontId="3" fillId="0" borderId="8" xfId="1" applyNumberFormat="1" applyFont="1" applyBorder="1" applyAlignment="1">
      <alignment horizontal="center" vertical="center" wrapText="1"/>
    </xf>
    <xf numFmtId="0" fontId="3" fillId="0" borderId="112" xfId="1" applyNumberFormat="1" applyFont="1" applyBorder="1" applyAlignment="1">
      <alignment horizontal="center" vertical="center" wrapText="1"/>
    </xf>
    <xf numFmtId="0" fontId="3" fillId="0" borderId="94" xfId="1" applyNumberFormat="1" applyFont="1" applyBorder="1" applyAlignment="1">
      <alignment horizontal="center" vertical="center" wrapText="1"/>
    </xf>
    <xf numFmtId="0" fontId="3" fillId="0" borderId="3" xfId="1" applyNumberFormat="1" applyFont="1" applyBorder="1" applyAlignment="1">
      <alignment horizontal="right" vertical="center" indent="2"/>
    </xf>
    <xf numFmtId="0" fontId="3" fillId="0" borderId="6" xfId="1" applyNumberFormat="1" applyFont="1" applyBorder="1" applyAlignment="1">
      <alignment horizontal="right" vertical="center" indent="2"/>
    </xf>
    <xf numFmtId="0" fontId="3" fillId="0" borderId="6" xfId="1" applyNumberFormat="1" applyFont="1" applyBorder="1" applyAlignment="1">
      <alignment horizontal="center" vertical="center" wrapText="1"/>
    </xf>
    <xf numFmtId="0" fontId="3" fillId="0" borderId="6" xfId="1" applyNumberFormat="1" applyFont="1" applyBorder="1" applyAlignment="1">
      <alignment horizontal="center" vertical="center"/>
    </xf>
    <xf numFmtId="0" fontId="6" fillId="0" borderId="6" xfId="1" applyNumberFormat="1" applyFont="1" applyBorder="1" applyAlignment="1">
      <alignment horizontal="center" vertical="center" wrapText="1"/>
    </xf>
    <xf numFmtId="0" fontId="6" fillId="0" borderId="6" xfId="1" applyNumberFormat="1" applyFont="1" applyBorder="1" applyAlignment="1">
      <alignment horizontal="center" vertical="center"/>
    </xf>
    <xf numFmtId="0" fontId="4" fillId="6" borderId="32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75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/>
    </xf>
    <xf numFmtId="0" fontId="4" fillId="5" borderId="82" xfId="0" applyFont="1" applyFill="1" applyBorder="1" applyAlignment="1">
      <alignment horizontal="center" vertical="center" wrapText="1"/>
    </xf>
    <xf numFmtId="0" fontId="4" fillId="5" borderId="81" xfId="0" applyFont="1" applyFill="1" applyBorder="1" applyAlignment="1">
      <alignment horizontal="center" vertical="center" wrapText="1"/>
    </xf>
    <xf numFmtId="0" fontId="4" fillId="4" borderId="37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0" fontId="4" fillId="3" borderId="80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79" xfId="0" applyFont="1" applyFill="1" applyBorder="1" applyAlignment="1">
      <alignment horizontal="center" vertical="center" wrapText="1"/>
    </xf>
    <xf numFmtId="0" fontId="4" fillId="4" borderId="84" xfId="0" applyFont="1" applyFill="1" applyBorder="1" applyAlignment="1">
      <alignment horizontal="center" vertical="center" wrapText="1"/>
    </xf>
    <xf numFmtId="0" fontId="4" fillId="4" borderId="83" xfId="0" applyFont="1" applyFill="1" applyBorder="1" applyAlignment="1">
      <alignment horizontal="center" vertical="center" wrapText="1"/>
    </xf>
    <xf numFmtId="0" fontId="4" fillId="4" borderId="8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167" fontId="3" fillId="0" borderId="3" xfId="1" applyNumberFormat="1" applyFont="1" applyBorder="1" applyAlignment="1">
      <alignment horizontal="left" vertical="center" wrapText="1"/>
    </xf>
    <xf numFmtId="167" fontId="3" fillId="0" borderId="4" xfId="1" applyNumberFormat="1" applyFont="1" applyBorder="1" applyAlignment="1">
      <alignment horizontal="left" vertical="center" wrapText="1"/>
    </xf>
    <xf numFmtId="167" fontId="3" fillId="0" borderId="7" xfId="1" applyNumberFormat="1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" fillId="5" borderId="29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4" fillId="4" borderId="93" xfId="0" applyFont="1" applyFill="1" applyBorder="1" applyAlignment="1">
      <alignment horizontal="distributed" vertical="center" wrapText="1"/>
    </xf>
    <xf numFmtId="0" fontId="4" fillId="4" borderId="20" xfId="0" applyFont="1" applyFill="1" applyBorder="1" applyAlignment="1">
      <alignment horizontal="distributed" vertical="center" wrapText="1"/>
    </xf>
    <xf numFmtId="0" fontId="4" fillId="4" borderId="76" xfId="0" applyFont="1" applyFill="1" applyBorder="1" applyAlignment="1">
      <alignment horizontal="center" vertical="center"/>
    </xf>
    <xf numFmtId="0" fontId="4" fillId="4" borderId="91" xfId="0" applyFont="1" applyFill="1" applyBorder="1" applyAlignment="1">
      <alignment horizontal="distributed" vertical="center" wrapText="1"/>
    </xf>
    <xf numFmtId="0" fontId="4" fillId="4" borderId="89" xfId="0" applyFont="1" applyFill="1" applyBorder="1" applyAlignment="1">
      <alignment horizontal="distributed" vertical="center" wrapText="1"/>
    </xf>
    <xf numFmtId="0" fontId="4" fillId="3" borderId="76" xfId="0" applyFont="1" applyFill="1" applyBorder="1" applyAlignment="1">
      <alignment horizontal="center" vertical="center" wrapText="1"/>
    </xf>
    <xf numFmtId="0" fontId="4" fillId="3" borderId="88" xfId="0" applyFont="1" applyFill="1" applyBorder="1" applyAlignment="1">
      <alignment horizontal="center" vertical="center" wrapText="1"/>
    </xf>
    <xf numFmtId="0" fontId="4" fillId="3" borderId="90" xfId="0" applyFont="1" applyFill="1" applyBorder="1" applyAlignment="1">
      <alignment horizontal="center" vertical="center" wrapText="1"/>
    </xf>
    <xf numFmtId="0" fontId="4" fillId="3" borderId="62" xfId="0" applyFont="1" applyFill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4" borderId="92" xfId="0" applyFont="1" applyFill="1" applyBorder="1" applyAlignment="1">
      <alignment horizontal="center" vertical="center"/>
    </xf>
    <xf numFmtId="0" fontId="4" fillId="4" borderId="104" xfId="0" applyFont="1" applyFill="1" applyBorder="1" applyAlignment="1">
      <alignment horizontal="center" vertical="center" wrapText="1"/>
    </xf>
    <xf numFmtId="0" fontId="4" fillId="4" borderId="105" xfId="0" applyFont="1" applyFill="1" applyBorder="1" applyAlignment="1">
      <alignment horizontal="center" vertical="center" wrapText="1"/>
    </xf>
    <xf numFmtId="0" fontId="4" fillId="4" borderId="107" xfId="0" applyFont="1" applyFill="1" applyBorder="1" applyAlignment="1">
      <alignment horizontal="center" vertical="center" wrapText="1"/>
    </xf>
    <xf numFmtId="0" fontId="4" fillId="4" borderId="108" xfId="0" applyFont="1" applyFill="1" applyBorder="1" applyAlignment="1">
      <alignment horizontal="center" vertical="center" wrapText="1"/>
    </xf>
    <xf numFmtId="0" fontId="4" fillId="4" borderId="106" xfId="0" applyFont="1" applyFill="1" applyBorder="1" applyAlignment="1">
      <alignment horizontal="center" vertical="center" wrapText="1"/>
    </xf>
    <xf numFmtId="0" fontId="4" fillId="4" borderId="109" xfId="0" applyFont="1" applyFill="1" applyBorder="1" applyAlignment="1">
      <alignment horizontal="center" vertical="center" wrapText="1"/>
    </xf>
    <xf numFmtId="0" fontId="3" fillId="0" borderId="94" xfId="0" applyFont="1" applyBorder="1" applyAlignment="1">
      <alignment vertical="center" wrapText="1"/>
    </xf>
    <xf numFmtId="0" fontId="3" fillId="0" borderId="94" xfId="0" applyFont="1" applyBorder="1" applyAlignment="1">
      <alignment horizontal="left" vertical="center" wrapText="1"/>
    </xf>
    <xf numFmtId="164" fontId="3" fillId="0" borderId="96" xfId="1" applyNumberFormat="1" applyFont="1" applyBorder="1" applyAlignment="1">
      <alignment horizontal="center" vertical="center"/>
    </xf>
    <xf numFmtId="164" fontId="3" fillId="0" borderId="95" xfId="1" applyNumberFormat="1" applyFont="1" applyBorder="1" applyAlignment="1">
      <alignment horizontal="center" vertical="center"/>
    </xf>
    <xf numFmtId="0" fontId="3" fillId="0" borderId="57" xfId="1" applyNumberFormat="1" applyFont="1" applyBorder="1" applyAlignment="1">
      <alignment horizontal="left" vertical="center" wrapText="1" indent="1"/>
    </xf>
    <xf numFmtId="0" fontId="3" fillId="0" borderId="56" xfId="1" applyNumberFormat="1" applyFont="1" applyBorder="1" applyAlignment="1">
      <alignment horizontal="left" vertical="center" wrapText="1" indent="1"/>
    </xf>
    <xf numFmtId="0" fontId="3" fillId="0" borderId="55" xfId="1" applyNumberFormat="1" applyFont="1" applyBorder="1" applyAlignment="1">
      <alignment horizontal="left" vertical="center" wrapText="1" indent="1"/>
    </xf>
    <xf numFmtId="0" fontId="6" fillId="0" borderId="24" xfId="0" applyFont="1" applyBorder="1" applyAlignment="1">
      <alignment horizontal="left" vertical="center" wrapText="1"/>
    </xf>
    <xf numFmtId="0" fontId="4" fillId="6" borderId="76" xfId="0" applyFont="1" applyFill="1" applyBorder="1" applyAlignment="1">
      <alignment horizontal="center" vertical="center"/>
    </xf>
    <xf numFmtId="0" fontId="4" fillId="6" borderId="70" xfId="0" applyFont="1" applyFill="1" applyBorder="1" applyAlignment="1">
      <alignment horizontal="center" vertical="center"/>
    </xf>
    <xf numFmtId="0" fontId="4" fillId="6" borderId="71" xfId="0" applyFont="1" applyFill="1" applyBorder="1" applyAlignment="1">
      <alignment horizontal="center" vertical="center"/>
    </xf>
    <xf numFmtId="0" fontId="4" fillId="6" borderId="69" xfId="0" applyFont="1" applyFill="1" applyBorder="1" applyAlignment="1">
      <alignment horizontal="center" vertical="center"/>
    </xf>
    <xf numFmtId="0" fontId="4" fillId="6" borderId="74" xfId="0" applyFont="1" applyFill="1" applyBorder="1" applyAlignment="1">
      <alignment horizontal="center" vertical="center" wrapText="1"/>
    </xf>
    <xf numFmtId="0" fontId="4" fillId="6" borderId="68" xfId="0" applyFont="1" applyFill="1" applyBorder="1" applyAlignment="1">
      <alignment horizontal="center" vertical="center" wrapText="1"/>
    </xf>
    <xf numFmtId="0" fontId="4" fillId="6" borderId="64" xfId="0" applyFont="1" applyFill="1" applyBorder="1" applyAlignment="1">
      <alignment horizontal="center" vertical="center" wrapText="1"/>
    </xf>
    <xf numFmtId="0" fontId="4" fillId="4" borderId="63" xfId="0" applyFont="1" applyFill="1" applyBorder="1" applyAlignment="1">
      <alignment horizontal="center" vertical="center" wrapText="1"/>
    </xf>
    <xf numFmtId="0" fontId="4" fillId="4" borderId="77" xfId="0" applyFont="1" applyFill="1" applyBorder="1" applyAlignment="1">
      <alignment horizontal="center" vertical="center" wrapText="1"/>
    </xf>
    <xf numFmtId="0" fontId="4" fillId="4" borderId="73" xfId="0" applyFont="1" applyFill="1" applyBorder="1" applyAlignment="1">
      <alignment horizontal="center" vertical="center" wrapText="1"/>
    </xf>
    <xf numFmtId="0" fontId="4" fillId="4" borderId="72" xfId="0" applyFont="1" applyFill="1" applyBorder="1" applyAlignment="1">
      <alignment horizontal="center" vertical="center" wrapText="1"/>
    </xf>
    <xf numFmtId="0" fontId="12" fillId="6" borderId="67" xfId="0" applyFont="1" applyFill="1" applyBorder="1" applyAlignment="1">
      <alignment horizontal="center" vertical="center" wrapText="1"/>
    </xf>
    <xf numFmtId="0" fontId="12" fillId="6" borderId="66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9" fontId="3" fillId="0" borderId="4" xfId="1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44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left" vertical="center" wrapText="1"/>
    </xf>
    <xf numFmtId="9" fontId="3" fillId="0" borderId="43" xfId="1" applyFont="1" applyBorder="1" applyAlignment="1">
      <alignment horizontal="left" vertical="center" wrapText="1"/>
    </xf>
    <xf numFmtId="9" fontId="3" fillId="0" borderId="42" xfId="1" applyFont="1" applyBorder="1" applyAlignment="1">
      <alignment horizontal="left" vertical="center" wrapText="1"/>
    </xf>
    <xf numFmtId="10" fontId="3" fillId="0" borderId="57" xfId="1" applyNumberFormat="1" applyFont="1" applyBorder="1" applyAlignment="1">
      <alignment horizontal="left" vertical="center" wrapText="1" indent="1"/>
    </xf>
    <xf numFmtId="10" fontId="3" fillId="0" borderId="56" xfId="1" applyNumberFormat="1" applyFont="1" applyBorder="1" applyAlignment="1">
      <alignment horizontal="left" vertical="center" wrapText="1" indent="1"/>
    </xf>
    <xf numFmtId="10" fontId="3" fillId="0" borderId="55" xfId="1" applyNumberFormat="1" applyFont="1" applyBorder="1" applyAlignment="1">
      <alignment horizontal="left" vertical="center" wrapText="1" indent="1"/>
    </xf>
    <xf numFmtId="9" fontId="3" fillId="0" borderId="44" xfId="1" applyFont="1" applyBorder="1" applyAlignment="1">
      <alignment horizontal="left" vertical="center" wrapText="1"/>
    </xf>
    <xf numFmtId="10" fontId="3" fillId="0" borderId="4" xfId="1" applyNumberFormat="1" applyFont="1" applyBorder="1" applyAlignment="1">
      <alignment horizontal="left" vertical="center" wrapText="1" indent="1"/>
    </xf>
    <xf numFmtId="0" fontId="3" fillId="0" borderId="4" xfId="0" applyFont="1" applyBorder="1" applyAlignment="1">
      <alignment vertical="center" wrapText="1"/>
    </xf>
    <xf numFmtId="0" fontId="4" fillId="5" borderId="51" xfId="0" applyFont="1" applyFill="1" applyBorder="1" applyAlignment="1">
      <alignment horizontal="center" vertical="center" wrapText="1"/>
    </xf>
    <xf numFmtId="0" fontId="4" fillId="5" borderId="50" xfId="0" applyFont="1" applyFill="1" applyBorder="1" applyAlignment="1">
      <alignment horizontal="center" vertical="center" wrapText="1"/>
    </xf>
    <xf numFmtId="0" fontId="4" fillId="4" borderId="61" xfId="0" applyFont="1" applyFill="1" applyBorder="1" applyAlignment="1">
      <alignment horizontal="center" vertical="center" wrapText="1"/>
    </xf>
    <xf numFmtId="0" fontId="4" fillId="4" borderId="59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9" fontId="3" fillId="0" borderId="47" xfId="1" applyFont="1" applyBorder="1" applyAlignment="1">
      <alignment horizontal="left" vertical="center" wrapText="1"/>
    </xf>
    <xf numFmtId="9" fontId="3" fillId="0" borderId="46" xfId="1" applyFont="1" applyBorder="1" applyAlignment="1">
      <alignment horizontal="left" vertical="center" wrapText="1"/>
    </xf>
    <xf numFmtId="0" fontId="3" fillId="0" borderId="7" xfId="0" applyFont="1" applyBorder="1" applyAlignment="1">
      <alignment vertical="center" wrapText="1"/>
    </xf>
    <xf numFmtId="0" fontId="4" fillId="5" borderId="60" xfId="0" applyFont="1" applyFill="1" applyBorder="1" applyAlignment="1">
      <alignment horizontal="center" vertical="center" wrapText="1"/>
    </xf>
    <xf numFmtId="0" fontId="4" fillId="5" borderId="59" xfId="0" applyFont="1" applyFill="1" applyBorder="1" applyAlignment="1">
      <alignment horizontal="center" vertical="center" wrapText="1"/>
    </xf>
    <xf numFmtId="0" fontId="4" fillId="5" borderId="58" xfId="0" applyFont="1" applyFill="1" applyBorder="1" applyAlignment="1">
      <alignment horizontal="center" vertical="center" wrapText="1"/>
    </xf>
    <xf numFmtId="0" fontId="3" fillId="0" borderId="47" xfId="1" applyNumberFormat="1" applyFont="1" applyBorder="1" applyAlignment="1">
      <alignment horizontal="left" vertical="center" wrapText="1" indent="1"/>
    </xf>
    <xf numFmtId="0" fontId="3" fillId="0" borderId="48" xfId="1" applyNumberFormat="1" applyFont="1" applyBorder="1" applyAlignment="1">
      <alignment horizontal="left" vertical="center" wrapText="1" indent="1"/>
    </xf>
    <xf numFmtId="0" fontId="3" fillId="0" borderId="46" xfId="1" applyNumberFormat="1" applyFont="1" applyBorder="1" applyAlignment="1">
      <alignment horizontal="left" vertical="center" wrapText="1" indent="1"/>
    </xf>
    <xf numFmtId="10" fontId="3" fillId="0" borderId="3" xfId="1" applyNumberFormat="1" applyFont="1" applyBorder="1" applyAlignment="1">
      <alignment horizontal="left" vertical="center" wrapText="1" indent="1"/>
    </xf>
    <xf numFmtId="10" fontId="3" fillId="0" borderId="7" xfId="1" applyNumberFormat="1" applyFont="1" applyBorder="1" applyAlignment="1">
      <alignment horizontal="left" vertical="center" wrapText="1" indent="1"/>
    </xf>
    <xf numFmtId="9" fontId="3" fillId="0" borderId="9" xfId="1" applyFont="1" applyBorder="1" applyAlignment="1">
      <alignment horizontal="left" vertical="center" wrapText="1"/>
    </xf>
    <xf numFmtId="9" fontId="3" fillId="0" borderId="39" xfId="1" applyFont="1" applyBorder="1" applyAlignment="1">
      <alignment horizontal="left" vertical="center" wrapText="1"/>
    </xf>
    <xf numFmtId="0" fontId="3" fillId="0" borderId="4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40" xfId="0" applyFont="1" applyBorder="1" applyAlignment="1">
      <alignment horizontal="left" vertical="center" wrapText="1"/>
    </xf>
    <xf numFmtId="9" fontId="3" fillId="0" borderId="41" xfId="1" applyFont="1" applyBorder="1" applyAlignment="1">
      <alignment horizontal="left" vertical="center" wrapText="1"/>
    </xf>
    <xf numFmtId="9" fontId="3" fillId="0" borderId="40" xfId="1" applyFont="1" applyBorder="1" applyAlignment="1">
      <alignment horizontal="left" vertical="center" wrapText="1"/>
    </xf>
    <xf numFmtId="0" fontId="4" fillId="6" borderId="53" xfId="0" applyFont="1" applyFill="1" applyBorder="1" applyAlignment="1">
      <alignment horizontal="center" vertical="center" wrapText="1"/>
    </xf>
    <xf numFmtId="0" fontId="4" fillId="6" borderId="5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8" fillId="4" borderId="33" xfId="0" applyFont="1" applyFill="1" applyBorder="1" applyAlignment="1">
      <alignment horizontal="distributed" vertical="center" wrapText="1"/>
    </xf>
    <xf numFmtId="0" fontId="8" fillId="4" borderId="19" xfId="0" applyFont="1" applyFill="1" applyBorder="1" applyAlignment="1">
      <alignment horizontal="distributed" vertical="center" wrapText="1"/>
    </xf>
    <xf numFmtId="0" fontId="8" fillId="4" borderId="32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distributed" vertical="center" wrapText="1"/>
    </xf>
    <xf numFmtId="0" fontId="8" fillId="4" borderId="20" xfId="0" applyFont="1" applyFill="1" applyBorder="1" applyAlignment="1">
      <alignment horizontal="distributed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35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4" fillId="2" borderId="18" xfId="0" applyFont="1" applyFill="1" applyBorder="1" applyAlignment="1">
      <alignment horizontal="distributed" vertical="center" wrapText="1"/>
    </xf>
    <xf numFmtId="0" fontId="4" fillId="2" borderId="19" xfId="0" applyFont="1" applyFill="1" applyBorder="1" applyAlignment="1">
      <alignment horizontal="distributed" vertical="center" wrapText="1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66" fontId="3" fillId="0" borderId="3" xfId="1" applyNumberFormat="1" applyFont="1" applyBorder="1" applyAlignment="1">
      <alignment horizontal="right" vertical="center" wrapText="1" indent="2"/>
    </xf>
    <xf numFmtId="166" fontId="3" fillId="0" borderId="114" xfId="1" applyNumberFormat="1" applyFont="1" applyBorder="1" applyAlignment="1">
      <alignment horizontal="right" vertical="center" wrapText="1" indent="2"/>
    </xf>
    <xf numFmtId="166" fontId="3" fillId="0" borderId="113" xfId="1" applyNumberFormat="1" applyFont="1" applyBorder="1" applyAlignment="1">
      <alignment horizontal="right" vertical="center" wrapText="1" indent="2"/>
    </xf>
  </cellXfs>
  <cellStyles count="5">
    <cellStyle name="Normál" xfId="0" builtinId="0"/>
    <cellStyle name="Normál 2" xfId="3" xr:uid="{B1B42523-F6ED-432F-B5C7-AFAB7AAB6014}"/>
    <cellStyle name="Normál 2 2" xfId="2" xr:uid="{C7BBA4FC-52C7-4546-8AFA-CA7F5F9EFBAA}"/>
    <cellStyle name="Százalék" xfId="1" builtinId="5"/>
    <cellStyle name="Százalék 2" xfId="4" xr:uid="{36C66FFE-A8E6-42A8-BC63-3284ACBA62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DB1E5-92D1-42E5-BBF9-38725E80E52A}">
  <sheetPr>
    <tabColor theme="4"/>
  </sheetPr>
  <dimension ref="A1:X56"/>
  <sheetViews>
    <sheetView tabSelected="1" zoomScaleNormal="100" workbookViewId="0"/>
  </sheetViews>
  <sheetFormatPr defaultColWidth="9.140625" defaultRowHeight="12.75" x14ac:dyDescent="0.2"/>
  <cols>
    <col min="1" max="1" width="2.42578125" style="1" customWidth="1"/>
    <col min="2" max="2" width="39.140625" style="1" bestFit="1" customWidth="1"/>
    <col min="3" max="9" width="13.42578125" style="1" customWidth="1"/>
    <col min="10" max="10" width="5.7109375" style="1" customWidth="1"/>
    <col min="11" max="11" width="30.7109375" style="1" customWidth="1"/>
    <col min="12" max="18" width="14.7109375" style="1" customWidth="1"/>
    <col min="19" max="23" width="15.28515625" style="1" customWidth="1"/>
    <col min="24" max="16384" width="9.140625" style="1"/>
  </cols>
  <sheetData>
    <row r="1" spans="1:18" ht="13.5" customHeight="1" thickBot="1" x14ac:dyDescent="0.25"/>
    <row r="2" spans="1:18" ht="43.15" customHeight="1" thickBot="1" x14ac:dyDescent="0.25">
      <c r="B2" s="219" t="s">
        <v>138</v>
      </c>
      <c r="C2" s="220"/>
      <c r="D2" s="220"/>
      <c r="E2" s="220"/>
      <c r="F2" s="220"/>
      <c r="G2" s="221"/>
      <c r="H2" s="129"/>
    </row>
    <row r="3" spans="1:18" ht="13.5" thickBot="1" x14ac:dyDescent="0.25"/>
    <row r="4" spans="1:18" ht="54.75" customHeight="1" thickBot="1" x14ac:dyDescent="0.25">
      <c r="B4" s="219" t="s">
        <v>140</v>
      </c>
      <c r="C4" s="220"/>
      <c r="D4" s="220"/>
      <c r="E4" s="220"/>
      <c r="F4" s="220"/>
      <c r="G4" s="221"/>
      <c r="H4" s="129"/>
    </row>
    <row r="5" spans="1:18" s="13" customFormat="1" ht="13.5" thickBot="1" x14ac:dyDescent="0.25">
      <c r="B5" s="14"/>
      <c r="C5" s="14"/>
      <c r="D5" s="14"/>
      <c r="E5" s="14"/>
      <c r="F5" s="14"/>
      <c r="G5" s="14"/>
      <c r="H5" s="14"/>
      <c r="I5" s="14"/>
      <c r="K5" s="14"/>
      <c r="L5" s="14"/>
      <c r="M5" s="14"/>
      <c r="N5" s="14"/>
      <c r="O5" s="14"/>
      <c r="P5" s="14"/>
      <c r="Q5" s="14"/>
    </row>
    <row r="6" spans="1:18" ht="13.5" thickBot="1" x14ac:dyDescent="0.25"/>
    <row r="7" spans="1:18" ht="13.15" customHeight="1" x14ac:dyDescent="0.2">
      <c r="A7" s="1" t="s">
        <v>11</v>
      </c>
      <c r="B7" s="205" t="s">
        <v>40</v>
      </c>
      <c r="C7" s="199" t="s">
        <v>41</v>
      </c>
      <c r="D7" s="200"/>
      <c r="E7" s="200"/>
      <c r="F7" s="200"/>
      <c r="G7" s="200"/>
      <c r="H7" s="201"/>
      <c r="I7" s="202"/>
      <c r="K7" s="205" t="s">
        <v>42</v>
      </c>
      <c r="L7" s="199" t="s">
        <v>41</v>
      </c>
      <c r="M7" s="200"/>
      <c r="N7" s="200"/>
      <c r="O7" s="200"/>
      <c r="P7" s="200"/>
      <c r="Q7" s="201"/>
      <c r="R7" s="202"/>
    </row>
    <row r="8" spans="1:18" ht="13.5" thickBot="1" x14ac:dyDescent="0.25">
      <c r="B8" s="206"/>
      <c r="C8" s="119" t="s">
        <v>30</v>
      </c>
      <c r="D8" s="119" t="s">
        <v>43</v>
      </c>
      <c r="E8" s="119" t="s">
        <v>44</v>
      </c>
      <c r="F8" s="119" t="s">
        <v>45</v>
      </c>
      <c r="G8" s="118" t="s">
        <v>107</v>
      </c>
      <c r="H8" s="118" t="s">
        <v>116</v>
      </c>
      <c r="I8" s="117" t="s">
        <v>139</v>
      </c>
      <c r="K8" s="206"/>
      <c r="L8" s="119" t="s">
        <v>30</v>
      </c>
      <c r="M8" s="119" t="s">
        <v>43</v>
      </c>
      <c r="N8" s="119" t="s">
        <v>44</v>
      </c>
      <c r="O8" s="119" t="s">
        <v>45</v>
      </c>
      <c r="P8" s="118" t="s">
        <v>107</v>
      </c>
      <c r="Q8" s="118" t="s">
        <v>116</v>
      </c>
      <c r="R8" s="117" t="s">
        <v>139</v>
      </c>
    </row>
    <row r="9" spans="1:18" x14ac:dyDescent="0.2">
      <c r="B9" s="4" t="s">
        <v>46</v>
      </c>
      <c r="C9" s="116">
        <v>86</v>
      </c>
      <c r="D9" s="116">
        <v>71</v>
      </c>
      <c r="E9" s="116">
        <v>88</v>
      </c>
      <c r="F9" s="116">
        <v>74</v>
      </c>
      <c r="G9" s="116">
        <v>54</v>
      </c>
      <c r="H9" s="116">
        <v>77</v>
      </c>
      <c r="I9" s="116">
        <v>86</v>
      </c>
      <c r="K9" s="4" t="s">
        <v>47</v>
      </c>
      <c r="L9" s="116">
        <v>17</v>
      </c>
      <c r="M9" s="116">
        <v>38</v>
      </c>
      <c r="N9" s="116">
        <v>34</v>
      </c>
      <c r="O9" s="116">
        <v>43</v>
      </c>
      <c r="P9" s="116">
        <v>30</v>
      </c>
      <c r="Q9" s="116">
        <v>46</v>
      </c>
      <c r="R9" s="116">
        <v>61</v>
      </c>
    </row>
    <row r="10" spans="1:18" x14ac:dyDescent="0.2">
      <c r="B10" s="6" t="s">
        <v>48</v>
      </c>
      <c r="C10" s="115">
        <v>729</v>
      </c>
      <c r="D10" s="115">
        <v>525</v>
      </c>
      <c r="E10" s="115">
        <v>446</v>
      </c>
      <c r="F10" s="115">
        <v>411</v>
      </c>
      <c r="G10" s="115">
        <v>358</v>
      </c>
      <c r="H10" s="115">
        <v>358</v>
      </c>
      <c r="I10" s="115">
        <v>360</v>
      </c>
      <c r="K10" s="4" t="s">
        <v>49</v>
      </c>
      <c r="L10" s="116">
        <v>0</v>
      </c>
      <c r="M10" s="116">
        <v>0</v>
      </c>
      <c r="N10" s="116">
        <v>0</v>
      </c>
      <c r="O10" s="116">
        <v>102</v>
      </c>
      <c r="P10" s="116">
        <v>111</v>
      </c>
      <c r="Q10" s="116">
        <v>118</v>
      </c>
      <c r="R10" s="116">
        <v>115</v>
      </c>
    </row>
    <row r="11" spans="1:18" x14ac:dyDescent="0.2">
      <c r="B11" s="6" t="s">
        <v>50</v>
      </c>
      <c r="C11" s="115">
        <v>61</v>
      </c>
      <c r="D11" s="115">
        <v>71</v>
      </c>
      <c r="E11" s="115">
        <v>77</v>
      </c>
      <c r="F11" s="115">
        <v>66</v>
      </c>
      <c r="G11" s="115">
        <v>56</v>
      </c>
      <c r="H11" s="115">
        <v>81</v>
      </c>
      <c r="I11" s="115">
        <v>78</v>
      </c>
      <c r="K11" s="6" t="s">
        <v>51</v>
      </c>
      <c r="L11" s="115">
        <v>84</v>
      </c>
      <c r="M11" s="115">
        <v>124</v>
      </c>
      <c r="N11" s="115">
        <v>114</v>
      </c>
      <c r="O11" s="115">
        <v>124</v>
      </c>
      <c r="P11" s="115">
        <v>156</v>
      </c>
      <c r="Q11" s="115">
        <v>227</v>
      </c>
      <c r="R11" s="115">
        <v>265</v>
      </c>
    </row>
    <row r="12" spans="1:18" x14ac:dyDescent="0.2">
      <c r="B12" s="110" t="s">
        <v>52</v>
      </c>
      <c r="C12" s="114">
        <v>166</v>
      </c>
      <c r="D12" s="114">
        <v>111</v>
      </c>
      <c r="E12" s="114">
        <v>130</v>
      </c>
      <c r="F12" s="114">
        <v>128</v>
      </c>
      <c r="G12" s="114">
        <v>118</v>
      </c>
      <c r="H12" s="114">
        <v>134</v>
      </c>
      <c r="I12" s="114">
        <v>110</v>
      </c>
      <c r="K12" s="133" t="s">
        <v>52</v>
      </c>
      <c r="L12" s="130">
        <v>0</v>
      </c>
      <c r="M12" s="130">
        <v>0</v>
      </c>
      <c r="N12" s="130">
        <v>0</v>
      </c>
      <c r="O12" s="130">
        <v>0</v>
      </c>
      <c r="P12" s="130">
        <v>0</v>
      </c>
      <c r="Q12" s="130">
        <v>0</v>
      </c>
      <c r="R12" s="130">
        <v>48</v>
      </c>
    </row>
    <row r="13" spans="1:18" x14ac:dyDescent="0.2">
      <c r="B13" s="110" t="s">
        <v>54</v>
      </c>
      <c r="C13" s="114">
        <v>76</v>
      </c>
      <c r="D13" s="114">
        <v>57</v>
      </c>
      <c r="E13" s="114">
        <v>49</v>
      </c>
      <c r="F13" s="114">
        <v>45</v>
      </c>
      <c r="G13" s="114">
        <v>31</v>
      </c>
      <c r="H13" s="114">
        <v>0</v>
      </c>
      <c r="I13" s="114">
        <v>0</v>
      </c>
      <c r="K13" s="6" t="s">
        <v>53</v>
      </c>
      <c r="L13" s="115">
        <v>49</v>
      </c>
      <c r="M13" s="115">
        <v>42</v>
      </c>
      <c r="N13" s="115">
        <v>45</v>
      </c>
      <c r="O13" s="115">
        <v>53</v>
      </c>
      <c r="P13" s="115">
        <v>38</v>
      </c>
      <c r="Q13" s="115">
        <v>80</v>
      </c>
      <c r="R13" s="115">
        <v>89</v>
      </c>
    </row>
    <row r="14" spans="1:18" x14ac:dyDescent="0.2">
      <c r="B14" s="110" t="s">
        <v>56</v>
      </c>
      <c r="C14" s="114">
        <v>162</v>
      </c>
      <c r="D14" s="114">
        <v>62</v>
      </c>
      <c r="E14" s="114">
        <v>52</v>
      </c>
      <c r="F14" s="114">
        <v>0</v>
      </c>
      <c r="G14" s="114">
        <v>0</v>
      </c>
      <c r="H14" s="114">
        <v>0</v>
      </c>
      <c r="I14" s="114">
        <v>0</v>
      </c>
      <c r="K14" s="110" t="s">
        <v>55</v>
      </c>
      <c r="L14" s="114">
        <v>178</v>
      </c>
      <c r="M14" s="114">
        <v>199</v>
      </c>
      <c r="N14" s="114">
        <v>224</v>
      </c>
      <c r="O14" s="114">
        <v>203</v>
      </c>
      <c r="P14" s="114">
        <v>200</v>
      </c>
      <c r="Q14" s="114">
        <v>234</v>
      </c>
      <c r="R14" s="114">
        <v>242</v>
      </c>
    </row>
    <row r="15" spans="1:18" x14ac:dyDescent="0.2">
      <c r="B15" s="110" t="s">
        <v>58</v>
      </c>
      <c r="C15" s="114">
        <v>173</v>
      </c>
      <c r="D15" s="114">
        <v>139</v>
      </c>
      <c r="E15" s="114">
        <v>143</v>
      </c>
      <c r="F15" s="114">
        <v>124</v>
      </c>
      <c r="G15" s="114">
        <v>114</v>
      </c>
      <c r="H15" s="114">
        <v>133</v>
      </c>
      <c r="I15" s="114">
        <v>143</v>
      </c>
      <c r="K15" s="110" t="s">
        <v>57</v>
      </c>
      <c r="L15" s="114">
        <v>50</v>
      </c>
      <c r="M15" s="114">
        <v>80</v>
      </c>
      <c r="N15" s="114">
        <v>100</v>
      </c>
      <c r="O15" s="114">
        <v>130</v>
      </c>
      <c r="P15" s="114">
        <v>137</v>
      </c>
      <c r="Q15" s="114">
        <v>190</v>
      </c>
      <c r="R15" s="114">
        <v>192</v>
      </c>
    </row>
    <row r="16" spans="1:18" x14ac:dyDescent="0.2">
      <c r="B16" s="110" t="s">
        <v>60</v>
      </c>
      <c r="C16" s="114">
        <v>41</v>
      </c>
      <c r="D16" s="114">
        <v>34</v>
      </c>
      <c r="E16" s="114">
        <v>47</v>
      </c>
      <c r="F16" s="114">
        <v>39</v>
      </c>
      <c r="G16" s="114">
        <v>0</v>
      </c>
      <c r="H16" s="114">
        <v>0</v>
      </c>
      <c r="I16" s="114">
        <v>0</v>
      </c>
      <c r="K16" s="110" t="s">
        <v>59</v>
      </c>
      <c r="L16" s="114">
        <v>13</v>
      </c>
      <c r="M16" s="114">
        <v>14</v>
      </c>
      <c r="N16" s="114">
        <v>19</v>
      </c>
      <c r="O16" s="114">
        <v>22</v>
      </c>
      <c r="P16" s="114">
        <v>0</v>
      </c>
      <c r="Q16" s="114">
        <v>0</v>
      </c>
      <c r="R16" s="114">
        <v>0</v>
      </c>
    </row>
    <row r="17" spans="2:24" ht="13.5" thickBot="1" x14ac:dyDescent="0.25">
      <c r="B17" s="110" t="s">
        <v>62</v>
      </c>
      <c r="C17" s="114">
        <v>41</v>
      </c>
      <c r="D17" s="114">
        <v>29</v>
      </c>
      <c r="E17" s="114">
        <v>0</v>
      </c>
      <c r="F17" s="114">
        <v>0</v>
      </c>
      <c r="G17" s="114">
        <v>0</v>
      </c>
      <c r="H17" s="114">
        <v>0</v>
      </c>
      <c r="I17" s="114">
        <v>0</v>
      </c>
      <c r="K17" s="110" t="s">
        <v>61</v>
      </c>
      <c r="L17" s="114">
        <v>0</v>
      </c>
      <c r="M17" s="114">
        <v>0</v>
      </c>
      <c r="N17" s="114">
        <v>0</v>
      </c>
      <c r="O17" s="114">
        <v>38</v>
      </c>
      <c r="P17" s="114">
        <v>55</v>
      </c>
      <c r="Q17" s="114">
        <v>61</v>
      </c>
      <c r="R17" s="114">
        <v>41</v>
      </c>
      <c r="V17" s="102"/>
      <c r="W17"/>
      <c r="X17"/>
    </row>
    <row r="18" spans="2:24" ht="13.5" thickBot="1" x14ac:dyDescent="0.25">
      <c r="B18" s="19" t="s">
        <v>14</v>
      </c>
      <c r="C18" s="113">
        <f>SUM(C9:C17)</f>
        <v>1535</v>
      </c>
      <c r="D18" s="113">
        <f>SUM(D9:D17)</f>
        <v>1099</v>
      </c>
      <c r="E18" s="113">
        <f>SUM(E9:E17)</f>
        <v>1032</v>
      </c>
      <c r="F18" s="113">
        <f>SUM(F9:F17)</f>
        <v>887</v>
      </c>
      <c r="G18" s="113">
        <v>731</v>
      </c>
      <c r="H18" s="113">
        <f>SUM(H9:H17)</f>
        <v>783</v>
      </c>
      <c r="I18" s="113">
        <f>SUM(I9:I17)</f>
        <v>777</v>
      </c>
      <c r="K18" s="19" t="s">
        <v>14</v>
      </c>
      <c r="L18" s="113">
        <f>SUM(L9:L17)</f>
        <v>391</v>
      </c>
      <c r="M18" s="113">
        <f>SUM(M9:M17)</f>
        <v>497</v>
      </c>
      <c r="N18" s="113">
        <f>SUM(N9:N17)</f>
        <v>536</v>
      </c>
      <c r="O18" s="113">
        <f>SUM(O9:O17)</f>
        <v>715</v>
      </c>
      <c r="P18" s="113">
        <v>727</v>
      </c>
      <c r="Q18" s="113">
        <f>SUM(Q9:Q17)</f>
        <v>956</v>
      </c>
      <c r="R18" s="113">
        <f>SUM(R9:R17)</f>
        <v>1053</v>
      </c>
      <c r="U18" s="102"/>
      <c r="V18"/>
      <c r="W18"/>
    </row>
    <row r="19" spans="2:24" ht="13.5" thickBot="1" x14ac:dyDescent="0.25">
      <c r="T19" s="102"/>
      <c r="U19" s="102"/>
      <c r="V19"/>
      <c r="W19"/>
    </row>
    <row r="20" spans="2:24" ht="13.5" customHeight="1" thickBot="1" x14ac:dyDescent="0.25">
      <c r="B20" s="205" t="s">
        <v>40</v>
      </c>
      <c r="C20" s="207" t="s">
        <v>37</v>
      </c>
      <c r="D20" s="207"/>
      <c r="E20" s="207" t="s">
        <v>141</v>
      </c>
      <c r="F20" s="209" t="s">
        <v>63</v>
      </c>
      <c r="G20" s="109"/>
      <c r="H20" s="109"/>
      <c r="J20" s="103" t="s">
        <v>110</v>
      </c>
      <c r="K20" s="211" t="s">
        <v>88</v>
      </c>
      <c r="L20" s="212"/>
      <c r="M20" s="213"/>
      <c r="N20" s="203" t="s">
        <v>74</v>
      </c>
      <c r="O20" s="204"/>
      <c r="P20" s="112" t="s">
        <v>78</v>
      </c>
      <c r="Q20" s="112" t="s">
        <v>77</v>
      </c>
      <c r="R20" s="112" t="s">
        <v>76</v>
      </c>
      <c r="S20" s="222" t="s">
        <v>75</v>
      </c>
      <c r="T20" s="222"/>
      <c r="U20" s="222"/>
    </row>
    <row r="21" spans="2:24" ht="13.5" thickBot="1" x14ac:dyDescent="0.25">
      <c r="B21" s="206"/>
      <c r="C21" s="111" t="s">
        <v>30</v>
      </c>
      <c r="D21" s="111" t="s">
        <v>139</v>
      </c>
      <c r="E21" s="208"/>
      <c r="F21" s="210"/>
      <c r="G21" s="109"/>
      <c r="H21" s="109"/>
      <c r="K21" s="214" t="s">
        <v>144</v>
      </c>
      <c r="L21" s="214"/>
      <c r="M21" s="214"/>
      <c r="N21" s="216"/>
      <c r="O21" s="216"/>
      <c r="P21" s="104"/>
      <c r="Q21" s="104"/>
      <c r="R21" s="105"/>
      <c r="S21" s="216"/>
      <c r="T21" s="216"/>
      <c r="U21" s="216"/>
    </row>
    <row r="22" spans="2:24" ht="13.5" customHeight="1" x14ac:dyDescent="0.2">
      <c r="B22" s="4" t="s">
        <v>46</v>
      </c>
      <c r="C22" s="134"/>
      <c r="D22" s="134"/>
      <c r="E22" s="131"/>
      <c r="F22" s="131"/>
      <c r="G22" s="109"/>
      <c r="H22" s="109"/>
      <c r="K22" s="223" t="s">
        <v>145</v>
      </c>
      <c r="L22" s="223"/>
      <c r="M22" s="223" t="s">
        <v>66</v>
      </c>
      <c r="N22" s="217"/>
      <c r="O22" s="217"/>
      <c r="P22" s="106"/>
      <c r="Q22" s="106"/>
      <c r="R22" s="105"/>
      <c r="S22" s="217"/>
      <c r="T22" s="217"/>
      <c r="U22" s="217"/>
    </row>
    <row r="23" spans="2:24" ht="13.5" customHeight="1" x14ac:dyDescent="0.2">
      <c r="B23" s="6" t="s">
        <v>48</v>
      </c>
      <c r="C23" s="134"/>
      <c r="D23" s="134"/>
      <c r="E23" s="131"/>
      <c r="F23" s="131"/>
      <c r="G23" s="109"/>
      <c r="H23" s="109"/>
      <c r="K23" s="223" t="s">
        <v>146</v>
      </c>
      <c r="L23" s="223"/>
      <c r="M23" s="223" t="s">
        <v>67</v>
      </c>
      <c r="N23" s="217"/>
      <c r="O23" s="217"/>
      <c r="P23" s="106"/>
      <c r="Q23" s="106"/>
      <c r="R23" s="105"/>
      <c r="S23" s="217"/>
      <c r="T23" s="217"/>
      <c r="U23" s="217"/>
    </row>
    <row r="24" spans="2:24" ht="13.5" customHeight="1" x14ac:dyDescent="0.2">
      <c r="B24" s="6" t="s">
        <v>50</v>
      </c>
      <c r="C24" s="134"/>
      <c r="D24" s="134"/>
      <c r="E24" s="131"/>
      <c r="F24" s="131"/>
      <c r="G24" s="109"/>
      <c r="H24" s="109"/>
      <c r="K24" s="223" t="s">
        <v>115</v>
      </c>
      <c r="L24" s="223"/>
      <c r="M24" s="223" t="s">
        <v>66</v>
      </c>
      <c r="N24" s="217"/>
      <c r="O24" s="217"/>
      <c r="P24" s="106"/>
      <c r="Q24" s="106"/>
      <c r="R24" s="105"/>
      <c r="S24" s="217"/>
      <c r="T24" s="217"/>
      <c r="U24" s="217"/>
    </row>
    <row r="25" spans="2:24" ht="13.5" customHeight="1" x14ac:dyDescent="0.2">
      <c r="B25" s="110" t="s">
        <v>52</v>
      </c>
      <c r="C25" s="134"/>
      <c r="D25" s="134"/>
      <c r="E25" s="131"/>
      <c r="F25" s="131"/>
      <c r="G25" s="109"/>
      <c r="H25" s="109"/>
      <c r="K25" s="223" t="s">
        <v>108</v>
      </c>
      <c r="L25" s="223"/>
      <c r="M25" s="223" t="s">
        <v>67</v>
      </c>
      <c r="N25" s="217"/>
      <c r="O25" s="217"/>
      <c r="P25" s="105"/>
      <c r="Q25" s="105"/>
      <c r="R25" s="105"/>
      <c r="S25" s="217"/>
      <c r="T25" s="217"/>
      <c r="U25" s="217"/>
    </row>
    <row r="26" spans="2:24" ht="13.5" customHeight="1" x14ac:dyDescent="0.2">
      <c r="B26" s="110" t="s">
        <v>54</v>
      </c>
      <c r="C26" s="134"/>
      <c r="D26" s="134"/>
      <c r="E26" s="131"/>
      <c r="F26" s="131"/>
      <c r="G26" s="109"/>
      <c r="H26" s="109"/>
      <c r="K26" s="223" t="s">
        <v>109</v>
      </c>
      <c r="L26" s="223"/>
      <c r="M26" s="223" t="s">
        <v>68</v>
      </c>
      <c r="N26" s="217"/>
      <c r="O26" s="217"/>
      <c r="P26" s="105"/>
      <c r="Q26" s="105"/>
      <c r="R26" s="105"/>
      <c r="S26" s="217"/>
      <c r="T26" s="217"/>
      <c r="U26" s="217"/>
    </row>
    <row r="27" spans="2:24" ht="13.5" customHeight="1" thickBot="1" x14ac:dyDescent="0.25">
      <c r="B27" s="110" t="s">
        <v>56</v>
      </c>
      <c r="C27" s="134"/>
      <c r="D27" s="134"/>
      <c r="E27" s="131"/>
      <c r="F27" s="131"/>
      <c r="G27" s="109"/>
      <c r="H27" s="109"/>
      <c r="K27" s="215" t="s">
        <v>114</v>
      </c>
      <c r="L27" s="215"/>
      <c r="M27" s="215" t="s">
        <v>69</v>
      </c>
      <c r="N27" s="218"/>
      <c r="O27" s="218"/>
      <c r="P27" s="107"/>
      <c r="Q27" s="107"/>
      <c r="R27" s="107"/>
      <c r="S27" s="218"/>
      <c r="T27" s="218"/>
      <c r="U27" s="218"/>
    </row>
    <row r="28" spans="2:24" ht="13.5" customHeight="1" x14ac:dyDescent="0.2">
      <c r="B28" s="110" t="s">
        <v>58</v>
      </c>
      <c r="C28" s="134"/>
      <c r="D28" s="134"/>
      <c r="E28" s="131"/>
      <c r="F28" s="131"/>
      <c r="G28" s="109"/>
      <c r="H28" s="109"/>
    </row>
    <row r="29" spans="2:24" ht="13.5" customHeight="1" x14ac:dyDescent="0.2">
      <c r="B29" s="110" t="s">
        <v>60</v>
      </c>
      <c r="C29" s="134"/>
      <c r="D29" s="134"/>
      <c r="E29" s="131"/>
      <c r="F29" s="131"/>
      <c r="G29" s="109"/>
      <c r="H29" s="109"/>
      <c r="T29" s="97"/>
    </row>
    <row r="30" spans="2:24" ht="13.5" customHeight="1" thickBot="1" x14ac:dyDescent="0.25">
      <c r="B30" s="110" t="s">
        <v>62</v>
      </c>
      <c r="C30" s="134"/>
      <c r="D30" s="134"/>
      <c r="E30" s="131"/>
      <c r="F30" s="131"/>
      <c r="G30" s="109"/>
      <c r="H30" s="109"/>
      <c r="K30" s="102"/>
      <c r="L30"/>
    </row>
    <row r="31" spans="2:24" ht="13.5" thickBot="1" x14ac:dyDescent="0.25">
      <c r="B31" s="19" t="s">
        <v>14</v>
      </c>
      <c r="C31" s="135"/>
      <c r="D31" s="135"/>
      <c r="E31" s="132"/>
      <c r="F31" s="132"/>
      <c r="G31" s="109"/>
      <c r="H31" s="109"/>
      <c r="K31" s="102"/>
      <c r="L31"/>
    </row>
    <row r="32" spans="2:24" ht="13.5" thickBot="1" x14ac:dyDescent="0.25">
      <c r="B32" s="34"/>
      <c r="C32" s="35"/>
      <c r="D32" s="35"/>
      <c r="E32" s="36"/>
      <c r="F32" s="36"/>
      <c r="G32" s="109"/>
      <c r="H32" s="109"/>
      <c r="I32" s="36"/>
      <c r="K32" s="102"/>
      <c r="L32"/>
    </row>
    <row r="33" spans="1:12" ht="13.5" customHeight="1" thickBot="1" x14ac:dyDescent="0.25">
      <c r="C33" s="41" t="s">
        <v>142</v>
      </c>
      <c r="D33" s="40" t="s">
        <v>143</v>
      </c>
      <c r="E33" s="40" t="s">
        <v>64</v>
      </c>
      <c r="F33" s="39" t="s">
        <v>65</v>
      </c>
      <c r="G33" s="109"/>
      <c r="H33" s="109"/>
      <c r="K33" s="102"/>
      <c r="L33"/>
    </row>
    <row r="34" spans="1:12" ht="13.5" customHeight="1" thickBot="1" x14ac:dyDescent="0.25">
      <c r="A34" s="1" t="s">
        <v>12</v>
      </c>
      <c r="B34" s="108" t="s">
        <v>113</v>
      </c>
      <c r="C34" s="195"/>
      <c r="D34" s="195"/>
      <c r="E34" s="196"/>
      <c r="F34" s="196"/>
      <c r="G34" s="109"/>
      <c r="H34" s="109"/>
      <c r="K34" s="102"/>
      <c r="L34"/>
    </row>
    <row r="35" spans="1:12" x14ac:dyDescent="0.2">
      <c r="K35" s="102"/>
      <c r="L35"/>
    </row>
    <row r="36" spans="1:12" x14ac:dyDescent="0.2">
      <c r="A36" s="1" t="s">
        <v>13</v>
      </c>
      <c r="K36" s="102"/>
      <c r="L36"/>
    </row>
    <row r="37" spans="1:12" x14ac:dyDescent="0.2">
      <c r="K37" s="102"/>
      <c r="L37"/>
    </row>
    <row r="38" spans="1:12" x14ac:dyDescent="0.2">
      <c r="K38" s="102"/>
      <c r="L38"/>
    </row>
    <row r="51" spans="2:3" ht="12.75" customHeight="1" x14ac:dyDescent="0.2">
      <c r="B51" s="9"/>
      <c r="C51" s="10"/>
    </row>
    <row r="52" spans="2:3" x14ac:dyDescent="0.2">
      <c r="B52" s="11"/>
      <c r="C52" s="12"/>
    </row>
    <row r="53" spans="2:3" x14ac:dyDescent="0.2">
      <c r="B53" s="11"/>
      <c r="C53" s="12"/>
    </row>
    <row r="54" spans="2:3" x14ac:dyDescent="0.2">
      <c r="B54" s="11"/>
      <c r="C54" s="12"/>
    </row>
    <row r="55" spans="2:3" x14ac:dyDescent="0.2">
      <c r="B55" s="11"/>
      <c r="C55" s="12"/>
    </row>
    <row r="56" spans="2:3" x14ac:dyDescent="0.2">
      <c r="B56" s="11"/>
      <c r="C56" s="12"/>
    </row>
  </sheetData>
  <mergeCells count="34">
    <mergeCell ref="B2:G2"/>
    <mergeCell ref="B4:G4"/>
    <mergeCell ref="S26:U26"/>
    <mergeCell ref="S23:U23"/>
    <mergeCell ref="S27:U27"/>
    <mergeCell ref="S20:U20"/>
    <mergeCell ref="S21:U21"/>
    <mergeCell ref="S22:U22"/>
    <mergeCell ref="S24:U24"/>
    <mergeCell ref="S25:U25"/>
    <mergeCell ref="K22:M22"/>
    <mergeCell ref="N22:O22"/>
    <mergeCell ref="K23:M23"/>
    <mergeCell ref="K24:M24"/>
    <mergeCell ref="K25:M25"/>
    <mergeCell ref="K26:M26"/>
    <mergeCell ref="K27:M27"/>
    <mergeCell ref="N21:O21"/>
    <mergeCell ref="N23:O23"/>
    <mergeCell ref="N24:O24"/>
    <mergeCell ref="N25:O25"/>
    <mergeCell ref="N26:O26"/>
    <mergeCell ref="N27:O27"/>
    <mergeCell ref="L7:R7"/>
    <mergeCell ref="N20:O20"/>
    <mergeCell ref="B7:B8"/>
    <mergeCell ref="C7:I7"/>
    <mergeCell ref="K7:K8"/>
    <mergeCell ref="B20:B21"/>
    <mergeCell ref="C20:D20"/>
    <mergeCell ref="E20:E21"/>
    <mergeCell ref="F20:F21"/>
    <mergeCell ref="K20:M20"/>
    <mergeCell ref="K21:M21"/>
  </mergeCells>
  <pageMargins left="0.75" right="0.75" top="1" bottom="1" header="0.5" footer="0.5"/>
  <pageSetup scale="7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8DA59-9E25-4878-B35D-C72A7B4A4E51}">
  <sheetPr>
    <tabColor theme="4"/>
  </sheetPr>
  <dimension ref="A1:AB53"/>
  <sheetViews>
    <sheetView zoomScaleNormal="100" workbookViewId="0"/>
  </sheetViews>
  <sheetFormatPr defaultColWidth="9.140625" defaultRowHeight="12.75" x14ac:dyDescent="0.2"/>
  <cols>
    <col min="1" max="1" width="2.42578125" style="1" customWidth="1"/>
    <col min="2" max="2" width="13.7109375" style="1" customWidth="1"/>
    <col min="3" max="9" width="13.140625" style="1" customWidth="1"/>
    <col min="10" max="28" width="13.28515625" style="1" customWidth="1"/>
    <col min="29" max="16384" width="9.140625" style="1"/>
  </cols>
  <sheetData>
    <row r="1" spans="1:28" ht="13.5" customHeight="1" thickBot="1" x14ac:dyDescent="0.25"/>
    <row r="2" spans="1:28" ht="13.5" thickBot="1" x14ac:dyDescent="0.25">
      <c r="B2" s="224" t="s">
        <v>172</v>
      </c>
      <c r="C2" s="225"/>
      <c r="D2" s="225"/>
      <c r="E2" s="225"/>
      <c r="F2" s="225"/>
      <c r="G2" s="225"/>
      <c r="H2" s="225"/>
      <c r="I2" s="225"/>
      <c r="J2" s="226"/>
    </row>
    <row r="3" spans="1:28" ht="13.5" thickBot="1" x14ac:dyDescent="0.25"/>
    <row r="4" spans="1:28" ht="13.5" customHeight="1" x14ac:dyDescent="0.2">
      <c r="B4" s="227" t="s">
        <v>32</v>
      </c>
      <c r="C4" s="229" t="s">
        <v>160</v>
      </c>
      <c r="D4" s="229"/>
      <c r="E4" s="229" t="s">
        <v>162</v>
      </c>
      <c r="F4" s="229"/>
      <c r="G4" s="229" t="s">
        <v>163</v>
      </c>
      <c r="H4" s="229"/>
      <c r="I4" s="229" t="s">
        <v>136</v>
      </c>
      <c r="J4" s="238"/>
    </row>
    <row r="5" spans="1:28" ht="13.5" customHeight="1" thickBot="1" x14ac:dyDescent="0.25">
      <c r="B5" s="228"/>
      <c r="C5" s="128" t="s">
        <v>161</v>
      </c>
      <c r="D5" s="128" t="s">
        <v>116</v>
      </c>
      <c r="E5" s="128" t="s">
        <v>161</v>
      </c>
      <c r="F5" s="128" t="s">
        <v>116</v>
      </c>
      <c r="G5" s="128" t="s">
        <v>161</v>
      </c>
      <c r="H5" s="128" t="s">
        <v>116</v>
      </c>
      <c r="I5" s="128" t="s">
        <v>161</v>
      </c>
      <c r="J5" s="127" t="s">
        <v>116</v>
      </c>
    </row>
    <row r="6" spans="1:28" ht="13.5" customHeight="1" x14ac:dyDescent="0.2">
      <c r="B6" s="29" t="s">
        <v>35</v>
      </c>
      <c r="C6" s="144">
        <v>5446375</v>
      </c>
      <c r="D6" s="144">
        <v>12905398</v>
      </c>
      <c r="E6" s="144">
        <v>18240652</v>
      </c>
      <c r="F6" s="144">
        <v>13864445</v>
      </c>
      <c r="G6" s="144">
        <v>9862347</v>
      </c>
      <c r="H6" s="144">
        <v>5274134</v>
      </c>
      <c r="I6" s="144">
        <v>1752997</v>
      </c>
      <c r="J6" s="144">
        <v>1365528</v>
      </c>
    </row>
    <row r="7" spans="1:28" ht="13.5" customHeight="1" x14ac:dyDescent="0.2">
      <c r="B7" s="126" t="s">
        <v>29</v>
      </c>
      <c r="C7" s="164">
        <v>5804089</v>
      </c>
      <c r="D7" s="164">
        <v>14281544</v>
      </c>
      <c r="E7" s="164">
        <v>86478606</v>
      </c>
      <c r="F7" s="164">
        <v>72499552</v>
      </c>
      <c r="G7" s="164">
        <v>33812395</v>
      </c>
      <c r="H7" s="164">
        <v>35902741</v>
      </c>
      <c r="I7" s="164">
        <v>6969304</v>
      </c>
      <c r="J7" s="164">
        <v>6135748</v>
      </c>
    </row>
    <row r="8" spans="1:28" ht="13.5" customHeight="1" thickBot="1" x14ac:dyDescent="0.25">
      <c r="B8" s="124" t="s">
        <v>148</v>
      </c>
      <c r="C8" s="165">
        <v>259166</v>
      </c>
      <c r="D8" s="165">
        <v>730889</v>
      </c>
      <c r="E8" s="165">
        <v>22123742</v>
      </c>
      <c r="F8" s="165">
        <v>37002737</v>
      </c>
      <c r="G8" s="165">
        <v>3333369</v>
      </c>
      <c r="H8" s="165">
        <v>10507688</v>
      </c>
      <c r="I8" s="165">
        <v>1522247</v>
      </c>
      <c r="J8" s="165">
        <v>2012974</v>
      </c>
    </row>
    <row r="9" spans="1:28" ht="13.5" customHeight="1" thickBot="1" x14ac:dyDescent="0.25">
      <c r="B9" s="19" t="s">
        <v>14</v>
      </c>
      <c r="C9" s="147">
        <f t="shared" ref="C9:J9" si="0">SUM(C6:C8)</f>
        <v>11509630</v>
      </c>
      <c r="D9" s="147">
        <f t="shared" si="0"/>
        <v>27917831</v>
      </c>
      <c r="E9" s="147">
        <f t="shared" si="0"/>
        <v>126843000</v>
      </c>
      <c r="F9" s="147">
        <f t="shared" si="0"/>
        <v>123366734</v>
      </c>
      <c r="G9" s="147">
        <f t="shared" si="0"/>
        <v>47008111</v>
      </c>
      <c r="H9" s="147">
        <f t="shared" si="0"/>
        <v>51684563</v>
      </c>
      <c r="I9" s="147">
        <f t="shared" si="0"/>
        <v>10244548</v>
      </c>
      <c r="J9" s="147">
        <f t="shared" si="0"/>
        <v>9514250</v>
      </c>
    </row>
    <row r="10" spans="1:28" ht="13.5" thickBot="1" x14ac:dyDescent="0.25"/>
    <row r="11" spans="1:28" ht="81" customHeight="1" thickBot="1" x14ac:dyDescent="0.25">
      <c r="B11" s="224" t="s">
        <v>170</v>
      </c>
      <c r="C11" s="225"/>
      <c r="D11" s="225"/>
      <c r="E11" s="225"/>
      <c r="F11" s="225"/>
      <c r="G11" s="225"/>
      <c r="H11" s="225"/>
      <c r="I11" s="225"/>
      <c r="J11" s="226"/>
    </row>
    <row r="12" spans="1:28" s="13" customFormat="1" ht="13.5" thickBot="1" x14ac:dyDescent="0.25">
      <c r="B12" s="14"/>
      <c r="C12" s="14"/>
      <c r="D12" s="14"/>
      <c r="E12" s="14"/>
      <c r="F12" s="14"/>
    </row>
    <row r="13" spans="1:28" ht="13.5" thickBot="1" x14ac:dyDescent="0.25"/>
    <row r="14" spans="1:28" ht="13.5" customHeight="1" x14ac:dyDescent="0.2">
      <c r="A14" s="1" t="s">
        <v>11</v>
      </c>
      <c r="B14" s="230" t="s">
        <v>164</v>
      </c>
      <c r="C14" s="232"/>
      <c r="D14" s="232"/>
      <c r="E14" s="232"/>
      <c r="F14" s="234"/>
      <c r="G14" s="235"/>
      <c r="I14" s="230" t="s">
        <v>166</v>
      </c>
      <c r="J14" s="232"/>
      <c r="K14" s="232"/>
      <c r="L14" s="232"/>
      <c r="M14" s="234"/>
      <c r="N14" s="235"/>
      <c r="P14" s="230" t="s">
        <v>167</v>
      </c>
      <c r="Q14" s="232"/>
      <c r="R14" s="232"/>
      <c r="S14" s="232"/>
      <c r="T14" s="234"/>
      <c r="U14" s="235"/>
      <c r="W14" s="230" t="s">
        <v>171</v>
      </c>
      <c r="X14" s="232"/>
      <c r="Y14" s="232"/>
      <c r="Z14" s="232"/>
      <c r="AA14" s="234"/>
      <c r="AB14" s="235"/>
    </row>
    <row r="15" spans="1:28" ht="13.5" thickBot="1" x14ac:dyDescent="0.25">
      <c r="B15" s="231"/>
      <c r="C15" s="122"/>
      <c r="D15" s="122"/>
      <c r="E15" s="233"/>
      <c r="F15" s="236"/>
      <c r="G15" s="237"/>
      <c r="I15" s="231"/>
      <c r="J15" s="122"/>
      <c r="K15" s="122"/>
      <c r="L15" s="233"/>
      <c r="M15" s="236"/>
      <c r="N15" s="237"/>
      <c r="P15" s="231"/>
      <c r="Q15" s="122"/>
      <c r="R15" s="122"/>
      <c r="S15" s="233"/>
      <c r="T15" s="236"/>
      <c r="U15" s="237"/>
      <c r="W15" s="231"/>
      <c r="X15" s="122"/>
      <c r="Y15" s="122"/>
      <c r="Z15" s="233"/>
      <c r="AA15" s="236"/>
      <c r="AB15" s="237"/>
    </row>
    <row r="16" spans="1:28" ht="13.5" customHeight="1" x14ac:dyDescent="0.2">
      <c r="B16" s="29" t="s">
        <v>35</v>
      </c>
      <c r="C16" s="332"/>
      <c r="D16" s="332"/>
      <c r="E16" s="332"/>
      <c r="F16" s="193"/>
      <c r="G16" s="193"/>
      <c r="H16" s="8"/>
      <c r="I16" s="29" t="s">
        <v>35</v>
      </c>
      <c r="J16" s="134"/>
      <c r="K16" s="134"/>
      <c r="L16" s="131"/>
      <c r="M16" s="131"/>
      <c r="N16" s="131"/>
      <c r="P16" s="29" t="s">
        <v>35</v>
      </c>
      <c r="Q16" s="134"/>
      <c r="R16" s="134"/>
      <c r="S16" s="131"/>
      <c r="T16" s="131"/>
      <c r="U16" s="131"/>
      <c r="W16" s="29" t="s">
        <v>35</v>
      </c>
      <c r="X16" s="134"/>
      <c r="Y16" s="134"/>
      <c r="Z16" s="131"/>
      <c r="AA16" s="131"/>
      <c r="AB16" s="131"/>
    </row>
    <row r="17" spans="1:28" ht="13.5" customHeight="1" x14ac:dyDescent="0.2">
      <c r="B17" s="126" t="s">
        <v>29</v>
      </c>
      <c r="C17" s="332"/>
      <c r="D17" s="332"/>
      <c r="E17" s="332"/>
      <c r="F17" s="193"/>
      <c r="G17" s="193"/>
      <c r="H17" s="8"/>
      <c r="I17" s="126" t="s">
        <v>29</v>
      </c>
      <c r="J17" s="134"/>
      <c r="K17" s="134"/>
      <c r="L17" s="131"/>
      <c r="M17" s="131"/>
      <c r="N17" s="131"/>
      <c r="P17" s="126" t="s">
        <v>29</v>
      </c>
      <c r="Q17" s="134"/>
      <c r="R17" s="134"/>
      <c r="S17" s="131"/>
      <c r="T17" s="131"/>
      <c r="U17" s="131"/>
      <c r="W17" s="126" t="s">
        <v>29</v>
      </c>
      <c r="X17" s="134"/>
      <c r="Y17" s="134"/>
      <c r="Z17" s="131"/>
      <c r="AA17" s="131"/>
      <c r="AB17" s="131"/>
    </row>
    <row r="18" spans="1:28" ht="13.5" customHeight="1" thickBot="1" x14ac:dyDescent="0.25">
      <c r="B18" s="124" t="s">
        <v>148</v>
      </c>
      <c r="C18" s="333"/>
      <c r="D18" s="333"/>
      <c r="E18" s="333"/>
      <c r="F18" s="193"/>
      <c r="G18" s="193"/>
      <c r="I18" s="124" t="s">
        <v>148</v>
      </c>
      <c r="J18" s="134"/>
      <c r="K18" s="134"/>
      <c r="L18" s="131"/>
      <c r="M18" s="131"/>
      <c r="N18" s="131"/>
      <c r="P18" s="124" t="s">
        <v>148</v>
      </c>
      <c r="Q18" s="134"/>
      <c r="R18" s="134"/>
      <c r="S18" s="131"/>
      <c r="T18" s="131"/>
      <c r="U18" s="131"/>
      <c r="W18" s="124" t="s">
        <v>148</v>
      </c>
      <c r="X18" s="134"/>
      <c r="Y18" s="134"/>
      <c r="Z18" s="131"/>
      <c r="AA18" s="131"/>
      <c r="AB18" s="131"/>
    </row>
    <row r="19" spans="1:28" ht="13.5" customHeight="1" thickBot="1" x14ac:dyDescent="0.25">
      <c r="B19" s="19" t="s">
        <v>14</v>
      </c>
      <c r="C19" s="334"/>
      <c r="D19" s="334"/>
      <c r="E19" s="334"/>
      <c r="F19" s="194"/>
      <c r="G19" s="194"/>
      <c r="I19" s="19" t="s">
        <v>14</v>
      </c>
      <c r="J19" s="166"/>
      <c r="K19" s="166"/>
      <c r="L19" s="132"/>
      <c r="M19" s="132"/>
      <c r="N19" s="132"/>
      <c r="P19" s="19" t="s">
        <v>14</v>
      </c>
      <c r="Q19" s="166"/>
      <c r="R19" s="166"/>
      <c r="S19" s="132"/>
      <c r="T19" s="132"/>
      <c r="U19" s="132"/>
      <c r="W19" s="19" t="s">
        <v>14</v>
      </c>
      <c r="X19" s="166"/>
      <c r="Y19" s="166"/>
      <c r="Z19" s="132"/>
      <c r="AA19" s="132"/>
      <c r="AB19" s="132"/>
    </row>
    <row r="20" spans="1:28" ht="13.5" customHeight="1" thickBot="1" x14ac:dyDescent="0.25">
      <c r="B20" s="34"/>
      <c r="C20" s="35"/>
      <c r="D20" s="35"/>
      <c r="E20" s="36"/>
      <c r="F20" s="36"/>
    </row>
    <row r="21" spans="1:28" ht="26.25" thickBot="1" x14ac:dyDescent="0.25">
      <c r="A21" s="1" t="s">
        <v>12</v>
      </c>
      <c r="C21" s="41" t="s">
        <v>21</v>
      </c>
      <c r="D21" s="40" t="s">
        <v>22</v>
      </c>
      <c r="E21" s="40" t="s">
        <v>23</v>
      </c>
      <c r="F21" s="39" t="s">
        <v>24</v>
      </c>
    </row>
    <row r="22" spans="1:28" ht="13.5" customHeight="1" thickBot="1" x14ac:dyDescent="0.25">
      <c r="B22" s="19" t="s">
        <v>165</v>
      </c>
      <c r="C22" s="195"/>
      <c r="D22" s="195"/>
      <c r="E22" s="196"/>
      <c r="F22" s="196"/>
    </row>
    <row r="24" spans="1:28" x14ac:dyDescent="0.2">
      <c r="A24" s="1" t="s">
        <v>13</v>
      </c>
    </row>
    <row r="39" spans="1:13" ht="12.6" customHeight="1" x14ac:dyDescent="0.2"/>
    <row r="47" spans="1:13" ht="13.5" thickBot="1" x14ac:dyDescent="0.25"/>
    <row r="48" spans="1:13" x14ac:dyDescent="0.2">
      <c r="A48" s="1" t="s">
        <v>110</v>
      </c>
      <c r="B48" s="239" t="s">
        <v>168</v>
      </c>
      <c r="C48" s="240"/>
      <c r="D48" s="240" t="s">
        <v>74</v>
      </c>
      <c r="E48" s="243"/>
      <c r="F48" s="229" t="s">
        <v>160</v>
      </c>
      <c r="G48" s="229"/>
      <c r="H48" s="229" t="s">
        <v>162</v>
      </c>
      <c r="I48" s="229"/>
      <c r="J48" s="229" t="s">
        <v>163</v>
      </c>
      <c r="K48" s="229"/>
      <c r="L48" s="229" t="s">
        <v>136</v>
      </c>
      <c r="M48" s="238"/>
    </row>
    <row r="49" spans="2:13" x14ac:dyDescent="0.2">
      <c r="B49" s="241"/>
      <c r="C49" s="242"/>
      <c r="D49" s="242"/>
      <c r="E49" s="244"/>
      <c r="F49" s="167" t="s">
        <v>161</v>
      </c>
      <c r="G49" s="167" t="s">
        <v>116</v>
      </c>
      <c r="H49" s="167" t="s">
        <v>161</v>
      </c>
      <c r="I49" s="167" t="s">
        <v>116</v>
      </c>
      <c r="J49" s="167" t="s">
        <v>161</v>
      </c>
      <c r="K49" s="167" t="s">
        <v>116</v>
      </c>
      <c r="L49" s="167" t="s">
        <v>161</v>
      </c>
      <c r="M49" s="168" t="s">
        <v>116</v>
      </c>
    </row>
    <row r="50" spans="2:13" x14ac:dyDescent="0.2">
      <c r="B50" s="245" t="s">
        <v>134</v>
      </c>
      <c r="C50" s="245"/>
      <c r="D50" s="246"/>
      <c r="E50" s="246"/>
      <c r="F50" s="158"/>
      <c r="G50" s="158"/>
      <c r="H50" s="158"/>
      <c r="I50" s="158"/>
      <c r="J50" s="158"/>
      <c r="K50" s="158"/>
      <c r="L50" s="158"/>
      <c r="M50" s="158"/>
    </row>
    <row r="51" spans="2:13" x14ac:dyDescent="0.2">
      <c r="B51" s="245" t="s">
        <v>175</v>
      </c>
      <c r="C51" s="245"/>
      <c r="D51" s="246"/>
      <c r="E51" s="246"/>
      <c r="F51" s="158"/>
      <c r="G51" s="158"/>
      <c r="H51" s="158"/>
      <c r="I51" s="158"/>
      <c r="J51" s="158"/>
      <c r="K51" s="158"/>
      <c r="L51" s="158"/>
      <c r="M51" s="158"/>
    </row>
    <row r="52" spans="2:13" x14ac:dyDescent="0.2">
      <c r="B52" s="245" t="s">
        <v>169</v>
      </c>
      <c r="C52" s="245"/>
      <c r="D52" s="246"/>
      <c r="E52" s="246"/>
      <c r="F52" s="247"/>
      <c r="G52" s="248"/>
      <c r="H52" s="247"/>
      <c r="I52" s="248"/>
      <c r="J52" s="247"/>
      <c r="K52" s="248"/>
      <c r="L52" s="247"/>
      <c r="M52" s="248"/>
    </row>
    <row r="53" spans="2:13" x14ac:dyDescent="0.2">
      <c r="B53" s="245" t="s">
        <v>174</v>
      </c>
      <c r="C53" s="245"/>
      <c r="D53" s="246"/>
      <c r="E53" s="246"/>
      <c r="F53" s="247"/>
      <c r="G53" s="248"/>
      <c r="H53" s="247"/>
      <c r="I53" s="248"/>
      <c r="J53" s="247"/>
      <c r="K53" s="248"/>
      <c r="L53" s="247"/>
      <c r="M53" s="248"/>
    </row>
  </sheetData>
  <mergeCells count="45">
    <mergeCell ref="B53:C53"/>
    <mergeCell ref="D53:E53"/>
    <mergeCell ref="F53:G53"/>
    <mergeCell ref="H53:I53"/>
    <mergeCell ref="J53:K53"/>
    <mergeCell ref="L53:M53"/>
    <mergeCell ref="L52:M52"/>
    <mergeCell ref="J52:K52"/>
    <mergeCell ref="H52:I52"/>
    <mergeCell ref="F52:G52"/>
    <mergeCell ref="B51:C51"/>
    <mergeCell ref="D51:E51"/>
    <mergeCell ref="B50:C50"/>
    <mergeCell ref="D50:E50"/>
    <mergeCell ref="B52:C52"/>
    <mergeCell ref="D52:E52"/>
    <mergeCell ref="F48:G48"/>
    <mergeCell ref="H48:I48"/>
    <mergeCell ref="J48:K48"/>
    <mergeCell ref="L48:M48"/>
    <mergeCell ref="B48:C49"/>
    <mergeCell ref="D48:E49"/>
    <mergeCell ref="X14:Y14"/>
    <mergeCell ref="Z14:Z15"/>
    <mergeCell ref="AA14:AB15"/>
    <mergeCell ref="I4:J4"/>
    <mergeCell ref="I14:I15"/>
    <mergeCell ref="J14:K14"/>
    <mergeCell ref="L14:L15"/>
    <mergeCell ref="M14:N15"/>
    <mergeCell ref="P14:P15"/>
    <mergeCell ref="Q14:R14"/>
    <mergeCell ref="S14:S15"/>
    <mergeCell ref="T14:U15"/>
    <mergeCell ref="W14:W15"/>
    <mergeCell ref="B2:J2"/>
    <mergeCell ref="B4:B5"/>
    <mergeCell ref="C4:D4"/>
    <mergeCell ref="B11:J11"/>
    <mergeCell ref="B14:B15"/>
    <mergeCell ref="C14:D14"/>
    <mergeCell ref="E14:E15"/>
    <mergeCell ref="F14:G15"/>
    <mergeCell ref="E4:F4"/>
    <mergeCell ref="G4:H4"/>
  </mergeCells>
  <pageMargins left="0.75" right="0.75" top="1" bottom="1" header="0.5" footer="0.5"/>
  <pageSetup scale="7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0DAA-AA64-4D7A-AA12-1403A5083557}">
  <sheetPr>
    <tabColor theme="0" tint="-0.499984740745262"/>
  </sheetPr>
  <dimension ref="A1:N53"/>
  <sheetViews>
    <sheetView zoomScaleNormal="100" workbookViewId="0"/>
  </sheetViews>
  <sheetFormatPr defaultColWidth="9.140625" defaultRowHeight="12.75" x14ac:dyDescent="0.2"/>
  <cols>
    <col min="1" max="1" width="2.42578125" style="1" customWidth="1"/>
    <col min="2" max="2" width="13.140625" style="1" customWidth="1"/>
    <col min="3" max="10" width="13.7109375" style="1" customWidth="1"/>
    <col min="11" max="14" width="13.140625" style="1" customWidth="1"/>
    <col min="15" max="16384" width="9.140625" style="1"/>
  </cols>
  <sheetData>
    <row r="1" spans="2:14" ht="13.5" customHeight="1" thickBot="1" x14ac:dyDescent="0.25"/>
    <row r="2" spans="2:14" ht="27" customHeight="1" thickBot="1" x14ac:dyDescent="0.25">
      <c r="B2" s="219" t="s">
        <v>106</v>
      </c>
      <c r="C2" s="252"/>
      <c r="D2" s="220"/>
      <c r="E2" s="220"/>
      <c r="F2" s="220"/>
      <c r="G2" s="220"/>
      <c r="H2" s="220"/>
      <c r="I2" s="220"/>
      <c r="J2" s="221"/>
    </row>
    <row r="3" spans="2:14" ht="13.5" thickBot="1" x14ac:dyDescent="0.25"/>
    <row r="4" spans="2:14" ht="55.15" customHeight="1" thickBot="1" x14ac:dyDescent="0.25">
      <c r="B4" s="219" t="s">
        <v>105</v>
      </c>
      <c r="C4" s="252"/>
      <c r="D4" s="220"/>
      <c r="E4" s="220"/>
      <c r="F4" s="220"/>
      <c r="G4" s="220"/>
      <c r="H4" s="220"/>
      <c r="I4" s="220"/>
      <c r="J4" s="221"/>
    </row>
    <row r="5" spans="2:14" s="13" customFormat="1" ht="13.5" thickBo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</row>
    <row r="6" spans="2:14" ht="13.5" thickBot="1" x14ac:dyDescent="0.25"/>
    <row r="7" spans="2:14" ht="13.15" customHeight="1" x14ac:dyDescent="0.2">
      <c r="B7" s="260">
        <v>2001</v>
      </c>
      <c r="C7" s="261"/>
      <c r="D7" s="253" t="s">
        <v>104</v>
      </c>
      <c r="E7" s="201"/>
      <c r="F7" s="201"/>
      <c r="G7" s="201"/>
      <c r="H7" s="201"/>
      <c r="I7" s="201"/>
      <c r="J7" s="257" t="s">
        <v>103</v>
      </c>
    </row>
    <row r="8" spans="2:14" ht="13.15" customHeight="1" x14ac:dyDescent="0.2">
      <c r="B8" s="262"/>
      <c r="C8" s="263"/>
      <c r="D8" s="254" t="s">
        <v>102</v>
      </c>
      <c r="E8" s="255"/>
      <c r="F8" s="254" t="s">
        <v>101</v>
      </c>
      <c r="G8" s="255"/>
      <c r="H8" s="254" t="s">
        <v>100</v>
      </c>
      <c r="I8" s="256"/>
      <c r="J8" s="258"/>
    </row>
    <row r="9" spans="2:14" ht="13.5" thickBot="1" x14ac:dyDescent="0.25">
      <c r="B9" s="264" t="s">
        <v>99</v>
      </c>
      <c r="C9" s="265"/>
      <c r="D9" s="100" t="s">
        <v>98</v>
      </c>
      <c r="E9" s="100" t="s">
        <v>97</v>
      </c>
      <c r="F9" s="100" t="s">
        <v>98</v>
      </c>
      <c r="G9" s="100" t="s">
        <v>97</v>
      </c>
      <c r="H9" s="100" t="s">
        <v>98</v>
      </c>
      <c r="I9" s="99" t="s">
        <v>97</v>
      </c>
      <c r="J9" s="259"/>
    </row>
    <row r="10" spans="2:14" x14ac:dyDescent="0.2">
      <c r="B10" s="266" t="s">
        <v>96</v>
      </c>
      <c r="C10" s="267"/>
      <c r="D10" s="98">
        <v>116311</v>
      </c>
      <c r="E10" s="98">
        <v>111311</v>
      </c>
      <c r="F10" s="98">
        <v>586597</v>
      </c>
      <c r="G10" s="98">
        <v>650162</v>
      </c>
      <c r="H10" s="98">
        <v>112115</v>
      </c>
      <c r="I10" s="98">
        <v>201425</v>
      </c>
      <c r="J10" s="98">
        <v>820977</v>
      </c>
      <c r="K10" s="101"/>
      <c r="L10" s="97"/>
    </row>
    <row r="11" spans="2:14" x14ac:dyDescent="0.2">
      <c r="B11" s="279" t="s">
        <v>95</v>
      </c>
      <c r="C11" s="279"/>
      <c r="D11" s="96">
        <v>98973</v>
      </c>
      <c r="E11" s="96">
        <v>94094</v>
      </c>
      <c r="F11" s="96">
        <v>370632</v>
      </c>
      <c r="G11" s="96">
        <v>378315</v>
      </c>
      <c r="H11" s="96">
        <v>52391</v>
      </c>
      <c r="I11" s="96">
        <v>89472</v>
      </c>
      <c r="J11" s="96">
        <v>393526</v>
      </c>
      <c r="K11" s="101"/>
      <c r="L11" s="97"/>
    </row>
    <row r="12" spans="2:14" x14ac:dyDescent="0.2">
      <c r="B12" s="279" t="s">
        <v>94</v>
      </c>
      <c r="C12" s="279"/>
      <c r="D12" s="96">
        <v>97956</v>
      </c>
      <c r="E12" s="96">
        <v>92269</v>
      </c>
      <c r="F12" s="96">
        <v>387672</v>
      </c>
      <c r="G12" s="96">
        <v>387187</v>
      </c>
      <c r="H12" s="96">
        <v>59143</v>
      </c>
      <c r="I12" s="96">
        <v>95253</v>
      </c>
      <c r="J12" s="96">
        <v>419631</v>
      </c>
      <c r="K12" s="101"/>
    </row>
    <row r="13" spans="2:14" x14ac:dyDescent="0.2">
      <c r="B13" s="279" t="s">
        <v>93</v>
      </c>
      <c r="C13" s="279"/>
      <c r="D13" s="95">
        <v>82712</v>
      </c>
      <c r="E13" s="95">
        <v>77911</v>
      </c>
      <c r="F13" s="95">
        <v>343741</v>
      </c>
      <c r="G13" s="95">
        <v>347102</v>
      </c>
      <c r="H13" s="95">
        <v>57724</v>
      </c>
      <c r="I13" s="95">
        <v>95110</v>
      </c>
      <c r="J13" s="95">
        <v>385559</v>
      </c>
      <c r="K13" s="101"/>
    </row>
    <row r="14" spans="2:14" x14ac:dyDescent="0.2">
      <c r="B14" s="279" t="s">
        <v>92</v>
      </c>
      <c r="C14" s="279"/>
      <c r="D14" s="95">
        <v>84532</v>
      </c>
      <c r="E14" s="95">
        <v>80690</v>
      </c>
      <c r="F14" s="95">
        <v>331925</v>
      </c>
      <c r="G14" s="95">
        <v>345026</v>
      </c>
      <c r="H14" s="95">
        <v>56413</v>
      </c>
      <c r="I14" s="95">
        <v>94936</v>
      </c>
      <c r="J14" s="95">
        <v>383314</v>
      </c>
      <c r="K14" s="101"/>
    </row>
    <row r="15" spans="2:14" x14ac:dyDescent="0.2">
      <c r="B15" s="279" t="s">
        <v>91</v>
      </c>
      <c r="C15" s="279"/>
      <c r="D15" s="95">
        <v>119086</v>
      </c>
      <c r="E15" s="95">
        <v>113565</v>
      </c>
      <c r="F15" s="95">
        <v>420753</v>
      </c>
      <c r="G15" s="95">
        <v>439416</v>
      </c>
      <c r="H15" s="95">
        <v>72562</v>
      </c>
      <c r="I15" s="95">
        <v>125010</v>
      </c>
      <c r="J15" s="95">
        <v>496868</v>
      </c>
      <c r="K15" s="101"/>
    </row>
    <row r="16" spans="2:14" x14ac:dyDescent="0.2">
      <c r="B16" s="279" t="s">
        <v>90</v>
      </c>
      <c r="C16" s="279"/>
      <c r="D16" s="95">
        <v>151094</v>
      </c>
      <c r="E16" s="95">
        <v>145231</v>
      </c>
      <c r="F16" s="95">
        <v>510522</v>
      </c>
      <c r="G16" s="95">
        <v>528005</v>
      </c>
      <c r="H16" s="95">
        <v>81490</v>
      </c>
      <c r="I16" s="95">
        <v>134829</v>
      </c>
      <c r="J16" s="95">
        <v>587950</v>
      </c>
      <c r="K16" s="101"/>
    </row>
    <row r="17" spans="1:14" ht="13.5" thickBot="1" x14ac:dyDescent="0.25">
      <c r="B17" s="289" t="s">
        <v>89</v>
      </c>
      <c r="C17" s="289"/>
      <c r="D17" s="94">
        <v>116718</v>
      </c>
      <c r="E17" s="94">
        <v>112483</v>
      </c>
      <c r="F17" s="94">
        <v>456444</v>
      </c>
      <c r="G17" s="94">
        <v>473630</v>
      </c>
      <c r="H17" s="94">
        <v>83144</v>
      </c>
      <c r="I17" s="94">
        <v>135233</v>
      </c>
      <c r="J17" s="94">
        <v>576828</v>
      </c>
      <c r="K17" s="101"/>
    </row>
    <row r="18" spans="1:14" ht="13.5" thickBot="1" x14ac:dyDescent="0.25"/>
    <row r="19" spans="1:14" ht="13.15" customHeight="1" x14ac:dyDescent="0.2">
      <c r="B19" s="260">
        <v>2022</v>
      </c>
      <c r="C19" s="261"/>
      <c r="D19" s="253" t="s">
        <v>104</v>
      </c>
      <c r="E19" s="201"/>
      <c r="F19" s="201"/>
      <c r="G19" s="201"/>
      <c r="H19" s="201"/>
      <c r="I19" s="201"/>
      <c r="J19" s="257" t="s">
        <v>103</v>
      </c>
    </row>
    <row r="20" spans="1:14" ht="13.5" customHeight="1" x14ac:dyDescent="0.2">
      <c r="B20" s="262"/>
      <c r="C20" s="263"/>
      <c r="D20" s="254" t="s">
        <v>102</v>
      </c>
      <c r="E20" s="255"/>
      <c r="F20" s="254" t="s">
        <v>101</v>
      </c>
      <c r="G20" s="255"/>
      <c r="H20" s="254" t="s">
        <v>100</v>
      </c>
      <c r="I20" s="256"/>
      <c r="J20" s="258"/>
    </row>
    <row r="21" spans="1:14" ht="13.5" thickBot="1" x14ac:dyDescent="0.25">
      <c r="B21" s="264" t="s">
        <v>99</v>
      </c>
      <c r="C21" s="265"/>
      <c r="D21" s="100" t="s">
        <v>98</v>
      </c>
      <c r="E21" s="100" t="s">
        <v>97</v>
      </c>
      <c r="F21" s="100" t="s">
        <v>98</v>
      </c>
      <c r="G21" s="100" t="s">
        <v>97</v>
      </c>
      <c r="H21" s="100" t="s">
        <v>98</v>
      </c>
      <c r="I21" s="99" t="s">
        <v>97</v>
      </c>
      <c r="J21" s="259"/>
      <c r="K21" s="36"/>
    </row>
    <row r="22" spans="1:14" ht="13.5" customHeight="1" x14ac:dyDescent="0.2">
      <c r="B22" s="266" t="s">
        <v>96</v>
      </c>
      <c r="C22" s="267"/>
      <c r="D22" s="98">
        <v>107944</v>
      </c>
      <c r="E22" s="98">
        <v>101789</v>
      </c>
      <c r="F22" s="98">
        <v>551484</v>
      </c>
      <c r="G22" s="98">
        <v>568863</v>
      </c>
      <c r="H22" s="98">
        <v>131614</v>
      </c>
      <c r="I22" s="98">
        <v>223648</v>
      </c>
      <c r="J22" s="98">
        <v>961061</v>
      </c>
      <c r="K22" s="36"/>
      <c r="L22" s="97"/>
      <c r="M22" s="97"/>
    </row>
    <row r="23" spans="1:14" ht="13.5" customHeight="1" x14ac:dyDescent="0.2">
      <c r="B23" s="279" t="s">
        <v>95</v>
      </c>
      <c r="C23" s="279"/>
      <c r="D23" s="96">
        <v>116021</v>
      </c>
      <c r="E23" s="96">
        <v>109378</v>
      </c>
      <c r="F23" s="96">
        <v>437658</v>
      </c>
      <c r="G23" s="96">
        <v>431596</v>
      </c>
      <c r="H23" s="96">
        <v>94521</v>
      </c>
      <c r="I23" s="96">
        <v>144359</v>
      </c>
      <c r="J23" s="96">
        <v>519421</v>
      </c>
      <c r="K23" s="36"/>
      <c r="L23" s="97"/>
      <c r="M23" s="97"/>
    </row>
    <row r="24" spans="1:14" ht="13.5" customHeight="1" x14ac:dyDescent="0.2">
      <c r="B24" s="279" t="s">
        <v>94</v>
      </c>
      <c r="C24" s="279"/>
      <c r="D24" s="96">
        <v>78190</v>
      </c>
      <c r="E24" s="96">
        <v>74118</v>
      </c>
      <c r="F24" s="96">
        <v>349557</v>
      </c>
      <c r="G24" s="96">
        <v>335288</v>
      </c>
      <c r="H24" s="96">
        <v>85682</v>
      </c>
      <c r="I24" s="96">
        <v>132813</v>
      </c>
      <c r="J24" s="96">
        <v>474371</v>
      </c>
      <c r="K24" s="36"/>
    </row>
    <row r="25" spans="1:14" ht="13.5" customHeight="1" x14ac:dyDescent="0.2">
      <c r="B25" s="279" t="s">
        <v>93</v>
      </c>
      <c r="C25" s="279"/>
      <c r="D25" s="95">
        <v>69073</v>
      </c>
      <c r="E25" s="95">
        <v>65542</v>
      </c>
      <c r="F25" s="95">
        <v>322449</v>
      </c>
      <c r="G25" s="95">
        <v>312731</v>
      </c>
      <c r="H25" s="95">
        <v>81526</v>
      </c>
      <c r="I25" s="95">
        <v>124937</v>
      </c>
      <c r="J25" s="95">
        <v>457369</v>
      </c>
      <c r="K25" s="36"/>
    </row>
    <row r="26" spans="1:14" ht="13.5" customHeight="1" x14ac:dyDescent="0.2">
      <c r="B26" s="279" t="s">
        <v>92</v>
      </c>
      <c r="C26" s="279"/>
      <c r="D26" s="95">
        <v>59908</v>
      </c>
      <c r="E26" s="95">
        <v>56486</v>
      </c>
      <c r="F26" s="95">
        <v>273202</v>
      </c>
      <c r="G26" s="95">
        <v>270306</v>
      </c>
      <c r="H26" s="95">
        <v>76379</v>
      </c>
      <c r="I26" s="95">
        <v>119142</v>
      </c>
      <c r="J26" s="95">
        <v>418847</v>
      </c>
      <c r="K26" s="36"/>
    </row>
    <row r="27" spans="1:14" ht="13.5" customHeight="1" x14ac:dyDescent="0.2">
      <c r="B27" s="279" t="s">
        <v>91</v>
      </c>
      <c r="C27" s="279"/>
      <c r="D27" s="95">
        <v>87182</v>
      </c>
      <c r="E27" s="95">
        <v>82566</v>
      </c>
      <c r="F27" s="95">
        <v>353816</v>
      </c>
      <c r="G27" s="95">
        <v>342719</v>
      </c>
      <c r="H27" s="95">
        <v>84129</v>
      </c>
      <c r="I27" s="95">
        <v>140963</v>
      </c>
      <c r="J27" s="95">
        <v>510187</v>
      </c>
      <c r="K27" s="36"/>
    </row>
    <row r="28" spans="1:14" ht="13.5" customHeight="1" x14ac:dyDescent="0.2">
      <c r="B28" s="279" t="s">
        <v>90</v>
      </c>
      <c r="C28" s="279"/>
      <c r="D28" s="95">
        <v>112412</v>
      </c>
      <c r="E28" s="95">
        <v>106308</v>
      </c>
      <c r="F28" s="95">
        <v>463683</v>
      </c>
      <c r="G28" s="95">
        <v>449358</v>
      </c>
      <c r="H28" s="95">
        <v>105001</v>
      </c>
      <c r="I28" s="95">
        <v>167569</v>
      </c>
      <c r="J28" s="95">
        <v>625854</v>
      </c>
      <c r="K28" s="36"/>
    </row>
    <row r="29" spans="1:14" ht="13.5" customHeight="1" thickBot="1" x14ac:dyDescent="0.25">
      <c r="B29" s="289" t="s">
        <v>89</v>
      </c>
      <c r="C29" s="289"/>
      <c r="D29" s="94">
        <v>85027</v>
      </c>
      <c r="E29" s="94">
        <v>81288</v>
      </c>
      <c r="F29" s="94">
        <v>390589</v>
      </c>
      <c r="G29" s="94">
        <v>377660</v>
      </c>
      <c r="H29" s="94">
        <v>103799</v>
      </c>
      <c r="I29" s="94">
        <v>163361</v>
      </c>
      <c r="J29" s="94">
        <v>613428</v>
      </c>
      <c r="K29" s="36"/>
    </row>
    <row r="30" spans="1:14" ht="13.5" customHeight="1" x14ac:dyDescent="0.2">
      <c r="B30" s="34"/>
      <c r="C30" s="34"/>
      <c r="D30" s="35"/>
      <c r="E30" s="35"/>
      <c r="F30" s="35"/>
      <c r="G30" s="35"/>
      <c r="H30" s="36"/>
      <c r="I30" s="36"/>
      <c r="J30" s="36"/>
      <c r="K30" s="36"/>
      <c r="L30" s="36"/>
      <c r="M30" s="36"/>
    </row>
    <row r="31" spans="1:14" ht="13.5" customHeight="1" thickBot="1" x14ac:dyDescent="0.25"/>
    <row r="32" spans="1:14" ht="13.5" customHeight="1" thickBot="1" x14ac:dyDescent="0.25">
      <c r="A32" s="1" t="s">
        <v>11</v>
      </c>
      <c r="B32" s="282" t="s">
        <v>88</v>
      </c>
      <c r="C32" s="283"/>
      <c r="D32" s="283"/>
      <c r="E32" s="283"/>
      <c r="F32" s="280" t="s">
        <v>74</v>
      </c>
      <c r="G32" s="281"/>
      <c r="H32" s="93" t="s">
        <v>78</v>
      </c>
      <c r="I32" s="93" t="s">
        <v>77</v>
      </c>
      <c r="J32" s="93" t="s">
        <v>76</v>
      </c>
      <c r="K32" s="290" t="s">
        <v>87</v>
      </c>
      <c r="L32" s="291"/>
      <c r="M32" s="291"/>
      <c r="N32" s="292"/>
    </row>
    <row r="33" spans="1:14" ht="13.5" customHeight="1" x14ac:dyDescent="0.2">
      <c r="B33" s="284" t="s">
        <v>86</v>
      </c>
      <c r="C33" s="285"/>
      <c r="D33" s="285"/>
      <c r="E33" s="286"/>
      <c r="F33" s="287"/>
      <c r="G33" s="288"/>
      <c r="H33" s="84"/>
      <c r="I33" s="84"/>
      <c r="J33" s="83"/>
      <c r="K33" s="293"/>
      <c r="L33" s="294"/>
      <c r="M33" s="294"/>
      <c r="N33" s="295"/>
    </row>
    <row r="34" spans="1:14" x14ac:dyDescent="0.2">
      <c r="B34" s="269" t="s">
        <v>85</v>
      </c>
      <c r="C34" s="270"/>
      <c r="D34" s="270"/>
      <c r="E34" s="271"/>
      <c r="F34" s="272"/>
      <c r="G34" s="273"/>
      <c r="H34" s="81"/>
      <c r="I34" s="81"/>
      <c r="J34" s="78"/>
      <c r="K34" s="249"/>
      <c r="L34" s="250"/>
      <c r="M34" s="250"/>
      <c r="N34" s="251"/>
    </row>
    <row r="35" spans="1:14" x14ac:dyDescent="0.2">
      <c r="B35" s="269" t="s">
        <v>84</v>
      </c>
      <c r="C35" s="270"/>
      <c r="D35" s="270"/>
      <c r="E35" s="271"/>
      <c r="F35" s="272"/>
      <c r="G35" s="273"/>
      <c r="H35" s="81"/>
      <c r="I35" s="81"/>
      <c r="J35" s="78"/>
      <c r="K35" s="274"/>
      <c r="L35" s="275"/>
      <c r="M35" s="275"/>
      <c r="N35" s="276"/>
    </row>
    <row r="36" spans="1:14" x14ac:dyDescent="0.2">
      <c r="B36" s="269" t="s">
        <v>83</v>
      </c>
      <c r="C36" s="270"/>
      <c r="D36" s="270"/>
      <c r="E36" s="271"/>
      <c r="F36" s="272"/>
      <c r="G36" s="273"/>
      <c r="H36" s="81"/>
      <c r="I36" s="81"/>
      <c r="J36" s="78"/>
      <c r="K36" s="274"/>
      <c r="L36" s="275"/>
      <c r="M36" s="275"/>
      <c r="N36" s="276"/>
    </row>
    <row r="37" spans="1:14" x14ac:dyDescent="0.2">
      <c r="B37" s="269" t="s">
        <v>82</v>
      </c>
      <c r="C37" s="270"/>
      <c r="D37" s="270"/>
      <c r="E37" s="271"/>
      <c r="F37" s="272"/>
      <c r="G37" s="273"/>
      <c r="H37" s="81"/>
      <c r="I37" s="81"/>
      <c r="J37" s="78"/>
      <c r="K37" s="274"/>
      <c r="L37" s="275"/>
      <c r="M37" s="275"/>
      <c r="N37" s="276"/>
    </row>
    <row r="38" spans="1:14" x14ac:dyDescent="0.2">
      <c r="B38" s="269" t="s">
        <v>81</v>
      </c>
      <c r="C38" s="270"/>
      <c r="D38" s="270"/>
      <c r="E38" s="271"/>
      <c r="F38" s="272"/>
      <c r="G38" s="273"/>
      <c r="H38" s="81"/>
      <c r="I38" s="81"/>
      <c r="J38" s="78"/>
      <c r="K38" s="274"/>
      <c r="L38" s="275"/>
      <c r="M38" s="275"/>
      <c r="N38" s="276"/>
    </row>
    <row r="39" spans="1:14" ht="12.75" customHeight="1" x14ac:dyDescent="0.2">
      <c r="B39" s="223" t="s">
        <v>80</v>
      </c>
      <c r="C39" s="223"/>
      <c r="D39" s="223"/>
      <c r="E39" s="223"/>
      <c r="F39" s="277"/>
      <c r="G39" s="273"/>
      <c r="H39" s="91"/>
      <c r="I39" s="91"/>
      <c r="J39" s="78"/>
      <c r="K39" s="278"/>
      <c r="L39" s="278"/>
      <c r="M39" s="278"/>
      <c r="N39" s="278"/>
    </row>
    <row r="40" spans="1:14" x14ac:dyDescent="0.2">
      <c r="B40" s="223"/>
      <c r="C40" s="223"/>
      <c r="D40" s="223"/>
      <c r="E40" s="223"/>
      <c r="F40" s="277"/>
      <c r="G40" s="273"/>
      <c r="H40" s="91"/>
      <c r="I40" s="91"/>
      <c r="J40" s="78"/>
      <c r="K40" s="278"/>
      <c r="L40" s="278"/>
      <c r="M40" s="278"/>
      <c r="N40" s="278"/>
    </row>
    <row r="41" spans="1:14" ht="13.15" customHeight="1" x14ac:dyDescent="0.2">
      <c r="B41" s="269" t="s">
        <v>112</v>
      </c>
      <c r="C41" s="270"/>
      <c r="D41" s="270"/>
      <c r="E41" s="271"/>
      <c r="F41" s="277"/>
      <c r="G41" s="273"/>
      <c r="H41" s="91"/>
      <c r="I41" s="91"/>
      <c r="J41" s="78"/>
      <c r="K41" s="274"/>
      <c r="L41" s="275"/>
      <c r="M41" s="275"/>
      <c r="N41" s="276"/>
    </row>
    <row r="42" spans="1:14" x14ac:dyDescent="0.2">
      <c r="B42" s="223" t="s">
        <v>79</v>
      </c>
      <c r="C42" s="223"/>
      <c r="D42" s="223"/>
      <c r="E42" s="223"/>
      <c r="F42" s="268"/>
      <c r="G42" s="268"/>
      <c r="H42" s="92"/>
      <c r="I42" s="92"/>
      <c r="J42" s="79"/>
      <c r="K42" s="278"/>
      <c r="L42" s="278"/>
      <c r="M42" s="278"/>
      <c r="N42" s="278"/>
    </row>
    <row r="43" spans="1:14" x14ac:dyDescent="0.2">
      <c r="B43" s="223"/>
      <c r="C43" s="223"/>
      <c r="D43" s="223"/>
      <c r="E43" s="223"/>
      <c r="F43" s="268"/>
      <c r="G43" s="268"/>
      <c r="H43" s="92"/>
      <c r="I43" s="92"/>
      <c r="J43" s="79"/>
      <c r="K43" s="278"/>
      <c r="L43" s="278"/>
      <c r="M43" s="278"/>
      <c r="N43" s="278"/>
    </row>
    <row r="44" spans="1:14" x14ac:dyDescent="0.2">
      <c r="B44" s="214" t="s">
        <v>111</v>
      </c>
      <c r="C44" s="214"/>
      <c r="D44" s="214"/>
      <c r="E44" s="214"/>
      <c r="F44" s="277"/>
      <c r="G44" s="273"/>
      <c r="H44" s="91"/>
      <c r="I44" s="91"/>
      <c r="J44" s="78"/>
      <c r="K44" s="296"/>
      <c r="L44" s="296"/>
      <c r="M44" s="296"/>
      <c r="N44" s="296"/>
    </row>
    <row r="45" spans="1:14" ht="13.5" thickBot="1" x14ac:dyDescent="0.25">
      <c r="B45" s="215"/>
      <c r="C45" s="215"/>
      <c r="D45" s="215"/>
      <c r="E45" s="215"/>
      <c r="F45" s="298"/>
      <c r="G45" s="299"/>
      <c r="H45" s="90"/>
      <c r="I45" s="90"/>
      <c r="J45" s="89"/>
      <c r="K45" s="297"/>
      <c r="L45" s="297"/>
      <c r="M45" s="297"/>
      <c r="N45" s="297"/>
    </row>
    <row r="46" spans="1:14" ht="13.5" thickBot="1" x14ac:dyDescent="0.25"/>
    <row r="47" spans="1:14" ht="13.5" thickBot="1" x14ac:dyDescent="0.25">
      <c r="A47" s="1" t="s">
        <v>12</v>
      </c>
      <c r="B47" s="88" t="s">
        <v>78</v>
      </c>
      <c r="C47" s="87" t="s">
        <v>77</v>
      </c>
      <c r="D47" s="87" t="s">
        <v>76</v>
      </c>
      <c r="E47" s="305" t="s">
        <v>75</v>
      </c>
      <c r="F47" s="305"/>
      <c r="G47" s="305"/>
      <c r="H47" s="305"/>
      <c r="I47" s="306"/>
      <c r="J47" s="280" t="s">
        <v>74</v>
      </c>
      <c r="K47" s="281"/>
      <c r="L47" s="280" t="s">
        <v>73</v>
      </c>
      <c r="M47" s="281"/>
      <c r="N47" s="86" t="s">
        <v>72</v>
      </c>
    </row>
    <row r="48" spans="1:14" x14ac:dyDescent="0.2">
      <c r="B48" s="85">
        <f>J22</f>
        <v>961061</v>
      </c>
      <c r="C48" s="84">
        <f>J10</f>
        <v>820977</v>
      </c>
      <c r="D48" s="83">
        <f>B48/C48</f>
        <v>1.1706308459311283</v>
      </c>
      <c r="E48" s="284"/>
      <c r="F48" s="285"/>
      <c r="G48" s="285"/>
      <c r="H48" s="285"/>
      <c r="I48" s="286"/>
      <c r="J48" s="287"/>
      <c r="K48" s="288"/>
      <c r="L48" s="287"/>
      <c r="M48" s="288"/>
      <c r="N48" s="83"/>
    </row>
    <row r="49" spans="2:14" x14ac:dyDescent="0.2">
      <c r="B49" s="82">
        <f>SUM(H22:I22)+SUM(D22:E22)</f>
        <v>564995</v>
      </c>
      <c r="C49" s="81">
        <f>F22+G22</f>
        <v>1120347</v>
      </c>
      <c r="D49" s="78">
        <f>B49/C49</f>
        <v>0.50430357737379583</v>
      </c>
      <c r="E49" s="269"/>
      <c r="F49" s="270"/>
      <c r="G49" s="270"/>
      <c r="H49" s="270"/>
      <c r="I49" s="271"/>
      <c r="J49" s="272"/>
      <c r="K49" s="273"/>
      <c r="L49" s="272"/>
      <c r="M49" s="273"/>
      <c r="N49" s="78"/>
    </row>
    <row r="50" spans="2:14" x14ac:dyDescent="0.2">
      <c r="B50" s="80">
        <f>SUM(I22:I29)/SUM(D22:I29)</f>
        <v>0.12670120498136433</v>
      </c>
      <c r="C50" s="80">
        <f>SUM(I10:I17)/SUM(D10:I17)</f>
        <v>9.5238085899484376E-2</v>
      </c>
      <c r="D50" s="79">
        <f>B50-C50</f>
        <v>3.1463119081879959E-2</v>
      </c>
      <c r="E50" s="269"/>
      <c r="F50" s="270"/>
      <c r="G50" s="270"/>
      <c r="H50" s="270"/>
      <c r="I50" s="271"/>
      <c r="J50" s="272"/>
      <c r="K50" s="273"/>
      <c r="L50" s="272"/>
      <c r="M50" s="273"/>
      <c r="N50" s="78"/>
    </row>
    <row r="51" spans="2:14" ht="13.15" customHeight="1" x14ac:dyDescent="0.2">
      <c r="B51" s="80">
        <f>SUM(I22:I29)/SUM(H22:H29)</f>
        <v>1.595476830162158</v>
      </c>
      <c r="C51" s="80">
        <f>SUM(E22:E29)/SUM(D22:D29)</f>
        <v>0.9465153676457233</v>
      </c>
      <c r="D51" s="79">
        <f>B51/C51</f>
        <v>1.685632251413522</v>
      </c>
      <c r="E51" s="269"/>
      <c r="F51" s="270"/>
      <c r="G51" s="270"/>
      <c r="H51" s="270"/>
      <c r="I51" s="271"/>
      <c r="J51" s="272"/>
      <c r="K51" s="273"/>
      <c r="L51" s="272"/>
      <c r="M51" s="273"/>
      <c r="N51" s="78"/>
    </row>
    <row r="52" spans="2:14" x14ac:dyDescent="0.2">
      <c r="B52" s="80">
        <f>SUM(D22:I22)/J22</f>
        <v>1.7536264607553527</v>
      </c>
      <c r="C52" s="80">
        <f>SUM(D10:I10)/J10</f>
        <v>2.1656160891230813</v>
      </c>
      <c r="D52" s="79">
        <f>B52/C52</f>
        <v>0.80975869618028429</v>
      </c>
      <c r="E52" s="269"/>
      <c r="F52" s="270"/>
      <c r="G52" s="270"/>
      <c r="H52" s="270"/>
      <c r="I52" s="271"/>
      <c r="J52" s="272"/>
      <c r="K52" s="273"/>
      <c r="L52" s="272"/>
      <c r="M52" s="273"/>
      <c r="N52" s="78"/>
    </row>
    <row r="53" spans="2:14" ht="13.5" thickBot="1" x14ac:dyDescent="0.25">
      <c r="B53" s="77">
        <f>J22/SUM(D22:I22)</f>
        <v>0.57024686977479944</v>
      </c>
      <c r="C53" s="77">
        <f>J23/SUM(D23:I23)</f>
        <v>0.38950742126366578</v>
      </c>
      <c r="D53" s="76">
        <f>B53/C53</f>
        <v>1.4640205517131528</v>
      </c>
      <c r="E53" s="300"/>
      <c r="F53" s="301"/>
      <c r="G53" s="301"/>
      <c r="H53" s="301"/>
      <c r="I53" s="302"/>
      <c r="J53" s="303"/>
      <c r="K53" s="304"/>
      <c r="L53" s="303"/>
      <c r="M53" s="304"/>
      <c r="N53" s="76"/>
    </row>
  </sheetData>
  <mergeCells count="89">
    <mergeCell ref="L49:M49"/>
    <mergeCell ref="L50:M50"/>
    <mergeCell ref="L51:M51"/>
    <mergeCell ref="L52:M52"/>
    <mergeCell ref="L53:M53"/>
    <mergeCell ref="L47:M47"/>
    <mergeCell ref="E47:I47"/>
    <mergeCell ref="J47:K47"/>
    <mergeCell ref="E48:I48"/>
    <mergeCell ref="L48:M48"/>
    <mergeCell ref="J48:K48"/>
    <mergeCell ref="E51:I51"/>
    <mergeCell ref="J51:K51"/>
    <mergeCell ref="E52:I52"/>
    <mergeCell ref="J52:K52"/>
    <mergeCell ref="E53:I53"/>
    <mergeCell ref="J53:K53"/>
    <mergeCell ref="E50:I50"/>
    <mergeCell ref="J50:K50"/>
    <mergeCell ref="B12:C12"/>
    <mergeCell ref="B13:C13"/>
    <mergeCell ref="B14:C14"/>
    <mergeCell ref="B15:C15"/>
    <mergeCell ref="B16:C16"/>
    <mergeCell ref="B17:C17"/>
    <mergeCell ref="B41:E41"/>
    <mergeCell ref="B44:E45"/>
    <mergeCell ref="F44:G44"/>
    <mergeCell ref="K44:N45"/>
    <mergeCell ref="F45:G45"/>
    <mergeCell ref="E49:I49"/>
    <mergeCell ref="J49:K49"/>
    <mergeCell ref="K37:N37"/>
    <mergeCell ref="K36:N36"/>
    <mergeCell ref="B19:C20"/>
    <mergeCell ref="B21:C21"/>
    <mergeCell ref="B22:C22"/>
    <mergeCell ref="B23:C23"/>
    <mergeCell ref="B24:C24"/>
    <mergeCell ref="B25:C25"/>
    <mergeCell ref="B26:C26"/>
    <mergeCell ref="B28:C28"/>
    <mergeCell ref="B29:C29"/>
    <mergeCell ref="B27:C27"/>
    <mergeCell ref="B36:E36"/>
    <mergeCell ref="F36:G36"/>
    <mergeCell ref="K35:N35"/>
    <mergeCell ref="K32:N32"/>
    <mergeCell ref="K33:N33"/>
    <mergeCell ref="B37:E37"/>
    <mergeCell ref="F37:G37"/>
    <mergeCell ref="B35:E35"/>
    <mergeCell ref="F35:G35"/>
    <mergeCell ref="B11:C11"/>
    <mergeCell ref="F32:G32"/>
    <mergeCell ref="B32:E32"/>
    <mergeCell ref="B33:E33"/>
    <mergeCell ref="F33:G33"/>
    <mergeCell ref="B34:E34"/>
    <mergeCell ref="F34:G34"/>
    <mergeCell ref="F43:G43"/>
    <mergeCell ref="B38:E38"/>
    <mergeCell ref="F38:G38"/>
    <mergeCell ref="K38:N38"/>
    <mergeCell ref="F39:G39"/>
    <mergeCell ref="B39:E40"/>
    <mergeCell ref="K39:N40"/>
    <mergeCell ref="F40:G40"/>
    <mergeCell ref="F41:G41"/>
    <mergeCell ref="K41:N41"/>
    <mergeCell ref="B42:E43"/>
    <mergeCell ref="F42:G42"/>
    <mergeCell ref="K42:N43"/>
    <mergeCell ref="K34:N34"/>
    <mergeCell ref="B2:J2"/>
    <mergeCell ref="B4:J4"/>
    <mergeCell ref="D19:I19"/>
    <mergeCell ref="D20:E20"/>
    <mergeCell ref="F20:G20"/>
    <mergeCell ref="H20:I20"/>
    <mergeCell ref="J19:J21"/>
    <mergeCell ref="B7:C8"/>
    <mergeCell ref="B9:C9"/>
    <mergeCell ref="B10:C10"/>
    <mergeCell ref="D7:I7"/>
    <mergeCell ref="J7:J9"/>
    <mergeCell ref="D8:E8"/>
    <mergeCell ref="F8:G8"/>
    <mergeCell ref="H8:I8"/>
  </mergeCells>
  <pageMargins left="0.75" right="0.75" top="1" bottom="1" header="0.5" footer="0.5"/>
  <pageSetup scale="7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7034-1476-8C49-A196-DF6C72CCC77D}">
  <sheetPr>
    <tabColor theme="0" tint="-0.499984740745262"/>
  </sheetPr>
  <dimension ref="B1:J48"/>
  <sheetViews>
    <sheetView zoomScaleNormal="100" workbookViewId="0"/>
  </sheetViews>
  <sheetFormatPr defaultColWidth="9.140625" defaultRowHeight="12.75" x14ac:dyDescent="0.2"/>
  <cols>
    <col min="1" max="1" width="2.42578125" style="1" customWidth="1"/>
    <col min="2" max="7" width="16.7109375" style="1" customWidth="1"/>
    <col min="8" max="16384" width="9.140625" style="1"/>
  </cols>
  <sheetData>
    <row r="1" spans="2:10" ht="13.5" customHeight="1" thickBot="1" x14ac:dyDescent="0.25"/>
    <row r="2" spans="2:10" ht="27" customHeight="1" thickBot="1" x14ac:dyDescent="0.25">
      <c r="B2" s="307" t="s">
        <v>34</v>
      </c>
      <c r="C2" s="220"/>
      <c r="D2" s="220"/>
      <c r="E2" s="220"/>
      <c r="F2" s="221"/>
    </row>
    <row r="3" spans="2:10" ht="13.5" thickBot="1" x14ac:dyDescent="0.25"/>
    <row r="4" spans="2:10" ht="13.5" customHeight="1" x14ac:dyDescent="0.2">
      <c r="B4" s="227" t="s">
        <v>32</v>
      </c>
      <c r="C4" s="229" t="s">
        <v>33</v>
      </c>
      <c r="D4" s="238"/>
      <c r="I4"/>
      <c r="J4"/>
    </row>
    <row r="5" spans="2:10" ht="13.5" customHeight="1" thickBot="1" x14ac:dyDescent="0.25">
      <c r="B5" s="228"/>
      <c r="C5" s="128" t="s">
        <v>31</v>
      </c>
      <c r="D5" s="127" t="s">
        <v>30</v>
      </c>
      <c r="I5" s="43"/>
      <c r="J5" s="43"/>
    </row>
    <row r="6" spans="2:10" ht="13.5" customHeight="1" x14ac:dyDescent="0.2">
      <c r="B6" s="29" t="s">
        <v>35</v>
      </c>
      <c r="C6" s="15">
        <v>215</v>
      </c>
      <c r="D6" s="15">
        <v>188</v>
      </c>
      <c r="F6" s="5"/>
      <c r="I6" s="43"/>
      <c r="J6" s="43"/>
    </row>
    <row r="7" spans="2:10" ht="13.5" customHeight="1" x14ac:dyDescent="0.2">
      <c r="B7" s="126" t="s">
        <v>29</v>
      </c>
      <c r="C7" s="125">
        <v>9006</v>
      </c>
      <c r="D7" s="125">
        <v>9085</v>
      </c>
      <c r="F7" s="5"/>
      <c r="I7" s="43"/>
      <c r="J7" s="43"/>
    </row>
    <row r="8" spans="2:10" ht="13.5" customHeight="1" x14ac:dyDescent="0.2">
      <c r="B8" s="126" t="s">
        <v>28</v>
      </c>
      <c r="C8" s="125">
        <v>12079</v>
      </c>
      <c r="D8" s="125">
        <v>14377</v>
      </c>
      <c r="F8" s="5"/>
      <c r="I8" s="43"/>
      <c r="J8" s="43"/>
    </row>
    <row r="9" spans="2:10" ht="13.5" customHeight="1" x14ac:dyDescent="0.2">
      <c r="B9" s="124" t="s">
        <v>27</v>
      </c>
      <c r="C9" s="123">
        <v>21394</v>
      </c>
      <c r="D9" s="123">
        <v>22846</v>
      </c>
      <c r="F9" s="5"/>
      <c r="I9" s="43"/>
      <c r="J9" s="43"/>
    </row>
    <row r="10" spans="2:10" ht="13.5" customHeight="1" thickBot="1" x14ac:dyDescent="0.25">
      <c r="B10" s="124" t="s">
        <v>26</v>
      </c>
      <c r="C10" s="123">
        <v>23919</v>
      </c>
      <c r="D10" s="123">
        <v>24308</v>
      </c>
      <c r="F10" s="42"/>
    </row>
    <row r="11" spans="2:10" ht="13.5" customHeight="1" thickBot="1" x14ac:dyDescent="0.25">
      <c r="B11" s="19" t="s">
        <v>14</v>
      </c>
      <c r="C11" s="18">
        <f>SUM(C6:C10)</f>
        <v>66613</v>
      </c>
      <c r="D11" s="18">
        <f>SUM(D6:D10)</f>
        <v>70804</v>
      </c>
    </row>
    <row r="12" spans="2:10" ht="13.5" thickBot="1" x14ac:dyDescent="0.25"/>
    <row r="13" spans="2:10" ht="27.4" customHeight="1" thickBot="1" x14ac:dyDescent="0.25">
      <c r="B13" s="307" t="s">
        <v>36</v>
      </c>
      <c r="C13" s="220"/>
      <c r="D13" s="220"/>
      <c r="E13" s="220"/>
      <c r="F13" s="221"/>
    </row>
    <row r="14" spans="2:10" s="13" customFormat="1" ht="13.5" thickBot="1" x14ac:dyDescent="0.25">
      <c r="B14" s="14"/>
      <c r="C14" s="14"/>
      <c r="D14" s="14"/>
      <c r="E14" s="14"/>
      <c r="F14" s="14"/>
    </row>
    <row r="15" spans="2:10" ht="13.5" thickBot="1" x14ac:dyDescent="0.25"/>
    <row r="16" spans="2:10" ht="13.5" customHeight="1" x14ac:dyDescent="0.2">
      <c r="B16" s="230" t="s">
        <v>32</v>
      </c>
      <c r="C16" s="232" t="s">
        <v>37</v>
      </c>
      <c r="D16" s="232"/>
      <c r="E16" s="232" t="s">
        <v>38</v>
      </c>
      <c r="F16" s="234" t="s">
        <v>39</v>
      </c>
      <c r="G16" s="235"/>
    </row>
    <row r="17" spans="2:8" ht="13.5" thickBot="1" x14ac:dyDescent="0.25">
      <c r="B17" s="231"/>
      <c r="C17" s="122" t="s">
        <v>31</v>
      </c>
      <c r="D17" s="122" t="s">
        <v>30</v>
      </c>
      <c r="E17" s="233"/>
      <c r="F17" s="236"/>
      <c r="G17" s="237"/>
    </row>
    <row r="18" spans="2:8" ht="13.5" customHeight="1" x14ac:dyDescent="0.2">
      <c r="B18" s="44" t="s">
        <v>35</v>
      </c>
      <c r="C18" s="20"/>
      <c r="D18" s="20"/>
      <c r="E18" s="31"/>
      <c r="F18" s="31"/>
      <c r="G18" s="31"/>
      <c r="H18" s="8"/>
    </row>
    <row r="19" spans="2:8" ht="13.5" customHeight="1" x14ac:dyDescent="0.2">
      <c r="B19" s="121" t="s">
        <v>29</v>
      </c>
      <c r="C19" s="30"/>
      <c r="D19" s="30"/>
      <c r="E19" s="31"/>
      <c r="F19" s="31"/>
      <c r="G19" s="31"/>
      <c r="H19" s="8"/>
    </row>
    <row r="20" spans="2:8" ht="13.5" customHeight="1" x14ac:dyDescent="0.2">
      <c r="B20" s="121" t="s">
        <v>28</v>
      </c>
      <c r="C20" s="30"/>
      <c r="D20" s="30"/>
      <c r="E20" s="31"/>
      <c r="F20" s="31"/>
      <c r="G20" s="31"/>
    </row>
    <row r="21" spans="2:8" ht="13.5" customHeight="1" x14ac:dyDescent="0.2">
      <c r="B21" s="120" t="s">
        <v>27</v>
      </c>
      <c r="C21" s="30"/>
      <c r="D21" s="30"/>
      <c r="E21" s="31"/>
      <c r="F21" s="31"/>
      <c r="G21" s="31"/>
    </row>
    <row r="22" spans="2:8" ht="13.5" customHeight="1" thickBot="1" x14ac:dyDescent="0.25">
      <c r="B22" s="120" t="s">
        <v>26</v>
      </c>
      <c r="C22" s="30"/>
      <c r="D22" s="30"/>
      <c r="E22" s="31"/>
      <c r="F22" s="31"/>
      <c r="G22" s="31"/>
    </row>
    <row r="23" spans="2:8" ht="13.5" customHeight="1" thickBot="1" x14ac:dyDescent="0.25">
      <c r="B23" s="19" t="s">
        <v>14</v>
      </c>
      <c r="C23" s="32"/>
      <c r="D23" s="32"/>
      <c r="E23" s="33"/>
      <c r="F23" s="33"/>
      <c r="G23" s="33"/>
    </row>
    <row r="24" spans="2:8" ht="13.5" customHeight="1" thickBot="1" x14ac:dyDescent="0.25">
      <c r="B24" s="34"/>
      <c r="C24" s="35"/>
      <c r="D24" s="35"/>
      <c r="E24" s="36"/>
      <c r="F24" s="36"/>
    </row>
    <row r="25" spans="2:8" ht="13.5" customHeight="1" thickBot="1" x14ac:dyDescent="0.25">
      <c r="C25" s="41" t="s">
        <v>21</v>
      </c>
      <c r="D25" s="40" t="s">
        <v>22</v>
      </c>
      <c r="E25" s="40" t="s">
        <v>23</v>
      </c>
      <c r="F25" s="39" t="s">
        <v>24</v>
      </c>
    </row>
    <row r="26" spans="2:8" ht="13.5" customHeight="1" thickBot="1" x14ac:dyDescent="0.25">
      <c r="B26" s="37" t="s">
        <v>26</v>
      </c>
      <c r="C26" s="195"/>
      <c r="D26" s="195"/>
      <c r="E26" s="196"/>
      <c r="F26" s="196"/>
    </row>
    <row r="43" spans="2:3" ht="12.75" customHeight="1" x14ac:dyDescent="0.2">
      <c r="B43" s="9"/>
      <c r="C43" s="10"/>
    </row>
    <row r="44" spans="2:3" x14ac:dyDescent="0.2">
      <c r="B44" s="11"/>
      <c r="C44" s="12"/>
    </row>
    <row r="45" spans="2:3" x14ac:dyDescent="0.2">
      <c r="B45" s="11"/>
      <c r="C45" s="12"/>
    </row>
    <row r="46" spans="2:3" x14ac:dyDescent="0.2">
      <c r="B46" s="11"/>
      <c r="C46" s="12"/>
    </row>
    <row r="47" spans="2:3" x14ac:dyDescent="0.2">
      <c r="B47" s="11"/>
      <c r="C47" s="12"/>
    </row>
    <row r="48" spans="2:3" x14ac:dyDescent="0.2">
      <c r="B48" s="11"/>
      <c r="C48" s="12"/>
    </row>
  </sheetData>
  <mergeCells count="8">
    <mergeCell ref="B2:F2"/>
    <mergeCell ref="B4:B5"/>
    <mergeCell ref="C4:D4"/>
    <mergeCell ref="B13:F13"/>
    <mergeCell ref="B16:B17"/>
    <mergeCell ref="C16:D16"/>
    <mergeCell ref="E16:E17"/>
    <mergeCell ref="F16:G17"/>
  </mergeCells>
  <pageMargins left="0.75" right="0.75" top="1" bottom="1" header="0.5" footer="0.5"/>
  <pageSetup scale="7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C7A7-6168-4498-AF39-7C3C9F9B9DA5}">
  <sheetPr>
    <tabColor theme="0" tint="-0.499984740745262"/>
  </sheetPr>
  <dimension ref="B1:G46"/>
  <sheetViews>
    <sheetView zoomScaleNormal="100" workbookViewId="0"/>
  </sheetViews>
  <sheetFormatPr defaultColWidth="9.140625" defaultRowHeight="12.75" x14ac:dyDescent="0.2"/>
  <cols>
    <col min="1" max="1" width="2.42578125" style="45" customWidth="1"/>
    <col min="2" max="6" width="17.42578125" style="45" customWidth="1"/>
    <col min="7" max="16384" width="9.140625" style="45"/>
  </cols>
  <sheetData>
    <row r="1" spans="2:6" ht="13.5" customHeight="1" thickBot="1" x14ac:dyDescent="0.25"/>
    <row r="2" spans="2:6" ht="27" customHeight="1" thickBot="1" x14ac:dyDescent="0.25">
      <c r="B2" s="219" t="s">
        <v>70</v>
      </c>
      <c r="C2" s="252"/>
      <c r="D2" s="252"/>
      <c r="E2" s="252"/>
      <c r="F2" s="308"/>
    </row>
    <row r="3" spans="2:6" ht="13.5" thickBot="1" x14ac:dyDescent="0.25"/>
    <row r="4" spans="2:6" ht="13.5" customHeight="1" x14ac:dyDescent="0.2">
      <c r="B4" s="309" t="s">
        <v>19</v>
      </c>
      <c r="C4" s="311" t="s">
        <v>20</v>
      </c>
      <c r="D4" s="312"/>
    </row>
    <row r="5" spans="2:6" ht="13.5" customHeight="1" thickBot="1" x14ac:dyDescent="0.25">
      <c r="B5" s="310"/>
      <c r="C5" s="53" t="s">
        <v>25</v>
      </c>
      <c r="D5" s="54" t="s">
        <v>44</v>
      </c>
    </row>
    <row r="6" spans="2:6" ht="13.5" customHeight="1" x14ac:dyDescent="0.2">
      <c r="B6" s="55" t="s">
        <v>18</v>
      </c>
      <c r="C6" s="56">
        <v>40</v>
      </c>
      <c r="D6" s="56">
        <v>32</v>
      </c>
      <c r="F6" s="57"/>
    </row>
    <row r="7" spans="2:6" ht="13.5" customHeight="1" x14ac:dyDescent="0.2">
      <c r="B7" s="58" t="s">
        <v>17</v>
      </c>
      <c r="C7" s="59">
        <v>1014</v>
      </c>
      <c r="D7" s="59">
        <v>610</v>
      </c>
      <c r="F7" s="57"/>
    </row>
    <row r="8" spans="2:6" ht="13.5" customHeight="1" x14ac:dyDescent="0.2">
      <c r="B8" s="58" t="s">
        <v>16</v>
      </c>
      <c r="C8" s="59">
        <v>119</v>
      </c>
      <c r="D8" s="59">
        <v>90</v>
      </c>
      <c r="F8" s="57"/>
    </row>
    <row r="9" spans="2:6" ht="13.5" customHeight="1" thickBot="1" x14ac:dyDescent="0.25">
      <c r="B9" s="60" t="s">
        <v>15</v>
      </c>
      <c r="C9" s="61">
        <v>989</v>
      </c>
      <c r="D9" s="61">
        <v>699</v>
      </c>
    </row>
    <row r="10" spans="2:6" ht="13.5" customHeight="1" thickBot="1" x14ac:dyDescent="0.25">
      <c r="B10" s="62" t="s">
        <v>14</v>
      </c>
      <c r="C10" s="63">
        <f>SUM(C6:C9)</f>
        <v>2162</v>
      </c>
      <c r="D10" s="63">
        <f>SUM(D6:D9)</f>
        <v>1431</v>
      </c>
    </row>
    <row r="11" spans="2:6" ht="13.5" thickBot="1" x14ac:dyDescent="0.25"/>
    <row r="12" spans="2:6" ht="27.4" customHeight="1" thickBot="1" x14ac:dyDescent="0.25">
      <c r="B12" s="219" t="s">
        <v>71</v>
      </c>
      <c r="C12" s="252"/>
      <c r="D12" s="252"/>
      <c r="E12" s="252"/>
      <c r="F12" s="308"/>
    </row>
    <row r="13" spans="2:6" s="47" customFormat="1" ht="13.5" thickBot="1" x14ac:dyDescent="0.25">
      <c r="B13" s="46"/>
      <c r="C13" s="46"/>
      <c r="D13" s="46"/>
      <c r="E13" s="46"/>
      <c r="F13" s="46"/>
    </row>
    <row r="14" spans="2:6" ht="13.5" thickBot="1" x14ac:dyDescent="0.25"/>
    <row r="15" spans="2:6" ht="13.5" customHeight="1" x14ac:dyDescent="0.2">
      <c r="B15" s="313" t="s">
        <v>19</v>
      </c>
      <c r="C15" s="315" t="s">
        <v>4</v>
      </c>
      <c r="D15" s="316"/>
      <c r="E15" s="317" t="s">
        <v>5</v>
      </c>
      <c r="F15" s="319" t="s">
        <v>9</v>
      </c>
    </row>
    <row r="16" spans="2:6" ht="13.5" thickBot="1" x14ac:dyDescent="0.25">
      <c r="B16" s="314"/>
      <c r="C16" s="64" t="s">
        <v>25</v>
      </c>
      <c r="D16" s="64" t="s">
        <v>44</v>
      </c>
      <c r="E16" s="318"/>
      <c r="F16" s="320"/>
    </row>
    <row r="17" spans="2:7" ht="13.5" customHeight="1" x14ac:dyDescent="0.2">
      <c r="B17" s="55" t="s">
        <v>18</v>
      </c>
      <c r="C17" s="65"/>
      <c r="D17" s="65"/>
      <c r="E17" s="66"/>
      <c r="F17" s="66"/>
      <c r="G17" s="67"/>
    </row>
    <row r="18" spans="2:7" ht="13.5" customHeight="1" x14ac:dyDescent="0.2">
      <c r="B18" s="58" t="s">
        <v>17</v>
      </c>
      <c r="C18" s="65"/>
      <c r="D18" s="65"/>
      <c r="E18" s="66"/>
      <c r="F18" s="66"/>
      <c r="G18" s="67"/>
    </row>
    <row r="19" spans="2:7" ht="13.5" customHeight="1" x14ac:dyDescent="0.2">
      <c r="B19" s="58" t="s">
        <v>16</v>
      </c>
      <c r="C19" s="65"/>
      <c r="D19" s="65"/>
      <c r="E19" s="66"/>
      <c r="F19" s="66"/>
      <c r="G19" s="67"/>
    </row>
    <row r="20" spans="2:7" ht="13.5" customHeight="1" thickBot="1" x14ac:dyDescent="0.25">
      <c r="B20" s="60" t="s">
        <v>15</v>
      </c>
      <c r="C20" s="65"/>
      <c r="D20" s="65"/>
      <c r="E20" s="66"/>
      <c r="F20" s="66"/>
    </row>
    <row r="21" spans="2:7" ht="13.5" customHeight="1" thickBot="1" x14ac:dyDescent="0.25">
      <c r="B21" s="62" t="s">
        <v>14</v>
      </c>
      <c r="C21" s="68"/>
      <c r="D21" s="68"/>
      <c r="E21" s="69"/>
      <c r="F21" s="69"/>
    </row>
    <row r="22" spans="2:7" ht="13.5" customHeight="1" thickBot="1" x14ac:dyDescent="0.25">
      <c r="B22" s="70"/>
      <c r="C22" s="71"/>
      <c r="D22" s="71"/>
      <c r="E22" s="72"/>
      <c r="F22" s="72"/>
    </row>
    <row r="23" spans="2:7" ht="13.5" customHeight="1" thickBot="1" x14ac:dyDescent="0.25">
      <c r="C23" s="73" t="s">
        <v>21</v>
      </c>
      <c r="D23" s="51" t="s">
        <v>22</v>
      </c>
      <c r="E23" s="51" t="s">
        <v>23</v>
      </c>
      <c r="F23" s="52" t="s">
        <v>24</v>
      </c>
    </row>
    <row r="24" spans="2:7" ht="13.5" customHeight="1" thickBot="1" x14ac:dyDescent="0.25">
      <c r="B24" s="74" t="s">
        <v>15</v>
      </c>
      <c r="C24" s="197"/>
      <c r="D24" s="197"/>
      <c r="E24" s="198"/>
      <c r="F24" s="198"/>
    </row>
    <row r="41" spans="2:3" ht="12.75" customHeight="1" x14ac:dyDescent="0.2">
      <c r="B41" s="75"/>
      <c r="C41" s="48"/>
    </row>
    <row r="42" spans="2:3" x14ac:dyDescent="0.2">
      <c r="B42" s="50"/>
      <c r="C42" s="49"/>
    </row>
    <row r="43" spans="2:3" x14ac:dyDescent="0.2">
      <c r="B43" s="50"/>
      <c r="C43" s="49"/>
    </row>
    <row r="44" spans="2:3" x14ac:dyDescent="0.2">
      <c r="B44" s="50"/>
      <c r="C44" s="49"/>
    </row>
    <row r="45" spans="2:3" x14ac:dyDescent="0.2">
      <c r="B45" s="50"/>
      <c r="C45" s="49"/>
    </row>
    <row r="46" spans="2:3" x14ac:dyDescent="0.2">
      <c r="B46" s="50"/>
      <c r="C46" s="49"/>
    </row>
  </sheetData>
  <mergeCells count="8">
    <mergeCell ref="B2:F2"/>
    <mergeCell ref="B4:B5"/>
    <mergeCell ref="C4:D4"/>
    <mergeCell ref="B12:F12"/>
    <mergeCell ref="B15:B16"/>
    <mergeCell ref="C15:D15"/>
    <mergeCell ref="E15:E16"/>
    <mergeCell ref="F15:F16"/>
  </mergeCells>
  <pageMargins left="0.75" right="0.75" top="1" bottom="1" header="0.5" footer="0.5"/>
  <pageSetup scale="7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CCD6-7676-4957-8691-C3F940E750FC}">
  <sheetPr>
    <tabColor theme="0" tint="-0.499984740745262"/>
  </sheetPr>
  <dimension ref="A1:Q99"/>
  <sheetViews>
    <sheetView zoomScaleNormal="100" workbookViewId="0"/>
  </sheetViews>
  <sheetFormatPr defaultColWidth="9.140625" defaultRowHeight="12.75" x14ac:dyDescent="0.2"/>
  <cols>
    <col min="1" max="1" width="2.42578125" style="1" customWidth="1"/>
    <col min="2" max="5" width="10.7109375" style="1" customWidth="1"/>
    <col min="6" max="6" width="16.42578125" style="1" customWidth="1"/>
    <col min="7" max="11" width="14.28515625" style="1" customWidth="1"/>
    <col min="12" max="12" width="13.42578125" style="1" customWidth="1"/>
    <col min="13" max="13" width="12.7109375" style="1" bestFit="1" customWidth="1"/>
    <col min="14" max="14" width="13.42578125" style="1" customWidth="1"/>
    <col min="15" max="15" width="11.42578125" style="1" bestFit="1" customWidth="1"/>
    <col min="16" max="17" width="13.42578125" style="1" customWidth="1"/>
    <col min="18" max="16384" width="9.140625" style="1"/>
  </cols>
  <sheetData>
    <row r="1" spans="2:17" ht="13.5" customHeight="1" thickBot="1" x14ac:dyDescent="0.25"/>
    <row r="2" spans="2:17" ht="13.5" thickBot="1" x14ac:dyDescent="0.25">
      <c r="B2" s="224" t="s">
        <v>147</v>
      </c>
      <c r="C2" s="225"/>
      <c r="D2" s="225"/>
      <c r="E2" s="225"/>
      <c r="F2" s="225"/>
      <c r="G2" s="225"/>
      <c r="H2" s="225"/>
      <c r="I2" s="225"/>
      <c r="J2" s="225"/>
      <c r="K2" s="226"/>
      <c r="L2" s="148"/>
    </row>
    <row r="3" spans="2:17" ht="13.5" thickBot="1" x14ac:dyDescent="0.25"/>
    <row r="4" spans="2:17" ht="68.25" customHeight="1" thickBot="1" x14ac:dyDescent="0.25">
      <c r="B4" s="224" t="s">
        <v>173</v>
      </c>
      <c r="C4" s="225"/>
      <c r="D4" s="225"/>
      <c r="E4" s="225"/>
      <c r="F4" s="225"/>
      <c r="G4" s="225"/>
      <c r="H4" s="225"/>
      <c r="I4" s="225"/>
      <c r="J4" s="225"/>
      <c r="K4" s="226"/>
      <c r="L4" s="148"/>
    </row>
    <row r="5" spans="2:17" s="13" customFormat="1" ht="13.5" thickBo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2:17" ht="13.5" thickBot="1" x14ac:dyDescent="0.25"/>
    <row r="7" spans="2:17" ht="13.5" thickBot="1" x14ac:dyDescent="0.25">
      <c r="B7" s="138" t="s">
        <v>117</v>
      </c>
      <c r="C7" s="139" t="s">
        <v>98</v>
      </c>
      <c r="D7" s="140" t="s">
        <v>97</v>
      </c>
      <c r="F7" s="138" t="s">
        <v>32</v>
      </c>
      <c r="G7" s="139" t="s">
        <v>98</v>
      </c>
      <c r="H7" s="139" t="s">
        <v>97</v>
      </c>
      <c r="I7" s="139" t="s">
        <v>14</v>
      </c>
      <c r="J7" s="139" t="s">
        <v>155</v>
      </c>
      <c r="K7" s="140" t="s">
        <v>156</v>
      </c>
      <c r="M7"/>
      <c r="N7"/>
      <c r="O7"/>
    </row>
    <row r="8" spans="2:17" x14ac:dyDescent="0.2">
      <c r="B8" s="137">
        <v>0</v>
      </c>
      <c r="C8" s="137">
        <v>37431</v>
      </c>
      <c r="D8" s="137">
        <v>35132</v>
      </c>
      <c r="F8" s="141" t="s">
        <v>149</v>
      </c>
      <c r="G8" s="144"/>
      <c r="H8" s="144"/>
      <c r="I8" s="144"/>
      <c r="J8" s="151"/>
      <c r="K8" s="152"/>
      <c r="M8"/>
      <c r="N8"/>
      <c r="O8"/>
    </row>
    <row r="9" spans="2:17" x14ac:dyDescent="0.2">
      <c r="B9" s="136">
        <v>1</v>
      </c>
      <c r="C9" s="136">
        <v>40695</v>
      </c>
      <c r="D9" s="136">
        <v>37921</v>
      </c>
      <c r="F9" s="142" t="s">
        <v>150</v>
      </c>
      <c r="G9" s="145"/>
      <c r="H9" s="145"/>
      <c r="I9" s="145"/>
      <c r="J9" s="149"/>
      <c r="K9" s="153"/>
      <c r="M9"/>
      <c r="N9"/>
      <c r="O9"/>
    </row>
    <row r="10" spans="2:17" x14ac:dyDescent="0.2">
      <c r="B10" s="136">
        <v>2</v>
      </c>
      <c r="C10" s="136">
        <v>45036</v>
      </c>
      <c r="D10" s="136">
        <v>42636</v>
      </c>
      <c r="F10" s="142" t="s">
        <v>151</v>
      </c>
      <c r="G10" s="145"/>
      <c r="H10" s="145"/>
      <c r="I10" s="145"/>
      <c r="J10" s="149"/>
      <c r="K10" s="153"/>
      <c r="M10"/>
      <c r="N10"/>
      <c r="O10"/>
    </row>
    <row r="11" spans="2:17" x14ac:dyDescent="0.2">
      <c r="B11" s="136">
        <v>3</v>
      </c>
      <c r="C11" s="136">
        <v>46391</v>
      </c>
      <c r="D11" s="136">
        <v>43885</v>
      </c>
      <c r="F11" s="143" t="s">
        <v>152</v>
      </c>
      <c r="G11" s="146"/>
      <c r="H11" s="146"/>
      <c r="I11" s="146"/>
      <c r="J11" s="150"/>
      <c r="K11" s="154"/>
      <c r="M11"/>
      <c r="N11"/>
      <c r="O11"/>
    </row>
    <row r="12" spans="2:17" x14ac:dyDescent="0.2">
      <c r="B12" s="136">
        <v>4</v>
      </c>
      <c r="C12" s="136">
        <v>48851</v>
      </c>
      <c r="D12" s="136">
        <v>45876</v>
      </c>
      <c r="F12" s="143" t="s">
        <v>153</v>
      </c>
      <c r="G12" s="146"/>
      <c r="H12" s="146"/>
      <c r="I12" s="146"/>
      <c r="J12" s="150"/>
      <c r="K12" s="154"/>
      <c r="M12"/>
      <c r="N12"/>
      <c r="O12"/>
    </row>
    <row r="13" spans="2:17" x14ac:dyDescent="0.2">
      <c r="B13" s="136">
        <v>5</v>
      </c>
      <c r="C13" s="136">
        <v>48675</v>
      </c>
      <c r="D13" s="136">
        <v>46018</v>
      </c>
      <c r="F13" s="143" t="s">
        <v>154</v>
      </c>
      <c r="G13" s="146"/>
      <c r="H13" s="146"/>
      <c r="I13" s="146"/>
      <c r="J13" s="150"/>
      <c r="K13" s="154"/>
      <c r="M13"/>
      <c r="N13"/>
      <c r="O13"/>
    </row>
    <row r="14" spans="2:17" ht="13.5" thickBot="1" x14ac:dyDescent="0.25">
      <c r="B14" s="136">
        <v>6</v>
      </c>
      <c r="C14" s="136">
        <v>47353</v>
      </c>
      <c r="D14" s="136">
        <v>44537</v>
      </c>
      <c r="F14" s="143" t="s">
        <v>148</v>
      </c>
      <c r="G14" s="146"/>
      <c r="H14" s="146"/>
      <c r="I14" s="146"/>
      <c r="J14" s="150"/>
      <c r="K14" s="154"/>
      <c r="M14"/>
      <c r="N14"/>
      <c r="O14"/>
    </row>
    <row r="15" spans="2:17" ht="13.5" thickBot="1" x14ac:dyDescent="0.25">
      <c r="B15" s="136">
        <v>7</v>
      </c>
      <c r="C15" s="136">
        <v>47520</v>
      </c>
      <c r="D15" s="136">
        <v>45013</v>
      </c>
      <c r="F15" s="19" t="s">
        <v>14</v>
      </c>
      <c r="G15" s="147"/>
      <c r="H15" s="147"/>
      <c r="I15" s="147"/>
      <c r="J15" s="38"/>
      <c r="K15" s="155"/>
      <c r="M15"/>
      <c r="N15"/>
      <c r="O15"/>
    </row>
    <row r="16" spans="2:17" ht="13.5" thickBot="1" x14ac:dyDescent="0.25">
      <c r="B16" s="136">
        <v>8</v>
      </c>
      <c r="C16" s="136">
        <v>48709</v>
      </c>
      <c r="D16" s="136">
        <v>45945</v>
      </c>
      <c r="M16"/>
      <c r="N16"/>
      <c r="O16"/>
    </row>
    <row r="17" spans="2:15" ht="13.5" thickBot="1" x14ac:dyDescent="0.25">
      <c r="B17" s="136">
        <v>9</v>
      </c>
      <c r="C17" s="136">
        <v>49247</v>
      </c>
      <c r="D17" s="136">
        <v>46602</v>
      </c>
      <c r="F17" s="159" t="s">
        <v>134</v>
      </c>
      <c r="G17" s="163"/>
      <c r="M17"/>
      <c r="N17"/>
      <c r="O17"/>
    </row>
    <row r="18" spans="2:15" ht="13.5" thickBot="1" x14ac:dyDescent="0.25">
      <c r="B18" s="136">
        <v>10</v>
      </c>
      <c r="C18" s="136">
        <v>48492</v>
      </c>
      <c r="D18" s="136">
        <v>45981</v>
      </c>
      <c r="M18"/>
      <c r="N18"/>
      <c r="O18"/>
    </row>
    <row r="19" spans="2:15" x14ac:dyDescent="0.2">
      <c r="B19" s="136">
        <v>11</v>
      </c>
      <c r="C19" s="136">
        <v>48194</v>
      </c>
      <c r="D19" s="136">
        <v>45840</v>
      </c>
      <c r="F19" s="160" t="s">
        <v>157</v>
      </c>
      <c r="G19" s="157"/>
      <c r="M19"/>
      <c r="N19"/>
      <c r="O19"/>
    </row>
    <row r="20" spans="2:15" x14ac:dyDescent="0.2">
      <c r="B20" s="136">
        <v>12</v>
      </c>
      <c r="C20" s="136">
        <v>46145</v>
      </c>
      <c r="D20" s="136">
        <v>43747</v>
      </c>
      <c r="F20" s="161" t="s">
        <v>158</v>
      </c>
      <c r="G20" s="158"/>
      <c r="M20"/>
      <c r="N20"/>
      <c r="O20"/>
    </row>
    <row r="21" spans="2:15" ht="13.5" thickBot="1" x14ac:dyDescent="0.25">
      <c r="B21" s="136">
        <v>13</v>
      </c>
      <c r="C21" s="136">
        <v>47143</v>
      </c>
      <c r="D21" s="136">
        <v>44143</v>
      </c>
      <c r="F21" s="162" t="s">
        <v>159</v>
      </c>
      <c r="G21" s="156"/>
      <c r="M21"/>
      <c r="N21"/>
      <c r="O21"/>
    </row>
    <row r="22" spans="2:15" x14ac:dyDescent="0.2">
      <c r="B22" s="136">
        <v>14</v>
      </c>
      <c r="C22" s="136">
        <v>45584</v>
      </c>
      <c r="D22" s="136">
        <v>42806</v>
      </c>
      <c r="M22"/>
      <c r="N22"/>
      <c r="O22"/>
    </row>
    <row r="23" spans="2:15" x14ac:dyDescent="0.2">
      <c r="B23" s="136">
        <v>15</v>
      </c>
      <c r="C23" s="136">
        <v>46243</v>
      </c>
      <c r="D23" s="136">
        <v>44328</v>
      </c>
      <c r="M23"/>
      <c r="N23"/>
      <c r="O23"/>
    </row>
    <row r="24" spans="2:15" x14ac:dyDescent="0.2">
      <c r="B24" s="136">
        <v>16</v>
      </c>
      <c r="C24" s="136">
        <v>49392</v>
      </c>
      <c r="D24" s="136">
        <v>46597</v>
      </c>
      <c r="G24"/>
      <c r="H24"/>
      <c r="I24"/>
    </row>
    <row r="25" spans="2:15" ht="13.5" customHeight="1" x14ac:dyDescent="0.2">
      <c r="B25" s="136">
        <v>17</v>
      </c>
      <c r="C25" s="136">
        <v>51005</v>
      </c>
      <c r="D25" s="136">
        <v>48339</v>
      </c>
      <c r="G25"/>
      <c r="H25"/>
      <c r="I25"/>
    </row>
    <row r="26" spans="2:15" x14ac:dyDescent="0.2">
      <c r="B26" s="136">
        <v>18</v>
      </c>
      <c r="C26" s="136">
        <v>51102</v>
      </c>
      <c r="D26" s="136">
        <v>48424</v>
      </c>
      <c r="G26"/>
      <c r="H26"/>
      <c r="I26"/>
    </row>
    <row r="27" spans="2:15" x14ac:dyDescent="0.2">
      <c r="B27" s="136">
        <v>19</v>
      </c>
      <c r="C27" s="136">
        <v>52567</v>
      </c>
      <c r="D27" s="136">
        <v>50035</v>
      </c>
      <c r="G27"/>
      <c r="H27"/>
      <c r="I27"/>
    </row>
    <row r="28" spans="2:15" ht="13.5" customHeight="1" x14ac:dyDescent="0.2">
      <c r="B28" s="136">
        <v>20</v>
      </c>
      <c r="C28" s="136">
        <v>52137</v>
      </c>
      <c r="D28" s="136">
        <v>48714</v>
      </c>
      <c r="G28"/>
      <c r="H28"/>
      <c r="I28"/>
    </row>
    <row r="29" spans="2:15" ht="13.5" customHeight="1" x14ac:dyDescent="0.2">
      <c r="B29" s="136">
        <v>21</v>
      </c>
      <c r="C29" s="136">
        <v>50777</v>
      </c>
      <c r="D29" s="136">
        <v>48300</v>
      </c>
      <c r="G29"/>
      <c r="H29"/>
      <c r="I29"/>
    </row>
    <row r="30" spans="2:15" ht="13.5" customHeight="1" x14ac:dyDescent="0.2">
      <c r="B30" s="136">
        <v>22</v>
      </c>
      <c r="C30" s="136">
        <v>51259</v>
      </c>
      <c r="D30" s="136">
        <v>48847</v>
      </c>
      <c r="G30"/>
      <c r="H30"/>
      <c r="I30"/>
    </row>
    <row r="31" spans="2:15" x14ac:dyDescent="0.2">
      <c r="B31" s="136">
        <v>23</v>
      </c>
      <c r="C31" s="136">
        <v>52718</v>
      </c>
      <c r="D31" s="136">
        <v>50452</v>
      </c>
      <c r="G31"/>
      <c r="H31"/>
      <c r="I31"/>
    </row>
    <row r="32" spans="2:15" x14ac:dyDescent="0.2">
      <c r="B32" s="136">
        <v>24</v>
      </c>
      <c r="C32" s="136">
        <v>53403</v>
      </c>
      <c r="D32" s="136">
        <v>50501</v>
      </c>
      <c r="G32"/>
      <c r="H32"/>
      <c r="I32"/>
    </row>
    <row r="33" spans="1:15" x14ac:dyDescent="0.2">
      <c r="B33" s="136">
        <v>25</v>
      </c>
      <c r="C33" s="136">
        <v>54008</v>
      </c>
      <c r="D33" s="136">
        <v>50932</v>
      </c>
      <c r="G33"/>
      <c r="H33"/>
      <c r="I33"/>
    </row>
    <row r="34" spans="1:15" x14ac:dyDescent="0.2">
      <c r="A34" s="1" t="s">
        <v>12</v>
      </c>
      <c r="B34" s="136">
        <v>26</v>
      </c>
      <c r="C34" s="136">
        <v>52108</v>
      </c>
      <c r="D34" s="136">
        <v>48554</v>
      </c>
      <c r="G34"/>
      <c r="H34"/>
      <c r="I34"/>
    </row>
    <row r="35" spans="1:15" x14ac:dyDescent="0.2">
      <c r="B35" s="136">
        <v>27</v>
      </c>
      <c r="C35" s="136">
        <v>52815</v>
      </c>
      <c r="D35" s="136">
        <v>49764</v>
      </c>
      <c r="G35"/>
      <c r="H35"/>
      <c r="I35"/>
    </row>
    <row r="36" spans="1:15" x14ac:dyDescent="0.2">
      <c r="A36" s="1" t="s">
        <v>13</v>
      </c>
      <c r="B36" s="136">
        <v>28</v>
      </c>
      <c r="C36" s="136">
        <v>54629</v>
      </c>
      <c r="D36" s="136">
        <v>50405</v>
      </c>
      <c r="G36"/>
      <c r="H36"/>
      <c r="I36"/>
    </row>
    <row r="37" spans="1:15" x14ac:dyDescent="0.2">
      <c r="B37" s="136">
        <v>29</v>
      </c>
      <c r="C37" s="136">
        <v>56755</v>
      </c>
      <c r="D37" s="136">
        <v>52765</v>
      </c>
      <c r="M37"/>
      <c r="N37"/>
      <c r="O37"/>
    </row>
    <row r="38" spans="1:15" x14ac:dyDescent="0.2">
      <c r="B38" s="136">
        <v>30</v>
      </c>
      <c r="C38" s="136">
        <v>59561</v>
      </c>
      <c r="D38" s="136">
        <v>55440</v>
      </c>
      <c r="M38"/>
      <c r="N38"/>
      <c r="O38"/>
    </row>
    <row r="39" spans="1:15" x14ac:dyDescent="0.2">
      <c r="B39" s="136">
        <v>31</v>
      </c>
      <c r="C39" s="136">
        <v>61035</v>
      </c>
      <c r="D39" s="136">
        <v>56741</v>
      </c>
      <c r="M39"/>
      <c r="N39"/>
      <c r="O39"/>
    </row>
    <row r="40" spans="1:15" x14ac:dyDescent="0.2">
      <c r="B40" s="136">
        <v>32</v>
      </c>
      <c r="C40" s="136">
        <v>61155</v>
      </c>
      <c r="D40" s="136">
        <v>57053</v>
      </c>
      <c r="M40"/>
      <c r="N40"/>
      <c r="O40"/>
    </row>
    <row r="41" spans="1:15" x14ac:dyDescent="0.2">
      <c r="B41" s="136">
        <v>33</v>
      </c>
      <c r="C41" s="136">
        <v>63371</v>
      </c>
      <c r="D41" s="136">
        <v>58573</v>
      </c>
      <c r="M41"/>
      <c r="N41"/>
      <c r="O41"/>
    </row>
    <row r="42" spans="1:15" x14ac:dyDescent="0.2">
      <c r="B42" s="136">
        <v>34</v>
      </c>
      <c r="C42" s="136">
        <v>65536</v>
      </c>
      <c r="D42" s="136">
        <v>60750</v>
      </c>
      <c r="M42"/>
      <c r="N42"/>
      <c r="O42"/>
    </row>
    <row r="43" spans="1:15" x14ac:dyDescent="0.2">
      <c r="B43" s="136">
        <v>35</v>
      </c>
      <c r="C43" s="136">
        <v>64957</v>
      </c>
      <c r="D43" s="136">
        <v>60639</v>
      </c>
      <c r="M43"/>
      <c r="N43"/>
      <c r="O43"/>
    </row>
    <row r="44" spans="1:15" x14ac:dyDescent="0.2">
      <c r="B44" s="136">
        <v>36</v>
      </c>
      <c r="C44" s="136">
        <v>64242</v>
      </c>
      <c r="D44" s="136">
        <v>59158</v>
      </c>
      <c r="M44"/>
      <c r="N44"/>
      <c r="O44"/>
    </row>
    <row r="45" spans="1:15" x14ac:dyDescent="0.2">
      <c r="B45" s="136">
        <v>37</v>
      </c>
      <c r="C45" s="136">
        <v>64230</v>
      </c>
      <c r="D45" s="136">
        <v>59395</v>
      </c>
      <c r="M45"/>
      <c r="N45"/>
      <c r="O45"/>
    </row>
    <row r="46" spans="1:15" x14ac:dyDescent="0.2">
      <c r="B46" s="136">
        <v>38</v>
      </c>
      <c r="C46" s="136">
        <v>64267</v>
      </c>
      <c r="D46" s="136">
        <v>59812</v>
      </c>
      <c r="M46"/>
      <c r="N46"/>
      <c r="O46"/>
    </row>
    <row r="47" spans="1:15" x14ac:dyDescent="0.2">
      <c r="B47" s="136">
        <v>39</v>
      </c>
      <c r="C47" s="136">
        <v>64316</v>
      </c>
      <c r="D47" s="136">
        <v>61026</v>
      </c>
      <c r="M47"/>
      <c r="N47"/>
      <c r="O47"/>
    </row>
    <row r="48" spans="1:15" x14ac:dyDescent="0.2">
      <c r="B48" s="136">
        <v>40</v>
      </c>
      <c r="C48" s="136">
        <v>65086</v>
      </c>
      <c r="D48" s="136">
        <v>61006</v>
      </c>
      <c r="M48"/>
      <c r="N48"/>
      <c r="O48"/>
    </row>
    <row r="49" spans="2:15" x14ac:dyDescent="0.2">
      <c r="B49" s="136">
        <v>41</v>
      </c>
      <c r="C49" s="136">
        <v>62042</v>
      </c>
      <c r="D49" s="136">
        <v>59125</v>
      </c>
      <c r="M49"/>
      <c r="N49"/>
      <c r="O49"/>
    </row>
    <row r="50" spans="2:15" x14ac:dyDescent="0.2">
      <c r="B50" s="136">
        <v>42</v>
      </c>
      <c r="C50" s="136">
        <v>62644</v>
      </c>
      <c r="D50" s="136">
        <v>60049</v>
      </c>
      <c r="M50"/>
      <c r="N50"/>
      <c r="O50"/>
    </row>
    <row r="51" spans="2:15" ht="12.75" customHeight="1" x14ac:dyDescent="0.2">
      <c r="B51" s="136">
        <v>43</v>
      </c>
      <c r="C51" s="136">
        <v>66004</v>
      </c>
      <c r="D51" s="136">
        <v>62380</v>
      </c>
      <c r="M51"/>
      <c r="N51"/>
      <c r="O51"/>
    </row>
    <row r="52" spans="2:15" x14ac:dyDescent="0.2">
      <c r="B52" s="136">
        <v>44</v>
      </c>
      <c r="C52" s="136">
        <v>69362</v>
      </c>
      <c r="D52" s="136">
        <v>66990</v>
      </c>
      <c r="M52"/>
      <c r="N52"/>
      <c r="O52"/>
    </row>
    <row r="53" spans="2:15" x14ac:dyDescent="0.2">
      <c r="B53" s="136">
        <v>45</v>
      </c>
      <c r="C53" s="136">
        <v>71925</v>
      </c>
      <c r="D53" s="136">
        <v>69744</v>
      </c>
      <c r="M53"/>
      <c r="N53"/>
      <c r="O53"/>
    </row>
    <row r="54" spans="2:15" x14ac:dyDescent="0.2">
      <c r="B54" s="136">
        <v>46</v>
      </c>
      <c r="C54" s="136">
        <v>77122</v>
      </c>
      <c r="D54" s="136">
        <v>74511</v>
      </c>
      <c r="M54"/>
      <c r="N54"/>
      <c r="O54"/>
    </row>
    <row r="55" spans="2:15" x14ac:dyDescent="0.2">
      <c r="B55" s="136">
        <v>47</v>
      </c>
      <c r="C55" s="136">
        <v>80821</v>
      </c>
      <c r="D55" s="136">
        <v>77782</v>
      </c>
      <c r="M55"/>
      <c r="N55"/>
      <c r="O55"/>
    </row>
    <row r="56" spans="2:15" x14ac:dyDescent="0.2">
      <c r="B56" s="136">
        <v>48</v>
      </c>
      <c r="C56" s="136">
        <v>84674</v>
      </c>
      <c r="D56" s="136">
        <v>81966</v>
      </c>
      <c r="M56"/>
      <c r="N56"/>
      <c r="O56"/>
    </row>
    <row r="57" spans="2:15" x14ac:dyDescent="0.2">
      <c r="B57" s="136">
        <v>49</v>
      </c>
      <c r="C57" s="136">
        <v>88036</v>
      </c>
      <c r="D57" s="136">
        <v>84675</v>
      </c>
      <c r="M57"/>
      <c r="N57"/>
      <c r="O57"/>
    </row>
    <row r="58" spans="2:15" x14ac:dyDescent="0.2">
      <c r="B58" s="136">
        <v>50</v>
      </c>
      <c r="C58" s="136">
        <v>91358</v>
      </c>
      <c r="D58" s="136">
        <v>88510</v>
      </c>
      <c r="M58"/>
      <c r="N58"/>
      <c r="O58"/>
    </row>
    <row r="59" spans="2:15" x14ac:dyDescent="0.2">
      <c r="B59" s="136">
        <v>51</v>
      </c>
      <c r="C59" s="136">
        <v>86897</v>
      </c>
      <c r="D59" s="136">
        <v>84659</v>
      </c>
      <c r="M59"/>
      <c r="N59"/>
      <c r="O59"/>
    </row>
    <row r="60" spans="2:15" x14ac:dyDescent="0.2">
      <c r="B60" s="136">
        <v>52</v>
      </c>
      <c r="C60" s="136">
        <v>73018</v>
      </c>
      <c r="D60" s="136">
        <v>71493</v>
      </c>
      <c r="M60"/>
      <c r="N60"/>
      <c r="O60"/>
    </row>
    <row r="61" spans="2:15" x14ac:dyDescent="0.2">
      <c r="B61" s="136">
        <v>53</v>
      </c>
      <c r="C61" s="136">
        <v>71541</v>
      </c>
      <c r="D61" s="136">
        <v>69874</v>
      </c>
      <c r="M61"/>
      <c r="N61"/>
      <c r="O61"/>
    </row>
    <row r="62" spans="2:15" x14ac:dyDescent="0.2">
      <c r="B62" s="136">
        <v>54</v>
      </c>
      <c r="C62" s="136">
        <v>69527</v>
      </c>
      <c r="D62" s="136">
        <v>68735</v>
      </c>
      <c r="M62"/>
      <c r="N62"/>
      <c r="O62"/>
    </row>
    <row r="63" spans="2:15" x14ac:dyDescent="0.2">
      <c r="B63" s="136">
        <v>55</v>
      </c>
      <c r="C63" s="136">
        <v>69522</v>
      </c>
      <c r="D63" s="136">
        <v>69385</v>
      </c>
      <c r="M63"/>
      <c r="N63"/>
      <c r="O63"/>
    </row>
    <row r="64" spans="2:15" x14ac:dyDescent="0.2">
      <c r="B64" s="136">
        <v>56</v>
      </c>
      <c r="C64" s="136">
        <v>69606</v>
      </c>
      <c r="D64" s="136">
        <v>69777</v>
      </c>
      <c r="M64"/>
      <c r="N64"/>
      <c r="O64"/>
    </row>
    <row r="65" spans="2:15" x14ac:dyDescent="0.2">
      <c r="B65" s="136">
        <v>57</v>
      </c>
      <c r="C65" s="136">
        <v>67810</v>
      </c>
      <c r="D65" s="136">
        <v>69766</v>
      </c>
      <c r="M65"/>
      <c r="N65"/>
      <c r="O65"/>
    </row>
    <row r="66" spans="2:15" x14ac:dyDescent="0.2">
      <c r="B66" s="136">
        <v>58</v>
      </c>
      <c r="C66" s="136">
        <v>64109</v>
      </c>
      <c r="D66" s="136">
        <v>66632</v>
      </c>
      <c r="M66"/>
      <c r="N66"/>
      <c r="O66"/>
    </row>
    <row r="67" spans="2:15" x14ac:dyDescent="0.2">
      <c r="B67" s="136">
        <v>59</v>
      </c>
      <c r="C67" s="136">
        <v>57629</v>
      </c>
      <c r="D67" s="136">
        <v>60203</v>
      </c>
      <c r="M67"/>
      <c r="N67"/>
      <c r="O67"/>
    </row>
    <row r="68" spans="2:15" x14ac:dyDescent="0.2">
      <c r="B68" s="136">
        <v>60</v>
      </c>
      <c r="C68" s="136">
        <v>54234</v>
      </c>
      <c r="D68" s="136">
        <v>57564</v>
      </c>
      <c r="M68"/>
      <c r="N68"/>
      <c r="O68"/>
    </row>
    <row r="69" spans="2:15" x14ac:dyDescent="0.2">
      <c r="B69" s="136">
        <v>61</v>
      </c>
      <c r="C69" s="136">
        <v>51980</v>
      </c>
      <c r="D69" s="136">
        <v>56682</v>
      </c>
      <c r="M69"/>
      <c r="N69"/>
      <c r="O69"/>
    </row>
    <row r="70" spans="2:15" x14ac:dyDescent="0.2">
      <c r="B70" s="136">
        <v>62</v>
      </c>
      <c r="C70" s="136">
        <v>50197</v>
      </c>
      <c r="D70" s="136">
        <v>55783</v>
      </c>
      <c r="M70"/>
      <c r="N70"/>
      <c r="O70"/>
    </row>
    <row r="71" spans="2:15" x14ac:dyDescent="0.2">
      <c r="B71" s="136">
        <v>63</v>
      </c>
      <c r="C71" s="136">
        <v>47075</v>
      </c>
      <c r="D71" s="136">
        <v>53960</v>
      </c>
      <c r="M71"/>
      <c r="N71"/>
      <c r="O71"/>
    </row>
    <row r="72" spans="2:15" x14ac:dyDescent="0.2">
      <c r="B72" s="136">
        <v>64</v>
      </c>
      <c r="C72" s="136">
        <v>49006</v>
      </c>
      <c r="D72" s="136">
        <v>57147</v>
      </c>
      <c r="M72"/>
      <c r="N72"/>
      <c r="O72"/>
    </row>
    <row r="73" spans="2:15" x14ac:dyDescent="0.2">
      <c r="B73" s="136">
        <v>65</v>
      </c>
      <c r="C73" s="136">
        <v>49130</v>
      </c>
      <c r="D73" s="136">
        <v>58825</v>
      </c>
      <c r="M73"/>
      <c r="N73"/>
      <c r="O73"/>
    </row>
    <row r="74" spans="2:15" x14ac:dyDescent="0.2">
      <c r="B74" s="136">
        <v>66</v>
      </c>
      <c r="C74" s="136">
        <v>47708</v>
      </c>
      <c r="D74" s="136">
        <v>59308</v>
      </c>
      <c r="M74"/>
      <c r="N74"/>
      <c r="O74"/>
    </row>
    <row r="75" spans="2:15" x14ac:dyDescent="0.2">
      <c r="B75" s="136">
        <v>67</v>
      </c>
      <c r="C75" s="136">
        <v>48151</v>
      </c>
      <c r="D75" s="136">
        <v>60953</v>
      </c>
      <c r="M75"/>
      <c r="N75"/>
      <c r="O75"/>
    </row>
    <row r="76" spans="2:15" x14ac:dyDescent="0.2">
      <c r="B76" s="136">
        <v>68</v>
      </c>
      <c r="C76" s="136">
        <v>47869</v>
      </c>
      <c r="D76" s="136">
        <v>61967</v>
      </c>
      <c r="M76"/>
      <c r="N76"/>
      <c r="O76"/>
    </row>
    <row r="77" spans="2:15" x14ac:dyDescent="0.2">
      <c r="B77" s="136">
        <v>69</v>
      </c>
      <c r="C77" s="136">
        <v>51685</v>
      </c>
      <c r="D77" s="136">
        <v>69404</v>
      </c>
      <c r="M77"/>
      <c r="N77"/>
      <c r="O77"/>
    </row>
    <row r="78" spans="2:15" x14ac:dyDescent="0.2">
      <c r="B78" s="136">
        <v>70</v>
      </c>
      <c r="C78" s="136">
        <v>53771</v>
      </c>
      <c r="D78" s="136">
        <v>73480</v>
      </c>
      <c r="M78"/>
      <c r="N78"/>
      <c r="O78"/>
    </row>
    <row r="79" spans="2:15" x14ac:dyDescent="0.2">
      <c r="B79" s="136">
        <v>71</v>
      </c>
      <c r="C79" s="136">
        <v>54002</v>
      </c>
      <c r="D79" s="136">
        <v>75600</v>
      </c>
      <c r="M79"/>
      <c r="N79"/>
      <c r="O79"/>
    </row>
    <row r="80" spans="2:15" x14ac:dyDescent="0.2">
      <c r="B80" s="136">
        <v>72</v>
      </c>
      <c r="C80" s="136">
        <v>47527</v>
      </c>
      <c r="D80" s="136">
        <v>67890</v>
      </c>
      <c r="M80"/>
      <c r="N80"/>
      <c r="O80"/>
    </row>
    <row r="81" spans="2:15" x14ac:dyDescent="0.2">
      <c r="B81" s="136">
        <v>73</v>
      </c>
      <c r="C81" s="136">
        <v>39743</v>
      </c>
      <c r="D81" s="136">
        <v>59723</v>
      </c>
      <c r="M81"/>
      <c r="N81"/>
      <c r="O81"/>
    </row>
    <row r="82" spans="2:15" x14ac:dyDescent="0.2">
      <c r="B82" s="136">
        <v>74</v>
      </c>
      <c r="C82" s="136">
        <v>38222</v>
      </c>
      <c r="D82" s="136">
        <v>59699</v>
      </c>
      <c r="M82"/>
      <c r="N82"/>
      <c r="O82"/>
    </row>
    <row r="83" spans="2:15" x14ac:dyDescent="0.2">
      <c r="B83" s="136">
        <v>75</v>
      </c>
      <c r="C83" s="136">
        <v>36916</v>
      </c>
      <c r="D83" s="136">
        <v>57962</v>
      </c>
      <c r="M83"/>
      <c r="N83"/>
      <c r="O83"/>
    </row>
    <row r="84" spans="2:15" x14ac:dyDescent="0.2">
      <c r="B84" s="136">
        <v>76</v>
      </c>
      <c r="C84" s="136">
        <v>33602</v>
      </c>
      <c r="D84" s="136">
        <v>54421</v>
      </c>
      <c r="M84"/>
      <c r="N84"/>
      <c r="O84"/>
    </row>
    <row r="85" spans="2:15" x14ac:dyDescent="0.2">
      <c r="B85" s="136">
        <v>77</v>
      </c>
      <c r="C85" s="136">
        <v>30957</v>
      </c>
      <c r="D85" s="136">
        <v>51904</v>
      </c>
      <c r="M85"/>
      <c r="N85"/>
      <c r="O85"/>
    </row>
    <row r="86" spans="2:15" x14ac:dyDescent="0.2">
      <c r="B86" s="136">
        <v>78</v>
      </c>
      <c r="C86" s="136">
        <v>28210</v>
      </c>
      <c r="D86" s="136">
        <v>48302</v>
      </c>
      <c r="M86"/>
      <c r="N86"/>
      <c r="O86"/>
    </row>
    <row r="87" spans="2:15" x14ac:dyDescent="0.2">
      <c r="B87" s="136">
        <v>79</v>
      </c>
      <c r="C87" s="136">
        <v>23265</v>
      </c>
      <c r="D87" s="136">
        <v>40490</v>
      </c>
      <c r="M87"/>
      <c r="N87"/>
      <c r="O87"/>
    </row>
    <row r="88" spans="2:15" x14ac:dyDescent="0.2">
      <c r="B88" s="136">
        <v>80</v>
      </c>
      <c r="C88" s="136">
        <v>20366</v>
      </c>
      <c r="D88" s="136">
        <v>37999</v>
      </c>
      <c r="M88"/>
      <c r="N88"/>
      <c r="O88"/>
    </row>
    <row r="89" spans="2:15" x14ac:dyDescent="0.2">
      <c r="B89" s="136">
        <v>81</v>
      </c>
      <c r="C89" s="136">
        <v>21615</v>
      </c>
      <c r="D89" s="136">
        <v>41217</v>
      </c>
      <c r="M89"/>
      <c r="N89"/>
      <c r="O89"/>
    </row>
    <row r="90" spans="2:15" x14ac:dyDescent="0.2">
      <c r="B90" s="136">
        <v>82</v>
      </c>
      <c r="C90" s="136">
        <v>18081</v>
      </c>
      <c r="D90" s="136">
        <v>35561</v>
      </c>
      <c r="M90"/>
      <c r="N90"/>
      <c r="O90"/>
    </row>
    <row r="91" spans="2:15" x14ac:dyDescent="0.2">
      <c r="B91" s="136">
        <v>83</v>
      </c>
      <c r="C91" s="136">
        <v>16264</v>
      </c>
      <c r="D91" s="136">
        <v>34140</v>
      </c>
      <c r="M91"/>
      <c r="N91"/>
      <c r="O91"/>
    </row>
    <row r="92" spans="2:15" x14ac:dyDescent="0.2">
      <c r="B92" s="136">
        <v>84</v>
      </c>
      <c r="C92" s="136">
        <v>13298</v>
      </c>
      <c r="D92" s="136">
        <v>29111</v>
      </c>
      <c r="M92"/>
      <c r="N92"/>
      <c r="O92"/>
    </row>
    <row r="93" spans="2:15" x14ac:dyDescent="0.2">
      <c r="B93" s="136">
        <v>85</v>
      </c>
      <c r="C93" s="136">
        <v>11491</v>
      </c>
      <c r="D93" s="136">
        <v>27016</v>
      </c>
      <c r="M93"/>
      <c r="N93"/>
      <c r="O93"/>
    </row>
    <row r="94" spans="2:15" x14ac:dyDescent="0.2">
      <c r="B94" s="136">
        <v>86</v>
      </c>
      <c r="C94" s="136">
        <v>9080</v>
      </c>
      <c r="D94" s="136">
        <v>22738</v>
      </c>
      <c r="M94"/>
      <c r="N94"/>
      <c r="O94"/>
    </row>
    <row r="95" spans="2:15" x14ac:dyDescent="0.2">
      <c r="B95" s="136">
        <v>87</v>
      </c>
      <c r="C95" s="136">
        <v>7457</v>
      </c>
      <c r="D95" s="136">
        <v>19761</v>
      </c>
      <c r="M95"/>
      <c r="N95"/>
      <c r="O95"/>
    </row>
    <row r="96" spans="2:15" x14ac:dyDescent="0.2">
      <c r="B96" s="136">
        <v>88</v>
      </c>
      <c r="C96" s="136">
        <v>5940</v>
      </c>
      <c r="D96" s="136">
        <v>16556</v>
      </c>
      <c r="M96"/>
      <c r="N96"/>
      <c r="O96"/>
    </row>
    <row r="97" spans="2:15" x14ac:dyDescent="0.2">
      <c r="B97" s="136">
        <v>89</v>
      </c>
      <c r="C97" s="136">
        <v>4644</v>
      </c>
      <c r="D97" s="136">
        <v>13919</v>
      </c>
      <c r="M97"/>
      <c r="N97"/>
      <c r="O97"/>
    </row>
    <row r="98" spans="2:15" x14ac:dyDescent="0.2">
      <c r="B98" s="136">
        <v>90</v>
      </c>
      <c r="C98" s="136">
        <v>14495</v>
      </c>
      <c r="D98" s="136">
        <v>46690</v>
      </c>
      <c r="M98"/>
      <c r="N98"/>
      <c r="O98"/>
    </row>
    <row r="99" spans="2:15" x14ac:dyDescent="0.2">
      <c r="M99"/>
      <c r="N99"/>
      <c r="O99"/>
    </row>
  </sheetData>
  <mergeCells count="2">
    <mergeCell ref="B2:K2"/>
    <mergeCell ref="B4:K4"/>
  </mergeCells>
  <pageMargins left="0.75" right="0.75" top="1" bottom="1" header="0.5" footer="0.5"/>
  <pageSetup scale="7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E38A-1062-47E7-9E2E-A91678D7488C}">
  <sheetPr>
    <tabColor theme="0" tint="-0.499984740745262"/>
  </sheetPr>
  <dimension ref="B1:L41"/>
  <sheetViews>
    <sheetView zoomScaleNormal="100" workbookViewId="0"/>
  </sheetViews>
  <sheetFormatPr defaultColWidth="9.140625" defaultRowHeight="12.75" x14ac:dyDescent="0.2"/>
  <cols>
    <col min="1" max="1" width="2.42578125" style="1" customWidth="1"/>
    <col min="2" max="2" width="21.5703125" style="1" bestFit="1" customWidth="1"/>
    <col min="3" max="10" width="14.140625" style="1" customWidth="1"/>
    <col min="11" max="11" width="21.5703125" style="1" bestFit="1" customWidth="1"/>
    <col min="12" max="12" width="19.140625" style="1" bestFit="1" customWidth="1"/>
    <col min="13" max="13" width="21.28515625" style="1" bestFit="1" customWidth="1"/>
    <col min="14" max="14" width="20.28515625" style="1" bestFit="1" customWidth="1"/>
    <col min="15" max="15" width="25.140625" style="1" bestFit="1" customWidth="1"/>
    <col min="16" max="16384" width="9.140625" style="1"/>
  </cols>
  <sheetData>
    <row r="1" spans="2:12" ht="13.5" customHeight="1" thickBot="1" x14ac:dyDescent="0.25"/>
    <row r="2" spans="2:12" ht="27.6" customHeight="1" thickBot="1" x14ac:dyDescent="0.25">
      <c r="B2" s="224" t="s">
        <v>180</v>
      </c>
      <c r="C2" s="225"/>
      <c r="D2" s="225"/>
      <c r="E2" s="225"/>
      <c r="F2" s="225"/>
      <c r="G2" s="225"/>
      <c r="H2" s="225"/>
      <c r="I2" s="225"/>
      <c r="J2" s="226"/>
      <c r="K2" s="148"/>
    </row>
    <row r="3" spans="2:12" ht="13.5" thickBot="1" x14ac:dyDescent="0.25"/>
    <row r="4" spans="2:12" ht="70.900000000000006" customHeight="1" thickBot="1" x14ac:dyDescent="0.25">
      <c r="B4" s="224" t="s">
        <v>188</v>
      </c>
      <c r="C4" s="225"/>
      <c r="D4" s="225"/>
      <c r="E4" s="225"/>
      <c r="F4" s="225"/>
      <c r="G4" s="225"/>
      <c r="H4" s="225"/>
      <c r="I4" s="225"/>
      <c r="J4" s="226"/>
      <c r="K4" s="148"/>
    </row>
    <row r="5" spans="2:12" s="13" customFormat="1" ht="13.5" thickBot="1" x14ac:dyDescent="0.25"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2:12" ht="13.5" thickBot="1" x14ac:dyDescent="0.25"/>
    <row r="7" spans="2:12" ht="26.25" thickBot="1" x14ac:dyDescent="0.25">
      <c r="B7" s="138" t="s">
        <v>135</v>
      </c>
      <c r="C7" s="171" t="s">
        <v>182</v>
      </c>
      <c r="D7" s="171" t="s">
        <v>181</v>
      </c>
      <c r="E7" s="171" t="s">
        <v>184</v>
      </c>
      <c r="F7" s="172" t="s">
        <v>183</v>
      </c>
    </row>
    <row r="8" spans="2:12" x14ac:dyDescent="0.2">
      <c r="B8" s="169" t="s">
        <v>179</v>
      </c>
      <c r="C8" s="177"/>
      <c r="D8" s="177"/>
      <c r="E8" s="181"/>
      <c r="F8" s="137"/>
    </row>
    <row r="9" spans="2:12" x14ac:dyDescent="0.2">
      <c r="B9" s="170" t="s">
        <v>130</v>
      </c>
      <c r="C9" s="178"/>
      <c r="D9" s="178"/>
      <c r="E9" s="182"/>
      <c r="F9" s="136"/>
    </row>
    <row r="10" spans="2:12" x14ac:dyDescent="0.2">
      <c r="B10" s="170" t="s">
        <v>120</v>
      </c>
      <c r="C10" s="178"/>
      <c r="D10" s="178"/>
      <c r="E10" s="182"/>
      <c r="F10" s="136"/>
    </row>
    <row r="11" spans="2:12" x14ac:dyDescent="0.2">
      <c r="B11" s="170" t="s">
        <v>127</v>
      </c>
      <c r="C11" s="178"/>
      <c r="D11" s="178"/>
      <c r="E11" s="182"/>
      <c r="F11" s="136"/>
    </row>
    <row r="12" spans="2:12" x14ac:dyDescent="0.2">
      <c r="B12" s="170" t="s">
        <v>96</v>
      </c>
      <c r="C12" s="178"/>
      <c r="D12" s="178"/>
      <c r="E12" s="182"/>
      <c r="F12" s="136"/>
    </row>
    <row r="13" spans="2:12" x14ac:dyDescent="0.2">
      <c r="B13" s="170" t="s">
        <v>119</v>
      </c>
      <c r="C13" s="178"/>
      <c r="D13" s="178"/>
      <c r="E13" s="182"/>
      <c r="F13" s="136"/>
    </row>
    <row r="14" spans="2:12" x14ac:dyDescent="0.2">
      <c r="B14" s="170" t="s">
        <v>133</v>
      </c>
      <c r="C14" s="178"/>
      <c r="D14" s="178"/>
      <c r="E14" s="182"/>
      <c r="F14" s="136"/>
    </row>
    <row r="15" spans="2:12" x14ac:dyDescent="0.2">
      <c r="B15" s="170" t="s">
        <v>132</v>
      </c>
      <c r="C15" s="178"/>
      <c r="D15" s="178"/>
      <c r="E15" s="182"/>
      <c r="F15" s="136"/>
    </row>
    <row r="16" spans="2:12" x14ac:dyDescent="0.2">
      <c r="B16" s="170" t="s">
        <v>123</v>
      </c>
      <c r="C16" s="178"/>
      <c r="D16" s="178"/>
      <c r="E16" s="182"/>
      <c r="F16" s="136"/>
    </row>
    <row r="17" spans="2:6" x14ac:dyDescent="0.2">
      <c r="B17" s="170" t="s">
        <v>125</v>
      </c>
      <c r="C17" s="178"/>
      <c r="D17" s="178"/>
      <c r="E17" s="182"/>
      <c r="F17" s="136"/>
    </row>
    <row r="18" spans="2:6" x14ac:dyDescent="0.2">
      <c r="B18" s="170" t="s">
        <v>122</v>
      </c>
      <c r="C18" s="178"/>
      <c r="D18" s="178"/>
      <c r="E18" s="182"/>
      <c r="F18" s="136"/>
    </row>
    <row r="19" spans="2:6" x14ac:dyDescent="0.2">
      <c r="B19" s="170" t="s">
        <v>131</v>
      </c>
      <c r="C19" s="178"/>
      <c r="D19" s="178"/>
      <c r="E19" s="182"/>
      <c r="F19" s="136"/>
    </row>
    <row r="20" spans="2:6" x14ac:dyDescent="0.2">
      <c r="B20" s="170" t="s">
        <v>178</v>
      </c>
      <c r="C20" s="178"/>
      <c r="D20" s="178"/>
      <c r="E20" s="182"/>
      <c r="F20" s="136"/>
    </row>
    <row r="21" spans="2:6" x14ac:dyDescent="0.2">
      <c r="B21" s="170" t="s">
        <v>176</v>
      </c>
      <c r="C21" s="178"/>
      <c r="D21" s="178"/>
      <c r="E21" s="182"/>
      <c r="F21" s="136"/>
    </row>
    <row r="22" spans="2:6" x14ac:dyDescent="0.2">
      <c r="B22" s="170" t="s">
        <v>128</v>
      </c>
      <c r="C22" s="178"/>
      <c r="D22" s="178"/>
      <c r="E22" s="182"/>
      <c r="F22" s="136"/>
    </row>
    <row r="23" spans="2:6" x14ac:dyDescent="0.2">
      <c r="B23" s="170" t="s">
        <v>121</v>
      </c>
      <c r="C23" s="178"/>
      <c r="D23" s="178"/>
      <c r="E23" s="182"/>
      <c r="F23" s="136"/>
    </row>
    <row r="24" spans="2:6" x14ac:dyDescent="0.2">
      <c r="B24" s="170" t="s">
        <v>177</v>
      </c>
      <c r="C24" s="178"/>
      <c r="D24" s="178"/>
      <c r="E24" s="182"/>
      <c r="F24" s="136"/>
    </row>
    <row r="25" spans="2:6" ht="13.5" customHeight="1" x14ac:dyDescent="0.2">
      <c r="B25" s="170" t="s">
        <v>129</v>
      </c>
      <c r="C25" s="178"/>
      <c r="D25" s="178"/>
      <c r="E25" s="182"/>
      <c r="F25" s="136"/>
    </row>
    <row r="26" spans="2:6" x14ac:dyDescent="0.2">
      <c r="B26" s="170" t="s">
        <v>126</v>
      </c>
      <c r="C26" s="178"/>
      <c r="D26" s="178"/>
      <c r="E26" s="182"/>
      <c r="F26" s="136"/>
    </row>
    <row r="27" spans="2:6" ht="13.5" thickBot="1" x14ac:dyDescent="0.25">
      <c r="B27" s="173" t="s">
        <v>124</v>
      </c>
      <c r="C27" s="179"/>
      <c r="D27" s="179"/>
      <c r="E27" s="183"/>
      <c r="F27" s="174"/>
    </row>
    <row r="28" spans="2:6" ht="13.5" customHeight="1" thickBot="1" x14ac:dyDescent="0.25">
      <c r="B28" s="175" t="s">
        <v>118</v>
      </c>
      <c r="C28" s="180"/>
      <c r="D28" s="180"/>
      <c r="E28" s="184"/>
      <c r="F28" s="176"/>
    </row>
    <row r="29" spans="2:6" ht="13.5" customHeight="1" thickBot="1" x14ac:dyDescent="0.25"/>
    <row r="30" spans="2:6" ht="13.5" customHeight="1" x14ac:dyDescent="0.2">
      <c r="B30" s="187" t="s">
        <v>185</v>
      </c>
      <c r="C30" s="185"/>
      <c r="D30" s="191"/>
    </row>
    <row r="31" spans="2:6" x14ac:dyDescent="0.2">
      <c r="B31" s="188" t="s">
        <v>186</v>
      </c>
      <c r="C31" s="186"/>
      <c r="D31" s="192"/>
    </row>
    <row r="32" spans="2:6" ht="13.5" thickBot="1" x14ac:dyDescent="0.25">
      <c r="B32" s="189" t="s">
        <v>187</v>
      </c>
      <c r="C32" s="190"/>
      <c r="D32" s="190"/>
    </row>
    <row r="38" spans="4:7" x14ac:dyDescent="0.2">
      <c r="D38" s="45"/>
      <c r="E38" s="45"/>
      <c r="F38" s="45"/>
    </row>
    <row r="41" spans="4:7" x14ac:dyDescent="0.2">
      <c r="G41" s="45"/>
    </row>
  </sheetData>
  <mergeCells count="2">
    <mergeCell ref="B2:J2"/>
    <mergeCell ref="B4:J4"/>
  </mergeCells>
  <phoneticPr fontId="14" type="noConversion"/>
  <pageMargins left="0.75" right="0.75" top="1" bottom="1" header="0.5" footer="0.5"/>
  <pageSetup scale="7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B1:G44"/>
  <sheetViews>
    <sheetView zoomScaleNormal="100" workbookViewId="0"/>
  </sheetViews>
  <sheetFormatPr defaultColWidth="9.140625" defaultRowHeight="12.75" x14ac:dyDescent="0.2"/>
  <cols>
    <col min="1" max="1" width="2.42578125" style="1" customWidth="1"/>
    <col min="2" max="2" width="20.7109375" style="1" customWidth="1"/>
    <col min="3" max="6" width="17.140625" style="1" customWidth="1"/>
    <col min="7" max="16384" width="9.140625" style="1"/>
  </cols>
  <sheetData>
    <row r="1" spans="2:6" ht="13.5" customHeight="1" thickBot="1" x14ac:dyDescent="0.25"/>
    <row r="2" spans="2:6" ht="13.5" customHeight="1" thickBot="1" x14ac:dyDescent="0.25">
      <c r="B2" s="325" t="s">
        <v>7</v>
      </c>
      <c r="C2" s="326"/>
      <c r="D2" s="326"/>
      <c r="E2" s="326"/>
      <c r="F2" s="327"/>
    </row>
    <row r="3" spans="2:6" ht="13.5" thickBot="1" x14ac:dyDescent="0.25"/>
    <row r="4" spans="2:6" ht="13.5" customHeight="1" x14ac:dyDescent="0.2">
      <c r="B4" s="328" t="s">
        <v>0</v>
      </c>
      <c r="C4" s="330" t="s">
        <v>6</v>
      </c>
      <c r="D4" s="331"/>
    </row>
    <row r="5" spans="2:6" ht="13.5" customHeight="1" thickBot="1" x14ac:dyDescent="0.25">
      <c r="B5" s="329"/>
      <c r="C5" s="2" t="s">
        <v>137</v>
      </c>
      <c r="D5" s="3" t="s">
        <v>116</v>
      </c>
    </row>
    <row r="6" spans="2:6" ht="13.5" customHeight="1" x14ac:dyDescent="0.2">
      <c r="B6" s="4" t="s">
        <v>1</v>
      </c>
      <c r="C6" s="15">
        <v>1007</v>
      </c>
      <c r="D6" s="15">
        <v>2776</v>
      </c>
      <c r="F6" s="5"/>
    </row>
    <row r="7" spans="2:6" ht="13.5" customHeight="1" x14ac:dyDescent="0.2">
      <c r="B7" s="6" t="s">
        <v>10</v>
      </c>
      <c r="C7" s="16">
        <v>1245</v>
      </c>
      <c r="D7" s="16">
        <v>3680</v>
      </c>
      <c r="F7" s="5"/>
    </row>
    <row r="8" spans="2:6" ht="13.5" customHeight="1" x14ac:dyDescent="0.2">
      <c r="B8" s="6" t="s">
        <v>2</v>
      </c>
      <c r="C8" s="16">
        <v>7468</v>
      </c>
      <c r="D8" s="16">
        <v>16457</v>
      </c>
    </row>
    <row r="9" spans="2:6" ht="13.5" customHeight="1" thickBot="1" x14ac:dyDescent="0.25">
      <c r="B9" s="7" t="s">
        <v>3</v>
      </c>
      <c r="C9" s="17">
        <v>7795</v>
      </c>
      <c r="D9" s="17">
        <v>22617</v>
      </c>
    </row>
    <row r="10" spans="2:6" ht="13.5" customHeight="1" thickBot="1" x14ac:dyDescent="0.25">
      <c r="B10" s="19" t="s">
        <v>14</v>
      </c>
      <c r="C10" s="18">
        <f>SUM(C6:C9)</f>
        <v>17515</v>
      </c>
      <c r="D10" s="18">
        <f>SUM(D6:D9)</f>
        <v>45530</v>
      </c>
    </row>
    <row r="11" spans="2:6" ht="13.5" thickBot="1" x14ac:dyDescent="0.25"/>
    <row r="12" spans="2:6" ht="27" customHeight="1" thickBot="1" x14ac:dyDescent="0.25">
      <c r="B12" s="325" t="s">
        <v>8</v>
      </c>
      <c r="C12" s="326"/>
      <c r="D12" s="326"/>
      <c r="E12" s="326"/>
      <c r="F12" s="327"/>
    </row>
    <row r="13" spans="2:6" s="13" customFormat="1" ht="13.5" thickBot="1" x14ac:dyDescent="0.25">
      <c r="B13" s="14"/>
      <c r="C13" s="14"/>
      <c r="D13" s="14"/>
      <c r="E13" s="14"/>
      <c r="F13" s="14"/>
    </row>
    <row r="14" spans="2:6" ht="13.5" thickBot="1" x14ac:dyDescent="0.25"/>
    <row r="15" spans="2:6" ht="13.5" customHeight="1" x14ac:dyDescent="0.2">
      <c r="B15" s="328" t="s">
        <v>0</v>
      </c>
      <c r="C15" s="321" t="s">
        <v>4</v>
      </c>
      <c r="D15" s="321"/>
      <c r="E15" s="321" t="s">
        <v>5</v>
      </c>
      <c r="F15" s="323" t="s">
        <v>9</v>
      </c>
    </row>
    <row r="16" spans="2:6" ht="13.5" thickBot="1" x14ac:dyDescent="0.25">
      <c r="B16" s="329"/>
      <c r="C16" s="28">
        <v>2015</v>
      </c>
      <c r="D16" s="28">
        <v>2025</v>
      </c>
      <c r="E16" s="322"/>
      <c r="F16" s="324"/>
    </row>
    <row r="17" spans="2:7" ht="13.5" customHeight="1" x14ac:dyDescent="0.2">
      <c r="B17" s="4" t="s">
        <v>1</v>
      </c>
      <c r="C17" s="20"/>
      <c r="D17" s="20"/>
      <c r="E17" s="21"/>
      <c r="F17" s="21"/>
      <c r="G17" s="8"/>
    </row>
    <row r="18" spans="2:7" ht="13.5" customHeight="1" x14ac:dyDescent="0.2">
      <c r="B18" s="6" t="s">
        <v>10</v>
      </c>
      <c r="C18" s="22"/>
      <c r="D18" s="22"/>
      <c r="E18" s="23"/>
      <c r="F18" s="23"/>
      <c r="G18" s="8"/>
    </row>
    <row r="19" spans="2:7" ht="13.5" customHeight="1" x14ac:dyDescent="0.2">
      <c r="B19" s="6" t="s">
        <v>2</v>
      </c>
      <c r="C19" s="22"/>
      <c r="D19" s="22"/>
      <c r="E19" s="23"/>
      <c r="F19" s="23"/>
      <c r="G19" s="8"/>
    </row>
    <row r="20" spans="2:7" ht="13.5" customHeight="1" thickBot="1" x14ac:dyDescent="0.25">
      <c r="B20" s="7" t="s">
        <v>3</v>
      </c>
      <c r="C20" s="24"/>
      <c r="D20" s="24"/>
      <c r="E20" s="25"/>
      <c r="F20" s="25"/>
    </row>
    <row r="21" spans="2:7" ht="13.5" customHeight="1" thickBot="1" x14ac:dyDescent="0.25">
      <c r="B21" s="19" t="s">
        <v>14</v>
      </c>
      <c r="C21" s="26"/>
      <c r="D21" s="26"/>
      <c r="E21" s="27"/>
      <c r="F21" s="27"/>
    </row>
    <row r="38" spans="2:3" ht="12.75" customHeight="1" x14ac:dyDescent="0.2">
      <c r="B38" s="9"/>
      <c r="C38" s="10"/>
    </row>
    <row r="39" spans="2:3" ht="13.5" customHeight="1" x14ac:dyDescent="0.2">
      <c r="B39" s="9"/>
      <c r="C39" s="10"/>
    </row>
    <row r="40" spans="2:3" x14ac:dyDescent="0.2">
      <c r="B40" s="11"/>
      <c r="C40" s="12"/>
    </row>
    <row r="41" spans="2:3" x14ac:dyDescent="0.2">
      <c r="B41" s="11"/>
      <c r="C41" s="12"/>
    </row>
    <row r="42" spans="2:3" x14ac:dyDescent="0.2">
      <c r="B42" s="11"/>
      <c r="C42" s="12"/>
    </row>
    <row r="43" spans="2:3" x14ac:dyDescent="0.2">
      <c r="B43" s="11"/>
      <c r="C43" s="12"/>
    </row>
    <row r="44" spans="2:3" x14ac:dyDescent="0.2">
      <c r="B44" s="11"/>
      <c r="C44" s="12"/>
    </row>
  </sheetData>
  <mergeCells count="8">
    <mergeCell ref="E15:E16"/>
    <mergeCell ref="F15:F16"/>
    <mergeCell ref="B2:F2"/>
    <mergeCell ref="B12:F12"/>
    <mergeCell ref="B4:B5"/>
    <mergeCell ref="C4:D4"/>
    <mergeCell ref="B15:B16"/>
    <mergeCell ref="C15:D15"/>
  </mergeCells>
  <pageMargins left="0.75" right="0.75" top="1" bottom="1" header="0.5" footer="0.5"/>
  <pageSetup scale="7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E1.1</vt:lpstr>
      <vt:lpstr>E1.2</vt:lpstr>
      <vt:lpstr>E1.3</vt:lpstr>
      <vt:lpstr>E1.4</vt:lpstr>
      <vt:lpstr>E1.5</vt:lpstr>
      <vt:lpstr>E1.6</vt:lpstr>
      <vt:lpstr>E1.7</vt:lpstr>
      <vt:lpstr>Gy1.4v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Balázsné Mócsai Andrea</cp:lastModifiedBy>
  <cp:lastPrinted>2012-09-05T09:54:45Z</cp:lastPrinted>
  <dcterms:created xsi:type="dcterms:W3CDTF">1997-01-17T14:02:09Z</dcterms:created>
  <dcterms:modified xsi:type="dcterms:W3CDTF">2026-09-17T10:22:05Z</dcterms:modified>
</cp:coreProperties>
</file>