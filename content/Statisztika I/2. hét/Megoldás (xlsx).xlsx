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1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2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2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2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pivotTables/pivotTable9.xml" ContentType="application/vnd.openxmlformats-officedocument.spreadsheetml.pivotTable+xml"/>
  <Override PartName="/xl/drawings/drawing8.xml" ContentType="application/vnd.openxmlformats-officedocument.drawing+xml"/>
  <Override PartName="/xl/charts/chart25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pivotTables/pivotTable10.xml" ContentType="application/vnd.openxmlformats-officedocument.spreadsheetml.pivotTable+xml"/>
  <Override PartName="/xl/drawings/drawing9.xml" ContentType="application/vnd.openxmlformats-officedocument.drawing+xml"/>
  <Override PartName="/xl/charts/chart26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0.xml" ContentType="application/vnd.openxmlformats-officedocument.drawing+xml"/>
  <Override PartName="/xl/charts/chartEx2.xml" ContentType="application/vnd.ms-office.chartex+xml"/>
  <Override PartName="/xl/charts/style25.xml" ContentType="application/vnd.ms-office.chartstyle+xml"/>
  <Override PartName="/xl/charts/colors25.xml" ContentType="application/vnd.ms-office.chartcolorstyle+xml"/>
  <Override PartName="/xl/charts/chart2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1.xml" ContentType="application/vnd.openxmlformats-officedocument.drawing+xml"/>
  <Override PartName="/xl/comments6.xml" ContentType="application/vnd.openxmlformats-officedocument.spreadsheetml.comments+xml"/>
  <Override PartName="/xl/charts/chart2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0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1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2.xml" ContentType="application/vnd.openxmlformats-officedocument.drawing+xml"/>
  <Override PartName="/xl/comments7.xml" ContentType="application/vnd.openxmlformats-officedocument.spreadsheetml.comments+xml"/>
  <Override PartName="/xl/charts/chart3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3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4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5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6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13.xml" ContentType="application/vnd.openxmlformats-officedocument.drawing+xml"/>
  <Override PartName="/xl/comments8.xml" ContentType="application/vnd.openxmlformats-officedocument.spreadsheetml.comments+xml"/>
  <Override PartName="/xl/charts/chart37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8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9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0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1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2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3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4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unicorvinus-my.sharepoint.com/personal/b_mocsai_andrea_uni-corvinus_hu/Documents/BCE/Tananyag/Statisztika I GI 2026-2027 I/Excel modellek GI Stat I 2026I/"/>
    </mc:Choice>
  </mc:AlternateContent>
  <xr:revisionPtr revIDLastSave="997" documentId="13_ncr:1_{F2C09CEE-31B3-40EC-8416-3D6146FE187E}" xr6:coauthVersionLast="47" xr6:coauthVersionMax="47" xr10:uidLastSave="{EE6B6015-F6D4-44A1-B406-24077D18A47D}"/>
  <bookViews>
    <workbookView xWindow="28680" yWindow="-75" windowWidth="29040" windowHeight="15720" xr2:uid="{00000000-000D-0000-FFFF-FFFF00000000}"/>
  </bookViews>
  <sheets>
    <sheet name="Gy1.12." sheetId="60" r:id="rId1"/>
    <sheet name="E2.1" sheetId="90" r:id="rId2"/>
    <sheet name="E2.2" sheetId="108" r:id="rId3"/>
    <sheet name="E2.3" sheetId="92" r:id="rId4"/>
    <sheet name="Gy1.13." sheetId="65" r:id="rId5"/>
    <sheet name="Gy1.8v" sheetId="109" r:id="rId6"/>
    <sheet name="E2.4" sheetId="105" r:id="rId7"/>
    <sheet name="E2.5" sheetId="71" r:id="rId8"/>
    <sheet name="E2.5a" sheetId="69" r:id="rId9"/>
    <sheet name="E2.5b" sheetId="72" r:id="rId10"/>
    <sheet name="E2.5c" sheetId="73" r:id="rId11"/>
    <sheet name="E2.5d" sheetId="75" r:id="rId12"/>
    <sheet name="E2.5e" sheetId="77" r:id="rId13"/>
    <sheet name="E2.6" sheetId="107" r:id="rId14"/>
    <sheet name="E2.7" sheetId="98" r:id="rId15"/>
    <sheet name="E2.8" sheetId="99" r:id="rId16"/>
    <sheet name="E2.9" sheetId="100" r:id="rId17"/>
  </sheets>
  <definedNames>
    <definedName name="_xlnm._FilterDatabase" localSheetId="3" hidden="1">'E2.3'!$B$7:$E$586</definedName>
    <definedName name="_xlnm._FilterDatabase" localSheetId="7" hidden="1">'E2.5'!$B$5:$I$678</definedName>
    <definedName name="_xlnm._FilterDatabase" localSheetId="8" hidden="1">'E2.5a'!#REF!</definedName>
    <definedName name="_xlnm._FilterDatabase" localSheetId="9" hidden="1">'E2.5b'!#REF!</definedName>
    <definedName name="_xlnm._FilterDatabase" localSheetId="10" hidden="1">'E2.5c'!#REF!</definedName>
    <definedName name="_xlnm._FilterDatabase" localSheetId="11" hidden="1">'E2.5d'!#REF!</definedName>
    <definedName name="_xlnm._FilterDatabase" localSheetId="12" hidden="1">'E2.5e'!#REF!</definedName>
    <definedName name="_xlnm._FilterDatabase" localSheetId="13" hidden="1">'E2.6'!$B$9:$F$738</definedName>
    <definedName name="_xlchart.v1.0" hidden="1">'E2.3'!$D$7</definedName>
    <definedName name="_xlchart.v1.1" hidden="1">'E2.3'!$D$8:$D$586</definedName>
    <definedName name="_xlchart.v1.2" hidden="1">'E2.3'!$D$7</definedName>
    <definedName name="_xlchart.v1.3" hidden="1">'E2.3'!$D$8:$D$586</definedName>
    <definedName name="_xlchart.v1.4" hidden="1">'E2.6'!$F$10:$F$3672</definedName>
    <definedName name="_xlnm.Print_Area" localSheetId="1">'E2.1'!$A$1:$H$81</definedName>
    <definedName name="_xlnm.Print_Area" localSheetId="0">'Gy1.12.'!$A$1:$J$8</definedName>
    <definedName name="_xlnm.Print_Area" localSheetId="4">'Gy1.13.'!$A$1:$J$8</definedName>
    <definedName name="_xlnm.Print_Area" localSheetId="5">'Gy1.8v'!$A$1:$N$89</definedName>
  </definedNames>
  <calcPr calcId="191029"/>
  <pivotCaches>
    <pivotCache cacheId="0" r:id="rId18"/>
    <pivotCache cacheId="1" r:id="rId19"/>
    <pivotCache cacheId="2" r:id="rId20"/>
    <pivotCache cacheId="3" r:id="rId21"/>
    <pivotCache cacheId="16" r:id="rId22"/>
    <pivotCache cacheId="21" r:id="rId23"/>
    <pivotCache cacheId="51" r:id="rId2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98" i="92" l="1" a="1"/>
  <c r="N98" i="92" s="1"/>
  <c r="M98" i="92" a="1"/>
  <c r="M98" i="92" s="1"/>
  <c r="O64" i="107"/>
  <c r="P63" i="107" s="1"/>
  <c r="P61" i="107"/>
  <c r="P60" i="107"/>
  <c r="P59" i="107"/>
  <c r="P58" i="107"/>
  <c r="P57" i="107"/>
  <c r="P56" i="107"/>
  <c r="P55" i="107"/>
  <c r="P54" i="107"/>
  <c r="P53" i="107"/>
  <c r="P52" i="107"/>
  <c r="P51" i="107"/>
  <c r="P50" i="107"/>
  <c r="R49" i="107"/>
  <c r="R50" i="107" s="1"/>
  <c r="R51" i="107" s="1"/>
  <c r="R52" i="107" s="1"/>
  <c r="R53" i="107" s="1"/>
  <c r="R54" i="107" s="1"/>
  <c r="R55" i="107" s="1"/>
  <c r="R56" i="107" s="1"/>
  <c r="R57" i="107" s="1"/>
  <c r="R58" i="107" s="1"/>
  <c r="R59" i="107" s="1"/>
  <c r="R60" i="107" s="1"/>
  <c r="R61" i="107" s="1"/>
  <c r="Q49" i="107"/>
  <c r="Q50" i="107" s="1"/>
  <c r="Q51" i="107" s="1"/>
  <c r="Q52" i="107" s="1"/>
  <c r="Q53" i="107" s="1"/>
  <c r="Q54" i="107" s="1"/>
  <c r="Q55" i="107" s="1"/>
  <c r="Q56" i="107" s="1"/>
  <c r="Q57" i="107" s="1"/>
  <c r="Q58" i="107" s="1"/>
  <c r="Q59" i="107" s="1"/>
  <c r="Q60" i="107" s="1"/>
  <c r="Q61" i="107" s="1"/>
  <c r="Q62" i="107" s="1"/>
  <c r="Q63" i="107" s="1"/>
  <c r="P49" i="107"/>
  <c r="O98" i="92" l="1"/>
  <c r="O99" i="92" s="1"/>
  <c r="O100" i="92" s="1"/>
  <c r="O101" i="92" s="1"/>
  <c r="O102" i="92" s="1"/>
  <c r="O103" i="92" s="1"/>
  <c r="O104" i="92" s="1"/>
  <c r="O105" i="92" s="1"/>
  <c r="P98" i="92"/>
  <c r="P99" i="92" s="1"/>
  <c r="P100" i="92" s="1"/>
  <c r="P101" i="92" s="1"/>
  <c r="P102" i="92" s="1"/>
  <c r="P103" i="92" s="1"/>
  <c r="P104" i="92" s="1"/>
  <c r="P105" i="92" s="1"/>
  <c r="R62" i="107"/>
  <c r="R63" i="107" s="1"/>
  <c r="P62" i="107"/>
  <c r="P64" i="107" s="1"/>
  <c r="L45" i="108" l="1" a="1"/>
  <c r="L45" i="108" s="1"/>
  <c r="L27" i="108" a="1"/>
  <c r="L27" i="108" s="1"/>
  <c r="C27" i="108"/>
  <c r="C28" i="108"/>
  <c r="D28" i="108"/>
  <c r="E28" i="108"/>
  <c r="F28" i="108"/>
  <c r="G28" i="108"/>
  <c r="H28" i="108"/>
  <c r="I28" i="108"/>
  <c r="C29" i="108"/>
  <c r="D29" i="108"/>
  <c r="E29" i="108"/>
  <c r="F29" i="108"/>
  <c r="G29" i="108"/>
  <c r="H29" i="108"/>
  <c r="I29" i="108"/>
  <c r="C30" i="108"/>
  <c r="D30" i="108"/>
  <c r="E30" i="108"/>
  <c r="F30" i="108"/>
  <c r="G30" i="108"/>
  <c r="H30" i="108"/>
  <c r="I30" i="108"/>
  <c r="C31" i="108"/>
  <c r="D31" i="108"/>
  <c r="E31" i="108"/>
  <c r="F31" i="108"/>
  <c r="G31" i="108"/>
  <c r="H31" i="108"/>
  <c r="I31" i="108"/>
  <c r="C32" i="108"/>
  <c r="D32" i="108"/>
  <c r="E32" i="108"/>
  <c r="F32" i="108"/>
  <c r="G32" i="108"/>
  <c r="H32" i="108"/>
  <c r="I32" i="108"/>
  <c r="C33" i="108"/>
  <c r="D33" i="108"/>
  <c r="E33" i="108"/>
  <c r="F33" i="108"/>
  <c r="G33" i="108"/>
  <c r="H33" i="108"/>
  <c r="I33" i="108"/>
  <c r="C34" i="108"/>
  <c r="D34" i="108"/>
  <c r="E34" i="108"/>
  <c r="F34" i="108"/>
  <c r="G34" i="108"/>
  <c r="H34" i="108"/>
  <c r="I34" i="108"/>
  <c r="C35" i="108"/>
  <c r="D35" i="108"/>
  <c r="E35" i="108"/>
  <c r="F35" i="108"/>
  <c r="G35" i="108"/>
  <c r="H35" i="108"/>
  <c r="I35" i="108"/>
  <c r="C36" i="108"/>
  <c r="D36" i="108"/>
  <c r="E36" i="108"/>
  <c r="F36" i="108"/>
  <c r="G36" i="108"/>
  <c r="H36" i="108"/>
  <c r="I36" i="108"/>
  <c r="C37" i="108"/>
  <c r="D37" i="108"/>
  <c r="E37" i="108"/>
  <c r="F37" i="108"/>
  <c r="G37" i="108"/>
  <c r="H37" i="108"/>
  <c r="I37" i="108"/>
  <c r="C38" i="108"/>
  <c r="D38" i="108"/>
  <c r="E38" i="108"/>
  <c r="F38" i="108"/>
  <c r="G38" i="108"/>
  <c r="H38" i="108"/>
  <c r="I38" i="108"/>
  <c r="C39" i="108"/>
  <c r="D39" i="108"/>
  <c r="E39" i="108"/>
  <c r="F39" i="108"/>
  <c r="G39" i="108"/>
  <c r="H39" i="108"/>
  <c r="I39" i="108"/>
  <c r="D27" i="108"/>
  <c r="E27" i="108"/>
  <c r="F27" i="108"/>
  <c r="G27" i="108"/>
  <c r="H27" i="108"/>
  <c r="I27" i="108"/>
  <c r="C7" i="65"/>
  <c r="C39" i="98"/>
  <c r="D39" i="98"/>
  <c r="E39" i="98"/>
  <c r="F39" i="98"/>
  <c r="G39" i="98"/>
  <c r="H39" i="98"/>
  <c r="I39" i="98"/>
  <c r="J39" i="98"/>
  <c r="C40" i="98"/>
  <c r="D40" i="98"/>
  <c r="E40" i="98"/>
  <c r="F40" i="98"/>
  <c r="G40" i="98"/>
  <c r="H40" i="98"/>
  <c r="I40" i="98"/>
  <c r="J40" i="98"/>
  <c r="G46" i="105" l="1"/>
  <c r="H46" i="105"/>
  <c r="I46" i="105"/>
  <c r="J46" i="105"/>
  <c r="K46" i="105"/>
  <c r="G45" i="105"/>
  <c r="H45" i="105"/>
  <c r="I45" i="105"/>
  <c r="J45" i="105"/>
  <c r="K45" i="105"/>
  <c r="M46" i="105" s="1"/>
  <c r="I24" i="109"/>
  <c r="I25" i="109"/>
  <c r="I26" i="109"/>
  <c r="I27" i="109"/>
  <c r="I28" i="109"/>
  <c r="I29" i="109"/>
  <c r="I30" i="109"/>
  <c r="I31" i="109"/>
  <c r="I32" i="109"/>
  <c r="I33" i="109"/>
  <c r="I23" i="109"/>
  <c r="F24" i="109"/>
  <c r="F25" i="109"/>
  <c r="F26" i="109"/>
  <c r="F27" i="109"/>
  <c r="F28" i="109"/>
  <c r="F29" i="109"/>
  <c r="F30" i="109"/>
  <c r="F31" i="109"/>
  <c r="F32" i="109"/>
  <c r="F33" i="109"/>
  <c r="F23" i="109"/>
  <c r="B66" i="109"/>
  <c r="B67" i="109"/>
  <c r="B68" i="109"/>
  <c r="B69" i="109"/>
  <c r="B70" i="109"/>
  <c r="B71" i="109"/>
  <c r="B72" i="109"/>
  <c r="B73" i="109"/>
  <c r="B74" i="109"/>
  <c r="B75" i="109"/>
  <c r="B52" i="109"/>
  <c r="B53" i="109"/>
  <c r="B54" i="109"/>
  <c r="B55" i="109"/>
  <c r="B56" i="109"/>
  <c r="B57" i="109"/>
  <c r="B58" i="109"/>
  <c r="B59" i="109"/>
  <c r="B60" i="109"/>
  <c r="B61" i="109"/>
  <c r="B38" i="109"/>
  <c r="B39" i="109"/>
  <c r="B40" i="109"/>
  <c r="B41" i="109"/>
  <c r="B42" i="109"/>
  <c r="B43" i="109"/>
  <c r="B44" i="109"/>
  <c r="B45" i="109"/>
  <c r="B46" i="109"/>
  <c r="B47" i="109"/>
  <c r="B24" i="109"/>
  <c r="C24" i="109"/>
  <c r="C52" i="109" s="1"/>
  <c r="B25" i="109"/>
  <c r="C25" i="109"/>
  <c r="C53" i="109" s="1"/>
  <c r="B26" i="109"/>
  <c r="C26" i="109"/>
  <c r="C54" i="109" s="1"/>
  <c r="B27" i="109"/>
  <c r="C27" i="109"/>
  <c r="C55" i="109" s="1"/>
  <c r="B28" i="109"/>
  <c r="C28" i="109"/>
  <c r="C56" i="109" s="1"/>
  <c r="B29" i="109"/>
  <c r="C29" i="109"/>
  <c r="C57" i="109" s="1"/>
  <c r="B30" i="109"/>
  <c r="C30" i="109"/>
  <c r="C58" i="109" s="1"/>
  <c r="B31" i="109"/>
  <c r="C31" i="109"/>
  <c r="C59" i="109" s="1"/>
  <c r="B32" i="109"/>
  <c r="C32" i="109"/>
  <c r="C60" i="109" s="1"/>
  <c r="B33" i="109"/>
  <c r="C33" i="109"/>
  <c r="C61" i="109" s="1"/>
  <c r="B65" i="109"/>
  <c r="B51" i="109"/>
  <c r="B37" i="109"/>
  <c r="B23" i="109"/>
  <c r="C23" i="109"/>
  <c r="K33" i="109"/>
  <c r="J33" i="109"/>
  <c r="H33" i="109"/>
  <c r="G33" i="109"/>
  <c r="E33" i="109"/>
  <c r="D33" i="109"/>
  <c r="K32" i="109"/>
  <c r="J32" i="109"/>
  <c r="H32" i="109"/>
  <c r="G32" i="109"/>
  <c r="E32" i="109"/>
  <c r="D32" i="109"/>
  <c r="K31" i="109"/>
  <c r="J31" i="109"/>
  <c r="H31" i="109"/>
  <c r="G31" i="109"/>
  <c r="E31" i="109"/>
  <c r="D31" i="109"/>
  <c r="K30" i="109"/>
  <c r="J30" i="109"/>
  <c r="H30" i="109"/>
  <c r="G30" i="109"/>
  <c r="E30" i="109"/>
  <c r="D30" i="109"/>
  <c r="K29" i="109"/>
  <c r="J29" i="109"/>
  <c r="H29" i="109"/>
  <c r="G29" i="109"/>
  <c r="E29" i="109"/>
  <c r="D29" i="109"/>
  <c r="K28" i="109"/>
  <c r="J28" i="109"/>
  <c r="H28" i="109"/>
  <c r="G28" i="109"/>
  <c r="E28" i="109"/>
  <c r="D28" i="109"/>
  <c r="K27" i="109"/>
  <c r="J27" i="109"/>
  <c r="H27" i="109"/>
  <c r="G27" i="109"/>
  <c r="E27" i="109"/>
  <c r="D27" i="109"/>
  <c r="K26" i="109"/>
  <c r="J26" i="109"/>
  <c r="H26" i="109"/>
  <c r="G26" i="109"/>
  <c r="E26" i="109"/>
  <c r="D26" i="109"/>
  <c r="K25" i="109"/>
  <c r="J25" i="109"/>
  <c r="H25" i="109"/>
  <c r="G25" i="109"/>
  <c r="E25" i="109"/>
  <c r="D25" i="109"/>
  <c r="K24" i="109"/>
  <c r="J24" i="109"/>
  <c r="H24" i="109"/>
  <c r="G24" i="109"/>
  <c r="E24" i="109"/>
  <c r="D24" i="109"/>
  <c r="J23" i="109"/>
  <c r="G23" i="109"/>
  <c r="D23" i="109"/>
  <c r="C75" i="109" l="1"/>
  <c r="C74" i="109"/>
  <c r="C73" i="109"/>
  <c r="C72" i="109"/>
  <c r="C71" i="109"/>
  <c r="C70" i="109"/>
  <c r="C69" i="109"/>
  <c r="C68" i="109"/>
  <c r="C67" i="109"/>
  <c r="C66" i="109"/>
  <c r="C51" i="109"/>
  <c r="D51" i="109" s="1"/>
  <c r="C65" i="109"/>
  <c r="D65" i="109" s="1"/>
  <c r="F51" i="109"/>
  <c r="F65" i="109"/>
  <c r="C38" i="109"/>
  <c r="D47" i="109"/>
  <c r="D46" i="109"/>
  <c r="D45" i="109"/>
  <c r="D44" i="109"/>
  <c r="D43" i="109"/>
  <c r="D42" i="109"/>
  <c r="D41" i="109"/>
  <c r="D40" i="109"/>
  <c r="D39" i="109"/>
  <c r="D38" i="109"/>
  <c r="F52" i="109"/>
  <c r="G52" i="109"/>
  <c r="F66" i="109"/>
  <c r="G66" i="109"/>
  <c r="C39" i="109"/>
  <c r="F53" i="109"/>
  <c r="G53" i="109"/>
  <c r="F67" i="109"/>
  <c r="G67" i="109"/>
  <c r="C40" i="109"/>
  <c r="F54" i="109"/>
  <c r="G54" i="109"/>
  <c r="F68" i="109"/>
  <c r="G68" i="109"/>
  <c r="C41" i="109"/>
  <c r="F55" i="109"/>
  <c r="G55" i="109"/>
  <c r="F69" i="109"/>
  <c r="G69" i="109"/>
  <c r="C42" i="109"/>
  <c r="F56" i="109"/>
  <c r="G56" i="109"/>
  <c r="F70" i="109"/>
  <c r="G70" i="109"/>
  <c r="C43" i="109"/>
  <c r="F57" i="109"/>
  <c r="G57" i="109"/>
  <c r="F71" i="109"/>
  <c r="G71" i="109"/>
  <c r="C44" i="109"/>
  <c r="F58" i="109"/>
  <c r="G58" i="109"/>
  <c r="F72" i="109"/>
  <c r="G72" i="109"/>
  <c r="C45" i="109"/>
  <c r="F59" i="109"/>
  <c r="G59" i="109"/>
  <c r="F73" i="109"/>
  <c r="G73" i="109"/>
  <c r="C46" i="109"/>
  <c r="F60" i="109"/>
  <c r="G60" i="109"/>
  <c r="F74" i="109"/>
  <c r="G74" i="109"/>
  <c r="C47" i="109"/>
  <c r="F61" i="109"/>
  <c r="G61" i="109"/>
  <c r="F75" i="109"/>
  <c r="G75" i="109"/>
  <c r="E52" i="109"/>
  <c r="D52" i="109"/>
  <c r="E53" i="109"/>
  <c r="D53" i="109"/>
  <c r="E54" i="109"/>
  <c r="D54" i="109"/>
  <c r="E55" i="109"/>
  <c r="D55" i="109"/>
  <c r="E56" i="109"/>
  <c r="D56" i="109"/>
  <c r="E57" i="109"/>
  <c r="D57" i="109"/>
  <c r="E58" i="109"/>
  <c r="D58" i="109"/>
  <c r="E59" i="109"/>
  <c r="D59" i="109"/>
  <c r="E60" i="109"/>
  <c r="D60" i="109"/>
  <c r="E61" i="109"/>
  <c r="D61" i="109"/>
  <c r="E66" i="109"/>
  <c r="D66" i="109"/>
  <c r="E67" i="109"/>
  <c r="D67" i="109"/>
  <c r="E68" i="109"/>
  <c r="D68" i="109"/>
  <c r="E69" i="109"/>
  <c r="D69" i="109"/>
  <c r="E70" i="109"/>
  <c r="D70" i="109"/>
  <c r="E71" i="109"/>
  <c r="D71" i="109"/>
  <c r="E72" i="109"/>
  <c r="D72" i="109"/>
  <c r="E73" i="109"/>
  <c r="D73" i="109"/>
  <c r="E74" i="109"/>
  <c r="D74" i="109"/>
  <c r="E75" i="109"/>
  <c r="D75" i="109"/>
  <c r="L11" i="108"/>
  <c r="M11" i="108"/>
  <c r="N11" i="108"/>
  <c r="O11" i="108"/>
  <c r="P11" i="108"/>
  <c r="Q11" i="108"/>
  <c r="L12" i="108"/>
  <c r="M12" i="108"/>
  <c r="N12" i="108"/>
  <c r="O12" i="108"/>
  <c r="P12" i="108"/>
  <c r="Q12" i="108"/>
  <c r="L13" i="108"/>
  <c r="M13" i="108"/>
  <c r="N13" i="108"/>
  <c r="O13" i="108"/>
  <c r="P13" i="108"/>
  <c r="Q13" i="108"/>
  <c r="L14" i="108"/>
  <c r="M14" i="108"/>
  <c r="N14" i="108"/>
  <c r="O14" i="108"/>
  <c r="P14" i="108"/>
  <c r="Q14" i="108"/>
  <c r="L15" i="108"/>
  <c r="M15" i="108"/>
  <c r="N15" i="108"/>
  <c r="O15" i="108"/>
  <c r="P15" i="108"/>
  <c r="Q15" i="108"/>
  <c r="L16" i="108"/>
  <c r="M16" i="108"/>
  <c r="N16" i="108"/>
  <c r="O16" i="108"/>
  <c r="P16" i="108"/>
  <c r="Q16" i="108"/>
  <c r="L17" i="108"/>
  <c r="M17" i="108"/>
  <c r="N17" i="108"/>
  <c r="O17" i="108"/>
  <c r="P17" i="108"/>
  <c r="Q17" i="108"/>
  <c r="L18" i="108"/>
  <c r="M18" i="108"/>
  <c r="N18" i="108"/>
  <c r="O18" i="108"/>
  <c r="P18" i="108"/>
  <c r="Q18" i="108"/>
  <c r="L19" i="108"/>
  <c r="M19" i="108"/>
  <c r="N19" i="108"/>
  <c r="O19" i="108"/>
  <c r="P19" i="108"/>
  <c r="Q19" i="108"/>
  <c r="L20" i="108"/>
  <c r="M20" i="108"/>
  <c r="N20" i="108"/>
  <c r="O20" i="108"/>
  <c r="P20" i="108"/>
  <c r="Q20" i="108"/>
  <c r="L21" i="108"/>
  <c r="M21" i="108"/>
  <c r="N21" i="108"/>
  <c r="O21" i="108"/>
  <c r="P21" i="108"/>
  <c r="Q21" i="108"/>
  <c r="L22" i="108"/>
  <c r="M22" i="108"/>
  <c r="N22" i="108"/>
  <c r="O22" i="108"/>
  <c r="P22" i="108"/>
  <c r="Q22" i="108"/>
  <c r="C45" i="108"/>
  <c r="D45" i="108"/>
  <c r="E45" i="108"/>
  <c r="F45" i="108"/>
  <c r="G45" i="108"/>
  <c r="H45" i="108"/>
  <c r="I11" i="108"/>
  <c r="R11" i="108"/>
  <c r="H56" i="108"/>
  <c r="G56" i="108"/>
  <c r="F56" i="108"/>
  <c r="E56" i="108"/>
  <c r="D56" i="108"/>
  <c r="C56" i="108"/>
  <c r="H55" i="108"/>
  <c r="G55" i="108"/>
  <c r="F55" i="108"/>
  <c r="E55" i="108"/>
  <c r="D55" i="108"/>
  <c r="C55" i="108"/>
  <c r="H54" i="108"/>
  <c r="G54" i="108"/>
  <c r="F54" i="108"/>
  <c r="E54" i="108"/>
  <c r="D54" i="108"/>
  <c r="C54" i="108"/>
  <c r="H53" i="108"/>
  <c r="G53" i="108"/>
  <c r="F53" i="108"/>
  <c r="E53" i="108"/>
  <c r="D53" i="108"/>
  <c r="C53" i="108"/>
  <c r="H52" i="108"/>
  <c r="G52" i="108"/>
  <c r="F52" i="108"/>
  <c r="E52" i="108"/>
  <c r="D52" i="108"/>
  <c r="C52" i="108"/>
  <c r="H51" i="108"/>
  <c r="G51" i="108"/>
  <c r="F51" i="108"/>
  <c r="E51" i="108"/>
  <c r="D51" i="108"/>
  <c r="C51" i="108"/>
  <c r="H50" i="108"/>
  <c r="G50" i="108"/>
  <c r="F50" i="108"/>
  <c r="E50" i="108"/>
  <c r="D50" i="108"/>
  <c r="C50" i="108"/>
  <c r="H49" i="108"/>
  <c r="G49" i="108"/>
  <c r="F49" i="108"/>
  <c r="E49" i="108"/>
  <c r="D49" i="108"/>
  <c r="C49" i="108"/>
  <c r="H48" i="108"/>
  <c r="G48" i="108"/>
  <c r="F48" i="108"/>
  <c r="E48" i="108"/>
  <c r="D48" i="108"/>
  <c r="C48" i="108"/>
  <c r="H47" i="108"/>
  <c r="G47" i="108"/>
  <c r="F47" i="108"/>
  <c r="E47" i="108"/>
  <c r="D47" i="108"/>
  <c r="C47" i="108"/>
  <c r="H46" i="108"/>
  <c r="G46" i="108"/>
  <c r="F46" i="108"/>
  <c r="E46" i="108"/>
  <c r="D46" i="108"/>
  <c r="C46" i="108"/>
  <c r="I22" i="108"/>
  <c r="I21" i="108"/>
  <c r="I20" i="108"/>
  <c r="I19" i="108"/>
  <c r="I18" i="108"/>
  <c r="I17" i="108"/>
  <c r="I16" i="108"/>
  <c r="I15" i="108"/>
  <c r="I14" i="108"/>
  <c r="I13" i="108"/>
  <c r="I12" i="108"/>
  <c r="I10" i="108"/>
  <c r="F3672" i="107"/>
  <c r="F3671" i="107"/>
  <c r="F3670" i="107"/>
  <c r="F3669" i="107"/>
  <c r="F3668" i="107"/>
  <c r="F3667" i="107"/>
  <c r="F3666" i="107"/>
  <c r="F3665" i="107"/>
  <c r="F3664" i="107"/>
  <c r="F3663" i="107"/>
  <c r="F3662" i="107"/>
  <c r="F3661" i="107"/>
  <c r="F3660" i="107"/>
  <c r="F3659" i="107"/>
  <c r="F3658" i="107"/>
  <c r="F3657" i="107"/>
  <c r="F3656" i="107"/>
  <c r="F3655" i="107"/>
  <c r="F3654" i="107"/>
  <c r="F3653" i="107"/>
  <c r="F3652" i="107"/>
  <c r="F3651" i="107"/>
  <c r="F3650" i="107"/>
  <c r="F3649" i="107"/>
  <c r="F3648" i="107"/>
  <c r="F3647" i="107"/>
  <c r="F3646" i="107"/>
  <c r="F3645" i="107"/>
  <c r="F3644" i="107"/>
  <c r="F3643" i="107"/>
  <c r="F3642" i="107"/>
  <c r="F3641" i="107"/>
  <c r="F3640" i="107"/>
  <c r="F3639" i="107"/>
  <c r="F3638" i="107"/>
  <c r="F3637" i="107"/>
  <c r="F3636" i="107"/>
  <c r="F3635" i="107"/>
  <c r="F3634" i="107"/>
  <c r="F3633" i="107"/>
  <c r="F3632" i="107"/>
  <c r="F3631" i="107"/>
  <c r="F3630" i="107"/>
  <c r="F3629" i="107"/>
  <c r="F3628" i="107"/>
  <c r="F3627" i="107"/>
  <c r="F3626" i="107"/>
  <c r="F3625" i="107"/>
  <c r="F3624" i="107"/>
  <c r="F3623" i="107"/>
  <c r="F3622" i="107"/>
  <c r="F3621" i="107"/>
  <c r="F3620" i="107"/>
  <c r="F3619" i="107"/>
  <c r="F3618" i="107"/>
  <c r="F3617" i="107"/>
  <c r="F3616" i="107"/>
  <c r="F3615" i="107"/>
  <c r="F3614" i="107"/>
  <c r="F3613" i="107"/>
  <c r="F3612" i="107"/>
  <c r="F3611" i="107"/>
  <c r="F3610" i="107"/>
  <c r="F3609" i="107"/>
  <c r="F3608" i="107"/>
  <c r="F3607" i="107"/>
  <c r="F3606" i="107"/>
  <c r="F3605" i="107"/>
  <c r="F3604" i="107"/>
  <c r="F3603" i="107"/>
  <c r="F3602" i="107"/>
  <c r="F3601" i="107"/>
  <c r="F3600" i="107"/>
  <c r="F3599" i="107"/>
  <c r="F3598" i="107"/>
  <c r="F3597" i="107"/>
  <c r="F3596" i="107"/>
  <c r="F3595" i="107"/>
  <c r="F3594" i="107"/>
  <c r="F3593" i="107"/>
  <c r="F3592" i="107"/>
  <c r="F3591" i="107"/>
  <c r="F3590" i="107"/>
  <c r="F3589" i="107"/>
  <c r="F3588" i="107"/>
  <c r="F3587" i="107"/>
  <c r="F3586" i="107"/>
  <c r="F3585" i="107"/>
  <c r="F3584" i="107"/>
  <c r="F3583" i="107"/>
  <c r="F3582" i="107"/>
  <c r="F3581" i="107"/>
  <c r="F3580" i="107"/>
  <c r="F3579" i="107"/>
  <c r="F3578" i="107"/>
  <c r="F3577" i="107"/>
  <c r="F3576" i="107"/>
  <c r="F3575" i="107"/>
  <c r="F3574" i="107"/>
  <c r="F3573" i="107"/>
  <c r="F3572" i="107"/>
  <c r="F3571" i="107"/>
  <c r="F3570" i="107"/>
  <c r="F3569" i="107"/>
  <c r="F3568" i="107"/>
  <c r="F3567" i="107"/>
  <c r="F3566" i="107"/>
  <c r="F3565" i="107"/>
  <c r="F3564" i="107"/>
  <c r="F3563" i="107"/>
  <c r="F3562" i="107"/>
  <c r="F3561" i="107"/>
  <c r="F3560" i="107"/>
  <c r="F3559" i="107"/>
  <c r="F3558" i="107"/>
  <c r="F3557" i="107"/>
  <c r="F3556" i="107"/>
  <c r="F3555" i="107"/>
  <c r="F3554" i="107"/>
  <c r="F3553" i="107"/>
  <c r="F3552" i="107"/>
  <c r="F3551" i="107"/>
  <c r="F3550" i="107"/>
  <c r="F3549" i="107"/>
  <c r="F3548" i="107"/>
  <c r="F3547" i="107"/>
  <c r="F3546" i="107"/>
  <c r="F3545" i="107"/>
  <c r="F3544" i="107"/>
  <c r="F3543" i="107"/>
  <c r="F3542" i="107"/>
  <c r="F3541" i="107"/>
  <c r="F3540" i="107"/>
  <c r="F3539" i="107"/>
  <c r="F3538" i="107"/>
  <c r="F3537" i="107"/>
  <c r="F3536" i="107"/>
  <c r="F3535" i="107"/>
  <c r="F3534" i="107"/>
  <c r="F3533" i="107"/>
  <c r="F3532" i="107"/>
  <c r="F3531" i="107"/>
  <c r="F3530" i="107"/>
  <c r="F3529" i="107"/>
  <c r="F3528" i="107"/>
  <c r="F3527" i="107"/>
  <c r="F3526" i="107"/>
  <c r="F3525" i="107"/>
  <c r="F3524" i="107"/>
  <c r="F3523" i="107"/>
  <c r="F3522" i="107"/>
  <c r="F3521" i="107"/>
  <c r="F3520" i="107"/>
  <c r="F3519" i="107"/>
  <c r="F3518" i="107"/>
  <c r="F3517" i="107"/>
  <c r="F3516" i="107"/>
  <c r="F3515" i="107"/>
  <c r="F3514" i="107"/>
  <c r="F3513" i="107"/>
  <c r="F3512" i="107"/>
  <c r="F3511" i="107"/>
  <c r="F3510" i="107"/>
  <c r="F3509" i="107"/>
  <c r="F3508" i="107"/>
  <c r="F3507" i="107"/>
  <c r="F3506" i="107"/>
  <c r="F3505" i="107"/>
  <c r="F3504" i="107"/>
  <c r="F3503" i="107"/>
  <c r="F3502" i="107"/>
  <c r="F3501" i="107"/>
  <c r="F3500" i="107"/>
  <c r="F3499" i="107"/>
  <c r="F3498" i="107"/>
  <c r="F3497" i="107"/>
  <c r="F3496" i="107"/>
  <c r="F3495" i="107"/>
  <c r="F3494" i="107"/>
  <c r="F3493" i="107"/>
  <c r="F3492" i="107"/>
  <c r="F3491" i="107"/>
  <c r="F3490" i="107"/>
  <c r="F3489" i="107"/>
  <c r="F3488" i="107"/>
  <c r="F3487" i="107"/>
  <c r="F3486" i="107"/>
  <c r="F3485" i="107"/>
  <c r="F3484" i="107"/>
  <c r="F3483" i="107"/>
  <c r="F3482" i="107"/>
  <c r="F3481" i="107"/>
  <c r="F3480" i="107"/>
  <c r="F3479" i="107"/>
  <c r="F3478" i="107"/>
  <c r="F3477" i="107"/>
  <c r="F3476" i="107"/>
  <c r="F3475" i="107"/>
  <c r="F3474" i="107"/>
  <c r="F3473" i="107"/>
  <c r="F3472" i="107"/>
  <c r="F3471" i="107"/>
  <c r="F3470" i="107"/>
  <c r="F3469" i="107"/>
  <c r="F3468" i="107"/>
  <c r="F3467" i="107"/>
  <c r="F3466" i="107"/>
  <c r="F3465" i="107"/>
  <c r="F3464" i="107"/>
  <c r="F3463" i="107"/>
  <c r="F3462" i="107"/>
  <c r="F3461" i="107"/>
  <c r="F3460" i="107"/>
  <c r="F3459" i="107"/>
  <c r="F3458" i="107"/>
  <c r="F3457" i="107"/>
  <c r="F3456" i="107"/>
  <c r="F3455" i="107"/>
  <c r="F3454" i="107"/>
  <c r="F3453" i="107"/>
  <c r="F3452" i="107"/>
  <c r="F3451" i="107"/>
  <c r="F3450" i="107"/>
  <c r="F3449" i="107"/>
  <c r="F3448" i="107"/>
  <c r="F3447" i="107"/>
  <c r="F3446" i="107"/>
  <c r="F3445" i="107"/>
  <c r="F3444" i="107"/>
  <c r="F3443" i="107"/>
  <c r="F3442" i="107"/>
  <c r="F3441" i="107"/>
  <c r="F3440" i="107"/>
  <c r="F3439" i="107"/>
  <c r="F3438" i="107"/>
  <c r="F3437" i="107"/>
  <c r="F3436" i="107"/>
  <c r="F3435" i="107"/>
  <c r="F3434" i="107"/>
  <c r="F3433" i="107"/>
  <c r="F3432" i="107"/>
  <c r="F3431" i="107"/>
  <c r="F3430" i="107"/>
  <c r="F3429" i="107"/>
  <c r="F3428" i="107"/>
  <c r="F3427" i="107"/>
  <c r="F3426" i="107"/>
  <c r="F3425" i="107"/>
  <c r="F3424" i="107"/>
  <c r="F3423" i="107"/>
  <c r="F3422" i="107"/>
  <c r="F3421" i="107"/>
  <c r="F3420" i="107"/>
  <c r="F3419" i="107"/>
  <c r="F3418" i="107"/>
  <c r="F3417" i="107"/>
  <c r="F3416" i="107"/>
  <c r="F3415" i="107"/>
  <c r="F3414" i="107"/>
  <c r="F3413" i="107"/>
  <c r="F3412" i="107"/>
  <c r="F3411" i="107"/>
  <c r="F3410" i="107"/>
  <c r="F3409" i="107"/>
  <c r="F3408" i="107"/>
  <c r="F3407" i="107"/>
  <c r="F3406" i="107"/>
  <c r="F3405" i="107"/>
  <c r="F3404" i="107"/>
  <c r="F3403" i="107"/>
  <c r="F3402" i="107"/>
  <c r="F3401" i="107"/>
  <c r="F3400" i="107"/>
  <c r="F3399" i="107"/>
  <c r="F3398" i="107"/>
  <c r="F3397" i="107"/>
  <c r="F3396" i="107"/>
  <c r="F3395" i="107"/>
  <c r="F3394" i="107"/>
  <c r="F3393" i="107"/>
  <c r="F3392" i="107"/>
  <c r="F3391" i="107"/>
  <c r="F3390" i="107"/>
  <c r="F3389" i="107"/>
  <c r="F3388" i="107"/>
  <c r="F3387" i="107"/>
  <c r="F3386" i="107"/>
  <c r="F3385" i="107"/>
  <c r="F3384" i="107"/>
  <c r="F3383" i="107"/>
  <c r="F3382" i="107"/>
  <c r="F3381" i="107"/>
  <c r="F3380" i="107"/>
  <c r="F3379" i="107"/>
  <c r="F3378" i="107"/>
  <c r="F3377" i="107"/>
  <c r="F3376" i="107"/>
  <c r="F3375" i="107"/>
  <c r="F3374" i="107"/>
  <c r="F3373" i="107"/>
  <c r="F3372" i="107"/>
  <c r="F3371" i="107"/>
  <c r="F3370" i="107"/>
  <c r="F3369" i="107"/>
  <c r="F3368" i="107"/>
  <c r="F3367" i="107"/>
  <c r="F3366" i="107"/>
  <c r="F3365" i="107"/>
  <c r="F3364" i="107"/>
  <c r="F3363" i="107"/>
  <c r="F3362" i="107"/>
  <c r="F3361" i="107"/>
  <c r="F3360" i="107"/>
  <c r="F3359" i="107"/>
  <c r="F3358" i="107"/>
  <c r="F3357" i="107"/>
  <c r="F3356" i="107"/>
  <c r="F3355" i="107"/>
  <c r="F3354" i="107"/>
  <c r="F3353" i="107"/>
  <c r="F3352" i="107"/>
  <c r="F3351" i="107"/>
  <c r="F3350" i="107"/>
  <c r="F3349" i="107"/>
  <c r="F3348" i="107"/>
  <c r="F3347" i="107"/>
  <c r="F3346" i="107"/>
  <c r="F3345" i="107"/>
  <c r="F3344" i="107"/>
  <c r="F3343" i="107"/>
  <c r="F3342" i="107"/>
  <c r="F3341" i="107"/>
  <c r="F3340" i="107"/>
  <c r="F3339" i="107"/>
  <c r="F3338" i="107"/>
  <c r="F3337" i="107"/>
  <c r="F3336" i="107"/>
  <c r="F3335" i="107"/>
  <c r="F3334" i="107"/>
  <c r="F3333" i="107"/>
  <c r="F3332" i="107"/>
  <c r="F3331" i="107"/>
  <c r="F3330" i="107"/>
  <c r="F3329" i="107"/>
  <c r="F3328" i="107"/>
  <c r="F3327" i="107"/>
  <c r="F3326" i="107"/>
  <c r="F3325" i="107"/>
  <c r="F3324" i="107"/>
  <c r="F3323" i="107"/>
  <c r="F3322" i="107"/>
  <c r="F3321" i="107"/>
  <c r="F3320" i="107"/>
  <c r="F3319" i="107"/>
  <c r="F3318" i="107"/>
  <c r="F3317" i="107"/>
  <c r="F3316" i="107"/>
  <c r="F3315" i="107"/>
  <c r="F3314" i="107"/>
  <c r="F3313" i="107"/>
  <c r="F3312" i="107"/>
  <c r="F3311" i="107"/>
  <c r="F3310" i="107"/>
  <c r="F3309" i="107"/>
  <c r="F3308" i="107"/>
  <c r="F3307" i="107"/>
  <c r="F3306" i="107"/>
  <c r="F3305" i="107"/>
  <c r="F3304" i="107"/>
  <c r="F3303" i="107"/>
  <c r="F3302" i="107"/>
  <c r="F3301" i="107"/>
  <c r="F3300" i="107"/>
  <c r="F3299" i="107"/>
  <c r="F3298" i="107"/>
  <c r="F3297" i="107"/>
  <c r="F3296" i="107"/>
  <c r="F3295" i="107"/>
  <c r="F3294" i="107"/>
  <c r="F3293" i="107"/>
  <c r="F3292" i="107"/>
  <c r="F3291" i="107"/>
  <c r="F3290" i="107"/>
  <c r="F3289" i="107"/>
  <c r="F3288" i="107"/>
  <c r="F3287" i="107"/>
  <c r="F3286" i="107"/>
  <c r="F3285" i="107"/>
  <c r="F3284" i="107"/>
  <c r="F3283" i="107"/>
  <c r="F3282" i="107"/>
  <c r="F3281" i="107"/>
  <c r="F3280" i="107"/>
  <c r="F3279" i="107"/>
  <c r="F3278" i="107"/>
  <c r="F3277" i="107"/>
  <c r="F3276" i="107"/>
  <c r="F3275" i="107"/>
  <c r="F3274" i="107"/>
  <c r="F3273" i="107"/>
  <c r="F3272" i="107"/>
  <c r="F3271" i="107"/>
  <c r="F3270" i="107"/>
  <c r="F3269" i="107"/>
  <c r="F3268" i="107"/>
  <c r="F3267" i="107"/>
  <c r="F3266" i="107"/>
  <c r="F3265" i="107"/>
  <c r="F3264" i="107"/>
  <c r="F3263" i="107"/>
  <c r="F3262" i="107"/>
  <c r="F3261" i="107"/>
  <c r="F3260" i="107"/>
  <c r="F3259" i="107"/>
  <c r="F3258" i="107"/>
  <c r="F3257" i="107"/>
  <c r="F3256" i="107"/>
  <c r="F3255" i="107"/>
  <c r="F3254" i="107"/>
  <c r="F3253" i="107"/>
  <c r="F3252" i="107"/>
  <c r="F3251" i="107"/>
  <c r="F3250" i="107"/>
  <c r="F3249" i="107"/>
  <c r="F3248" i="107"/>
  <c r="F3247" i="107"/>
  <c r="F3246" i="107"/>
  <c r="F3245" i="107"/>
  <c r="F3244" i="107"/>
  <c r="F3243" i="107"/>
  <c r="F3242" i="107"/>
  <c r="F3241" i="107"/>
  <c r="F3240" i="107"/>
  <c r="F3239" i="107"/>
  <c r="F3238" i="107"/>
  <c r="F3237" i="107"/>
  <c r="F3236" i="107"/>
  <c r="F3235" i="107"/>
  <c r="F3234" i="107"/>
  <c r="F3233" i="107"/>
  <c r="F3232" i="107"/>
  <c r="F3231" i="107"/>
  <c r="F3230" i="107"/>
  <c r="F3229" i="107"/>
  <c r="F3228" i="107"/>
  <c r="F3227" i="107"/>
  <c r="F3226" i="107"/>
  <c r="F3225" i="107"/>
  <c r="F3224" i="107"/>
  <c r="F3223" i="107"/>
  <c r="F3222" i="107"/>
  <c r="F3221" i="107"/>
  <c r="F3220" i="107"/>
  <c r="F3219" i="107"/>
  <c r="F3218" i="107"/>
  <c r="F3217" i="107"/>
  <c r="F3216" i="107"/>
  <c r="F3215" i="107"/>
  <c r="F3214" i="107"/>
  <c r="F3213" i="107"/>
  <c r="F3212" i="107"/>
  <c r="F3211" i="107"/>
  <c r="F3210" i="107"/>
  <c r="F3209" i="107"/>
  <c r="F3208" i="107"/>
  <c r="F3207" i="107"/>
  <c r="F3206" i="107"/>
  <c r="F3205" i="107"/>
  <c r="F3204" i="107"/>
  <c r="F3203" i="107"/>
  <c r="F3202" i="107"/>
  <c r="F3201" i="107"/>
  <c r="F3200" i="107"/>
  <c r="F3199" i="107"/>
  <c r="F3198" i="107"/>
  <c r="F3197" i="107"/>
  <c r="F3196" i="107"/>
  <c r="F3195" i="107"/>
  <c r="F3194" i="107"/>
  <c r="F3193" i="107"/>
  <c r="F3192" i="107"/>
  <c r="F3191" i="107"/>
  <c r="F3190" i="107"/>
  <c r="F3189" i="107"/>
  <c r="F3188" i="107"/>
  <c r="F3187" i="107"/>
  <c r="F3186" i="107"/>
  <c r="F3185" i="107"/>
  <c r="F3184" i="107"/>
  <c r="F3183" i="107"/>
  <c r="F3182" i="107"/>
  <c r="F3181" i="107"/>
  <c r="F3180" i="107"/>
  <c r="F3179" i="107"/>
  <c r="F3178" i="107"/>
  <c r="F3177" i="107"/>
  <c r="F3176" i="107"/>
  <c r="F3175" i="107"/>
  <c r="F3174" i="107"/>
  <c r="F3173" i="107"/>
  <c r="F3172" i="107"/>
  <c r="F3171" i="107"/>
  <c r="F3170" i="107"/>
  <c r="F3169" i="107"/>
  <c r="F3168" i="107"/>
  <c r="F3167" i="107"/>
  <c r="F3166" i="107"/>
  <c r="F3165" i="107"/>
  <c r="F3164" i="107"/>
  <c r="F3163" i="107"/>
  <c r="F3162" i="107"/>
  <c r="F3161" i="107"/>
  <c r="F3160" i="107"/>
  <c r="F3159" i="107"/>
  <c r="F3158" i="107"/>
  <c r="F3157" i="107"/>
  <c r="F3156" i="107"/>
  <c r="F3155" i="107"/>
  <c r="F3154" i="107"/>
  <c r="F3153" i="107"/>
  <c r="F3152" i="107"/>
  <c r="F3151" i="107"/>
  <c r="F3150" i="107"/>
  <c r="F3149" i="107"/>
  <c r="F3148" i="107"/>
  <c r="F3147" i="107"/>
  <c r="F3146" i="107"/>
  <c r="F3145" i="107"/>
  <c r="F3144" i="107"/>
  <c r="F3143" i="107"/>
  <c r="F3142" i="107"/>
  <c r="F3141" i="107"/>
  <c r="F3140" i="107"/>
  <c r="F3139" i="107"/>
  <c r="F3138" i="107"/>
  <c r="F3137" i="107"/>
  <c r="F3136" i="107"/>
  <c r="F3135" i="107"/>
  <c r="F3134" i="107"/>
  <c r="F3133" i="107"/>
  <c r="F3132" i="107"/>
  <c r="F3131" i="107"/>
  <c r="F3130" i="107"/>
  <c r="F3129" i="107"/>
  <c r="F3128" i="107"/>
  <c r="F3127" i="107"/>
  <c r="F3126" i="107"/>
  <c r="F3125" i="107"/>
  <c r="F3124" i="107"/>
  <c r="F3123" i="107"/>
  <c r="F3122" i="107"/>
  <c r="F3121" i="107"/>
  <c r="F3120" i="107"/>
  <c r="F3119" i="107"/>
  <c r="F3118" i="107"/>
  <c r="F3117" i="107"/>
  <c r="F3116" i="107"/>
  <c r="F3115" i="107"/>
  <c r="F3114" i="107"/>
  <c r="F3113" i="107"/>
  <c r="F3112" i="107"/>
  <c r="F3111" i="107"/>
  <c r="F3110" i="107"/>
  <c r="F3109" i="107"/>
  <c r="F3108" i="107"/>
  <c r="F3107" i="107"/>
  <c r="F3106" i="107"/>
  <c r="F3105" i="107"/>
  <c r="F3104" i="107"/>
  <c r="F3103" i="107"/>
  <c r="F3102" i="107"/>
  <c r="F3101" i="107"/>
  <c r="F3100" i="107"/>
  <c r="F3099" i="107"/>
  <c r="F3098" i="107"/>
  <c r="F3097" i="107"/>
  <c r="F3096" i="107"/>
  <c r="F3095" i="107"/>
  <c r="F3094" i="107"/>
  <c r="F3093" i="107"/>
  <c r="F3092" i="107"/>
  <c r="F3091" i="107"/>
  <c r="F3090" i="107"/>
  <c r="F3089" i="107"/>
  <c r="F3088" i="107"/>
  <c r="F3087" i="107"/>
  <c r="F3086" i="107"/>
  <c r="F3085" i="107"/>
  <c r="F3084" i="107"/>
  <c r="F3083" i="107"/>
  <c r="F3082" i="107"/>
  <c r="F3081" i="107"/>
  <c r="F3080" i="107"/>
  <c r="F3079" i="107"/>
  <c r="F3078" i="107"/>
  <c r="F3077" i="107"/>
  <c r="F3076" i="107"/>
  <c r="F3075" i="107"/>
  <c r="F3074" i="107"/>
  <c r="F3073" i="107"/>
  <c r="F3072" i="107"/>
  <c r="F3071" i="107"/>
  <c r="F3070" i="107"/>
  <c r="F3069" i="107"/>
  <c r="F3068" i="107"/>
  <c r="F3067" i="107"/>
  <c r="F3066" i="107"/>
  <c r="F3065" i="107"/>
  <c r="F3064" i="107"/>
  <c r="F3063" i="107"/>
  <c r="F3062" i="107"/>
  <c r="F3061" i="107"/>
  <c r="F3060" i="107"/>
  <c r="F3059" i="107"/>
  <c r="F3058" i="107"/>
  <c r="F3057" i="107"/>
  <c r="F3056" i="107"/>
  <c r="F3055" i="107"/>
  <c r="F3054" i="107"/>
  <c r="F3053" i="107"/>
  <c r="F3052" i="107"/>
  <c r="F3051" i="107"/>
  <c r="F3050" i="107"/>
  <c r="F3049" i="107"/>
  <c r="F3048" i="107"/>
  <c r="F3047" i="107"/>
  <c r="F3046" i="107"/>
  <c r="F3045" i="107"/>
  <c r="F3044" i="107"/>
  <c r="F3043" i="107"/>
  <c r="F3042" i="107"/>
  <c r="F3041" i="107"/>
  <c r="F3040" i="107"/>
  <c r="F3039" i="107"/>
  <c r="F3038" i="107"/>
  <c r="F3037" i="107"/>
  <c r="F3036" i="107"/>
  <c r="F3035" i="107"/>
  <c r="F3034" i="107"/>
  <c r="F3033" i="107"/>
  <c r="F3032" i="107"/>
  <c r="F3031" i="107"/>
  <c r="F3030" i="107"/>
  <c r="F3029" i="107"/>
  <c r="F3028" i="107"/>
  <c r="F3027" i="107"/>
  <c r="F3026" i="107"/>
  <c r="F3025" i="107"/>
  <c r="F3024" i="107"/>
  <c r="F3023" i="107"/>
  <c r="F3022" i="107"/>
  <c r="F3021" i="107"/>
  <c r="F3020" i="107"/>
  <c r="F3019" i="107"/>
  <c r="F3018" i="107"/>
  <c r="F3017" i="107"/>
  <c r="F3016" i="107"/>
  <c r="F3015" i="107"/>
  <c r="F3014" i="107"/>
  <c r="F3013" i="107"/>
  <c r="F3012" i="107"/>
  <c r="F3011" i="107"/>
  <c r="F3010" i="107"/>
  <c r="F3009" i="107"/>
  <c r="F3008" i="107"/>
  <c r="F3007" i="107"/>
  <c r="F3006" i="107"/>
  <c r="F3005" i="107"/>
  <c r="F3004" i="107"/>
  <c r="F3003" i="107"/>
  <c r="F3002" i="107"/>
  <c r="F3001" i="107"/>
  <c r="F3000" i="107"/>
  <c r="F2999" i="107"/>
  <c r="F2998" i="107"/>
  <c r="F2997" i="107"/>
  <c r="F2996" i="107"/>
  <c r="F2995" i="107"/>
  <c r="F2994" i="107"/>
  <c r="F2993" i="107"/>
  <c r="F2992" i="107"/>
  <c r="F2991" i="107"/>
  <c r="F2990" i="107"/>
  <c r="F2989" i="107"/>
  <c r="F2988" i="107"/>
  <c r="F2987" i="107"/>
  <c r="F2986" i="107"/>
  <c r="F2985" i="107"/>
  <c r="F2984" i="107"/>
  <c r="F2983" i="107"/>
  <c r="F2982" i="107"/>
  <c r="F2981" i="107"/>
  <c r="F2980" i="107"/>
  <c r="F2979" i="107"/>
  <c r="F2978" i="107"/>
  <c r="F2977" i="107"/>
  <c r="F2976" i="107"/>
  <c r="F2975" i="107"/>
  <c r="F2974" i="107"/>
  <c r="F2973" i="107"/>
  <c r="F2972" i="107"/>
  <c r="F2971" i="107"/>
  <c r="F2970" i="107"/>
  <c r="F2969" i="107"/>
  <c r="F2968" i="107"/>
  <c r="F2967" i="107"/>
  <c r="F2966" i="107"/>
  <c r="F2965" i="107"/>
  <c r="F2964" i="107"/>
  <c r="F2963" i="107"/>
  <c r="F2962" i="107"/>
  <c r="F2961" i="107"/>
  <c r="F2960" i="107"/>
  <c r="F2959" i="107"/>
  <c r="F2958" i="107"/>
  <c r="F2957" i="107"/>
  <c r="F2956" i="107"/>
  <c r="F2955" i="107"/>
  <c r="F2954" i="107"/>
  <c r="F2953" i="107"/>
  <c r="F2952" i="107"/>
  <c r="F2951" i="107"/>
  <c r="F2950" i="107"/>
  <c r="F2949" i="107"/>
  <c r="F2948" i="107"/>
  <c r="F2947" i="107"/>
  <c r="F2946" i="107"/>
  <c r="F2945" i="107"/>
  <c r="F2944" i="107"/>
  <c r="F2943" i="107"/>
  <c r="F2942" i="107"/>
  <c r="F2941" i="107"/>
  <c r="F2940" i="107"/>
  <c r="F2939" i="107"/>
  <c r="F2938" i="107"/>
  <c r="F2937" i="107"/>
  <c r="F2936" i="107"/>
  <c r="F2935" i="107"/>
  <c r="F2934" i="107"/>
  <c r="F2933" i="107"/>
  <c r="F2932" i="107"/>
  <c r="F2931" i="107"/>
  <c r="F2930" i="107"/>
  <c r="F2929" i="107"/>
  <c r="F2928" i="107"/>
  <c r="F2927" i="107"/>
  <c r="F2926" i="107"/>
  <c r="F2925" i="107"/>
  <c r="F2924" i="107"/>
  <c r="F2923" i="107"/>
  <c r="F2922" i="107"/>
  <c r="F2921" i="107"/>
  <c r="F2920" i="107"/>
  <c r="F2919" i="107"/>
  <c r="F2918" i="107"/>
  <c r="F2917" i="107"/>
  <c r="F2916" i="107"/>
  <c r="F2915" i="107"/>
  <c r="F2914" i="107"/>
  <c r="F2913" i="107"/>
  <c r="F2912" i="107"/>
  <c r="F2911" i="107"/>
  <c r="F2910" i="107"/>
  <c r="F2909" i="107"/>
  <c r="F2908" i="107"/>
  <c r="F2907" i="107"/>
  <c r="F2906" i="107"/>
  <c r="F2905" i="107"/>
  <c r="F2904" i="107"/>
  <c r="F2903" i="107"/>
  <c r="F2902" i="107"/>
  <c r="F2901" i="107"/>
  <c r="F2900" i="107"/>
  <c r="F2899" i="107"/>
  <c r="F2898" i="107"/>
  <c r="F2897" i="107"/>
  <c r="F2896" i="107"/>
  <c r="F2895" i="107"/>
  <c r="F2894" i="107"/>
  <c r="F2893" i="107"/>
  <c r="F2892" i="107"/>
  <c r="F2891" i="107"/>
  <c r="F2890" i="107"/>
  <c r="F2889" i="107"/>
  <c r="F2888" i="107"/>
  <c r="F2887" i="107"/>
  <c r="F2886" i="107"/>
  <c r="F2885" i="107"/>
  <c r="F2884" i="107"/>
  <c r="F2883" i="107"/>
  <c r="F2882" i="107"/>
  <c r="F2881" i="107"/>
  <c r="F2880" i="107"/>
  <c r="F2879" i="107"/>
  <c r="F2878" i="107"/>
  <c r="F2877" i="107"/>
  <c r="F2876" i="107"/>
  <c r="F2875" i="107"/>
  <c r="F2874" i="107"/>
  <c r="F2873" i="107"/>
  <c r="F2872" i="107"/>
  <c r="F2871" i="107"/>
  <c r="F2870" i="107"/>
  <c r="F2869" i="107"/>
  <c r="F2868" i="107"/>
  <c r="F2867" i="107"/>
  <c r="F2866" i="107"/>
  <c r="F2865" i="107"/>
  <c r="F2864" i="107"/>
  <c r="F2863" i="107"/>
  <c r="F2862" i="107"/>
  <c r="F2861" i="107"/>
  <c r="F2860" i="107"/>
  <c r="F2859" i="107"/>
  <c r="F2858" i="107"/>
  <c r="F2857" i="107"/>
  <c r="F2856" i="107"/>
  <c r="F2855" i="107"/>
  <c r="F2854" i="107"/>
  <c r="F2853" i="107"/>
  <c r="F2852" i="107"/>
  <c r="F2851" i="107"/>
  <c r="F2850" i="107"/>
  <c r="F2849" i="107"/>
  <c r="F2848" i="107"/>
  <c r="F2847" i="107"/>
  <c r="F2846" i="107"/>
  <c r="F2845" i="107"/>
  <c r="F2844" i="107"/>
  <c r="F2843" i="107"/>
  <c r="F2842" i="107"/>
  <c r="F2841" i="107"/>
  <c r="F2840" i="107"/>
  <c r="F2839" i="107"/>
  <c r="F2838" i="107"/>
  <c r="F2837" i="107"/>
  <c r="F2836" i="107"/>
  <c r="F2835" i="107"/>
  <c r="F2834" i="107"/>
  <c r="F2833" i="107"/>
  <c r="F2832" i="107"/>
  <c r="F2831" i="107"/>
  <c r="F2830" i="107"/>
  <c r="F2829" i="107"/>
  <c r="F2828" i="107"/>
  <c r="F2827" i="107"/>
  <c r="F2826" i="107"/>
  <c r="F2825" i="107"/>
  <c r="F2824" i="107"/>
  <c r="F2823" i="107"/>
  <c r="F2822" i="107"/>
  <c r="F2821" i="107"/>
  <c r="F2820" i="107"/>
  <c r="F2819" i="107"/>
  <c r="F2818" i="107"/>
  <c r="F2817" i="107"/>
  <c r="F2816" i="107"/>
  <c r="F2815" i="107"/>
  <c r="F2814" i="107"/>
  <c r="F2813" i="107"/>
  <c r="F2812" i="107"/>
  <c r="F2811" i="107"/>
  <c r="F2810" i="107"/>
  <c r="F2809" i="107"/>
  <c r="F2808" i="107"/>
  <c r="F2807" i="107"/>
  <c r="F2806" i="107"/>
  <c r="F2805" i="107"/>
  <c r="F2804" i="107"/>
  <c r="F2803" i="107"/>
  <c r="F2802" i="107"/>
  <c r="F2801" i="107"/>
  <c r="F2800" i="107"/>
  <c r="F2799" i="107"/>
  <c r="F2798" i="107"/>
  <c r="F2797" i="107"/>
  <c r="F2796" i="107"/>
  <c r="F2795" i="107"/>
  <c r="F2794" i="107"/>
  <c r="F2793" i="107"/>
  <c r="F2792" i="107"/>
  <c r="F2791" i="107"/>
  <c r="F2790" i="107"/>
  <c r="F2789" i="107"/>
  <c r="F2788" i="107"/>
  <c r="F2787" i="107"/>
  <c r="F2786" i="107"/>
  <c r="F2785" i="107"/>
  <c r="F2784" i="107"/>
  <c r="F2783" i="107"/>
  <c r="F2782" i="107"/>
  <c r="F2781" i="107"/>
  <c r="F2780" i="107"/>
  <c r="F2779" i="107"/>
  <c r="F2778" i="107"/>
  <c r="F2777" i="107"/>
  <c r="F2776" i="107"/>
  <c r="F2775" i="107"/>
  <c r="F2774" i="107"/>
  <c r="F2773" i="107"/>
  <c r="F2772" i="107"/>
  <c r="F2771" i="107"/>
  <c r="F2770" i="107"/>
  <c r="F2769" i="107"/>
  <c r="F2768" i="107"/>
  <c r="F2767" i="107"/>
  <c r="F2766" i="107"/>
  <c r="F2765" i="107"/>
  <c r="F2764" i="107"/>
  <c r="F2763" i="107"/>
  <c r="F2762" i="107"/>
  <c r="F2761" i="107"/>
  <c r="F2760" i="107"/>
  <c r="F2759" i="107"/>
  <c r="F2758" i="107"/>
  <c r="F2757" i="107"/>
  <c r="F2756" i="107"/>
  <c r="F2755" i="107"/>
  <c r="F2754" i="107"/>
  <c r="F2753" i="107"/>
  <c r="F2752" i="107"/>
  <c r="F2751" i="107"/>
  <c r="F2750" i="107"/>
  <c r="F2749" i="107"/>
  <c r="F2748" i="107"/>
  <c r="F2747" i="107"/>
  <c r="F2746" i="107"/>
  <c r="F2745" i="107"/>
  <c r="F2744" i="107"/>
  <c r="F2743" i="107"/>
  <c r="F2742" i="107"/>
  <c r="F2741" i="107"/>
  <c r="F2740" i="107"/>
  <c r="F2739" i="107"/>
  <c r="F2738" i="107"/>
  <c r="F2737" i="107"/>
  <c r="F2736" i="107"/>
  <c r="F2735" i="107"/>
  <c r="F2734" i="107"/>
  <c r="F2733" i="107"/>
  <c r="F2732" i="107"/>
  <c r="F2731" i="107"/>
  <c r="F2730" i="107"/>
  <c r="F2729" i="107"/>
  <c r="F2728" i="107"/>
  <c r="F2727" i="107"/>
  <c r="F2726" i="107"/>
  <c r="F2725" i="107"/>
  <c r="F2724" i="107"/>
  <c r="F2723" i="107"/>
  <c r="F2722" i="107"/>
  <c r="F2721" i="107"/>
  <c r="F2720" i="107"/>
  <c r="F2719" i="107"/>
  <c r="F2718" i="107"/>
  <c r="F2717" i="107"/>
  <c r="F2716" i="107"/>
  <c r="F2715" i="107"/>
  <c r="F2714" i="107"/>
  <c r="F2713" i="107"/>
  <c r="F2712" i="107"/>
  <c r="F2711" i="107"/>
  <c r="F2710" i="107"/>
  <c r="F2709" i="107"/>
  <c r="F2708" i="107"/>
  <c r="F2707" i="107"/>
  <c r="F2706" i="107"/>
  <c r="F2705" i="107"/>
  <c r="F2704" i="107"/>
  <c r="F2703" i="107"/>
  <c r="F2702" i="107"/>
  <c r="F2701" i="107"/>
  <c r="F2700" i="107"/>
  <c r="F2699" i="107"/>
  <c r="F2698" i="107"/>
  <c r="F2697" i="107"/>
  <c r="F2696" i="107"/>
  <c r="F2695" i="107"/>
  <c r="F2694" i="107"/>
  <c r="F2693" i="107"/>
  <c r="F2692" i="107"/>
  <c r="F2691" i="107"/>
  <c r="F2690" i="107"/>
  <c r="F2689" i="107"/>
  <c r="F2688" i="107"/>
  <c r="F2687" i="107"/>
  <c r="F2686" i="107"/>
  <c r="F2685" i="107"/>
  <c r="F2684" i="107"/>
  <c r="F2683" i="107"/>
  <c r="F2682" i="107"/>
  <c r="F2681" i="107"/>
  <c r="F2680" i="107"/>
  <c r="F2679" i="107"/>
  <c r="F2678" i="107"/>
  <c r="F2677" i="107"/>
  <c r="F2676" i="107"/>
  <c r="F2675" i="107"/>
  <c r="F2674" i="107"/>
  <c r="F2673" i="107"/>
  <c r="F2672" i="107"/>
  <c r="F2671" i="107"/>
  <c r="F2670" i="107"/>
  <c r="F2669" i="107"/>
  <c r="F2668" i="107"/>
  <c r="F2667" i="107"/>
  <c r="F2666" i="107"/>
  <c r="F2665" i="107"/>
  <c r="F2664" i="107"/>
  <c r="F2663" i="107"/>
  <c r="F2662" i="107"/>
  <c r="F2661" i="107"/>
  <c r="F2660" i="107"/>
  <c r="F2659" i="107"/>
  <c r="F2658" i="107"/>
  <c r="F2657" i="107"/>
  <c r="F2656" i="107"/>
  <c r="F2655" i="107"/>
  <c r="F2654" i="107"/>
  <c r="F2653" i="107"/>
  <c r="F2652" i="107"/>
  <c r="F2651" i="107"/>
  <c r="F2650" i="107"/>
  <c r="F2649" i="107"/>
  <c r="F2648" i="107"/>
  <c r="F2647" i="107"/>
  <c r="F2646" i="107"/>
  <c r="F2645" i="107"/>
  <c r="F2644" i="107"/>
  <c r="F2643" i="107"/>
  <c r="F2642" i="107"/>
  <c r="F2641" i="107"/>
  <c r="F2640" i="107"/>
  <c r="F2639" i="107"/>
  <c r="F2638" i="107"/>
  <c r="F2637" i="107"/>
  <c r="F2636" i="107"/>
  <c r="F2635" i="107"/>
  <c r="F2634" i="107"/>
  <c r="F2633" i="107"/>
  <c r="F2632" i="107"/>
  <c r="F2631" i="107"/>
  <c r="F2630" i="107"/>
  <c r="F2629" i="107"/>
  <c r="F2628" i="107"/>
  <c r="F2627" i="107"/>
  <c r="F2626" i="107"/>
  <c r="F2625" i="107"/>
  <c r="F2624" i="107"/>
  <c r="F2623" i="107"/>
  <c r="F2622" i="107"/>
  <c r="F2621" i="107"/>
  <c r="F2620" i="107"/>
  <c r="F2619" i="107"/>
  <c r="F2618" i="107"/>
  <c r="F2617" i="107"/>
  <c r="F2616" i="107"/>
  <c r="F2615" i="107"/>
  <c r="F2614" i="107"/>
  <c r="F2613" i="107"/>
  <c r="F2612" i="107"/>
  <c r="F2611" i="107"/>
  <c r="F2610" i="107"/>
  <c r="F2609" i="107"/>
  <c r="F2608" i="107"/>
  <c r="F2607" i="107"/>
  <c r="F2606" i="107"/>
  <c r="F2605" i="107"/>
  <c r="F2604" i="107"/>
  <c r="F2603" i="107"/>
  <c r="F2602" i="107"/>
  <c r="F2601" i="107"/>
  <c r="F2600" i="107"/>
  <c r="F2599" i="107"/>
  <c r="F2598" i="107"/>
  <c r="F2597" i="107"/>
  <c r="F2596" i="107"/>
  <c r="F2595" i="107"/>
  <c r="F2594" i="107"/>
  <c r="F2593" i="107"/>
  <c r="F2592" i="107"/>
  <c r="F2591" i="107"/>
  <c r="F2590" i="107"/>
  <c r="F2589" i="107"/>
  <c r="F2588" i="107"/>
  <c r="F2587" i="107"/>
  <c r="F2586" i="107"/>
  <c r="F2585" i="107"/>
  <c r="F2584" i="107"/>
  <c r="F2583" i="107"/>
  <c r="F2582" i="107"/>
  <c r="F2581" i="107"/>
  <c r="F2580" i="107"/>
  <c r="F2579" i="107"/>
  <c r="F2578" i="107"/>
  <c r="F2577" i="107"/>
  <c r="F2576" i="107"/>
  <c r="F2575" i="107"/>
  <c r="F2574" i="107"/>
  <c r="F2573" i="107"/>
  <c r="F2572" i="107"/>
  <c r="F2571" i="107"/>
  <c r="F2570" i="107"/>
  <c r="F2569" i="107"/>
  <c r="F2568" i="107"/>
  <c r="F2567" i="107"/>
  <c r="F2566" i="107"/>
  <c r="F2565" i="107"/>
  <c r="F2564" i="107"/>
  <c r="F2563" i="107"/>
  <c r="F2562" i="107"/>
  <c r="F2561" i="107"/>
  <c r="F2560" i="107"/>
  <c r="F2559" i="107"/>
  <c r="F2558" i="107"/>
  <c r="F2557" i="107"/>
  <c r="F2556" i="107"/>
  <c r="F2555" i="107"/>
  <c r="F2554" i="107"/>
  <c r="F2553" i="107"/>
  <c r="F2552" i="107"/>
  <c r="F2551" i="107"/>
  <c r="F2550" i="107"/>
  <c r="F2549" i="107"/>
  <c r="F2548" i="107"/>
  <c r="F2547" i="107"/>
  <c r="F2546" i="107"/>
  <c r="F2545" i="107"/>
  <c r="F2544" i="107"/>
  <c r="F2543" i="107"/>
  <c r="F2542" i="107"/>
  <c r="F2541" i="107"/>
  <c r="F2540" i="107"/>
  <c r="F2539" i="107"/>
  <c r="F2538" i="107"/>
  <c r="F2537" i="107"/>
  <c r="F2536" i="107"/>
  <c r="F2535" i="107"/>
  <c r="F2534" i="107"/>
  <c r="F2533" i="107"/>
  <c r="F2532" i="107"/>
  <c r="F2531" i="107"/>
  <c r="F2530" i="107"/>
  <c r="F2529" i="107"/>
  <c r="F2528" i="107"/>
  <c r="F2527" i="107"/>
  <c r="F2526" i="107"/>
  <c r="F2525" i="107"/>
  <c r="F2524" i="107"/>
  <c r="F2523" i="107"/>
  <c r="F2522" i="107"/>
  <c r="F2521" i="107"/>
  <c r="F2520" i="107"/>
  <c r="F2519" i="107"/>
  <c r="F2518" i="107"/>
  <c r="F2517" i="107"/>
  <c r="F2516" i="107"/>
  <c r="F2515" i="107"/>
  <c r="F2514" i="107"/>
  <c r="F2513" i="107"/>
  <c r="F2512" i="107"/>
  <c r="F2511" i="107"/>
  <c r="F2510" i="107"/>
  <c r="F2509" i="107"/>
  <c r="F2508" i="107"/>
  <c r="F2507" i="107"/>
  <c r="F2506" i="107"/>
  <c r="F2505" i="107"/>
  <c r="F2504" i="107"/>
  <c r="F2503" i="107"/>
  <c r="F2502" i="107"/>
  <c r="F2501" i="107"/>
  <c r="F2500" i="107"/>
  <c r="F2499" i="107"/>
  <c r="F2498" i="107"/>
  <c r="F2497" i="107"/>
  <c r="F2496" i="107"/>
  <c r="F2495" i="107"/>
  <c r="F2494" i="107"/>
  <c r="F2493" i="107"/>
  <c r="F2492" i="107"/>
  <c r="F2491" i="107"/>
  <c r="F2490" i="107"/>
  <c r="F2489" i="107"/>
  <c r="F2488" i="107"/>
  <c r="F2487" i="107"/>
  <c r="F2486" i="107"/>
  <c r="F2485" i="107"/>
  <c r="F2484" i="107"/>
  <c r="F2483" i="107"/>
  <c r="F2482" i="107"/>
  <c r="F2481" i="107"/>
  <c r="F2480" i="107"/>
  <c r="F2479" i="107"/>
  <c r="F2478" i="107"/>
  <c r="F2477" i="107"/>
  <c r="F2476" i="107"/>
  <c r="F2475" i="107"/>
  <c r="F2474" i="107"/>
  <c r="F2473" i="107"/>
  <c r="F2472" i="107"/>
  <c r="F2471" i="107"/>
  <c r="F2470" i="107"/>
  <c r="F2469" i="107"/>
  <c r="F2468" i="107"/>
  <c r="F2467" i="107"/>
  <c r="F2466" i="107"/>
  <c r="F2465" i="107"/>
  <c r="F2464" i="107"/>
  <c r="F2463" i="107"/>
  <c r="F2462" i="107"/>
  <c r="F2461" i="107"/>
  <c r="F2460" i="107"/>
  <c r="F2459" i="107"/>
  <c r="F2458" i="107"/>
  <c r="F2457" i="107"/>
  <c r="F2456" i="107"/>
  <c r="F2455" i="107"/>
  <c r="F2454" i="107"/>
  <c r="F2453" i="107"/>
  <c r="F2452" i="107"/>
  <c r="F2451" i="107"/>
  <c r="F2450" i="107"/>
  <c r="F2449" i="107"/>
  <c r="F2448" i="107"/>
  <c r="F2447" i="107"/>
  <c r="F2446" i="107"/>
  <c r="F2445" i="107"/>
  <c r="F2444" i="107"/>
  <c r="F2443" i="107"/>
  <c r="F2442" i="107"/>
  <c r="F2441" i="107"/>
  <c r="F2440" i="107"/>
  <c r="F2439" i="107"/>
  <c r="F2438" i="107"/>
  <c r="F2437" i="107"/>
  <c r="F2436" i="107"/>
  <c r="F2435" i="107"/>
  <c r="F2434" i="107"/>
  <c r="F2433" i="107"/>
  <c r="F2432" i="107"/>
  <c r="F2431" i="107"/>
  <c r="F2430" i="107"/>
  <c r="F2429" i="107"/>
  <c r="F2428" i="107"/>
  <c r="F2427" i="107"/>
  <c r="F2426" i="107"/>
  <c r="F2425" i="107"/>
  <c r="F2424" i="107"/>
  <c r="F2423" i="107"/>
  <c r="F2422" i="107"/>
  <c r="F2421" i="107"/>
  <c r="F2420" i="107"/>
  <c r="F2419" i="107"/>
  <c r="F2418" i="107"/>
  <c r="F2417" i="107"/>
  <c r="F2416" i="107"/>
  <c r="F2415" i="107"/>
  <c r="F2414" i="107"/>
  <c r="F2413" i="107"/>
  <c r="F2412" i="107"/>
  <c r="F2411" i="107"/>
  <c r="F2410" i="107"/>
  <c r="F2409" i="107"/>
  <c r="F2408" i="107"/>
  <c r="F2407" i="107"/>
  <c r="F2406" i="107"/>
  <c r="F2405" i="107"/>
  <c r="F2404" i="107"/>
  <c r="F2403" i="107"/>
  <c r="F2402" i="107"/>
  <c r="F2401" i="107"/>
  <c r="F2400" i="107"/>
  <c r="F2399" i="107"/>
  <c r="F2398" i="107"/>
  <c r="F2397" i="107"/>
  <c r="F2396" i="107"/>
  <c r="F2395" i="107"/>
  <c r="F2394" i="107"/>
  <c r="F2393" i="107"/>
  <c r="F2392" i="107"/>
  <c r="F2391" i="107"/>
  <c r="F2390" i="107"/>
  <c r="F2389" i="107"/>
  <c r="F2388" i="107"/>
  <c r="F2387" i="107"/>
  <c r="F2386" i="107"/>
  <c r="F2385" i="107"/>
  <c r="F2384" i="107"/>
  <c r="F2383" i="107"/>
  <c r="F2382" i="107"/>
  <c r="F2381" i="107"/>
  <c r="F2380" i="107"/>
  <c r="F2379" i="107"/>
  <c r="F2378" i="107"/>
  <c r="F2377" i="107"/>
  <c r="F2376" i="107"/>
  <c r="F2375" i="107"/>
  <c r="F2374" i="107"/>
  <c r="F2373" i="107"/>
  <c r="F2372" i="107"/>
  <c r="F2371" i="107"/>
  <c r="F2370" i="107"/>
  <c r="F2369" i="107"/>
  <c r="F2368" i="107"/>
  <c r="F2367" i="107"/>
  <c r="F2366" i="107"/>
  <c r="F2365" i="107"/>
  <c r="F2364" i="107"/>
  <c r="F2363" i="107"/>
  <c r="F2362" i="107"/>
  <c r="F2361" i="107"/>
  <c r="F2360" i="107"/>
  <c r="F2359" i="107"/>
  <c r="F2358" i="107"/>
  <c r="F2357" i="107"/>
  <c r="F2356" i="107"/>
  <c r="F2355" i="107"/>
  <c r="F2354" i="107"/>
  <c r="F2353" i="107"/>
  <c r="F2352" i="107"/>
  <c r="F2351" i="107"/>
  <c r="F2350" i="107"/>
  <c r="F2349" i="107"/>
  <c r="F2348" i="107"/>
  <c r="F2347" i="107"/>
  <c r="F2346" i="107"/>
  <c r="F2345" i="107"/>
  <c r="F2344" i="107"/>
  <c r="F2343" i="107"/>
  <c r="F2342" i="107"/>
  <c r="F2341" i="107"/>
  <c r="F2340" i="107"/>
  <c r="F2339" i="107"/>
  <c r="F2338" i="107"/>
  <c r="F2337" i="107"/>
  <c r="F2336" i="107"/>
  <c r="F2335" i="107"/>
  <c r="F2334" i="107"/>
  <c r="F2333" i="107"/>
  <c r="F2332" i="107"/>
  <c r="F2331" i="107"/>
  <c r="F2330" i="107"/>
  <c r="F2329" i="107"/>
  <c r="F2328" i="107"/>
  <c r="F2327" i="107"/>
  <c r="F2326" i="107"/>
  <c r="F2325" i="107"/>
  <c r="F2324" i="107"/>
  <c r="F2323" i="107"/>
  <c r="F2322" i="107"/>
  <c r="F2321" i="107"/>
  <c r="F2320" i="107"/>
  <c r="F2319" i="107"/>
  <c r="F2318" i="107"/>
  <c r="F2317" i="107"/>
  <c r="F2316" i="107"/>
  <c r="F2315" i="107"/>
  <c r="F2314" i="107"/>
  <c r="F2313" i="107"/>
  <c r="F2312" i="107"/>
  <c r="F2311" i="107"/>
  <c r="F2310" i="107"/>
  <c r="F2309" i="107"/>
  <c r="F2308" i="107"/>
  <c r="F2307" i="107"/>
  <c r="F2306" i="107"/>
  <c r="F2305" i="107"/>
  <c r="F2304" i="107"/>
  <c r="F2303" i="107"/>
  <c r="F2302" i="107"/>
  <c r="F2301" i="107"/>
  <c r="F2300" i="107"/>
  <c r="F2299" i="107"/>
  <c r="F2298" i="107"/>
  <c r="F2297" i="107"/>
  <c r="F2296" i="107"/>
  <c r="F2295" i="107"/>
  <c r="F2294" i="107"/>
  <c r="F2293" i="107"/>
  <c r="F2292" i="107"/>
  <c r="F2291" i="107"/>
  <c r="F2290" i="107"/>
  <c r="F2289" i="107"/>
  <c r="F2288" i="107"/>
  <c r="F2287" i="107"/>
  <c r="F2286" i="107"/>
  <c r="F2285" i="107"/>
  <c r="F2284" i="107"/>
  <c r="F2283" i="107"/>
  <c r="F2282" i="107"/>
  <c r="F2281" i="107"/>
  <c r="F2280" i="107"/>
  <c r="F2279" i="107"/>
  <c r="F2278" i="107"/>
  <c r="F2277" i="107"/>
  <c r="F2276" i="107"/>
  <c r="F2275" i="107"/>
  <c r="F2274" i="107"/>
  <c r="F2273" i="107"/>
  <c r="F2272" i="107"/>
  <c r="F2271" i="107"/>
  <c r="F2270" i="107"/>
  <c r="F2269" i="107"/>
  <c r="F2268" i="107"/>
  <c r="F2267" i="107"/>
  <c r="F2266" i="107"/>
  <c r="F2265" i="107"/>
  <c r="F2264" i="107"/>
  <c r="F2263" i="107"/>
  <c r="F2262" i="107"/>
  <c r="F2261" i="107"/>
  <c r="F2260" i="107"/>
  <c r="F2259" i="107"/>
  <c r="F2258" i="107"/>
  <c r="F2257" i="107"/>
  <c r="F2256" i="107"/>
  <c r="F2255" i="107"/>
  <c r="F2254" i="107"/>
  <c r="F2253" i="107"/>
  <c r="F2252" i="107"/>
  <c r="F2251" i="107"/>
  <c r="F2250" i="107"/>
  <c r="F2249" i="107"/>
  <c r="F2248" i="107"/>
  <c r="F2247" i="107"/>
  <c r="F2246" i="107"/>
  <c r="F2245" i="107"/>
  <c r="F2244" i="107"/>
  <c r="F2243" i="107"/>
  <c r="F2242" i="107"/>
  <c r="F2241" i="107"/>
  <c r="F2240" i="107"/>
  <c r="F2239" i="107"/>
  <c r="F2238" i="107"/>
  <c r="F2237" i="107"/>
  <c r="F2236" i="107"/>
  <c r="F2235" i="107"/>
  <c r="F2234" i="107"/>
  <c r="F2233" i="107"/>
  <c r="F2232" i="107"/>
  <c r="F2231" i="107"/>
  <c r="F2230" i="107"/>
  <c r="F2229" i="107"/>
  <c r="F2228" i="107"/>
  <c r="F2227" i="107"/>
  <c r="F2226" i="107"/>
  <c r="F2225" i="107"/>
  <c r="F2224" i="107"/>
  <c r="F2223" i="107"/>
  <c r="F2222" i="107"/>
  <c r="F2221" i="107"/>
  <c r="F2220" i="107"/>
  <c r="F2219" i="107"/>
  <c r="F2218" i="107"/>
  <c r="F2217" i="107"/>
  <c r="F2216" i="107"/>
  <c r="F2215" i="107"/>
  <c r="F2214" i="107"/>
  <c r="F2213" i="107"/>
  <c r="F2212" i="107"/>
  <c r="F2211" i="107"/>
  <c r="F2210" i="107"/>
  <c r="F2209" i="107"/>
  <c r="F2208" i="107"/>
  <c r="F2207" i="107"/>
  <c r="F2206" i="107"/>
  <c r="F2205" i="107"/>
  <c r="F2204" i="107"/>
  <c r="F2203" i="107"/>
  <c r="F2202" i="107"/>
  <c r="F2201" i="107"/>
  <c r="F2200" i="107"/>
  <c r="F2199" i="107"/>
  <c r="F2198" i="107"/>
  <c r="F2197" i="107"/>
  <c r="F2196" i="107"/>
  <c r="F2195" i="107"/>
  <c r="F2194" i="107"/>
  <c r="F2193" i="107"/>
  <c r="F2192" i="107"/>
  <c r="F2191" i="107"/>
  <c r="F2190" i="107"/>
  <c r="F2189" i="107"/>
  <c r="F2188" i="107"/>
  <c r="F2187" i="107"/>
  <c r="F2186" i="107"/>
  <c r="F2185" i="107"/>
  <c r="F2184" i="107"/>
  <c r="F2183" i="107"/>
  <c r="F2182" i="107"/>
  <c r="F2181" i="107"/>
  <c r="F2180" i="107"/>
  <c r="F2179" i="107"/>
  <c r="F2178" i="107"/>
  <c r="F2177" i="107"/>
  <c r="F2176" i="107"/>
  <c r="F2175" i="107"/>
  <c r="F2174" i="107"/>
  <c r="F2173" i="107"/>
  <c r="F2172" i="107"/>
  <c r="F2171" i="107"/>
  <c r="F2170" i="107"/>
  <c r="F2169" i="107"/>
  <c r="F2168" i="107"/>
  <c r="F2167" i="107"/>
  <c r="F2166" i="107"/>
  <c r="F2165" i="107"/>
  <c r="F2164" i="107"/>
  <c r="F2163" i="107"/>
  <c r="F2162" i="107"/>
  <c r="F2161" i="107"/>
  <c r="F2160" i="107"/>
  <c r="F2159" i="107"/>
  <c r="F2158" i="107"/>
  <c r="F2157" i="107"/>
  <c r="F2156" i="107"/>
  <c r="F2155" i="107"/>
  <c r="F2154" i="107"/>
  <c r="F2153" i="107"/>
  <c r="F2152" i="107"/>
  <c r="F2151" i="107"/>
  <c r="F2150" i="107"/>
  <c r="F2149" i="107"/>
  <c r="F2148" i="107"/>
  <c r="F2147" i="107"/>
  <c r="F2146" i="107"/>
  <c r="F2145" i="107"/>
  <c r="F2144" i="107"/>
  <c r="F2143" i="107"/>
  <c r="F2142" i="107"/>
  <c r="F2141" i="107"/>
  <c r="F2140" i="107"/>
  <c r="F2139" i="107"/>
  <c r="F2138" i="107"/>
  <c r="F2137" i="107"/>
  <c r="F2136" i="107"/>
  <c r="F2135" i="107"/>
  <c r="F2134" i="107"/>
  <c r="F2133" i="107"/>
  <c r="F2132" i="107"/>
  <c r="F2131" i="107"/>
  <c r="F2130" i="107"/>
  <c r="F2129" i="107"/>
  <c r="F2128" i="107"/>
  <c r="F2127" i="107"/>
  <c r="F2126" i="107"/>
  <c r="F2125" i="107"/>
  <c r="F2124" i="107"/>
  <c r="F2123" i="107"/>
  <c r="F2122" i="107"/>
  <c r="F2121" i="107"/>
  <c r="F2120" i="107"/>
  <c r="F2119" i="107"/>
  <c r="F2118" i="107"/>
  <c r="F2117" i="107"/>
  <c r="F2116" i="107"/>
  <c r="F2115" i="107"/>
  <c r="F2114" i="107"/>
  <c r="F2113" i="107"/>
  <c r="F2112" i="107"/>
  <c r="F2111" i="107"/>
  <c r="F2110" i="107"/>
  <c r="F2109" i="107"/>
  <c r="F2108" i="107"/>
  <c r="F2107" i="107"/>
  <c r="F2106" i="107"/>
  <c r="F2105" i="107"/>
  <c r="F2104" i="107"/>
  <c r="F2103" i="107"/>
  <c r="F2102" i="107"/>
  <c r="F2101" i="107"/>
  <c r="F2100" i="107"/>
  <c r="F2099" i="107"/>
  <c r="F2098" i="107"/>
  <c r="F2097" i="107"/>
  <c r="F2096" i="107"/>
  <c r="F2095" i="107"/>
  <c r="F2094" i="107"/>
  <c r="F2093" i="107"/>
  <c r="F2092" i="107"/>
  <c r="F2091" i="107"/>
  <c r="F2090" i="107"/>
  <c r="F2089" i="107"/>
  <c r="F2088" i="107"/>
  <c r="F2087" i="107"/>
  <c r="F2086" i="107"/>
  <c r="F2085" i="107"/>
  <c r="F2084" i="107"/>
  <c r="F2083" i="107"/>
  <c r="F2082" i="107"/>
  <c r="F2081" i="107"/>
  <c r="F2080" i="107"/>
  <c r="F2079" i="107"/>
  <c r="F2078" i="107"/>
  <c r="F2077" i="107"/>
  <c r="F2076" i="107"/>
  <c r="F2075" i="107"/>
  <c r="F2074" i="107"/>
  <c r="F2073" i="107"/>
  <c r="F2072" i="107"/>
  <c r="F2071" i="107"/>
  <c r="F2070" i="107"/>
  <c r="F2069" i="107"/>
  <c r="F2068" i="107"/>
  <c r="F2067" i="107"/>
  <c r="F2066" i="107"/>
  <c r="F2065" i="107"/>
  <c r="F2064" i="107"/>
  <c r="F2063" i="107"/>
  <c r="F2062" i="107"/>
  <c r="F2061" i="107"/>
  <c r="F2060" i="107"/>
  <c r="F2059" i="107"/>
  <c r="F2058" i="107"/>
  <c r="F2057" i="107"/>
  <c r="F2056" i="107"/>
  <c r="F2055" i="107"/>
  <c r="F2054" i="107"/>
  <c r="F2053" i="107"/>
  <c r="F2052" i="107"/>
  <c r="F2051" i="107"/>
  <c r="F2050" i="107"/>
  <c r="F2049" i="107"/>
  <c r="F2048" i="107"/>
  <c r="F2047" i="107"/>
  <c r="F2046" i="107"/>
  <c r="F2045" i="107"/>
  <c r="F2044" i="107"/>
  <c r="F2043" i="107"/>
  <c r="F2042" i="107"/>
  <c r="F2041" i="107"/>
  <c r="F2040" i="107"/>
  <c r="F2039" i="107"/>
  <c r="F2038" i="107"/>
  <c r="F2037" i="107"/>
  <c r="F2036" i="107"/>
  <c r="F2035" i="107"/>
  <c r="F2034" i="107"/>
  <c r="F2033" i="107"/>
  <c r="F2032" i="107"/>
  <c r="F2031" i="107"/>
  <c r="F2030" i="107"/>
  <c r="F2029" i="107"/>
  <c r="F2028" i="107"/>
  <c r="F2027" i="107"/>
  <c r="F2026" i="107"/>
  <c r="F2025" i="107"/>
  <c r="F2024" i="107"/>
  <c r="F2023" i="107"/>
  <c r="F2022" i="107"/>
  <c r="F2021" i="107"/>
  <c r="F2020" i="107"/>
  <c r="F2019" i="107"/>
  <c r="F2018" i="107"/>
  <c r="F2017" i="107"/>
  <c r="F2016" i="107"/>
  <c r="F2015" i="107"/>
  <c r="F2014" i="107"/>
  <c r="F2013" i="107"/>
  <c r="F2012" i="107"/>
  <c r="F2011" i="107"/>
  <c r="F2010" i="107"/>
  <c r="F2009" i="107"/>
  <c r="F2008" i="107"/>
  <c r="F2007" i="107"/>
  <c r="F2006" i="107"/>
  <c r="F2005" i="107"/>
  <c r="F2004" i="107"/>
  <c r="F2003" i="107"/>
  <c r="F2002" i="107"/>
  <c r="F2001" i="107"/>
  <c r="F2000" i="107"/>
  <c r="F1999" i="107"/>
  <c r="F1998" i="107"/>
  <c r="F1997" i="107"/>
  <c r="F1996" i="107"/>
  <c r="F1995" i="107"/>
  <c r="F1994" i="107"/>
  <c r="F1993" i="107"/>
  <c r="F1992" i="107"/>
  <c r="F1991" i="107"/>
  <c r="F1990" i="107"/>
  <c r="F1989" i="107"/>
  <c r="F1988" i="107"/>
  <c r="F1987" i="107"/>
  <c r="F1986" i="107"/>
  <c r="F1985" i="107"/>
  <c r="F1984" i="107"/>
  <c r="F1983" i="107"/>
  <c r="F1982" i="107"/>
  <c r="F1981" i="107"/>
  <c r="F1980" i="107"/>
  <c r="F1979" i="107"/>
  <c r="F1978" i="107"/>
  <c r="F1977" i="107"/>
  <c r="F1976" i="107"/>
  <c r="F1975" i="107"/>
  <c r="F1974" i="107"/>
  <c r="F1973" i="107"/>
  <c r="F1972" i="107"/>
  <c r="F1971" i="107"/>
  <c r="F1970" i="107"/>
  <c r="F1969" i="107"/>
  <c r="F1968" i="107"/>
  <c r="F1967" i="107"/>
  <c r="F1966" i="107"/>
  <c r="F1965" i="107"/>
  <c r="F1964" i="107"/>
  <c r="F1963" i="107"/>
  <c r="F1962" i="107"/>
  <c r="F1961" i="107"/>
  <c r="F1960" i="107"/>
  <c r="F1959" i="107"/>
  <c r="F1958" i="107"/>
  <c r="F1957" i="107"/>
  <c r="F1956" i="107"/>
  <c r="F1955" i="107"/>
  <c r="F1954" i="107"/>
  <c r="F1953" i="107"/>
  <c r="F1952" i="107"/>
  <c r="F1951" i="107"/>
  <c r="F1950" i="107"/>
  <c r="F1949" i="107"/>
  <c r="F1948" i="107"/>
  <c r="F1947" i="107"/>
  <c r="F1946" i="107"/>
  <c r="F1945" i="107"/>
  <c r="F1944" i="107"/>
  <c r="F1943" i="107"/>
  <c r="F1942" i="107"/>
  <c r="F1941" i="107"/>
  <c r="F1940" i="107"/>
  <c r="F1939" i="107"/>
  <c r="F1938" i="107"/>
  <c r="F1937" i="107"/>
  <c r="F1936" i="107"/>
  <c r="F1935" i="107"/>
  <c r="F1934" i="107"/>
  <c r="F1933" i="107"/>
  <c r="F1932" i="107"/>
  <c r="F1931" i="107"/>
  <c r="F1930" i="107"/>
  <c r="F1929" i="107"/>
  <c r="F1928" i="107"/>
  <c r="F1927" i="107"/>
  <c r="F1926" i="107"/>
  <c r="F1925" i="107"/>
  <c r="F1924" i="107"/>
  <c r="F1923" i="107"/>
  <c r="F1922" i="107"/>
  <c r="F1921" i="107"/>
  <c r="F1920" i="107"/>
  <c r="F1919" i="107"/>
  <c r="F1918" i="107"/>
  <c r="F1917" i="107"/>
  <c r="F1916" i="107"/>
  <c r="F1915" i="107"/>
  <c r="F1914" i="107"/>
  <c r="F1913" i="107"/>
  <c r="F1912" i="107"/>
  <c r="F1911" i="107"/>
  <c r="F1910" i="107"/>
  <c r="F1909" i="107"/>
  <c r="F1908" i="107"/>
  <c r="F1907" i="107"/>
  <c r="F1906" i="107"/>
  <c r="F1905" i="107"/>
  <c r="F1904" i="107"/>
  <c r="F1903" i="107"/>
  <c r="F1902" i="107"/>
  <c r="F1901" i="107"/>
  <c r="F1900" i="107"/>
  <c r="F1899" i="107"/>
  <c r="F1898" i="107"/>
  <c r="F1897" i="107"/>
  <c r="F1896" i="107"/>
  <c r="F1895" i="107"/>
  <c r="F1894" i="107"/>
  <c r="F1893" i="107"/>
  <c r="F1892" i="107"/>
  <c r="F1891" i="107"/>
  <c r="F1890" i="107"/>
  <c r="F1889" i="107"/>
  <c r="F1888" i="107"/>
  <c r="F1887" i="107"/>
  <c r="F1886" i="107"/>
  <c r="F1885" i="107"/>
  <c r="F1884" i="107"/>
  <c r="F1883" i="107"/>
  <c r="F1882" i="107"/>
  <c r="F1881" i="107"/>
  <c r="F1880" i="107"/>
  <c r="F1879" i="107"/>
  <c r="F1878" i="107"/>
  <c r="F1877" i="107"/>
  <c r="F1876" i="107"/>
  <c r="F1875" i="107"/>
  <c r="F1874" i="107"/>
  <c r="F1873" i="107"/>
  <c r="F1872" i="107"/>
  <c r="F1871" i="107"/>
  <c r="F1870" i="107"/>
  <c r="F1869" i="107"/>
  <c r="F1868" i="107"/>
  <c r="F1867" i="107"/>
  <c r="F1866" i="107"/>
  <c r="F1865" i="107"/>
  <c r="F1864" i="107"/>
  <c r="F1863" i="107"/>
  <c r="F1862" i="107"/>
  <c r="F1861" i="107"/>
  <c r="F1860" i="107"/>
  <c r="F1859" i="107"/>
  <c r="F1858" i="107"/>
  <c r="F1857" i="107"/>
  <c r="F1856" i="107"/>
  <c r="F1855" i="107"/>
  <c r="F1854" i="107"/>
  <c r="F1853" i="107"/>
  <c r="F1852" i="107"/>
  <c r="F1851" i="107"/>
  <c r="F1850" i="107"/>
  <c r="F1849" i="107"/>
  <c r="F1848" i="107"/>
  <c r="F1847" i="107"/>
  <c r="F1846" i="107"/>
  <c r="F1845" i="107"/>
  <c r="F1844" i="107"/>
  <c r="F1843" i="107"/>
  <c r="F1842" i="107"/>
  <c r="F1841" i="107"/>
  <c r="F1840" i="107"/>
  <c r="F1839" i="107"/>
  <c r="F1838" i="107"/>
  <c r="F1837" i="107"/>
  <c r="F1836" i="107"/>
  <c r="F1835" i="107"/>
  <c r="F1834" i="107"/>
  <c r="F1833" i="107"/>
  <c r="F1832" i="107"/>
  <c r="F1831" i="107"/>
  <c r="F1830" i="107"/>
  <c r="F1829" i="107"/>
  <c r="F1828" i="107"/>
  <c r="F1827" i="107"/>
  <c r="F1826" i="107"/>
  <c r="F1825" i="107"/>
  <c r="F1824" i="107"/>
  <c r="F1823" i="107"/>
  <c r="F1822" i="107"/>
  <c r="F1821" i="107"/>
  <c r="F1820" i="107"/>
  <c r="F1819" i="107"/>
  <c r="F1818" i="107"/>
  <c r="F1817" i="107"/>
  <c r="F1816" i="107"/>
  <c r="F1815" i="107"/>
  <c r="F1814" i="107"/>
  <c r="F1813" i="107"/>
  <c r="F1812" i="107"/>
  <c r="F1811" i="107"/>
  <c r="F1810" i="107"/>
  <c r="F1809" i="107"/>
  <c r="F1808" i="107"/>
  <c r="F1807" i="107"/>
  <c r="F1806" i="107"/>
  <c r="F1805" i="107"/>
  <c r="F1804" i="107"/>
  <c r="F1803" i="107"/>
  <c r="F1802" i="107"/>
  <c r="F1801" i="107"/>
  <c r="F1800" i="107"/>
  <c r="F1799" i="107"/>
  <c r="F1798" i="107"/>
  <c r="F1797" i="107"/>
  <c r="F1796" i="107"/>
  <c r="F1795" i="107"/>
  <c r="F1794" i="107"/>
  <c r="F1793" i="107"/>
  <c r="F1792" i="107"/>
  <c r="F1791" i="107"/>
  <c r="F1790" i="107"/>
  <c r="F1789" i="107"/>
  <c r="F1788" i="107"/>
  <c r="F1787" i="107"/>
  <c r="F1786" i="107"/>
  <c r="F1785" i="107"/>
  <c r="F1784" i="107"/>
  <c r="F1783" i="107"/>
  <c r="F1782" i="107"/>
  <c r="F1781" i="107"/>
  <c r="F1780" i="107"/>
  <c r="F1779" i="107"/>
  <c r="F1778" i="107"/>
  <c r="F1777" i="107"/>
  <c r="F1776" i="107"/>
  <c r="F1775" i="107"/>
  <c r="F1774" i="107"/>
  <c r="F1773" i="107"/>
  <c r="F1772" i="107"/>
  <c r="F1771" i="107"/>
  <c r="F1770" i="107"/>
  <c r="F1769" i="107"/>
  <c r="F1768" i="107"/>
  <c r="F1767" i="107"/>
  <c r="F1766" i="107"/>
  <c r="F1765" i="107"/>
  <c r="F1764" i="107"/>
  <c r="F1763" i="107"/>
  <c r="F1762" i="107"/>
  <c r="F1761" i="107"/>
  <c r="F1760" i="107"/>
  <c r="F1759" i="107"/>
  <c r="F1758" i="107"/>
  <c r="F1757" i="107"/>
  <c r="F1756" i="107"/>
  <c r="F1755" i="107"/>
  <c r="F1754" i="107"/>
  <c r="F1753" i="107"/>
  <c r="F1752" i="107"/>
  <c r="F1751" i="107"/>
  <c r="F1750" i="107"/>
  <c r="F1749" i="107"/>
  <c r="F1748" i="107"/>
  <c r="F1747" i="107"/>
  <c r="F1746" i="107"/>
  <c r="F1745" i="107"/>
  <c r="F1744" i="107"/>
  <c r="F1743" i="107"/>
  <c r="F1742" i="107"/>
  <c r="F1741" i="107"/>
  <c r="F1740" i="107"/>
  <c r="F1739" i="107"/>
  <c r="F1738" i="107"/>
  <c r="F1737" i="107"/>
  <c r="F1736" i="107"/>
  <c r="F1735" i="107"/>
  <c r="F1734" i="107"/>
  <c r="F1733" i="107"/>
  <c r="F1732" i="107"/>
  <c r="F1731" i="107"/>
  <c r="F1730" i="107"/>
  <c r="F1729" i="107"/>
  <c r="F1728" i="107"/>
  <c r="F1727" i="107"/>
  <c r="F1726" i="107"/>
  <c r="F1725" i="107"/>
  <c r="F1724" i="107"/>
  <c r="F1723" i="107"/>
  <c r="F1722" i="107"/>
  <c r="F1721" i="107"/>
  <c r="F1720" i="107"/>
  <c r="F1719" i="107"/>
  <c r="F1718" i="107"/>
  <c r="F1717" i="107"/>
  <c r="F1716" i="107"/>
  <c r="F1715" i="107"/>
  <c r="F1714" i="107"/>
  <c r="F1713" i="107"/>
  <c r="F1712" i="107"/>
  <c r="F1711" i="107"/>
  <c r="F1710" i="107"/>
  <c r="F1709" i="107"/>
  <c r="F1708" i="107"/>
  <c r="F1707" i="107"/>
  <c r="F1706" i="107"/>
  <c r="F1705" i="107"/>
  <c r="F1704" i="107"/>
  <c r="F1703" i="107"/>
  <c r="F1702" i="107"/>
  <c r="F1701" i="107"/>
  <c r="F1700" i="107"/>
  <c r="F1699" i="107"/>
  <c r="F1698" i="107"/>
  <c r="F1697" i="107"/>
  <c r="F1696" i="107"/>
  <c r="F1695" i="107"/>
  <c r="F1694" i="107"/>
  <c r="F1693" i="107"/>
  <c r="F1692" i="107"/>
  <c r="F1691" i="107"/>
  <c r="F1690" i="107"/>
  <c r="F1689" i="107"/>
  <c r="F1688" i="107"/>
  <c r="F1687" i="107"/>
  <c r="F1686" i="107"/>
  <c r="F1685" i="107"/>
  <c r="F1684" i="107"/>
  <c r="F1683" i="107"/>
  <c r="F1682" i="107"/>
  <c r="F1681" i="107"/>
  <c r="F1680" i="107"/>
  <c r="F1679" i="107"/>
  <c r="F1678" i="107"/>
  <c r="F1677" i="107"/>
  <c r="F1676" i="107"/>
  <c r="F1675" i="107"/>
  <c r="F1674" i="107"/>
  <c r="F1673" i="107"/>
  <c r="F1672" i="107"/>
  <c r="F1671" i="107"/>
  <c r="F1670" i="107"/>
  <c r="F1669" i="107"/>
  <c r="F1668" i="107"/>
  <c r="F1667" i="107"/>
  <c r="F1666" i="107"/>
  <c r="F1665" i="107"/>
  <c r="F1664" i="107"/>
  <c r="F1663" i="107"/>
  <c r="F1662" i="107"/>
  <c r="F1661" i="107"/>
  <c r="F1660" i="107"/>
  <c r="F1659" i="107"/>
  <c r="F1658" i="107"/>
  <c r="F1657" i="107"/>
  <c r="F1656" i="107"/>
  <c r="F1655" i="107"/>
  <c r="F1654" i="107"/>
  <c r="F1653" i="107"/>
  <c r="F1652" i="107"/>
  <c r="F1651" i="107"/>
  <c r="F1650" i="107"/>
  <c r="F1649" i="107"/>
  <c r="F1648" i="107"/>
  <c r="F1647" i="107"/>
  <c r="F1646" i="107"/>
  <c r="F1645" i="107"/>
  <c r="F1644" i="107"/>
  <c r="F1643" i="107"/>
  <c r="F1642" i="107"/>
  <c r="F1641" i="107"/>
  <c r="F1640" i="107"/>
  <c r="F1639" i="107"/>
  <c r="F1638" i="107"/>
  <c r="F1637" i="107"/>
  <c r="F1636" i="107"/>
  <c r="F1635" i="107"/>
  <c r="F1634" i="107"/>
  <c r="F1633" i="107"/>
  <c r="F1632" i="107"/>
  <c r="F1631" i="107"/>
  <c r="F1630" i="107"/>
  <c r="F1629" i="107"/>
  <c r="F1628" i="107"/>
  <c r="F1627" i="107"/>
  <c r="F1626" i="107"/>
  <c r="F1625" i="107"/>
  <c r="F1624" i="107"/>
  <c r="F1623" i="107"/>
  <c r="F1622" i="107"/>
  <c r="F1621" i="107"/>
  <c r="F1620" i="107"/>
  <c r="F1619" i="107"/>
  <c r="F1618" i="107"/>
  <c r="F1617" i="107"/>
  <c r="F1616" i="107"/>
  <c r="F1615" i="107"/>
  <c r="F1614" i="107"/>
  <c r="F1613" i="107"/>
  <c r="F1612" i="107"/>
  <c r="F1611" i="107"/>
  <c r="F1610" i="107"/>
  <c r="F1609" i="107"/>
  <c r="F1608" i="107"/>
  <c r="F1607" i="107"/>
  <c r="F1606" i="107"/>
  <c r="F1605" i="107"/>
  <c r="F1604" i="107"/>
  <c r="F1603" i="107"/>
  <c r="F1602" i="107"/>
  <c r="F1601" i="107"/>
  <c r="F1600" i="107"/>
  <c r="F1599" i="107"/>
  <c r="F1598" i="107"/>
  <c r="F1597" i="107"/>
  <c r="F1596" i="107"/>
  <c r="F1595" i="107"/>
  <c r="F1594" i="107"/>
  <c r="F1593" i="107"/>
  <c r="F1592" i="107"/>
  <c r="F1591" i="107"/>
  <c r="F1590" i="107"/>
  <c r="F1589" i="107"/>
  <c r="F1588" i="107"/>
  <c r="F1587" i="107"/>
  <c r="F1586" i="107"/>
  <c r="F1585" i="107"/>
  <c r="F1584" i="107"/>
  <c r="F1583" i="107"/>
  <c r="F1582" i="107"/>
  <c r="F1581" i="107"/>
  <c r="F1580" i="107"/>
  <c r="F1579" i="107"/>
  <c r="F1578" i="107"/>
  <c r="F1577" i="107"/>
  <c r="F1576" i="107"/>
  <c r="F1575" i="107"/>
  <c r="F1574" i="107"/>
  <c r="F1573" i="107"/>
  <c r="F1572" i="107"/>
  <c r="F1571" i="107"/>
  <c r="F1570" i="107"/>
  <c r="F1569" i="107"/>
  <c r="F1568" i="107"/>
  <c r="F1567" i="107"/>
  <c r="F1566" i="107"/>
  <c r="F1565" i="107"/>
  <c r="F1564" i="107"/>
  <c r="F1563" i="107"/>
  <c r="F1562" i="107"/>
  <c r="F1561" i="107"/>
  <c r="F1560" i="107"/>
  <c r="F1559" i="107"/>
  <c r="F1558" i="107"/>
  <c r="F1557" i="107"/>
  <c r="F1556" i="107"/>
  <c r="F1555" i="107"/>
  <c r="F1554" i="107"/>
  <c r="F1553" i="107"/>
  <c r="F1552" i="107"/>
  <c r="F1551" i="107"/>
  <c r="F1550" i="107"/>
  <c r="F1549" i="107"/>
  <c r="F1548" i="107"/>
  <c r="F1547" i="107"/>
  <c r="F1546" i="107"/>
  <c r="F1545" i="107"/>
  <c r="F1544" i="107"/>
  <c r="F1543" i="107"/>
  <c r="F1542" i="107"/>
  <c r="F1541" i="107"/>
  <c r="F1540" i="107"/>
  <c r="F1539" i="107"/>
  <c r="F1538" i="107"/>
  <c r="F1537" i="107"/>
  <c r="F1536" i="107"/>
  <c r="F1535" i="107"/>
  <c r="F1534" i="107"/>
  <c r="F1533" i="107"/>
  <c r="F1532" i="107"/>
  <c r="F1531" i="107"/>
  <c r="F1530" i="107"/>
  <c r="F1529" i="107"/>
  <c r="F1528" i="107"/>
  <c r="F1527" i="107"/>
  <c r="F1526" i="107"/>
  <c r="F1525" i="107"/>
  <c r="F1524" i="107"/>
  <c r="F1523" i="107"/>
  <c r="F1522" i="107"/>
  <c r="F1521" i="107"/>
  <c r="F1520" i="107"/>
  <c r="F1519" i="107"/>
  <c r="F1518" i="107"/>
  <c r="F1517" i="107"/>
  <c r="F1516" i="107"/>
  <c r="F1515" i="107"/>
  <c r="F1514" i="107"/>
  <c r="F1513" i="107"/>
  <c r="F1512" i="107"/>
  <c r="F1511" i="107"/>
  <c r="F1510" i="107"/>
  <c r="F1509" i="107"/>
  <c r="F1508" i="107"/>
  <c r="F1507" i="107"/>
  <c r="F1506" i="107"/>
  <c r="F1505" i="107"/>
  <c r="F1504" i="107"/>
  <c r="F1503" i="107"/>
  <c r="F1502" i="107"/>
  <c r="F1501" i="107"/>
  <c r="F1500" i="107"/>
  <c r="F1499" i="107"/>
  <c r="F1498" i="107"/>
  <c r="F1497" i="107"/>
  <c r="F1496" i="107"/>
  <c r="F1495" i="107"/>
  <c r="F1494" i="107"/>
  <c r="F1493" i="107"/>
  <c r="F1492" i="107"/>
  <c r="F1491" i="107"/>
  <c r="F1490" i="107"/>
  <c r="F1489" i="107"/>
  <c r="F1488" i="107"/>
  <c r="F1487" i="107"/>
  <c r="F1486" i="107"/>
  <c r="F1485" i="107"/>
  <c r="F1484" i="107"/>
  <c r="F1483" i="107"/>
  <c r="F1482" i="107"/>
  <c r="F1481" i="107"/>
  <c r="F1480" i="107"/>
  <c r="F1479" i="107"/>
  <c r="F1478" i="107"/>
  <c r="F1477" i="107"/>
  <c r="F1476" i="107"/>
  <c r="F1475" i="107"/>
  <c r="F1474" i="107"/>
  <c r="F1473" i="107"/>
  <c r="F1472" i="107"/>
  <c r="F1471" i="107"/>
  <c r="F1470" i="107"/>
  <c r="F1469" i="107"/>
  <c r="F1468" i="107"/>
  <c r="F1467" i="107"/>
  <c r="F1466" i="107"/>
  <c r="F1465" i="107"/>
  <c r="F1464" i="107"/>
  <c r="F1463" i="107"/>
  <c r="F1462" i="107"/>
  <c r="F1461" i="107"/>
  <c r="F1460" i="107"/>
  <c r="F1459" i="107"/>
  <c r="F1458" i="107"/>
  <c r="F1457" i="107"/>
  <c r="F1456" i="107"/>
  <c r="F1455" i="107"/>
  <c r="F1454" i="107"/>
  <c r="F1453" i="107"/>
  <c r="F1452" i="107"/>
  <c r="F1451" i="107"/>
  <c r="F1450" i="107"/>
  <c r="F1449" i="107"/>
  <c r="F1448" i="107"/>
  <c r="F1447" i="107"/>
  <c r="F1446" i="107"/>
  <c r="F1445" i="107"/>
  <c r="F1444" i="107"/>
  <c r="F1443" i="107"/>
  <c r="F1442" i="107"/>
  <c r="F1441" i="107"/>
  <c r="F1440" i="107"/>
  <c r="F1439" i="107"/>
  <c r="F1438" i="107"/>
  <c r="F1437" i="107"/>
  <c r="F1436" i="107"/>
  <c r="F1435" i="107"/>
  <c r="F1434" i="107"/>
  <c r="F1433" i="107"/>
  <c r="F1432" i="107"/>
  <c r="F1431" i="107"/>
  <c r="F1430" i="107"/>
  <c r="F1429" i="107"/>
  <c r="F1428" i="107"/>
  <c r="F1427" i="107"/>
  <c r="F1426" i="107"/>
  <c r="F1425" i="107"/>
  <c r="F1424" i="107"/>
  <c r="F1423" i="107"/>
  <c r="F1422" i="107"/>
  <c r="F1421" i="107"/>
  <c r="F1420" i="107"/>
  <c r="F1419" i="107"/>
  <c r="F1418" i="107"/>
  <c r="F1417" i="107"/>
  <c r="F1416" i="107"/>
  <c r="F1415" i="107"/>
  <c r="F1414" i="107"/>
  <c r="F1413" i="107"/>
  <c r="F1412" i="107"/>
  <c r="F1411" i="107"/>
  <c r="F1410" i="107"/>
  <c r="F1409" i="107"/>
  <c r="F1408" i="107"/>
  <c r="F1407" i="107"/>
  <c r="F1406" i="107"/>
  <c r="F1405" i="107"/>
  <c r="F1404" i="107"/>
  <c r="F1403" i="107"/>
  <c r="F1402" i="107"/>
  <c r="F1401" i="107"/>
  <c r="F1400" i="107"/>
  <c r="F1399" i="107"/>
  <c r="F1398" i="107"/>
  <c r="F1397" i="107"/>
  <c r="F1396" i="107"/>
  <c r="F1395" i="107"/>
  <c r="F1394" i="107"/>
  <c r="F1393" i="107"/>
  <c r="F1392" i="107"/>
  <c r="F1391" i="107"/>
  <c r="F1390" i="107"/>
  <c r="F1389" i="107"/>
  <c r="F1388" i="107"/>
  <c r="F1387" i="107"/>
  <c r="F1386" i="107"/>
  <c r="F1385" i="107"/>
  <c r="F1384" i="107"/>
  <c r="F1383" i="107"/>
  <c r="F1382" i="107"/>
  <c r="F1381" i="107"/>
  <c r="F1380" i="107"/>
  <c r="F1379" i="107"/>
  <c r="F1378" i="107"/>
  <c r="F1377" i="107"/>
  <c r="F1376" i="107"/>
  <c r="F1375" i="107"/>
  <c r="F1374" i="107"/>
  <c r="F1373" i="107"/>
  <c r="F1372" i="107"/>
  <c r="F1371" i="107"/>
  <c r="F1370" i="107"/>
  <c r="F1369" i="107"/>
  <c r="F1368" i="107"/>
  <c r="F1367" i="107"/>
  <c r="F1366" i="107"/>
  <c r="F1365" i="107"/>
  <c r="F1364" i="107"/>
  <c r="F1363" i="107"/>
  <c r="F1362" i="107"/>
  <c r="F1361" i="107"/>
  <c r="F1360" i="107"/>
  <c r="F1359" i="107"/>
  <c r="F1358" i="107"/>
  <c r="F1357" i="107"/>
  <c r="F1356" i="107"/>
  <c r="F1355" i="107"/>
  <c r="F1354" i="107"/>
  <c r="F1353" i="107"/>
  <c r="F1352" i="107"/>
  <c r="F1351" i="107"/>
  <c r="F1350" i="107"/>
  <c r="F1349" i="107"/>
  <c r="F1348" i="107"/>
  <c r="F1347" i="107"/>
  <c r="F1346" i="107"/>
  <c r="F1345" i="107"/>
  <c r="F1344" i="107"/>
  <c r="F1343" i="107"/>
  <c r="F1342" i="107"/>
  <c r="F1341" i="107"/>
  <c r="F1340" i="107"/>
  <c r="F1339" i="107"/>
  <c r="F1338" i="107"/>
  <c r="F1337" i="107"/>
  <c r="F1336" i="107"/>
  <c r="F1335" i="107"/>
  <c r="F1334" i="107"/>
  <c r="F1333" i="107"/>
  <c r="F1332" i="107"/>
  <c r="F1331" i="107"/>
  <c r="F1330" i="107"/>
  <c r="F1329" i="107"/>
  <c r="F1328" i="107"/>
  <c r="F1327" i="107"/>
  <c r="F1326" i="107"/>
  <c r="F1325" i="107"/>
  <c r="F1324" i="107"/>
  <c r="F1323" i="107"/>
  <c r="F1322" i="107"/>
  <c r="F1321" i="107"/>
  <c r="F1320" i="107"/>
  <c r="F1319" i="107"/>
  <c r="F1318" i="107"/>
  <c r="F1317" i="107"/>
  <c r="F1316" i="107"/>
  <c r="F1315" i="107"/>
  <c r="F1314" i="107"/>
  <c r="F1313" i="107"/>
  <c r="F1312" i="107"/>
  <c r="F1311" i="107"/>
  <c r="F1310" i="107"/>
  <c r="F1309" i="107"/>
  <c r="F1308" i="107"/>
  <c r="F1307" i="107"/>
  <c r="F1306" i="107"/>
  <c r="F1305" i="107"/>
  <c r="F1304" i="107"/>
  <c r="F1303" i="107"/>
  <c r="F1302" i="107"/>
  <c r="F1301" i="107"/>
  <c r="F1300" i="107"/>
  <c r="F1299" i="107"/>
  <c r="F1298" i="107"/>
  <c r="F1297" i="107"/>
  <c r="F1296" i="107"/>
  <c r="F1295" i="107"/>
  <c r="F1294" i="107"/>
  <c r="F1293" i="107"/>
  <c r="F1292" i="107"/>
  <c r="F1291" i="107"/>
  <c r="F1290" i="107"/>
  <c r="F1289" i="107"/>
  <c r="F1288" i="107"/>
  <c r="F1287" i="107"/>
  <c r="F1286" i="107"/>
  <c r="F1285" i="107"/>
  <c r="F1284" i="107"/>
  <c r="F1283" i="107"/>
  <c r="F1282" i="107"/>
  <c r="F1281" i="107"/>
  <c r="F1280" i="107"/>
  <c r="F1279" i="107"/>
  <c r="F1278" i="107"/>
  <c r="F1277" i="107"/>
  <c r="F1276" i="107"/>
  <c r="F1275" i="107"/>
  <c r="F1274" i="107"/>
  <c r="F1273" i="107"/>
  <c r="F1272" i="107"/>
  <c r="F1271" i="107"/>
  <c r="F1270" i="107"/>
  <c r="F1269" i="107"/>
  <c r="F1268" i="107"/>
  <c r="F1267" i="107"/>
  <c r="F1266" i="107"/>
  <c r="F1265" i="107"/>
  <c r="F1264" i="107"/>
  <c r="F1263" i="107"/>
  <c r="F1262" i="107"/>
  <c r="F1261" i="107"/>
  <c r="F1260" i="107"/>
  <c r="F1259" i="107"/>
  <c r="F1258" i="107"/>
  <c r="F1257" i="107"/>
  <c r="F1256" i="107"/>
  <c r="F1255" i="107"/>
  <c r="F1254" i="107"/>
  <c r="F1253" i="107"/>
  <c r="F1252" i="107"/>
  <c r="F1251" i="107"/>
  <c r="F1250" i="107"/>
  <c r="F1249" i="107"/>
  <c r="F1248" i="107"/>
  <c r="F1247" i="107"/>
  <c r="F1246" i="107"/>
  <c r="F1245" i="107"/>
  <c r="F1244" i="107"/>
  <c r="F1243" i="107"/>
  <c r="F1242" i="107"/>
  <c r="F1241" i="107"/>
  <c r="F1240" i="107"/>
  <c r="F1239" i="107"/>
  <c r="F1238" i="107"/>
  <c r="F1237" i="107"/>
  <c r="F1236" i="107"/>
  <c r="F1235" i="107"/>
  <c r="F1234" i="107"/>
  <c r="F1233" i="107"/>
  <c r="F1232" i="107"/>
  <c r="F1231" i="107"/>
  <c r="F1230" i="107"/>
  <c r="F1229" i="107"/>
  <c r="F1228" i="107"/>
  <c r="F1227" i="107"/>
  <c r="F1226" i="107"/>
  <c r="F1225" i="107"/>
  <c r="F1224" i="107"/>
  <c r="F1223" i="107"/>
  <c r="F1222" i="107"/>
  <c r="F1221" i="107"/>
  <c r="F1220" i="107"/>
  <c r="F1219" i="107"/>
  <c r="F1218" i="107"/>
  <c r="F1217" i="107"/>
  <c r="F1216" i="107"/>
  <c r="F1215" i="107"/>
  <c r="F1214" i="107"/>
  <c r="F1213" i="107"/>
  <c r="F1212" i="107"/>
  <c r="F1211" i="107"/>
  <c r="F1210" i="107"/>
  <c r="F1209" i="107"/>
  <c r="F1208" i="107"/>
  <c r="F1207" i="107"/>
  <c r="F1206" i="107"/>
  <c r="F1205" i="107"/>
  <c r="F1204" i="107"/>
  <c r="F1203" i="107"/>
  <c r="F1202" i="107"/>
  <c r="F1201" i="107"/>
  <c r="F1200" i="107"/>
  <c r="F1199" i="107"/>
  <c r="F1198" i="107"/>
  <c r="F1197" i="107"/>
  <c r="F1196" i="107"/>
  <c r="F1195" i="107"/>
  <c r="F1194" i="107"/>
  <c r="F1193" i="107"/>
  <c r="F1192" i="107"/>
  <c r="F1191" i="107"/>
  <c r="F1190" i="107"/>
  <c r="F1189" i="107"/>
  <c r="F1188" i="107"/>
  <c r="F1187" i="107"/>
  <c r="F1186" i="107"/>
  <c r="F1185" i="107"/>
  <c r="F1184" i="107"/>
  <c r="F1183" i="107"/>
  <c r="F1182" i="107"/>
  <c r="F1181" i="107"/>
  <c r="F1180" i="107"/>
  <c r="F1179" i="107"/>
  <c r="F1178" i="107"/>
  <c r="F1177" i="107"/>
  <c r="F1176" i="107"/>
  <c r="F1175" i="107"/>
  <c r="F1174" i="107"/>
  <c r="F1173" i="107"/>
  <c r="F1172" i="107"/>
  <c r="F1171" i="107"/>
  <c r="F1170" i="107"/>
  <c r="F1169" i="107"/>
  <c r="F1168" i="107"/>
  <c r="F1167" i="107"/>
  <c r="F1166" i="107"/>
  <c r="F1165" i="107"/>
  <c r="F1164" i="107"/>
  <c r="F1163" i="107"/>
  <c r="F1162" i="107"/>
  <c r="F1161" i="107"/>
  <c r="F1160" i="107"/>
  <c r="F1159" i="107"/>
  <c r="F1158" i="107"/>
  <c r="F1157" i="107"/>
  <c r="F1156" i="107"/>
  <c r="F1155" i="107"/>
  <c r="F1154" i="107"/>
  <c r="F1153" i="107"/>
  <c r="F1152" i="107"/>
  <c r="F1151" i="107"/>
  <c r="F1150" i="107"/>
  <c r="F1149" i="107"/>
  <c r="F1148" i="107"/>
  <c r="F1147" i="107"/>
  <c r="F1146" i="107"/>
  <c r="F1145" i="107"/>
  <c r="F1144" i="107"/>
  <c r="F1143" i="107"/>
  <c r="F1142" i="107"/>
  <c r="F1141" i="107"/>
  <c r="F1140" i="107"/>
  <c r="F1139" i="107"/>
  <c r="F1138" i="107"/>
  <c r="F1137" i="107"/>
  <c r="F1136" i="107"/>
  <c r="F1135" i="107"/>
  <c r="F1134" i="107"/>
  <c r="F1133" i="107"/>
  <c r="F1132" i="107"/>
  <c r="F1131" i="107"/>
  <c r="F1130" i="107"/>
  <c r="F1129" i="107"/>
  <c r="F1128" i="107"/>
  <c r="F1127" i="107"/>
  <c r="F1126" i="107"/>
  <c r="F1125" i="107"/>
  <c r="F1124" i="107"/>
  <c r="F1123" i="107"/>
  <c r="F1122" i="107"/>
  <c r="F1121" i="107"/>
  <c r="F1120" i="107"/>
  <c r="F1119" i="107"/>
  <c r="F1118" i="107"/>
  <c r="F1117" i="107"/>
  <c r="F1116" i="107"/>
  <c r="F1115" i="107"/>
  <c r="F1114" i="107"/>
  <c r="F1113" i="107"/>
  <c r="F1112" i="107"/>
  <c r="F1111" i="107"/>
  <c r="F1110" i="107"/>
  <c r="F1109" i="107"/>
  <c r="F1108" i="107"/>
  <c r="F1107" i="107"/>
  <c r="F1106" i="107"/>
  <c r="F1105" i="107"/>
  <c r="F1104" i="107"/>
  <c r="F1103" i="107"/>
  <c r="F1102" i="107"/>
  <c r="F1101" i="107"/>
  <c r="F1100" i="107"/>
  <c r="F1099" i="107"/>
  <c r="F1098" i="107"/>
  <c r="F1097" i="107"/>
  <c r="F1096" i="107"/>
  <c r="F1095" i="107"/>
  <c r="F1094" i="107"/>
  <c r="F1093" i="107"/>
  <c r="F1092" i="107"/>
  <c r="F1091" i="107"/>
  <c r="F1090" i="107"/>
  <c r="F1089" i="107"/>
  <c r="F1088" i="107"/>
  <c r="F1087" i="107"/>
  <c r="F1086" i="107"/>
  <c r="F1085" i="107"/>
  <c r="F1084" i="107"/>
  <c r="F1083" i="107"/>
  <c r="F1082" i="107"/>
  <c r="F1081" i="107"/>
  <c r="F1080" i="107"/>
  <c r="F1079" i="107"/>
  <c r="F1078" i="107"/>
  <c r="F1077" i="107"/>
  <c r="F1076" i="107"/>
  <c r="F1075" i="107"/>
  <c r="F1074" i="107"/>
  <c r="F1073" i="107"/>
  <c r="F1072" i="107"/>
  <c r="F1071" i="107"/>
  <c r="F1070" i="107"/>
  <c r="F1069" i="107"/>
  <c r="F1068" i="107"/>
  <c r="F1067" i="107"/>
  <c r="F1066" i="107"/>
  <c r="F1065" i="107"/>
  <c r="F1064" i="107"/>
  <c r="F1063" i="107"/>
  <c r="F1062" i="107"/>
  <c r="F1061" i="107"/>
  <c r="F1060" i="107"/>
  <c r="F1059" i="107"/>
  <c r="F1058" i="107"/>
  <c r="F1057" i="107"/>
  <c r="F1056" i="107"/>
  <c r="F1055" i="107"/>
  <c r="F1054" i="107"/>
  <c r="F1053" i="107"/>
  <c r="F1052" i="107"/>
  <c r="F1051" i="107"/>
  <c r="F1050" i="107"/>
  <c r="F1049" i="107"/>
  <c r="F1048" i="107"/>
  <c r="F1047" i="107"/>
  <c r="F1046" i="107"/>
  <c r="F1045" i="107"/>
  <c r="F1044" i="107"/>
  <c r="F1043" i="107"/>
  <c r="F1042" i="107"/>
  <c r="F1041" i="107"/>
  <c r="F1040" i="107"/>
  <c r="F1039" i="107"/>
  <c r="F1038" i="107"/>
  <c r="F1037" i="107"/>
  <c r="F1036" i="107"/>
  <c r="F1035" i="107"/>
  <c r="F1034" i="107"/>
  <c r="F1033" i="107"/>
  <c r="F1032" i="107"/>
  <c r="F1031" i="107"/>
  <c r="F1030" i="107"/>
  <c r="F1029" i="107"/>
  <c r="F1028" i="107"/>
  <c r="F1027" i="107"/>
  <c r="F1026" i="107"/>
  <c r="F1025" i="107"/>
  <c r="F1024" i="107"/>
  <c r="F1023" i="107"/>
  <c r="F1022" i="107"/>
  <c r="F1021" i="107"/>
  <c r="F1020" i="107"/>
  <c r="F1019" i="107"/>
  <c r="F1018" i="107"/>
  <c r="F1017" i="107"/>
  <c r="F1016" i="107"/>
  <c r="F1015" i="107"/>
  <c r="F1014" i="107"/>
  <c r="F1013" i="107"/>
  <c r="F1012" i="107"/>
  <c r="F1011" i="107"/>
  <c r="F1010" i="107"/>
  <c r="F1009" i="107"/>
  <c r="F1008" i="107"/>
  <c r="F1007" i="107"/>
  <c r="F1006" i="107"/>
  <c r="F1005" i="107"/>
  <c r="F1004" i="107"/>
  <c r="F1003" i="107"/>
  <c r="F1002" i="107"/>
  <c r="F1001" i="107"/>
  <c r="F1000" i="107"/>
  <c r="F999" i="107"/>
  <c r="F998" i="107"/>
  <c r="F997" i="107"/>
  <c r="F996" i="107"/>
  <c r="F995" i="107"/>
  <c r="F994" i="107"/>
  <c r="F993" i="107"/>
  <c r="F992" i="107"/>
  <c r="F991" i="107"/>
  <c r="F990" i="107"/>
  <c r="F989" i="107"/>
  <c r="F988" i="107"/>
  <c r="F987" i="107"/>
  <c r="F986" i="107"/>
  <c r="F985" i="107"/>
  <c r="F984" i="107"/>
  <c r="F983" i="107"/>
  <c r="F982" i="107"/>
  <c r="F981" i="107"/>
  <c r="F980" i="107"/>
  <c r="F979" i="107"/>
  <c r="F978" i="107"/>
  <c r="F977" i="107"/>
  <c r="F976" i="107"/>
  <c r="F975" i="107"/>
  <c r="F974" i="107"/>
  <c r="F973" i="107"/>
  <c r="F972" i="107"/>
  <c r="F971" i="107"/>
  <c r="F970" i="107"/>
  <c r="F969" i="107"/>
  <c r="F968" i="107"/>
  <c r="F967" i="107"/>
  <c r="F966" i="107"/>
  <c r="F965" i="107"/>
  <c r="F964" i="107"/>
  <c r="F963" i="107"/>
  <c r="F962" i="107"/>
  <c r="F961" i="107"/>
  <c r="F960" i="107"/>
  <c r="F959" i="107"/>
  <c r="F958" i="107"/>
  <c r="F957" i="107"/>
  <c r="F956" i="107"/>
  <c r="F955" i="107"/>
  <c r="F954" i="107"/>
  <c r="F953" i="107"/>
  <c r="F952" i="107"/>
  <c r="F951" i="107"/>
  <c r="F950" i="107"/>
  <c r="F949" i="107"/>
  <c r="F948" i="107"/>
  <c r="F947" i="107"/>
  <c r="F946" i="107"/>
  <c r="F945" i="107"/>
  <c r="F944" i="107"/>
  <c r="F943" i="107"/>
  <c r="F942" i="107"/>
  <c r="F941" i="107"/>
  <c r="F940" i="107"/>
  <c r="F939" i="107"/>
  <c r="F938" i="107"/>
  <c r="F937" i="107"/>
  <c r="F936" i="107"/>
  <c r="F935" i="107"/>
  <c r="F934" i="107"/>
  <c r="F933" i="107"/>
  <c r="F932" i="107"/>
  <c r="F931" i="107"/>
  <c r="F930" i="107"/>
  <c r="F929" i="107"/>
  <c r="F928" i="107"/>
  <c r="F927" i="107"/>
  <c r="F926" i="107"/>
  <c r="F925" i="107"/>
  <c r="F924" i="107"/>
  <c r="F923" i="107"/>
  <c r="F922" i="107"/>
  <c r="F921" i="107"/>
  <c r="F920" i="107"/>
  <c r="F919" i="107"/>
  <c r="F918" i="107"/>
  <c r="F917" i="107"/>
  <c r="F916" i="107"/>
  <c r="F915" i="107"/>
  <c r="F914" i="107"/>
  <c r="F913" i="107"/>
  <c r="F912" i="107"/>
  <c r="F911" i="107"/>
  <c r="F910" i="107"/>
  <c r="F909" i="107"/>
  <c r="F908" i="107"/>
  <c r="F907" i="107"/>
  <c r="F906" i="107"/>
  <c r="F905" i="107"/>
  <c r="F904" i="107"/>
  <c r="F903" i="107"/>
  <c r="F902" i="107"/>
  <c r="F901" i="107"/>
  <c r="F900" i="107"/>
  <c r="F899" i="107"/>
  <c r="F898" i="107"/>
  <c r="F897" i="107"/>
  <c r="F896" i="107"/>
  <c r="F895" i="107"/>
  <c r="F894" i="107"/>
  <c r="F893" i="107"/>
  <c r="F892" i="107"/>
  <c r="F891" i="107"/>
  <c r="F890" i="107"/>
  <c r="F889" i="107"/>
  <c r="F888" i="107"/>
  <c r="F887" i="107"/>
  <c r="F886" i="107"/>
  <c r="F885" i="107"/>
  <c r="F884" i="107"/>
  <c r="F883" i="107"/>
  <c r="F882" i="107"/>
  <c r="F881" i="107"/>
  <c r="F880" i="107"/>
  <c r="F879" i="107"/>
  <c r="F878" i="107"/>
  <c r="F877" i="107"/>
  <c r="F876" i="107"/>
  <c r="F875" i="107"/>
  <c r="F874" i="107"/>
  <c r="F873" i="107"/>
  <c r="F872" i="107"/>
  <c r="F871" i="107"/>
  <c r="F870" i="107"/>
  <c r="F869" i="107"/>
  <c r="F868" i="107"/>
  <c r="F867" i="107"/>
  <c r="F866" i="107"/>
  <c r="F865" i="107"/>
  <c r="F864" i="107"/>
  <c r="F863" i="107"/>
  <c r="F862" i="107"/>
  <c r="F861" i="107"/>
  <c r="F860" i="107"/>
  <c r="F859" i="107"/>
  <c r="F858" i="107"/>
  <c r="F857" i="107"/>
  <c r="F856" i="107"/>
  <c r="F855" i="107"/>
  <c r="F854" i="107"/>
  <c r="F853" i="107"/>
  <c r="F852" i="107"/>
  <c r="F851" i="107"/>
  <c r="F850" i="107"/>
  <c r="F849" i="107"/>
  <c r="F848" i="107"/>
  <c r="F847" i="107"/>
  <c r="F846" i="107"/>
  <c r="F845" i="107"/>
  <c r="F844" i="107"/>
  <c r="F843" i="107"/>
  <c r="F842" i="107"/>
  <c r="F841" i="107"/>
  <c r="F840" i="107"/>
  <c r="F839" i="107"/>
  <c r="F838" i="107"/>
  <c r="F837" i="107"/>
  <c r="F836" i="107"/>
  <c r="F835" i="107"/>
  <c r="F834" i="107"/>
  <c r="F833" i="107"/>
  <c r="F832" i="107"/>
  <c r="F831" i="107"/>
  <c r="F830" i="107"/>
  <c r="F829" i="107"/>
  <c r="F828" i="107"/>
  <c r="F827" i="107"/>
  <c r="F826" i="107"/>
  <c r="F825" i="107"/>
  <c r="F824" i="107"/>
  <c r="F823" i="107"/>
  <c r="F822" i="107"/>
  <c r="F821" i="107"/>
  <c r="F820" i="107"/>
  <c r="F819" i="107"/>
  <c r="F818" i="107"/>
  <c r="F817" i="107"/>
  <c r="F816" i="107"/>
  <c r="F815" i="107"/>
  <c r="F814" i="107"/>
  <c r="F813" i="107"/>
  <c r="F812" i="107"/>
  <c r="F811" i="107"/>
  <c r="F810" i="107"/>
  <c r="F809" i="107"/>
  <c r="F808" i="107"/>
  <c r="F807" i="107"/>
  <c r="F806" i="107"/>
  <c r="F805" i="107"/>
  <c r="F804" i="107"/>
  <c r="F803" i="107"/>
  <c r="F802" i="107"/>
  <c r="F801" i="107"/>
  <c r="F800" i="107"/>
  <c r="F799" i="107"/>
  <c r="F798" i="107"/>
  <c r="F797" i="107"/>
  <c r="F796" i="107"/>
  <c r="F795" i="107"/>
  <c r="F794" i="107"/>
  <c r="F793" i="107"/>
  <c r="F792" i="107"/>
  <c r="F791" i="107"/>
  <c r="F790" i="107"/>
  <c r="F789" i="107"/>
  <c r="F788" i="107"/>
  <c r="F787" i="107"/>
  <c r="F786" i="107"/>
  <c r="F785" i="107"/>
  <c r="F784" i="107"/>
  <c r="F783" i="107"/>
  <c r="F782" i="107"/>
  <c r="F781" i="107"/>
  <c r="F780" i="107"/>
  <c r="F779" i="107"/>
  <c r="F778" i="107"/>
  <c r="F777" i="107"/>
  <c r="F776" i="107"/>
  <c r="F775" i="107"/>
  <c r="F774" i="107"/>
  <c r="F773" i="107"/>
  <c r="F772" i="107"/>
  <c r="F771" i="107"/>
  <c r="F770" i="107"/>
  <c r="F769" i="107"/>
  <c r="F768" i="107"/>
  <c r="F767" i="107"/>
  <c r="F766" i="107"/>
  <c r="F765" i="107"/>
  <c r="F764" i="107"/>
  <c r="F763" i="107"/>
  <c r="F762" i="107"/>
  <c r="F761" i="107"/>
  <c r="F760" i="107"/>
  <c r="F759" i="107"/>
  <c r="F758" i="107"/>
  <c r="F757" i="107"/>
  <c r="F756" i="107"/>
  <c r="F755" i="107"/>
  <c r="F754" i="107"/>
  <c r="F753" i="107"/>
  <c r="F752" i="107"/>
  <c r="F751" i="107"/>
  <c r="F750" i="107"/>
  <c r="F749" i="107"/>
  <c r="F748" i="107"/>
  <c r="F747" i="107"/>
  <c r="F746" i="107"/>
  <c r="F745" i="107"/>
  <c r="F744" i="107"/>
  <c r="F743" i="107"/>
  <c r="F742" i="107"/>
  <c r="F741" i="107"/>
  <c r="F740" i="107"/>
  <c r="F739" i="107"/>
  <c r="F738" i="107"/>
  <c r="F737" i="107"/>
  <c r="F736" i="107"/>
  <c r="F735" i="107"/>
  <c r="F734" i="107"/>
  <c r="F733" i="107"/>
  <c r="F732" i="107"/>
  <c r="F731" i="107"/>
  <c r="F730" i="107"/>
  <c r="F729" i="107"/>
  <c r="F728" i="107"/>
  <c r="F727" i="107"/>
  <c r="F726" i="107"/>
  <c r="F725" i="107"/>
  <c r="F724" i="107"/>
  <c r="F723" i="107"/>
  <c r="F722" i="107"/>
  <c r="F721" i="107"/>
  <c r="F720" i="107"/>
  <c r="F719" i="107"/>
  <c r="F718" i="107"/>
  <c r="F717" i="107"/>
  <c r="F716" i="107"/>
  <c r="F715" i="107"/>
  <c r="F714" i="107"/>
  <c r="F713" i="107"/>
  <c r="F712" i="107"/>
  <c r="F711" i="107"/>
  <c r="F710" i="107"/>
  <c r="F709" i="107"/>
  <c r="F708" i="107"/>
  <c r="F707" i="107"/>
  <c r="F706" i="107"/>
  <c r="F705" i="107"/>
  <c r="F704" i="107"/>
  <c r="F703" i="107"/>
  <c r="F702" i="107"/>
  <c r="F701" i="107"/>
  <c r="F700" i="107"/>
  <c r="F699" i="107"/>
  <c r="F698" i="107"/>
  <c r="F697" i="107"/>
  <c r="F696" i="107"/>
  <c r="F695" i="107"/>
  <c r="F694" i="107"/>
  <c r="F693" i="107"/>
  <c r="F692" i="107"/>
  <c r="F691" i="107"/>
  <c r="F690" i="107"/>
  <c r="F689" i="107"/>
  <c r="F688" i="107"/>
  <c r="F687" i="107"/>
  <c r="F686" i="107"/>
  <c r="F685" i="107"/>
  <c r="F684" i="107"/>
  <c r="F683" i="107"/>
  <c r="F682" i="107"/>
  <c r="F681" i="107"/>
  <c r="F680" i="107"/>
  <c r="F679" i="107"/>
  <c r="F678" i="107"/>
  <c r="F677" i="107"/>
  <c r="F676" i="107"/>
  <c r="F675" i="107"/>
  <c r="F674" i="107"/>
  <c r="F673" i="107"/>
  <c r="F672" i="107"/>
  <c r="F671" i="107"/>
  <c r="F670" i="107"/>
  <c r="F669" i="107"/>
  <c r="F668" i="107"/>
  <c r="F667" i="107"/>
  <c r="F666" i="107"/>
  <c r="F665" i="107"/>
  <c r="F664" i="107"/>
  <c r="F663" i="107"/>
  <c r="F662" i="107"/>
  <c r="F661" i="107"/>
  <c r="F660" i="107"/>
  <c r="F659" i="107"/>
  <c r="F658" i="107"/>
  <c r="F657" i="107"/>
  <c r="F656" i="107"/>
  <c r="F655" i="107"/>
  <c r="F654" i="107"/>
  <c r="F653" i="107"/>
  <c r="F652" i="107"/>
  <c r="F651" i="107"/>
  <c r="F650" i="107"/>
  <c r="F649" i="107"/>
  <c r="F648" i="107"/>
  <c r="F647" i="107"/>
  <c r="F646" i="107"/>
  <c r="F645" i="107"/>
  <c r="F644" i="107"/>
  <c r="F643" i="107"/>
  <c r="F642" i="107"/>
  <c r="F641" i="107"/>
  <c r="F640" i="107"/>
  <c r="F639" i="107"/>
  <c r="F638" i="107"/>
  <c r="F637" i="107"/>
  <c r="F636" i="107"/>
  <c r="F635" i="107"/>
  <c r="F634" i="107"/>
  <c r="F633" i="107"/>
  <c r="F632" i="107"/>
  <c r="F631" i="107"/>
  <c r="F630" i="107"/>
  <c r="F629" i="107"/>
  <c r="F628" i="107"/>
  <c r="F627" i="107"/>
  <c r="F626" i="107"/>
  <c r="F625" i="107"/>
  <c r="F624" i="107"/>
  <c r="F623" i="107"/>
  <c r="F622" i="107"/>
  <c r="F621" i="107"/>
  <c r="F620" i="107"/>
  <c r="F619" i="107"/>
  <c r="F618" i="107"/>
  <c r="F617" i="107"/>
  <c r="F616" i="107"/>
  <c r="F615" i="107"/>
  <c r="F614" i="107"/>
  <c r="F613" i="107"/>
  <c r="F612" i="107"/>
  <c r="F611" i="107"/>
  <c r="F610" i="107"/>
  <c r="F609" i="107"/>
  <c r="F608" i="107"/>
  <c r="F607" i="107"/>
  <c r="F606" i="107"/>
  <c r="F605" i="107"/>
  <c r="F604" i="107"/>
  <c r="F603" i="107"/>
  <c r="F602" i="107"/>
  <c r="F601" i="107"/>
  <c r="F600" i="107"/>
  <c r="F599" i="107"/>
  <c r="F598" i="107"/>
  <c r="F597" i="107"/>
  <c r="F596" i="107"/>
  <c r="F595" i="107"/>
  <c r="F594" i="107"/>
  <c r="F593" i="107"/>
  <c r="F592" i="107"/>
  <c r="F591" i="107"/>
  <c r="F590" i="107"/>
  <c r="F589" i="107"/>
  <c r="F588" i="107"/>
  <c r="F587" i="107"/>
  <c r="F586" i="107"/>
  <c r="F585" i="107"/>
  <c r="F584" i="107"/>
  <c r="F583" i="107"/>
  <c r="F582" i="107"/>
  <c r="F581" i="107"/>
  <c r="F580" i="107"/>
  <c r="F579" i="107"/>
  <c r="F578" i="107"/>
  <c r="F577" i="107"/>
  <c r="F576" i="107"/>
  <c r="F575" i="107"/>
  <c r="F574" i="107"/>
  <c r="F573" i="107"/>
  <c r="F572" i="107"/>
  <c r="F571" i="107"/>
  <c r="F570" i="107"/>
  <c r="F569" i="107"/>
  <c r="F568" i="107"/>
  <c r="F567" i="107"/>
  <c r="F566" i="107"/>
  <c r="F565" i="107"/>
  <c r="F564" i="107"/>
  <c r="F563" i="107"/>
  <c r="F562" i="107"/>
  <c r="F561" i="107"/>
  <c r="F560" i="107"/>
  <c r="F559" i="107"/>
  <c r="F558" i="107"/>
  <c r="F557" i="107"/>
  <c r="F556" i="107"/>
  <c r="F555" i="107"/>
  <c r="F554" i="107"/>
  <c r="F553" i="107"/>
  <c r="F552" i="107"/>
  <c r="F551" i="107"/>
  <c r="F550" i="107"/>
  <c r="F549" i="107"/>
  <c r="F548" i="107"/>
  <c r="F547" i="107"/>
  <c r="F546" i="107"/>
  <c r="F545" i="107"/>
  <c r="F544" i="107"/>
  <c r="F543" i="107"/>
  <c r="F542" i="107"/>
  <c r="F541" i="107"/>
  <c r="F540" i="107"/>
  <c r="F539" i="107"/>
  <c r="F538" i="107"/>
  <c r="F537" i="107"/>
  <c r="F536" i="107"/>
  <c r="F535" i="107"/>
  <c r="F534" i="107"/>
  <c r="F533" i="107"/>
  <c r="F532" i="107"/>
  <c r="F531" i="107"/>
  <c r="F530" i="107"/>
  <c r="F529" i="107"/>
  <c r="F528" i="107"/>
  <c r="F527" i="107"/>
  <c r="F526" i="107"/>
  <c r="F525" i="107"/>
  <c r="F524" i="107"/>
  <c r="F523" i="107"/>
  <c r="F522" i="107"/>
  <c r="F521" i="107"/>
  <c r="F520" i="107"/>
  <c r="F519" i="107"/>
  <c r="F518" i="107"/>
  <c r="F517" i="107"/>
  <c r="F516" i="107"/>
  <c r="F515" i="107"/>
  <c r="F514" i="107"/>
  <c r="F513" i="107"/>
  <c r="F512" i="107"/>
  <c r="F511" i="107"/>
  <c r="F510" i="107"/>
  <c r="F509" i="107"/>
  <c r="F508" i="107"/>
  <c r="F507" i="107"/>
  <c r="F506" i="107"/>
  <c r="F505" i="107"/>
  <c r="F504" i="107"/>
  <c r="F503" i="107"/>
  <c r="F502" i="107"/>
  <c r="F501" i="107"/>
  <c r="F500" i="107"/>
  <c r="F499" i="107"/>
  <c r="F498" i="107"/>
  <c r="F497" i="107"/>
  <c r="F496" i="107"/>
  <c r="F495" i="107"/>
  <c r="F494" i="107"/>
  <c r="F493" i="107"/>
  <c r="F492" i="107"/>
  <c r="F491" i="107"/>
  <c r="F490" i="107"/>
  <c r="F489" i="107"/>
  <c r="F488" i="107"/>
  <c r="F487" i="107"/>
  <c r="F486" i="107"/>
  <c r="F485" i="107"/>
  <c r="F484" i="107"/>
  <c r="F483" i="107"/>
  <c r="F482" i="107"/>
  <c r="F481" i="107"/>
  <c r="F480" i="107"/>
  <c r="F479" i="107"/>
  <c r="F478" i="107"/>
  <c r="F477" i="107"/>
  <c r="F476" i="107"/>
  <c r="F475" i="107"/>
  <c r="F474" i="107"/>
  <c r="F473" i="107"/>
  <c r="F472" i="107"/>
  <c r="F471" i="107"/>
  <c r="F470" i="107"/>
  <c r="F469" i="107"/>
  <c r="F468" i="107"/>
  <c r="F467" i="107"/>
  <c r="F466" i="107"/>
  <c r="F465" i="107"/>
  <c r="F464" i="107"/>
  <c r="F463" i="107"/>
  <c r="F462" i="107"/>
  <c r="F461" i="107"/>
  <c r="F460" i="107"/>
  <c r="F459" i="107"/>
  <c r="F458" i="107"/>
  <c r="F457" i="107"/>
  <c r="F456" i="107"/>
  <c r="F455" i="107"/>
  <c r="F454" i="107"/>
  <c r="F453" i="107"/>
  <c r="F452" i="107"/>
  <c r="F451" i="107"/>
  <c r="F450" i="107"/>
  <c r="F449" i="107"/>
  <c r="F448" i="107"/>
  <c r="F447" i="107"/>
  <c r="F446" i="107"/>
  <c r="F445" i="107"/>
  <c r="F444" i="107"/>
  <c r="F443" i="107"/>
  <c r="F442" i="107"/>
  <c r="F441" i="107"/>
  <c r="F440" i="107"/>
  <c r="F439" i="107"/>
  <c r="F438" i="107"/>
  <c r="F437" i="107"/>
  <c r="F436" i="107"/>
  <c r="F435" i="107"/>
  <c r="F434" i="107"/>
  <c r="F433" i="107"/>
  <c r="F432" i="107"/>
  <c r="F431" i="107"/>
  <c r="F430" i="107"/>
  <c r="F429" i="107"/>
  <c r="F428" i="107"/>
  <c r="F427" i="107"/>
  <c r="F426" i="107"/>
  <c r="F425" i="107"/>
  <c r="F424" i="107"/>
  <c r="F423" i="107"/>
  <c r="F422" i="107"/>
  <c r="F421" i="107"/>
  <c r="F420" i="107"/>
  <c r="F419" i="107"/>
  <c r="F418" i="107"/>
  <c r="F417" i="107"/>
  <c r="F416" i="107"/>
  <c r="F415" i="107"/>
  <c r="F414" i="107"/>
  <c r="F413" i="107"/>
  <c r="F412" i="107"/>
  <c r="F411" i="107"/>
  <c r="F410" i="107"/>
  <c r="F409" i="107"/>
  <c r="F408" i="107"/>
  <c r="F407" i="107"/>
  <c r="F406" i="107"/>
  <c r="F405" i="107"/>
  <c r="F404" i="107"/>
  <c r="F403" i="107"/>
  <c r="F402" i="107"/>
  <c r="F401" i="107"/>
  <c r="F400" i="107"/>
  <c r="F399" i="107"/>
  <c r="F398" i="107"/>
  <c r="F397" i="107"/>
  <c r="F396" i="107"/>
  <c r="F395" i="107"/>
  <c r="F394" i="107"/>
  <c r="F393" i="107"/>
  <c r="F392" i="107"/>
  <c r="F391" i="107"/>
  <c r="F390" i="107"/>
  <c r="F389" i="107"/>
  <c r="F388" i="107"/>
  <c r="F387" i="107"/>
  <c r="F386" i="107"/>
  <c r="F385" i="107"/>
  <c r="F384" i="107"/>
  <c r="F383" i="107"/>
  <c r="F382" i="107"/>
  <c r="F381" i="107"/>
  <c r="F380" i="107"/>
  <c r="F379" i="107"/>
  <c r="F378" i="107"/>
  <c r="F377" i="107"/>
  <c r="F376" i="107"/>
  <c r="F375" i="107"/>
  <c r="F374" i="107"/>
  <c r="F373" i="107"/>
  <c r="F372" i="107"/>
  <c r="F371" i="107"/>
  <c r="F370" i="107"/>
  <c r="F369" i="107"/>
  <c r="F368" i="107"/>
  <c r="F367" i="107"/>
  <c r="F366" i="107"/>
  <c r="F365" i="107"/>
  <c r="F364" i="107"/>
  <c r="F363" i="107"/>
  <c r="F362" i="107"/>
  <c r="F361" i="107"/>
  <c r="F360" i="107"/>
  <c r="F359" i="107"/>
  <c r="F358" i="107"/>
  <c r="F357" i="107"/>
  <c r="F356" i="107"/>
  <c r="F355" i="107"/>
  <c r="F354" i="107"/>
  <c r="F353" i="107"/>
  <c r="F352" i="107"/>
  <c r="F351" i="107"/>
  <c r="F350" i="107"/>
  <c r="F349" i="107"/>
  <c r="F348" i="107"/>
  <c r="F347" i="107"/>
  <c r="F346" i="107"/>
  <c r="F345" i="107"/>
  <c r="F344" i="107"/>
  <c r="F343" i="107"/>
  <c r="F342" i="107"/>
  <c r="F341" i="107"/>
  <c r="F340" i="107"/>
  <c r="F339" i="107"/>
  <c r="F338" i="107"/>
  <c r="F337" i="107"/>
  <c r="F336" i="107"/>
  <c r="F335" i="107"/>
  <c r="F334" i="107"/>
  <c r="F333" i="107"/>
  <c r="F332" i="107"/>
  <c r="F331" i="107"/>
  <c r="F330" i="107"/>
  <c r="F329" i="107"/>
  <c r="F328" i="107"/>
  <c r="F327" i="107"/>
  <c r="F326" i="107"/>
  <c r="F325" i="107"/>
  <c r="F324" i="107"/>
  <c r="F323" i="107"/>
  <c r="F322" i="107"/>
  <c r="F321" i="107"/>
  <c r="F320" i="107"/>
  <c r="F319" i="107"/>
  <c r="F318" i="107"/>
  <c r="F317" i="107"/>
  <c r="F316" i="107"/>
  <c r="F315" i="107"/>
  <c r="F314" i="107"/>
  <c r="F313" i="107"/>
  <c r="F312" i="107"/>
  <c r="F311" i="107"/>
  <c r="F310" i="107"/>
  <c r="F309" i="107"/>
  <c r="F308" i="107"/>
  <c r="F307" i="107"/>
  <c r="F306" i="107"/>
  <c r="F305" i="107"/>
  <c r="F304" i="107"/>
  <c r="F303" i="107"/>
  <c r="F302" i="107"/>
  <c r="F301" i="107"/>
  <c r="F300" i="107"/>
  <c r="F299" i="107"/>
  <c r="F298" i="107"/>
  <c r="F297" i="107"/>
  <c r="F296" i="107"/>
  <c r="F295" i="107"/>
  <c r="F294" i="107"/>
  <c r="F293" i="107"/>
  <c r="F292" i="107"/>
  <c r="F291" i="107"/>
  <c r="F290" i="107"/>
  <c r="F289" i="107"/>
  <c r="F288" i="107"/>
  <c r="F287" i="107"/>
  <c r="F286" i="107"/>
  <c r="F285" i="107"/>
  <c r="F284" i="107"/>
  <c r="F283" i="107"/>
  <c r="F282" i="107"/>
  <c r="F281" i="107"/>
  <c r="F280" i="107"/>
  <c r="F279" i="107"/>
  <c r="F278" i="107"/>
  <c r="F277" i="107"/>
  <c r="F276" i="107"/>
  <c r="F275" i="107"/>
  <c r="F274" i="107"/>
  <c r="F273" i="107"/>
  <c r="F272" i="107"/>
  <c r="F271" i="107"/>
  <c r="F270" i="107"/>
  <c r="F269" i="107"/>
  <c r="F268" i="107"/>
  <c r="F267" i="107"/>
  <c r="F266" i="107"/>
  <c r="F265" i="107"/>
  <c r="F264" i="107"/>
  <c r="F263" i="107"/>
  <c r="F262" i="107"/>
  <c r="F261" i="107"/>
  <c r="F260" i="107"/>
  <c r="F259" i="107"/>
  <c r="F258" i="107"/>
  <c r="F257" i="107"/>
  <c r="F256" i="107"/>
  <c r="F255" i="107"/>
  <c r="F254" i="107"/>
  <c r="F253" i="107"/>
  <c r="F252" i="107"/>
  <c r="F251" i="107"/>
  <c r="F250" i="107"/>
  <c r="F249" i="107"/>
  <c r="F248" i="107"/>
  <c r="F247" i="107"/>
  <c r="F246" i="107"/>
  <c r="F245" i="107"/>
  <c r="F244" i="107"/>
  <c r="F243" i="107"/>
  <c r="F242" i="107"/>
  <c r="F241" i="107"/>
  <c r="F240" i="107"/>
  <c r="F239" i="107"/>
  <c r="F238" i="107"/>
  <c r="F237" i="107"/>
  <c r="F236" i="107"/>
  <c r="F235" i="107"/>
  <c r="F234" i="107"/>
  <c r="F233" i="107"/>
  <c r="F232" i="107"/>
  <c r="F231" i="107"/>
  <c r="F230" i="107"/>
  <c r="F229" i="107"/>
  <c r="F228" i="107"/>
  <c r="F227" i="107"/>
  <c r="F226" i="107"/>
  <c r="F225" i="107"/>
  <c r="F224" i="107"/>
  <c r="F223" i="107"/>
  <c r="F222" i="107"/>
  <c r="F221" i="107"/>
  <c r="F220" i="107"/>
  <c r="F219" i="107"/>
  <c r="F218" i="107"/>
  <c r="F217" i="107"/>
  <c r="F216" i="107"/>
  <c r="F215" i="107"/>
  <c r="F214" i="107"/>
  <c r="F213" i="107"/>
  <c r="F212" i="107"/>
  <c r="F211" i="107"/>
  <c r="F210" i="107"/>
  <c r="F209" i="107"/>
  <c r="F208" i="107"/>
  <c r="F207" i="107"/>
  <c r="F206" i="107"/>
  <c r="F205" i="107"/>
  <c r="F204" i="107"/>
  <c r="F203" i="107"/>
  <c r="F202" i="107"/>
  <c r="F201" i="107"/>
  <c r="F200" i="107"/>
  <c r="F199" i="107"/>
  <c r="F198" i="107"/>
  <c r="F197" i="107"/>
  <c r="F196" i="107"/>
  <c r="F195" i="107"/>
  <c r="F194" i="107"/>
  <c r="F193" i="107"/>
  <c r="F192" i="107"/>
  <c r="F191" i="107"/>
  <c r="F190" i="107"/>
  <c r="F189" i="107"/>
  <c r="F188" i="107"/>
  <c r="F187" i="107"/>
  <c r="F186" i="107"/>
  <c r="F185" i="107"/>
  <c r="F184" i="107"/>
  <c r="F183" i="107"/>
  <c r="F182" i="107"/>
  <c r="F181" i="107"/>
  <c r="F180" i="107"/>
  <c r="F179" i="107"/>
  <c r="F178" i="107"/>
  <c r="F177" i="107"/>
  <c r="F176" i="107"/>
  <c r="F175" i="107"/>
  <c r="F174" i="107"/>
  <c r="F173" i="107"/>
  <c r="F172" i="107"/>
  <c r="F171" i="107"/>
  <c r="F170" i="107"/>
  <c r="F169" i="107"/>
  <c r="F168" i="107"/>
  <c r="F167" i="107"/>
  <c r="F166" i="107"/>
  <c r="F165" i="107"/>
  <c r="F164" i="107"/>
  <c r="F163" i="107"/>
  <c r="F162" i="107"/>
  <c r="F161" i="107"/>
  <c r="F160" i="107"/>
  <c r="F159" i="107"/>
  <c r="F158" i="107"/>
  <c r="F157" i="107"/>
  <c r="F156" i="107"/>
  <c r="F155" i="107"/>
  <c r="F154" i="107"/>
  <c r="F153" i="107"/>
  <c r="F152" i="107"/>
  <c r="F151" i="107"/>
  <c r="F150" i="107"/>
  <c r="F149" i="107"/>
  <c r="F148" i="107"/>
  <c r="F147" i="107"/>
  <c r="F146" i="107"/>
  <c r="F145" i="107"/>
  <c r="F144" i="107"/>
  <c r="F143" i="107"/>
  <c r="F142" i="107"/>
  <c r="F141" i="107"/>
  <c r="F140" i="107"/>
  <c r="F139" i="107"/>
  <c r="F138" i="107"/>
  <c r="F137" i="107"/>
  <c r="F136" i="107"/>
  <c r="F135" i="107"/>
  <c r="F134" i="107"/>
  <c r="F133" i="107"/>
  <c r="F132" i="107"/>
  <c r="F131" i="107"/>
  <c r="F130" i="107"/>
  <c r="F129" i="107"/>
  <c r="F128" i="107"/>
  <c r="F127" i="107"/>
  <c r="F126" i="107"/>
  <c r="F125" i="107"/>
  <c r="F124" i="107"/>
  <c r="F123" i="107"/>
  <c r="F122" i="107"/>
  <c r="F121" i="107"/>
  <c r="F120" i="107"/>
  <c r="F119" i="107"/>
  <c r="F118" i="107"/>
  <c r="F117" i="107"/>
  <c r="F116" i="107"/>
  <c r="F115" i="107"/>
  <c r="F114" i="107"/>
  <c r="F113" i="107"/>
  <c r="F112" i="107"/>
  <c r="F111" i="107"/>
  <c r="F110" i="107"/>
  <c r="F109" i="107"/>
  <c r="F108" i="107"/>
  <c r="F107" i="107"/>
  <c r="F106" i="107"/>
  <c r="F105" i="107"/>
  <c r="F104" i="107"/>
  <c r="F103" i="107"/>
  <c r="F102" i="107"/>
  <c r="F101" i="107"/>
  <c r="F100" i="107"/>
  <c r="F99" i="107"/>
  <c r="F98" i="107"/>
  <c r="F97" i="107"/>
  <c r="F96" i="107"/>
  <c r="F95" i="107"/>
  <c r="F94" i="107"/>
  <c r="F93" i="107"/>
  <c r="F92" i="107"/>
  <c r="F91" i="107"/>
  <c r="F90" i="107"/>
  <c r="F89" i="107"/>
  <c r="F88" i="107"/>
  <c r="F87" i="107"/>
  <c r="F86" i="107"/>
  <c r="F85" i="107"/>
  <c r="F84" i="107"/>
  <c r="F83" i="107"/>
  <c r="F82" i="107"/>
  <c r="F81" i="107"/>
  <c r="F80" i="107"/>
  <c r="F79" i="107"/>
  <c r="F78" i="107"/>
  <c r="F77" i="107"/>
  <c r="F76" i="107"/>
  <c r="F75" i="107"/>
  <c r="F74" i="107"/>
  <c r="F73" i="107"/>
  <c r="F72" i="107"/>
  <c r="F71" i="107"/>
  <c r="F70" i="107"/>
  <c r="F69" i="107"/>
  <c r="F68" i="107"/>
  <c r="F67" i="107"/>
  <c r="F66" i="107"/>
  <c r="F65" i="107"/>
  <c r="F64" i="107"/>
  <c r="F63" i="107"/>
  <c r="F62" i="107"/>
  <c r="F61" i="107"/>
  <c r="F60" i="107"/>
  <c r="F59" i="107"/>
  <c r="F58" i="107"/>
  <c r="F57" i="107"/>
  <c r="F56" i="107"/>
  <c r="F55" i="107"/>
  <c r="F54" i="107"/>
  <c r="F53" i="107"/>
  <c r="F52" i="107"/>
  <c r="F51" i="107"/>
  <c r="F50" i="107"/>
  <c r="F49" i="107"/>
  <c r="F48" i="107"/>
  <c r="F47" i="107"/>
  <c r="F46" i="107"/>
  <c r="F45" i="107"/>
  <c r="F44" i="107"/>
  <c r="F43" i="107"/>
  <c r="F42" i="107"/>
  <c r="F41" i="107"/>
  <c r="F40" i="107"/>
  <c r="F39" i="107"/>
  <c r="F38" i="107"/>
  <c r="F37" i="107"/>
  <c r="F36" i="107"/>
  <c r="F35" i="107"/>
  <c r="F34" i="107"/>
  <c r="F33" i="107"/>
  <c r="F32" i="107"/>
  <c r="F31" i="107"/>
  <c r="F30" i="107"/>
  <c r="F29" i="107"/>
  <c r="F28" i="107"/>
  <c r="F27" i="107"/>
  <c r="F26" i="107"/>
  <c r="F25" i="107"/>
  <c r="F24" i="107"/>
  <c r="F23" i="107"/>
  <c r="F22" i="107"/>
  <c r="F21" i="107"/>
  <c r="F20" i="107"/>
  <c r="F19" i="107"/>
  <c r="F18" i="107"/>
  <c r="F17" i="107"/>
  <c r="F16" i="107"/>
  <c r="F15" i="107"/>
  <c r="F14" i="107"/>
  <c r="F13" i="107"/>
  <c r="F12" i="107"/>
  <c r="F11" i="107"/>
  <c r="F10" i="107"/>
  <c r="J10" i="107" s="1"/>
  <c r="J9" i="107"/>
  <c r="I45" i="108" l="1"/>
  <c r="R10" i="108"/>
  <c r="Q10" i="108"/>
  <c r="P10" i="108"/>
  <c r="O10" i="108"/>
  <c r="N10" i="108"/>
  <c r="M10" i="108"/>
  <c r="L10" i="108"/>
  <c r="I46" i="108"/>
  <c r="R12" i="108"/>
  <c r="I47" i="108"/>
  <c r="R13" i="108"/>
  <c r="I48" i="108"/>
  <c r="R14" i="108"/>
  <c r="I49" i="108"/>
  <c r="R15" i="108"/>
  <c r="I50" i="108"/>
  <c r="R16" i="108"/>
  <c r="I51" i="108"/>
  <c r="R17" i="108"/>
  <c r="I52" i="108"/>
  <c r="R18" i="108"/>
  <c r="I53" i="108"/>
  <c r="R19" i="108"/>
  <c r="I54" i="108"/>
  <c r="R20" i="108"/>
  <c r="I55" i="108"/>
  <c r="R21" i="108"/>
  <c r="I56" i="108"/>
  <c r="R22" i="108"/>
  <c r="K44" i="105" l="1"/>
  <c r="M45" i="105" s="1"/>
  <c r="J44" i="105"/>
  <c r="I44" i="105"/>
  <c r="H44" i="105"/>
  <c r="G44" i="105"/>
  <c r="K43" i="105"/>
  <c r="J43" i="105"/>
  <c r="I43" i="105"/>
  <c r="H43" i="105"/>
  <c r="G43" i="105"/>
  <c r="K42" i="105"/>
  <c r="J42" i="105"/>
  <c r="I42" i="105"/>
  <c r="H42" i="105"/>
  <c r="G42" i="105"/>
  <c r="K41" i="105"/>
  <c r="J41" i="105"/>
  <c r="I41" i="105"/>
  <c r="H41" i="105"/>
  <c r="G41" i="105"/>
  <c r="K40" i="105"/>
  <c r="J40" i="105"/>
  <c r="I40" i="105"/>
  <c r="H40" i="105"/>
  <c r="G40" i="105"/>
  <c r="K39" i="105"/>
  <c r="J39" i="105"/>
  <c r="I39" i="105"/>
  <c r="H39" i="105"/>
  <c r="G39" i="105"/>
  <c r="K38" i="105"/>
  <c r="J38" i="105"/>
  <c r="I38" i="105"/>
  <c r="H38" i="105"/>
  <c r="G38" i="105"/>
  <c r="K37" i="105"/>
  <c r="J37" i="105"/>
  <c r="I37" i="105"/>
  <c r="H37" i="105"/>
  <c r="G37" i="105"/>
  <c r="K36" i="105"/>
  <c r="J36" i="105"/>
  <c r="I36" i="105"/>
  <c r="H36" i="105"/>
  <c r="G36" i="105"/>
  <c r="K35" i="105"/>
  <c r="J35" i="105"/>
  <c r="I35" i="105"/>
  <c r="H35" i="105"/>
  <c r="G35" i="105"/>
  <c r="K34" i="105"/>
  <c r="J34" i="105"/>
  <c r="I34" i="105"/>
  <c r="H34" i="105"/>
  <c r="G34" i="105"/>
  <c r="K33" i="105"/>
  <c r="J33" i="105"/>
  <c r="I33" i="105"/>
  <c r="H33" i="105"/>
  <c r="G33" i="105"/>
  <c r="K32" i="105"/>
  <c r="J32" i="105"/>
  <c r="I32" i="105"/>
  <c r="H32" i="105"/>
  <c r="G32" i="105"/>
  <c r="K31" i="105"/>
  <c r="J31" i="105"/>
  <c r="I31" i="105"/>
  <c r="H31" i="105"/>
  <c r="G31" i="105"/>
  <c r="K30" i="105"/>
  <c r="J30" i="105"/>
  <c r="I30" i="105"/>
  <c r="H30" i="105"/>
  <c r="G30" i="105"/>
  <c r="K29" i="105"/>
  <c r="J29" i="105"/>
  <c r="I29" i="105"/>
  <c r="H29" i="105"/>
  <c r="G29" i="105"/>
  <c r="K28" i="105"/>
  <c r="J28" i="105"/>
  <c r="I28" i="105"/>
  <c r="H28" i="105"/>
  <c r="G28" i="105"/>
  <c r="K27" i="105"/>
  <c r="J27" i="105"/>
  <c r="I27" i="105"/>
  <c r="H27" i="105"/>
  <c r="G27" i="105"/>
  <c r="K26" i="105"/>
  <c r="J26" i="105"/>
  <c r="I26" i="105"/>
  <c r="H26" i="105"/>
  <c r="G26" i="105"/>
  <c r="K25" i="105"/>
  <c r="J25" i="105"/>
  <c r="I25" i="105"/>
  <c r="H25" i="105"/>
  <c r="G25" i="105"/>
  <c r="K24" i="105"/>
  <c r="J24" i="105"/>
  <c r="I24" i="105"/>
  <c r="H24" i="105"/>
  <c r="G24" i="105"/>
  <c r="K23" i="105"/>
  <c r="J23" i="105"/>
  <c r="I23" i="105"/>
  <c r="H23" i="105"/>
  <c r="G23" i="105"/>
  <c r="K22" i="105"/>
  <c r="J22" i="105"/>
  <c r="I22" i="105"/>
  <c r="H22" i="105"/>
  <c r="G22" i="105"/>
  <c r="K21" i="105"/>
  <c r="J21" i="105"/>
  <c r="I21" i="105"/>
  <c r="H21" i="105"/>
  <c r="G21" i="105"/>
  <c r="K20" i="105"/>
  <c r="J20" i="105"/>
  <c r="I20" i="105"/>
  <c r="H20" i="105"/>
  <c r="G20" i="105"/>
  <c r="K19" i="105"/>
  <c r="J19" i="105"/>
  <c r="I19" i="105"/>
  <c r="H19" i="105"/>
  <c r="G19" i="105"/>
  <c r="K18" i="105"/>
  <c r="J18" i="105"/>
  <c r="I18" i="105"/>
  <c r="H18" i="105"/>
  <c r="G18" i="105"/>
  <c r="K17" i="105"/>
  <c r="J17" i="105"/>
  <c r="I17" i="105"/>
  <c r="H17" i="105"/>
  <c r="G17" i="105"/>
  <c r="K16" i="105"/>
  <c r="J16" i="105"/>
  <c r="I16" i="105"/>
  <c r="H16" i="105"/>
  <c r="G16" i="105"/>
  <c r="K15" i="105"/>
  <c r="J15" i="105"/>
  <c r="I15" i="105"/>
  <c r="H15" i="105"/>
  <c r="G15" i="105"/>
  <c r="K14" i="105"/>
  <c r="J14" i="105"/>
  <c r="I14" i="105"/>
  <c r="H14" i="105"/>
  <c r="G14" i="105"/>
  <c r="K13" i="105"/>
  <c r="J13" i="105"/>
  <c r="I13" i="105"/>
  <c r="H13" i="105"/>
  <c r="G13" i="105"/>
  <c r="K12" i="105"/>
  <c r="J12" i="105"/>
  <c r="I12" i="105"/>
  <c r="H12" i="105"/>
  <c r="G12" i="105"/>
  <c r="K11" i="105"/>
  <c r="I11" i="105"/>
  <c r="G11" i="105"/>
  <c r="L11" i="105" l="1"/>
  <c r="L46" i="105"/>
  <c r="L45" i="105"/>
  <c r="M12" i="105"/>
  <c r="L12" i="105"/>
  <c r="M13" i="105"/>
  <c r="L13" i="105"/>
  <c r="M14" i="105"/>
  <c r="L14" i="105"/>
  <c r="M15" i="105"/>
  <c r="L15" i="105"/>
  <c r="M16" i="105"/>
  <c r="L16" i="105"/>
  <c r="M17" i="105"/>
  <c r="L17" i="105"/>
  <c r="M18" i="105"/>
  <c r="L18" i="105"/>
  <c r="M19" i="105"/>
  <c r="L19" i="105"/>
  <c r="M20" i="105"/>
  <c r="L20" i="105"/>
  <c r="M21" i="105"/>
  <c r="L21" i="105"/>
  <c r="M22" i="105"/>
  <c r="L22" i="105"/>
  <c r="M23" i="105"/>
  <c r="L23" i="105"/>
  <c r="M24" i="105"/>
  <c r="L24" i="105"/>
  <c r="M25" i="105"/>
  <c r="L25" i="105"/>
  <c r="M26" i="105"/>
  <c r="L26" i="105"/>
  <c r="M27" i="105"/>
  <c r="L27" i="105"/>
  <c r="M28" i="105"/>
  <c r="L28" i="105"/>
  <c r="M29" i="105"/>
  <c r="L29" i="105"/>
  <c r="M30" i="105"/>
  <c r="L30" i="105"/>
  <c r="M31" i="105"/>
  <c r="L31" i="105"/>
  <c r="M32" i="105"/>
  <c r="L32" i="105"/>
  <c r="M33" i="105"/>
  <c r="L33" i="105"/>
  <c r="M34" i="105"/>
  <c r="L34" i="105"/>
  <c r="M35" i="105"/>
  <c r="L35" i="105"/>
  <c r="M36" i="105"/>
  <c r="L36" i="105"/>
  <c r="M37" i="105"/>
  <c r="L37" i="105"/>
  <c r="M38" i="105"/>
  <c r="L38" i="105"/>
  <c r="M39" i="105"/>
  <c r="L39" i="105"/>
  <c r="M40" i="105"/>
  <c r="L40" i="105"/>
  <c r="M41" i="105"/>
  <c r="L41" i="105"/>
  <c r="M42" i="105"/>
  <c r="L42" i="105"/>
  <c r="M43" i="105"/>
  <c r="L43" i="105"/>
  <c r="M44" i="105"/>
  <c r="L44" i="105"/>
  <c r="M11" i="100" l="1"/>
  <c r="M12" i="100"/>
  <c r="S12" i="100" s="1"/>
  <c r="S29" i="100" s="1"/>
  <c r="M13" i="100"/>
  <c r="M14" i="100"/>
  <c r="S14" i="100" s="1"/>
  <c r="M15" i="100"/>
  <c r="M16" i="100"/>
  <c r="S16" i="100" s="1"/>
  <c r="M17" i="100"/>
  <c r="M18" i="100"/>
  <c r="S18" i="100" s="1"/>
  <c r="M19" i="100"/>
  <c r="M20" i="100"/>
  <c r="S20" i="100" s="1"/>
  <c r="M21" i="100"/>
  <c r="M22" i="100"/>
  <c r="S22" i="100" s="1"/>
  <c r="M10" i="100"/>
  <c r="S11" i="100"/>
  <c r="S13" i="100"/>
  <c r="S15" i="100"/>
  <c r="S17" i="100"/>
  <c r="S34" i="100" s="1"/>
  <c r="S19" i="100"/>
  <c r="S36" i="100" s="1"/>
  <c r="S21" i="100"/>
  <c r="S38" i="100" s="1"/>
  <c r="Q10" i="100"/>
  <c r="S10" i="100"/>
  <c r="U10" i="100"/>
  <c r="W10" i="100"/>
  <c r="Y10" i="100"/>
  <c r="Q11" i="100"/>
  <c r="U11" i="100"/>
  <c r="U28" i="100" s="1"/>
  <c r="Y11" i="100"/>
  <c r="Q12" i="100"/>
  <c r="U12" i="100"/>
  <c r="Y12" i="100"/>
  <c r="Q13" i="100"/>
  <c r="U13" i="100"/>
  <c r="U47" i="100" s="1"/>
  <c r="Y13" i="100"/>
  <c r="Q14" i="100"/>
  <c r="Q31" i="100" s="1"/>
  <c r="U14" i="100"/>
  <c r="U31" i="100" s="1"/>
  <c r="Y14" i="100"/>
  <c r="Y31" i="100" s="1"/>
  <c r="Q15" i="100"/>
  <c r="U15" i="100"/>
  <c r="U49" i="100" s="1"/>
  <c r="Y15" i="100"/>
  <c r="Q16" i="100"/>
  <c r="U16" i="100"/>
  <c r="Y16" i="100"/>
  <c r="Q17" i="100"/>
  <c r="U17" i="100"/>
  <c r="U51" i="100" s="1"/>
  <c r="Y17" i="100"/>
  <c r="Q18" i="100"/>
  <c r="U18" i="100"/>
  <c r="Y18" i="100"/>
  <c r="Q19" i="100"/>
  <c r="U19" i="100"/>
  <c r="U53" i="100" s="1"/>
  <c r="Y19" i="100"/>
  <c r="Q20" i="100"/>
  <c r="U20" i="100"/>
  <c r="Y20" i="100"/>
  <c r="Q21" i="100"/>
  <c r="U21" i="100"/>
  <c r="U55" i="100" s="1"/>
  <c r="Y21" i="100"/>
  <c r="Q22" i="100"/>
  <c r="Q39" i="100" s="1"/>
  <c r="U22" i="100"/>
  <c r="U39" i="100" s="1"/>
  <c r="Y22" i="100"/>
  <c r="Y39" i="100" s="1"/>
  <c r="C27" i="100"/>
  <c r="D27" i="100"/>
  <c r="E27" i="100"/>
  <c r="F27" i="100"/>
  <c r="G27" i="100"/>
  <c r="H27" i="100"/>
  <c r="I27" i="100"/>
  <c r="J27" i="100"/>
  <c r="K27" i="100"/>
  <c r="L27" i="100"/>
  <c r="M27" i="100"/>
  <c r="Q27" i="100"/>
  <c r="S27" i="100"/>
  <c r="U27" i="100"/>
  <c r="W27" i="100"/>
  <c r="Y27" i="100"/>
  <c r="C28" i="100"/>
  <c r="D28" i="100"/>
  <c r="E28" i="100"/>
  <c r="F28" i="100"/>
  <c r="G28" i="100"/>
  <c r="H28" i="100"/>
  <c r="I28" i="100"/>
  <c r="J28" i="100"/>
  <c r="K28" i="100"/>
  <c r="L28" i="100"/>
  <c r="M28" i="100"/>
  <c r="C29" i="100"/>
  <c r="D29" i="100"/>
  <c r="E29" i="100"/>
  <c r="F29" i="100"/>
  <c r="G29" i="100"/>
  <c r="H29" i="100"/>
  <c r="I29" i="100"/>
  <c r="J29" i="100"/>
  <c r="K29" i="100"/>
  <c r="L29" i="100"/>
  <c r="M29" i="100"/>
  <c r="C30" i="100"/>
  <c r="D30" i="100"/>
  <c r="E30" i="100"/>
  <c r="F30" i="100"/>
  <c r="G30" i="100"/>
  <c r="H30" i="100"/>
  <c r="I30" i="100"/>
  <c r="J30" i="100"/>
  <c r="K30" i="100"/>
  <c r="L30" i="100"/>
  <c r="M30" i="100"/>
  <c r="C31" i="100"/>
  <c r="D31" i="100"/>
  <c r="E31" i="100"/>
  <c r="F31" i="100"/>
  <c r="G31" i="100"/>
  <c r="H31" i="100"/>
  <c r="I31" i="100"/>
  <c r="J31" i="100"/>
  <c r="K31" i="100"/>
  <c r="L31" i="100"/>
  <c r="M31" i="100"/>
  <c r="C32" i="100"/>
  <c r="D32" i="100"/>
  <c r="E32" i="100"/>
  <c r="F32" i="100"/>
  <c r="G32" i="100"/>
  <c r="H32" i="100"/>
  <c r="I32" i="100"/>
  <c r="J32" i="100"/>
  <c r="K32" i="100"/>
  <c r="L32" i="100"/>
  <c r="M32" i="100"/>
  <c r="C33" i="100"/>
  <c r="D33" i="100"/>
  <c r="E33" i="100"/>
  <c r="F33" i="100"/>
  <c r="G33" i="100"/>
  <c r="H33" i="100"/>
  <c r="I33" i="100"/>
  <c r="J33" i="100"/>
  <c r="K33" i="100"/>
  <c r="L33" i="100"/>
  <c r="C34" i="100"/>
  <c r="D34" i="100"/>
  <c r="E34" i="100"/>
  <c r="F34" i="100"/>
  <c r="G34" i="100"/>
  <c r="H34" i="100"/>
  <c r="I34" i="100"/>
  <c r="J34" i="100"/>
  <c r="K34" i="100"/>
  <c r="L34" i="100"/>
  <c r="M34" i="100"/>
  <c r="C35" i="100"/>
  <c r="D35" i="100"/>
  <c r="E35" i="100"/>
  <c r="F35" i="100"/>
  <c r="G35" i="100"/>
  <c r="H35" i="100"/>
  <c r="I35" i="100"/>
  <c r="J35" i="100"/>
  <c r="K35" i="100"/>
  <c r="L35" i="100"/>
  <c r="Q35" i="100"/>
  <c r="U35" i="100"/>
  <c r="Y35" i="100"/>
  <c r="C36" i="100"/>
  <c r="D36" i="100"/>
  <c r="E36" i="100"/>
  <c r="F36" i="100"/>
  <c r="G36" i="100"/>
  <c r="H36" i="100"/>
  <c r="I36" i="100"/>
  <c r="J36" i="100"/>
  <c r="K36" i="100"/>
  <c r="L36" i="100"/>
  <c r="M36" i="100"/>
  <c r="C37" i="100"/>
  <c r="D37" i="100"/>
  <c r="E37" i="100"/>
  <c r="F37" i="100"/>
  <c r="G37" i="100"/>
  <c r="H37" i="100"/>
  <c r="I37" i="100"/>
  <c r="J37" i="100"/>
  <c r="K37" i="100"/>
  <c r="L37" i="100"/>
  <c r="M37" i="100"/>
  <c r="C38" i="100"/>
  <c r="D38" i="100"/>
  <c r="E38" i="100"/>
  <c r="F38" i="100"/>
  <c r="G38" i="100"/>
  <c r="H38" i="100"/>
  <c r="I38" i="100"/>
  <c r="J38" i="100"/>
  <c r="K38" i="100"/>
  <c r="L38" i="100"/>
  <c r="M38" i="100"/>
  <c r="C39" i="100"/>
  <c r="D39" i="100"/>
  <c r="E39" i="100"/>
  <c r="F39" i="100"/>
  <c r="G39" i="100"/>
  <c r="H39" i="100"/>
  <c r="I39" i="100"/>
  <c r="J39" i="100"/>
  <c r="K39" i="100"/>
  <c r="L39" i="100"/>
  <c r="M39" i="100"/>
  <c r="C45" i="100"/>
  <c r="D45" i="100"/>
  <c r="E45" i="100"/>
  <c r="F45" i="100"/>
  <c r="G45" i="100"/>
  <c r="H45" i="100"/>
  <c r="I45" i="100"/>
  <c r="J45" i="100"/>
  <c r="K45" i="100"/>
  <c r="L45" i="100"/>
  <c r="M45" i="100"/>
  <c r="C46" i="100"/>
  <c r="D46" i="100"/>
  <c r="E46" i="100"/>
  <c r="F46" i="100"/>
  <c r="G46" i="100"/>
  <c r="H46" i="100"/>
  <c r="I46" i="100"/>
  <c r="J46" i="100"/>
  <c r="K46" i="100"/>
  <c r="L46" i="100"/>
  <c r="C47" i="100"/>
  <c r="D47" i="100"/>
  <c r="E47" i="100"/>
  <c r="F47" i="100"/>
  <c r="G47" i="100"/>
  <c r="H47" i="100"/>
  <c r="I47" i="100"/>
  <c r="J47" i="100"/>
  <c r="K47" i="100"/>
  <c r="L47" i="100"/>
  <c r="C48" i="100"/>
  <c r="D48" i="100"/>
  <c r="E48" i="100"/>
  <c r="F48" i="100"/>
  <c r="G48" i="100"/>
  <c r="H48" i="100"/>
  <c r="I48" i="100"/>
  <c r="J48" i="100"/>
  <c r="K48" i="100"/>
  <c r="L48" i="100"/>
  <c r="M48" i="100"/>
  <c r="C49" i="100"/>
  <c r="D49" i="100"/>
  <c r="E49" i="100"/>
  <c r="F49" i="100"/>
  <c r="G49" i="100"/>
  <c r="H49" i="100"/>
  <c r="I49" i="100"/>
  <c r="J49" i="100"/>
  <c r="K49" i="100"/>
  <c r="L49" i="100"/>
  <c r="C50" i="100"/>
  <c r="D50" i="100"/>
  <c r="E50" i="100"/>
  <c r="F50" i="100"/>
  <c r="G50" i="100"/>
  <c r="H50" i="100"/>
  <c r="I50" i="100"/>
  <c r="J50" i="100"/>
  <c r="K50" i="100"/>
  <c r="L50" i="100"/>
  <c r="C51" i="100"/>
  <c r="D51" i="100"/>
  <c r="E51" i="100"/>
  <c r="F51" i="100"/>
  <c r="G51" i="100"/>
  <c r="H51" i="100"/>
  <c r="I51" i="100"/>
  <c r="J51" i="100"/>
  <c r="K51" i="100"/>
  <c r="L51" i="100"/>
  <c r="C52" i="100"/>
  <c r="D52" i="100"/>
  <c r="E52" i="100"/>
  <c r="F52" i="100"/>
  <c r="G52" i="100"/>
  <c r="H52" i="100"/>
  <c r="I52" i="100"/>
  <c r="J52" i="100"/>
  <c r="K52" i="100"/>
  <c r="L52" i="100"/>
  <c r="C53" i="100"/>
  <c r="D53" i="100"/>
  <c r="E53" i="100"/>
  <c r="F53" i="100"/>
  <c r="G53" i="100"/>
  <c r="H53" i="100"/>
  <c r="I53" i="100"/>
  <c r="J53" i="100"/>
  <c r="K53" i="100"/>
  <c r="L53" i="100"/>
  <c r="C54" i="100"/>
  <c r="D54" i="100"/>
  <c r="E54" i="100"/>
  <c r="F54" i="100"/>
  <c r="G54" i="100"/>
  <c r="H54" i="100"/>
  <c r="I54" i="100"/>
  <c r="J54" i="100"/>
  <c r="K54" i="100"/>
  <c r="L54" i="100"/>
  <c r="C55" i="100"/>
  <c r="D55" i="100"/>
  <c r="E55" i="100"/>
  <c r="F55" i="100"/>
  <c r="G55" i="100"/>
  <c r="H55" i="100"/>
  <c r="I55" i="100"/>
  <c r="J55" i="100"/>
  <c r="K55" i="100"/>
  <c r="L55" i="100"/>
  <c r="C56" i="100"/>
  <c r="D56" i="100"/>
  <c r="E56" i="100"/>
  <c r="F56" i="100"/>
  <c r="G56" i="100"/>
  <c r="H56" i="100"/>
  <c r="I56" i="100"/>
  <c r="J56" i="100"/>
  <c r="K56" i="100"/>
  <c r="L56" i="100"/>
  <c r="S56" i="100" l="1"/>
  <c r="S39" i="100"/>
  <c r="S54" i="100"/>
  <c r="S37" i="100"/>
  <c r="S55" i="100"/>
  <c r="S52" i="100"/>
  <c r="S35" i="100"/>
  <c r="S53" i="100"/>
  <c r="S50" i="100"/>
  <c r="S33" i="100"/>
  <c r="S51" i="100"/>
  <c r="S48" i="100"/>
  <c r="S31" i="100"/>
  <c r="Y29" i="100"/>
  <c r="U29" i="100"/>
  <c r="Q29" i="100"/>
  <c r="M56" i="100"/>
  <c r="M54" i="100"/>
  <c r="M52" i="100"/>
  <c r="M50" i="100"/>
  <c r="M46" i="100"/>
  <c r="M35" i="100"/>
  <c r="M33" i="100"/>
  <c r="W22" i="100"/>
  <c r="W39" i="100" s="1"/>
  <c r="Y55" i="100"/>
  <c r="Q55" i="100"/>
  <c r="W20" i="100"/>
  <c r="W37" i="100" s="1"/>
  <c r="Y53" i="100"/>
  <c r="Q53" i="100"/>
  <c r="W18" i="100"/>
  <c r="W35" i="100" s="1"/>
  <c r="Y51" i="100"/>
  <c r="Q51" i="100"/>
  <c r="W16" i="100"/>
  <c r="W33" i="100" s="1"/>
  <c r="Y49" i="100"/>
  <c r="Q49" i="100"/>
  <c r="W14" i="100"/>
  <c r="W31" i="100" s="1"/>
  <c r="Y47" i="100"/>
  <c r="Q47" i="100"/>
  <c r="W12" i="100"/>
  <c r="W29" i="100" s="1"/>
  <c r="Y37" i="100"/>
  <c r="U37" i="100"/>
  <c r="Q37" i="100"/>
  <c r="Y33" i="100"/>
  <c r="U33" i="100"/>
  <c r="Q33" i="100"/>
  <c r="Y28" i="100"/>
  <c r="Q28" i="100"/>
  <c r="S32" i="100"/>
  <c r="S49" i="100"/>
  <c r="S30" i="100"/>
  <c r="S47" i="100"/>
  <c r="S28" i="100"/>
  <c r="S45" i="100"/>
  <c r="S46" i="100"/>
  <c r="M55" i="100"/>
  <c r="M53" i="100"/>
  <c r="M51" i="100"/>
  <c r="M49" i="100"/>
  <c r="M47" i="100"/>
  <c r="U46" i="100"/>
  <c r="Q46" i="100"/>
  <c r="Y45" i="100"/>
  <c r="U45" i="100"/>
  <c r="Q45" i="100"/>
  <c r="Y38" i="100"/>
  <c r="U38" i="100"/>
  <c r="Q38" i="100"/>
  <c r="Y36" i="100"/>
  <c r="U36" i="100"/>
  <c r="Q36" i="100"/>
  <c r="Y34" i="100"/>
  <c r="U34" i="100"/>
  <c r="Q34" i="100"/>
  <c r="Y32" i="100"/>
  <c r="U32" i="100"/>
  <c r="Q32" i="100"/>
  <c r="Y30" i="100"/>
  <c r="U30" i="100"/>
  <c r="Q30" i="100"/>
  <c r="Y56" i="100"/>
  <c r="U56" i="100"/>
  <c r="Q56" i="100"/>
  <c r="W21" i="100"/>
  <c r="Y54" i="100"/>
  <c r="U54" i="100"/>
  <c r="Q54" i="100"/>
  <c r="W19" i="100"/>
  <c r="Y52" i="100"/>
  <c r="U52" i="100"/>
  <c r="Q52" i="100"/>
  <c r="W17" i="100"/>
  <c r="Y50" i="100"/>
  <c r="U50" i="100"/>
  <c r="Q50" i="100"/>
  <c r="W15" i="100"/>
  <c r="Y48" i="100"/>
  <c r="U48" i="100"/>
  <c r="Q48" i="100"/>
  <c r="W13" i="100"/>
  <c r="Y46" i="100"/>
  <c r="W11" i="100"/>
  <c r="P22" i="100"/>
  <c r="R22" i="100"/>
  <c r="T22" i="100"/>
  <c r="V22" i="100"/>
  <c r="X22" i="100"/>
  <c r="Z22" i="100"/>
  <c r="P21" i="100"/>
  <c r="R21" i="100"/>
  <c r="T21" i="100"/>
  <c r="V21" i="100"/>
  <c r="X21" i="100"/>
  <c r="Z21" i="100"/>
  <c r="P20" i="100"/>
  <c r="R20" i="100"/>
  <c r="T20" i="100"/>
  <c r="V20" i="100"/>
  <c r="X20" i="100"/>
  <c r="Z20" i="100"/>
  <c r="P19" i="100"/>
  <c r="R19" i="100"/>
  <c r="T19" i="100"/>
  <c r="V19" i="100"/>
  <c r="X19" i="100"/>
  <c r="Z19" i="100"/>
  <c r="P18" i="100"/>
  <c r="R18" i="100"/>
  <c r="T18" i="100"/>
  <c r="V18" i="100"/>
  <c r="X18" i="100"/>
  <c r="Z18" i="100"/>
  <c r="P17" i="100"/>
  <c r="R17" i="100"/>
  <c r="T17" i="100"/>
  <c r="V17" i="100"/>
  <c r="X17" i="100"/>
  <c r="Z17" i="100"/>
  <c r="P16" i="100"/>
  <c r="R16" i="100"/>
  <c r="T16" i="100"/>
  <c r="V16" i="100"/>
  <c r="X16" i="100"/>
  <c r="Z16" i="100"/>
  <c r="P15" i="100"/>
  <c r="R15" i="100"/>
  <c r="T15" i="100"/>
  <c r="V15" i="100"/>
  <c r="X15" i="100"/>
  <c r="Z15" i="100"/>
  <c r="P14" i="100"/>
  <c r="R14" i="100"/>
  <c r="T14" i="100"/>
  <c r="V14" i="100"/>
  <c r="X14" i="100"/>
  <c r="Z14" i="100"/>
  <c r="P13" i="100"/>
  <c r="R13" i="100"/>
  <c r="T13" i="100"/>
  <c r="V13" i="100"/>
  <c r="X13" i="100"/>
  <c r="Z13" i="100"/>
  <c r="P12" i="100"/>
  <c r="R12" i="100"/>
  <c r="T12" i="100"/>
  <c r="V12" i="100"/>
  <c r="X12" i="100"/>
  <c r="Z12" i="100"/>
  <c r="P11" i="100"/>
  <c r="R11" i="100"/>
  <c r="T11" i="100"/>
  <c r="V11" i="100"/>
  <c r="X11" i="100"/>
  <c r="Z11" i="100"/>
  <c r="P10" i="100"/>
  <c r="P27" i="100" s="1"/>
  <c r="R10" i="100"/>
  <c r="R27" i="100" s="1"/>
  <c r="T10" i="100"/>
  <c r="T27" i="100" s="1"/>
  <c r="V10" i="100"/>
  <c r="V27" i="100" s="1"/>
  <c r="X10" i="100"/>
  <c r="X27" i="100" s="1"/>
  <c r="Z10" i="100"/>
  <c r="Z27" i="100" s="1"/>
  <c r="W28" i="100" l="1"/>
  <c r="W45" i="100"/>
  <c r="W46" i="100"/>
  <c r="W47" i="100"/>
  <c r="W30" i="100"/>
  <c r="W48" i="100"/>
  <c r="W49" i="100"/>
  <c r="W32" i="100"/>
  <c r="W50" i="100"/>
  <c r="W51" i="100"/>
  <c r="W34" i="100"/>
  <c r="W52" i="100"/>
  <c r="W53" i="100"/>
  <c r="W36" i="100"/>
  <c r="W54" i="100"/>
  <c r="W55" i="100"/>
  <c r="W38" i="100"/>
  <c r="W56" i="100"/>
  <c r="Z28" i="100"/>
  <c r="Z45" i="100"/>
  <c r="V28" i="100"/>
  <c r="V45" i="100"/>
  <c r="R28" i="100"/>
  <c r="R45" i="100"/>
  <c r="Z29" i="100"/>
  <c r="Z46" i="100"/>
  <c r="V29" i="100"/>
  <c r="V46" i="100"/>
  <c r="R29" i="100"/>
  <c r="R46" i="100"/>
  <c r="Z30" i="100"/>
  <c r="Z47" i="100"/>
  <c r="V30" i="100"/>
  <c r="V47" i="100"/>
  <c r="R30" i="100"/>
  <c r="R47" i="100"/>
  <c r="Z31" i="100"/>
  <c r="Z48" i="100"/>
  <c r="V31" i="100"/>
  <c r="V48" i="100"/>
  <c r="R31" i="100"/>
  <c r="R48" i="100"/>
  <c r="Z32" i="100"/>
  <c r="Z49" i="100"/>
  <c r="V32" i="100"/>
  <c r="V49" i="100"/>
  <c r="R32" i="100"/>
  <c r="R49" i="100"/>
  <c r="Z33" i="100"/>
  <c r="Z50" i="100"/>
  <c r="V33" i="100"/>
  <c r="V50" i="100"/>
  <c r="R33" i="100"/>
  <c r="R50" i="100"/>
  <c r="Z34" i="100"/>
  <c r="Z51" i="100"/>
  <c r="V34" i="100"/>
  <c r="V51" i="100"/>
  <c r="R34" i="100"/>
  <c r="R51" i="100"/>
  <c r="Z35" i="100"/>
  <c r="Z52" i="100"/>
  <c r="V35" i="100"/>
  <c r="V52" i="100"/>
  <c r="R35" i="100"/>
  <c r="R52" i="100"/>
  <c r="Z36" i="100"/>
  <c r="Z53" i="100"/>
  <c r="V36" i="100"/>
  <c r="V53" i="100"/>
  <c r="R36" i="100"/>
  <c r="R53" i="100"/>
  <c r="Z37" i="100"/>
  <c r="Z54" i="100"/>
  <c r="V37" i="100"/>
  <c r="V54" i="100"/>
  <c r="R37" i="100"/>
  <c r="R54" i="100"/>
  <c r="Z38" i="100"/>
  <c r="Z55" i="100"/>
  <c r="V38" i="100"/>
  <c r="V55" i="100"/>
  <c r="R38" i="100"/>
  <c r="R55" i="100"/>
  <c r="Z39" i="100"/>
  <c r="Z56" i="100"/>
  <c r="V39" i="100"/>
  <c r="V56" i="100"/>
  <c r="R39" i="100"/>
  <c r="R56" i="100"/>
  <c r="X28" i="100"/>
  <c r="X45" i="100"/>
  <c r="T28" i="100"/>
  <c r="T45" i="100"/>
  <c r="P28" i="100"/>
  <c r="P45" i="100"/>
  <c r="X29" i="100"/>
  <c r="X46" i="100"/>
  <c r="T29" i="100"/>
  <c r="T46" i="100"/>
  <c r="P29" i="100"/>
  <c r="P46" i="100"/>
  <c r="X30" i="100"/>
  <c r="X47" i="100"/>
  <c r="T30" i="100"/>
  <c r="T47" i="100"/>
  <c r="P30" i="100"/>
  <c r="P47" i="100"/>
  <c r="X31" i="100"/>
  <c r="X48" i="100"/>
  <c r="T31" i="100"/>
  <c r="T48" i="100"/>
  <c r="P31" i="100"/>
  <c r="P48" i="100"/>
  <c r="X32" i="100"/>
  <c r="X49" i="100"/>
  <c r="T32" i="100"/>
  <c r="T49" i="100"/>
  <c r="P32" i="100"/>
  <c r="P49" i="100"/>
  <c r="X33" i="100"/>
  <c r="X50" i="100"/>
  <c r="T33" i="100"/>
  <c r="T50" i="100"/>
  <c r="P33" i="100"/>
  <c r="P50" i="100"/>
  <c r="X34" i="100"/>
  <c r="X51" i="100"/>
  <c r="T34" i="100"/>
  <c r="T51" i="100"/>
  <c r="P34" i="100"/>
  <c r="P51" i="100"/>
  <c r="X35" i="100"/>
  <c r="X52" i="100"/>
  <c r="T35" i="100"/>
  <c r="T52" i="100"/>
  <c r="P35" i="100"/>
  <c r="P52" i="100"/>
  <c r="X36" i="100"/>
  <c r="X53" i="100"/>
  <c r="T36" i="100"/>
  <c r="T53" i="100"/>
  <c r="P36" i="100"/>
  <c r="P53" i="100"/>
  <c r="X37" i="100"/>
  <c r="X54" i="100"/>
  <c r="T37" i="100"/>
  <c r="T54" i="100"/>
  <c r="P37" i="100"/>
  <c r="P54" i="100"/>
  <c r="X38" i="100"/>
  <c r="X55" i="100"/>
  <c r="T38" i="100"/>
  <c r="T55" i="100"/>
  <c r="P38" i="100"/>
  <c r="P55" i="100"/>
  <c r="X39" i="100"/>
  <c r="X56" i="100"/>
  <c r="T39" i="100"/>
  <c r="T56" i="100"/>
  <c r="P39" i="100"/>
  <c r="P56" i="100"/>
  <c r="H54" i="99" l="1"/>
  <c r="K54" i="99"/>
  <c r="K100" i="99" s="1"/>
  <c r="L54" i="99"/>
  <c r="M54" i="99"/>
  <c r="M100" i="99" s="1"/>
  <c r="N54" i="99"/>
  <c r="O54" i="99"/>
  <c r="O100" i="99" s="1"/>
  <c r="P54" i="99"/>
  <c r="S54" i="99"/>
  <c r="T54" i="99"/>
  <c r="U54" i="99"/>
  <c r="V54" i="99"/>
  <c r="W54" i="99"/>
  <c r="X54" i="99"/>
  <c r="H55" i="99"/>
  <c r="S55" i="99"/>
  <c r="T55" i="99"/>
  <c r="U55" i="99"/>
  <c r="V55" i="99"/>
  <c r="W55" i="99"/>
  <c r="H56" i="99"/>
  <c r="K56" i="99"/>
  <c r="L56" i="99"/>
  <c r="M56" i="99"/>
  <c r="N56" i="99"/>
  <c r="O56" i="99"/>
  <c r="P56" i="99"/>
  <c r="S56" i="99"/>
  <c r="T56" i="99"/>
  <c r="U56" i="99"/>
  <c r="V56" i="99"/>
  <c r="W56" i="99"/>
  <c r="X56" i="99"/>
  <c r="H57" i="99"/>
  <c r="L57" i="99"/>
  <c r="N57" i="99"/>
  <c r="P57" i="99"/>
  <c r="S57" i="99"/>
  <c r="T57" i="99"/>
  <c r="U57" i="99"/>
  <c r="V57" i="99"/>
  <c r="W57" i="99"/>
  <c r="X57" i="99"/>
  <c r="H58" i="99"/>
  <c r="K58" i="99"/>
  <c r="L58" i="99"/>
  <c r="M58" i="99"/>
  <c r="N58" i="99"/>
  <c r="O58" i="99"/>
  <c r="P58" i="99"/>
  <c r="S58" i="99"/>
  <c r="T58" i="99"/>
  <c r="U58" i="99"/>
  <c r="V58" i="99"/>
  <c r="W58" i="99"/>
  <c r="X58" i="99"/>
  <c r="H59" i="99"/>
  <c r="N59" i="99"/>
  <c r="S59" i="99"/>
  <c r="T59" i="99"/>
  <c r="U59" i="99"/>
  <c r="V59" i="99"/>
  <c r="W59" i="99"/>
  <c r="H60" i="99"/>
  <c r="K60" i="99"/>
  <c r="L60" i="99"/>
  <c r="M60" i="99"/>
  <c r="N60" i="99"/>
  <c r="O60" i="99"/>
  <c r="P60" i="99"/>
  <c r="S60" i="99"/>
  <c r="T60" i="99"/>
  <c r="U60" i="99"/>
  <c r="V60" i="99"/>
  <c r="W60" i="99"/>
  <c r="X60" i="99"/>
  <c r="H61" i="99"/>
  <c r="L61" i="99"/>
  <c r="N61" i="99"/>
  <c r="P61" i="99"/>
  <c r="S61" i="99"/>
  <c r="T61" i="99"/>
  <c r="U61" i="99"/>
  <c r="V61" i="99"/>
  <c r="W61" i="99"/>
  <c r="X61" i="99"/>
  <c r="H62" i="99"/>
  <c r="K62" i="99"/>
  <c r="K108" i="99" s="1"/>
  <c r="L62" i="99"/>
  <c r="M62" i="99"/>
  <c r="M108" i="99" s="1"/>
  <c r="N62" i="99"/>
  <c r="O62" i="99"/>
  <c r="O108" i="99" s="1"/>
  <c r="P62" i="99"/>
  <c r="S62" i="99"/>
  <c r="T62" i="99"/>
  <c r="U62" i="99"/>
  <c r="V62" i="99"/>
  <c r="W62" i="99"/>
  <c r="X62" i="99"/>
  <c r="H63" i="99"/>
  <c r="S63" i="99"/>
  <c r="T63" i="99"/>
  <c r="U63" i="99"/>
  <c r="V63" i="99"/>
  <c r="W63" i="99"/>
  <c r="H64" i="99"/>
  <c r="K64" i="99"/>
  <c r="L64" i="99"/>
  <c r="M64" i="99"/>
  <c r="N64" i="99"/>
  <c r="O64" i="99"/>
  <c r="P64" i="99"/>
  <c r="S64" i="99"/>
  <c r="T64" i="99"/>
  <c r="U64" i="99"/>
  <c r="V64" i="99"/>
  <c r="W64" i="99"/>
  <c r="X64" i="99"/>
  <c r="H65" i="99"/>
  <c r="L65" i="99"/>
  <c r="N65" i="99"/>
  <c r="P65" i="99"/>
  <c r="S65" i="99"/>
  <c r="T65" i="99"/>
  <c r="U65" i="99"/>
  <c r="V65" i="99"/>
  <c r="W65" i="99"/>
  <c r="X65" i="99"/>
  <c r="H66" i="99"/>
  <c r="K66" i="99"/>
  <c r="L66" i="99"/>
  <c r="M66" i="99"/>
  <c r="N66" i="99"/>
  <c r="O66" i="99"/>
  <c r="P66" i="99"/>
  <c r="S66" i="99"/>
  <c r="T66" i="99"/>
  <c r="U66" i="99"/>
  <c r="V66" i="99"/>
  <c r="W66" i="99"/>
  <c r="X66" i="99"/>
  <c r="H67" i="99"/>
  <c r="N67" i="99"/>
  <c r="S67" i="99"/>
  <c r="T67" i="99"/>
  <c r="U67" i="99"/>
  <c r="V67" i="99"/>
  <c r="W67" i="99"/>
  <c r="H68" i="99"/>
  <c r="K68" i="99"/>
  <c r="L68" i="99"/>
  <c r="M68" i="99"/>
  <c r="N68" i="99"/>
  <c r="O68" i="99"/>
  <c r="P68" i="99"/>
  <c r="S68" i="99"/>
  <c r="T68" i="99"/>
  <c r="U68" i="99"/>
  <c r="V68" i="99"/>
  <c r="W68" i="99"/>
  <c r="X68" i="99"/>
  <c r="H69" i="99"/>
  <c r="L69" i="99"/>
  <c r="N69" i="99"/>
  <c r="P69" i="99"/>
  <c r="S69" i="99"/>
  <c r="T69" i="99"/>
  <c r="U69" i="99"/>
  <c r="V69" i="99"/>
  <c r="W69" i="99"/>
  <c r="X69" i="99"/>
  <c r="H70" i="99"/>
  <c r="K70" i="99"/>
  <c r="K116" i="99" s="1"/>
  <c r="L70" i="99"/>
  <c r="M70" i="99"/>
  <c r="M116" i="99" s="1"/>
  <c r="N70" i="99"/>
  <c r="O70" i="99"/>
  <c r="O116" i="99" s="1"/>
  <c r="P70" i="99"/>
  <c r="S70" i="99"/>
  <c r="T70" i="99"/>
  <c r="U70" i="99"/>
  <c r="V70" i="99"/>
  <c r="W70" i="99"/>
  <c r="X70" i="99"/>
  <c r="H71" i="99"/>
  <c r="S71" i="99"/>
  <c r="T71" i="99"/>
  <c r="U71" i="99"/>
  <c r="V71" i="99"/>
  <c r="W71" i="99"/>
  <c r="H72" i="99"/>
  <c r="K72" i="99"/>
  <c r="L72" i="99"/>
  <c r="M72" i="99"/>
  <c r="N72" i="99"/>
  <c r="O72" i="99"/>
  <c r="P72" i="99"/>
  <c r="S72" i="99"/>
  <c r="T72" i="99"/>
  <c r="U72" i="99"/>
  <c r="V72" i="99"/>
  <c r="W72" i="99"/>
  <c r="X72" i="99"/>
  <c r="H73" i="99"/>
  <c r="L73" i="99"/>
  <c r="N73" i="99"/>
  <c r="P73" i="99"/>
  <c r="S73" i="99"/>
  <c r="T73" i="99"/>
  <c r="U73" i="99"/>
  <c r="V73" i="99"/>
  <c r="W73" i="99"/>
  <c r="X73" i="99"/>
  <c r="H74" i="99"/>
  <c r="K74" i="99"/>
  <c r="L74" i="99"/>
  <c r="M74" i="99"/>
  <c r="N74" i="99"/>
  <c r="O74" i="99"/>
  <c r="P74" i="99"/>
  <c r="S74" i="99"/>
  <c r="T74" i="99"/>
  <c r="U74" i="99"/>
  <c r="V74" i="99"/>
  <c r="W74" i="99"/>
  <c r="X74" i="99"/>
  <c r="H75" i="99"/>
  <c r="N75" i="99"/>
  <c r="S75" i="99"/>
  <c r="T75" i="99"/>
  <c r="U75" i="99"/>
  <c r="V75" i="99"/>
  <c r="W75" i="99"/>
  <c r="H76" i="99"/>
  <c r="K76" i="99"/>
  <c r="L76" i="99"/>
  <c r="M76" i="99"/>
  <c r="N76" i="99"/>
  <c r="O76" i="99"/>
  <c r="P76" i="99"/>
  <c r="S76" i="99"/>
  <c r="T76" i="99"/>
  <c r="U76" i="99"/>
  <c r="V76" i="99"/>
  <c r="W76" i="99"/>
  <c r="X76" i="99"/>
  <c r="H77" i="99"/>
  <c r="L77" i="99"/>
  <c r="L123" i="99" s="1"/>
  <c r="N77" i="99"/>
  <c r="P77" i="99"/>
  <c r="P123" i="99" s="1"/>
  <c r="S77" i="99"/>
  <c r="T77" i="99"/>
  <c r="U77" i="99"/>
  <c r="V77" i="99"/>
  <c r="W77" i="99"/>
  <c r="X77" i="99"/>
  <c r="H78" i="99"/>
  <c r="K78" i="99"/>
  <c r="K124" i="99" s="1"/>
  <c r="L78" i="99"/>
  <c r="M78" i="99"/>
  <c r="M124" i="99" s="1"/>
  <c r="N78" i="99"/>
  <c r="O78" i="99"/>
  <c r="O124" i="99" s="1"/>
  <c r="P78" i="99"/>
  <c r="S78" i="99"/>
  <c r="T78" i="99"/>
  <c r="U78" i="99"/>
  <c r="V78" i="99"/>
  <c r="W78" i="99"/>
  <c r="X78" i="99"/>
  <c r="H79" i="99"/>
  <c r="S79" i="99"/>
  <c r="T79" i="99"/>
  <c r="U79" i="99"/>
  <c r="V79" i="99"/>
  <c r="W79" i="99"/>
  <c r="H80" i="99"/>
  <c r="K80" i="99"/>
  <c r="L80" i="99"/>
  <c r="M80" i="99"/>
  <c r="N80" i="99"/>
  <c r="O80" i="99"/>
  <c r="P80" i="99"/>
  <c r="S80" i="99"/>
  <c r="T80" i="99"/>
  <c r="U80" i="99"/>
  <c r="V80" i="99"/>
  <c r="W80" i="99"/>
  <c r="X80" i="99"/>
  <c r="H81" i="99"/>
  <c r="L81" i="99"/>
  <c r="L127" i="99" s="1"/>
  <c r="N81" i="99"/>
  <c r="P81" i="99"/>
  <c r="P127" i="99" s="1"/>
  <c r="S81" i="99"/>
  <c r="T81" i="99"/>
  <c r="U81" i="99"/>
  <c r="V81" i="99"/>
  <c r="W81" i="99"/>
  <c r="X81" i="99"/>
  <c r="H82" i="99"/>
  <c r="K82" i="99"/>
  <c r="L82" i="99"/>
  <c r="M82" i="99"/>
  <c r="N82" i="99"/>
  <c r="O82" i="99"/>
  <c r="P82" i="99"/>
  <c r="S82" i="99"/>
  <c r="T82" i="99"/>
  <c r="U82" i="99"/>
  <c r="V82" i="99"/>
  <c r="W82" i="99"/>
  <c r="X82" i="99"/>
  <c r="H83" i="99"/>
  <c r="N83" i="99"/>
  <c r="N129" i="99" s="1"/>
  <c r="S83" i="99"/>
  <c r="T83" i="99"/>
  <c r="U83" i="99"/>
  <c r="V83" i="99"/>
  <c r="W83" i="99"/>
  <c r="H84" i="99"/>
  <c r="K84" i="99"/>
  <c r="L84" i="99"/>
  <c r="M84" i="99"/>
  <c r="N84" i="99"/>
  <c r="O84" i="99"/>
  <c r="P84" i="99"/>
  <c r="S84" i="99"/>
  <c r="T84" i="99"/>
  <c r="U84" i="99"/>
  <c r="V84" i="99"/>
  <c r="W84" i="99"/>
  <c r="X84" i="99"/>
  <c r="H85" i="99"/>
  <c r="L85" i="99"/>
  <c r="L131" i="99" s="1"/>
  <c r="N85" i="99"/>
  <c r="P85" i="99"/>
  <c r="P131" i="99" s="1"/>
  <c r="S85" i="99"/>
  <c r="T85" i="99"/>
  <c r="U85" i="99"/>
  <c r="V85" i="99"/>
  <c r="W85" i="99"/>
  <c r="X85" i="99"/>
  <c r="H86" i="99"/>
  <c r="K86" i="99"/>
  <c r="K132" i="99" s="1"/>
  <c r="L86" i="99"/>
  <c r="M86" i="99"/>
  <c r="M132" i="99" s="1"/>
  <c r="N86" i="99"/>
  <c r="O86" i="99"/>
  <c r="O132" i="99" s="1"/>
  <c r="P86" i="99"/>
  <c r="S86" i="99"/>
  <c r="T86" i="99"/>
  <c r="U86" i="99"/>
  <c r="V86" i="99"/>
  <c r="W86" i="99"/>
  <c r="X86" i="99"/>
  <c r="H87" i="99"/>
  <c r="S87" i="99"/>
  <c r="T87" i="99"/>
  <c r="U87" i="99"/>
  <c r="V87" i="99"/>
  <c r="W87" i="99"/>
  <c r="H88" i="99"/>
  <c r="K88" i="99"/>
  <c r="L88" i="99"/>
  <c r="M88" i="99"/>
  <c r="N88" i="99"/>
  <c r="O88" i="99"/>
  <c r="P88" i="99"/>
  <c r="S88" i="99"/>
  <c r="T88" i="99"/>
  <c r="U88" i="99"/>
  <c r="V88" i="99"/>
  <c r="W88" i="99"/>
  <c r="X88" i="99"/>
  <c r="H89" i="99"/>
  <c r="L89" i="99"/>
  <c r="L135" i="99" s="1"/>
  <c r="N89" i="99"/>
  <c r="P89" i="99"/>
  <c r="P135" i="99" s="1"/>
  <c r="S89" i="99"/>
  <c r="T89" i="99"/>
  <c r="U89" i="99"/>
  <c r="V89" i="99"/>
  <c r="W89" i="99"/>
  <c r="X89" i="99"/>
  <c r="H90" i="99"/>
  <c r="K90" i="99"/>
  <c r="L90" i="99"/>
  <c r="M90" i="99"/>
  <c r="N90" i="99"/>
  <c r="O90" i="99"/>
  <c r="P90" i="99"/>
  <c r="S90" i="99"/>
  <c r="T90" i="99"/>
  <c r="U90" i="99"/>
  <c r="V90" i="99"/>
  <c r="W90" i="99"/>
  <c r="X90" i="99"/>
  <c r="H91" i="99"/>
  <c r="N91" i="99"/>
  <c r="N137" i="99" s="1"/>
  <c r="S91" i="99"/>
  <c r="T91" i="99"/>
  <c r="U91" i="99"/>
  <c r="V91" i="99"/>
  <c r="W91" i="99"/>
  <c r="H92" i="99"/>
  <c r="K92" i="99"/>
  <c r="L92" i="99"/>
  <c r="M92" i="99"/>
  <c r="N92" i="99"/>
  <c r="O92" i="99"/>
  <c r="P92" i="99"/>
  <c r="S92" i="99"/>
  <c r="T92" i="99"/>
  <c r="U92" i="99"/>
  <c r="V92" i="99"/>
  <c r="W92" i="99"/>
  <c r="X92" i="99"/>
  <c r="H93" i="99"/>
  <c r="L93" i="99"/>
  <c r="L139" i="99" s="1"/>
  <c r="N93" i="99"/>
  <c r="P93" i="99"/>
  <c r="P139" i="99" s="1"/>
  <c r="S93" i="99"/>
  <c r="T93" i="99"/>
  <c r="U93" i="99"/>
  <c r="V93" i="99"/>
  <c r="W93" i="99"/>
  <c r="X93" i="99"/>
  <c r="H94" i="99"/>
  <c r="K94" i="99"/>
  <c r="K140" i="99" s="1"/>
  <c r="L94" i="99"/>
  <c r="M94" i="99"/>
  <c r="M140" i="99" s="1"/>
  <c r="N94" i="99"/>
  <c r="O94" i="99"/>
  <c r="O140" i="99" s="1"/>
  <c r="P94" i="99"/>
  <c r="S94" i="99"/>
  <c r="T94" i="99"/>
  <c r="U94" i="99"/>
  <c r="V94" i="99"/>
  <c r="W94" i="99"/>
  <c r="X94" i="99"/>
  <c r="H95" i="99"/>
  <c r="S95" i="99"/>
  <c r="T95" i="99"/>
  <c r="U95" i="99"/>
  <c r="V95" i="99"/>
  <c r="W95" i="99"/>
  <c r="C100" i="99"/>
  <c r="D100" i="99"/>
  <c r="E100" i="99"/>
  <c r="F100" i="99"/>
  <c r="G100" i="99"/>
  <c r="H100" i="99"/>
  <c r="L100" i="99"/>
  <c r="N100" i="99"/>
  <c r="P100" i="99"/>
  <c r="C101" i="99"/>
  <c r="D101" i="99"/>
  <c r="E101" i="99"/>
  <c r="F101" i="99"/>
  <c r="G101" i="99"/>
  <c r="C102" i="99"/>
  <c r="D102" i="99"/>
  <c r="E102" i="99"/>
  <c r="F102" i="99"/>
  <c r="G102" i="99"/>
  <c r="H102" i="99"/>
  <c r="L102" i="99"/>
  <c r="N102" i="99"/>
  <c r="P102" i="99"/>
  <c r="C103" i="99"/>
  <c r="D103" i="99"/>
  <c r="E103" i="99"/>
  <c r="F103" i="99"/>
  <c r="G103" i="99"/>
  <c r="H103" i="99"/>
  <c r="N103" i="99"/>
  <c r="C104" i="99"/>
  <c r="D104" i="99"/>
  <c r="E104" i="99"/>
  <c r="F104" i="99"/>
  <c r="G104" i="99"/>
  <c r="H104" i="99"/>
  <c r="L104" i="99"/>
  <c r="N104" i="99"/>
  <c r="P104" i="99"/>
  <c r="C105" i="99"/>
  <c r="D105" i="99"/>
  <c r="E105" i="99"/>
  <c r="F105" i="99"/>
  <c r="G105" i="99"/>
  <c r="H105" i="99"/>
  <c r="N105" i="99"/>
  <c r="C106" i="99"/>
  <c r="D106" i="99"/>
  <c r="E106" i="99"/>
  <c r="F106" i="99"/>
  <c r="G106" i="99"/>
  <c r="H106" i="99"/>
  <c r="L106" i="99"/>
  <c r="N106" i="99"/>
  <c r="P106" i="99"/>
  <c r="C107" i="99"/>
  <c r="D107" i="99"/>
  <c r="E107" i="99"/>
  <c r="F107" i="99"/>
  <c r="G107" i="99"/>
  <c r="H107" i="99"/>
  <c r="N107" i="99"/>
  <c r="C108" i="99"/>
  <c r="D108" i="99"/>
  <c r="E108" i="99"/>
  <c r="F108" i="99"/>
  <c r="G108" i="99"/>
  <c r="H108" i="99"/>
  <c r="L108" i="99"/>
  <c r="N108" i="99"/>
  <c r="P108" i="99"/>
  <c r="C109" i="99"/>
  <c r="D109" i="99"/>
  <c r="E109" i="99"/>
  <c r="F109" i="99"/>
  <c r="G109" i="99"/>
  <c r="C110" i="99"/>
  <c r="D110" i="99"/>
  <c r="E110" i="99"/>
  <c r="F110" i="99"/>
  <c r="G110" i="99"/>
  <c r="H110" i="99"/>
  <c r="L110" i="99"/>
  <c r="N110" i="99"/>
  <c r="P110" i="99"/>
  <c r="C111" i="99"/>
  <c r="D111" i="99"/>
  <c r="E111" i="99"/>
  <c r="F111" i="99"/>
  <c r="G111" i="99"/>
  <c r="H111" i="99"/>
  <c r="N111" i="99"/>
  <c r="C112" i="99"/>
  <c r="D112" i="99"/>
  <c r="E112" i="99"/>
  <c r="F112" i="99"/>
  <c r="G112" i="99"/>
  <c r="H112" i="99"/>
  <c r="L112" i="99"/>
  <c r="N112" i="99"/>
  <c r="P112" i="99"/>
  <c r="C113" i="99"/>
  <c r="D113" i="99"/>
  <c r="E113" i="99"/>
  <c r="F113" i="99"/>
  <c r="G113" i="99"/>
  <c r="C114" i="99"/>
  <c r="D114" i="99"/>
  <c r="E114" i="99"/>
  <c r="F114" i="99"/>
  <c r="G114" i="99"/>
  <c r="H114" i="99"/>
  <c r="L114" i="99"/>
  <c r="N114" i="99"/>
  <c r="P114" i="99"/>
  <c r="C115" i="99"/>
  <c r="D115" i="99"/>
  <c r="E115" i="99"/>
  <c r="F115" i="99"/>
  <c r="G115" i="99"/>
  <c r="H115" i="99"/>
  <c r="N115" i="99"/>
  <c r="C116" i="99"/>
  <c r="D116" i="99"/>
  <c r="E116" i="99"/>
  <c r="F116" i="99"/>
  <c r="G116" i="99"/>
  <c r="H116" i="99"/>
  <c r="L116" i="99"/>
  <c r="N116" i="99"/>
  <c r="P116" i="99"/>
  <c r="C117" i="99"/>
  <c r="D117" i="99"/>
  <c r="E117" i="99"/>
  <c r="F117" i="99"/>
  <c r="G117" i="99"/>
  <c r="C118" i="99"/>
  <c r="D118" i="99"/>
  <c r="E118" i="99"/>
  <c r="F118" i="99"/>
  <c r="G118" i="99"/>
  <c r="H118" i="99"/>
  <c r="L118" i="99"/>
  <c r="N118" i="99"/>
  <c r="P118" i="99"/>
  <c r="C119" i="99"/>
  <c r="D119" i="99"/>
  <c r="E119" i="99"/>
  <c r="F119" i="99"/>
  <c r="G119" i="99"/>
  <c r="H119" i="99"/>
  <c r="N119" i="99"/>
  <c r="C120" i="99"/>
  <c r="D120" i="99"/>
  <c r="E120" i="99"/>
  <c r="F120" i="99"/>
  <c r="G120" i="99"/>
  <c r="H120" i="99"/>
  <c r="L120" i="99"/>
  <c r="N120" i="99"/>
  <c r="P120" i="99"/>
  <c r="C121" i="99"/>
  <c r="D121" i="99"/>
  <c r="E121" i="99"/>
  <c r="F121" i="99"/>
  <c r="G121" i="99"/>
  <c r="C122" i="99"/>
  <c r="D122" i="99"/>
  <c r="E122" i="99"/>
  <c r="F122" i="99"/>
  <c r="G122" i="99"/>
  <c r="H122" i="99"/>
  <c r="L122" i="99"/>
  <c r="N122" i="99"/>
  <c r="P122" i="99"/>
  <c r="C123" i="99"/>
  <c r="D123" i="99"/>
  <c r="E123" i="99"/>
  <c r="F123" i="99"/>
  <c r="G123" i="99"/>
  <c r="H123" i="99"/>
  <c r="N123" i="99"/>
  <c r="C124" i="99"/>
  <c r="D124" i="99"/>
  <c r="E124" i="99"/>
  <c r="F124" i="99"/>
  <c r="G124" i="99"/>
  <c r="H124" i="99"/>
  <c r="L124" i="99"/>
  <c r="N124" i="99"/>
  <c r="P124" i="99"/>
  <c r="C125" i="99"/>
  <c r="D125" i="99"/>
  <c r="E125" i="99"/>
  <c r="F125" i="99"/>
  <c r="G125" i="99"/>
  <c r="C126" i="99"/>
  <c r="D126" i="99"/>
  <c r="E126" i="99"/>
  <c r="F126" i="99"/>
  <c r="G126" i="99"/>
  <c r="H126" i="99"/>
  <c r="L126" i="99"/>
  <c r="N126" i="99"/>
  <c r="P126" i="99"/>
  <c r="C127" i="99"/>
  <c r="D127" i="99"/>
  <c r="E127" i="99"/>
  <c r="F127" i="99"/>
  <c r="G127" i="99"/>
  <c r="H127" i="99"/>
  <c r="N127" i="99"/>
  <c r="C128" i="99"/>
  <c r="D128" i="99"/>
  <c r="E128" i="99"/>
  <c r="F128" i="99"/>
  <c r="G128" i="99"/>
  <c r="H128" i="99"/>
  <c r="L128" i="99"/>
  <c r="N128" i="99"/>
  <c r="P128" i="99"/>
  <c r="C129" i="99"/>
  <c r="D129" i="99"/>
  <c r="E129" i="99"/>
  <c r="F129" i="99"/>
  <c r="G129" i="99"/>
  <c r="C130" i="99"/>
  <c r="D130" i="99"/>
  <c r="E130" i="99"/>
  <c r="F130" i="99"/>
  <c r="G130" i="99"/>
  <c r="H130" i="99"/>
  <c r="L130" i="99"/>
  <c r="N130" i="99"/>
  <c r="P130" i="99"/>
  <c r="C131" i="99"/>
  <c r="D131" i="99"/>
  <c r="E131" i="99"/>
  <c r="F131" i="99"/>
  <c r="G131" i="99"/>
  <c r="H131" i="99"/>
  <c r="N131" i="99"/>
  <c r="C132" i="99"/>
  <c r="D132" i="99"/>
  <c r="E132" i="99"/>
  <c r="F132" i="99"/>
  <c r="G132" i="99"/>
  <c r="H132" i="99"/>
  <c r="L132" i="99"/>
  <c r="N132" i="99"/>
  <c r="P132" i="99"/>
  <c r="C133" i="99"/>
  <c r="D133" i="99"/>
  <c r="E133" i="99"/>
  <c r="F133" i="99"/>
  <c r="G133" i="99"/>
  <c r="C134" i="99"/>
  <c r="D134" i="99"/>
  <c r="E134" i="99"/>
  <c r="F134" i="99"/>
  <c r="G134" i="99"/>
  <c r="H134" i="99"/>
  <c r="L134" i="99"/>
  <c r="N134" i="99"/>
  <c r="P134" i="99"/>
  <c r="C135" i="99"/>
  <c r="D135" i="99"/>
  <c r="E135" i="99"/>
  <c r="F135" i="99"/>
  <c r="G135" i="99"/>
  <c r="H135" i="99"/>
  <c r="N135" i="99"/>
  <c r="C136" i="99"/>
  <c r="D136" i="99"/>
  <c r="E136" i="99"/>
  <c r="F136" i="99"/>
  <c r="G136" i="99"/>
  <c r="H136" i="99"/>
  <c r="L136" i="99"/>
  <c r="N136" i="99"/>
  <c r="P136" i="99"/>
  <c r="C137" i="99"/>
  <c r="D137" i="99"/>
  <c r="E137" i="99"/>
  <c r="F137" i="99"/>
  <c r="G137" i="99"/>
  <c r="C138" i="99"/>
  <c r="D138" i="99"/>
  <c r="E138" i="99"/>
  <c r="F138" i="99"/>
  <c r="G138" i="99"/>
  <c r="H138" i="99"/>
  <c r="L138" i="99"/>
  <c r="N138" i="99"/>
  <c r="P138" i="99"/>
  <c r="C139" i="99"/>
  <c r="D139" i="99"/>
  <c r="E139" i="99"/>
  <c r="F139" i="99"/>
  <c r="G139" i="99"/>
  <c r="H139" i="99"/>
  <c r="N139" i="99"/>
  <c r="C140" i="99"/>
  <c r="D140" i="99"/>
  <c r="E140" i="99"/>
  <c r="F140" i="99"/>
  <c r="G140" i="99"/>
  <c r="H140" i="99"/>
  <c r="L140" i="99"/>
  <c r="N140" i="99"/>
  <c r="P140" i="99"/>
  <c r="C141" i="99"/>
  <c r="D141" i="99"/>
  <c r="E141" i="99"/>
  <c r="F141" i="99"/>
  <c r="G141" i="99"/>
  <c r="C147" i="99"/>
  <c r="D147" i="99"/>
  <c r="E147" i="99"/>
  <c r="F147" i="99"/>
  <c r="G147" i="99"/>
  <c r="C148" i="99"/>
  <c r="D148" i="99"/>
  <c r="E148" i="99"/>
  <c r="F148" i="99"/>
  <c r="G148" i="99"/>
  <c r="C149" i="99"/>
  <c r="D149" i="99"/>
  <c r="E149" i="99"/>
  <c r="F149" i="99"/>
  <c r="G149" i="99"/>
  <c r="H149" i="99"/>
  <c r="N149" i="99"/>
  <c r="C150" i="99"/>
  <c r="D150" i="99"/>
  <c r="E150" i="99"/>
  <c r="F150" i="99"/>
  <c r="G150" i="99"/>
  <c r="H150" i="99"/>
  <c r="N150" i="99"/>
  <c r="C151" i="99"/>
  <c r="D151" i="99"/>
  <c r="E151" i="99"/>
  <c r="F151" i="99"/>
  <c r="G151" i="99"/>
  <c r="C152" i="99"/>
  <c r="D152" i="99"/>
  <c r="E152" i="99"/>
  <c r="F152" i="99"/>
  <c r="G152" i="99"/>
  <c r="C153" i="99"/>
  <c r="D153" i="99"/>
  <c r="E153" i="99"/>
  <c r="F153" i="99"/>
  <c r="G153" i="99"/>
  <c r="H153" i="99"/>
  <c r="N153" i="99"/>
  <c r="C154" i="99"/>
  <c r="D154" i="99"/>
  <c r="E154" i="99"/>
  <c r="F154" i="99"/>
  <c r="G154" i="99"/>
  <c r="H154" i="99"/>
  <c r="N154" i="99"/>
  <c r="C155" i="99"/>
  <c r="D155" i="99"/>
  <c r="E155" i="99"/>
  <c r="F155" i="99"/>
  <c r="G155" i="99"/>
  <c r="C156" i="99"/>
  <c r="D156" i="99"/>
  <c r="E156" i="99"/>
  <c r="F156" i="99"/>
  <c r="G156" i="99"/>
  <c r="C157" i="99"/>
  <c r="D157" i="99"/>
  <c r="E157" i="99"/>
  <c r="F157" i="99"/>
  <c r="G157" i="99"/>
  <c r="H157" i="99"/>
  <c r="N157" i="99"/>
  <c r="C158" i="99"/>
  <c r="D158" i="99"/>
  <c r="E158" i="99"/>
  <c r="F158" i="99"/>
  <c r="G158" i="99"/>
  <c r="H158" i="99"/>
  <c r="N158" i="99"/>
  <c r="C159" i="99"/>
  <c r="D159" i="99"/>
  <c r="E159" i="99"/>
  <c r="F159" i="99"/>
  <c r="G159" i="99"/>
  <c r="C160" i="99"/>
  <c r="D160" i="99"/>
  <c r="E160" i="99"/>
  <c r="F160" i="99"/>
  <c r="G160" i="99"/>
  <c r="C161" i="99"/>
  <c r="D161" i="99"/>
  <c r="E161" i="99"/>
  <c r="F161" i="99"/>
  <c r="G161" i="99"/>
  <c r="H161" i="99"/>
  <c r="N161" i="99"/>
  <c r="C162" i="99"/>
  <c r="D162" i="99"/>
  <c r="E162" i="99"/>
  <c r="F162" i="99"/>
  <c r="G162" i="99"/>
  <c r="H162" i="99"/>
  <c r="N162" i="99"/>
  <c r="C163" i="99"/>
  <c r="D163" i="99"/>
  <c r="E163" i="99"/>
  <c r="F163" i="99"/>
  <c r="G163" i="99"/>
  <c r="C164" i="99"/>
  <c r="D164" i="99"/>
  <c r="E164" i="99"/>
  <c r="F164" i="99"/>
  <c r="G164" i="99"/>
  <c r="C165" i="99"/>
  <c r="D165" i="99"/>
  <c r="E165" i="99"/>
  <c r="F165" i="99"/>
  <c r="G165" i="99"/>
  <c r="H165" i="99"/>
  <c r="N165" i="99"/>
  <c r="C166" i="99"/>
  <c r="D166" i="99"/>
  <c r="E166" i="99"/>
  <c r="F166" i="99"/>
  <c r="G166" i="99"/>
  <c r="H166" i="99"/>
  <c r="N166" i="99"/>
  <c r="C167" i="99"/>
  <c r="D167" i="99"/>
  <c r="E167" i="99"/>
  <c r="F167" i="99"/>
  <c r="G167" i="99"/>
  <c r="C168" i="99"/>
  <c r="D168" i="99"/>
  <c r="E168" i="99"/>
  <c r="F168" i="99"/>
  <c r="G168" i="99"/>
  <c r="C169" i="99"/>
  <c r="D169" i="99"/>
  <c r="E169" i="99"/>
  <c r="F169" i="99"/>
  <c r="G169" i="99"/>
  <c r="H169" i="99"/>
  <c r="L169" i="99"/>
  <c r="N169" i="99"/>
  <c r="P169" i="99"/>
  <c r="C170" i="99"/>
  <c r="D170" i="99"/>
  <c r="E170" i="99"/>
  <c r="F170" i="99"/>
  <c r="G170" i="99"/>
  <c r="H170" i="99"/>
  <c r="L170" i="99"/>
  <c r="N170" i="99"/>
  <c r="P170" i="99"/>
  <c r="C171" i="99"/>
  <c r="D171" i="99"/>
  <c r="E171" i="99"/>
  <c r="F171" i="99"/>
  <c r="G171" i="99"/>
  <c r="H171" i="99"/>
  <c r="C172" i="99"/>
  <c r="D172" i="99"/>
  <c r="E172" i="99"/>
  <c r="F172" i="99"/>
  <c r="G172" i="99"/>
  <c r="H172" i="99"/>
  <c r="C173" i="99"/>
  <c r="D173" i="99"/>
  <c r="E173" i="99"/>
  <c r="F173" i="99"/>
  <c r="G173" i="99"/>
  <c r="H173" i="99"/>
  <c r="L173" i="99"/>
  <c r="N173" i="99"/>
  <c r="P173" i="99"/>
  <c r="C174" i="99"/>
  <c r="D174" i="99"/>
  <c r="E174" i="99"/>
  <c r="F174" i="99"/>
  <c r="G174" i="99"/>
  <c r="H174" i="99"/>
  <c r="L174" i="99"/>
  <c r="N174" i="99"/>
  <c r="P174" i="99"/>
  <c r="C175" i="99"/>
  <c r="D175" i="99"/>
  <c r="E175" i="99"/>
  <c r="F175" i="99"/>
  <c r="G175" i="99"/>
  <c r="H175" i="99"/>
  <c r="N175" i="99"/>
  <c r="C176" i="99"/>
  <c r="D176" i="99"/>
  <c r="E176" i="99"/>
  <c r="F176" i="99"/>
  <c r="G176" i="99"/>
  <c r="H176" i="99"/>
  <c r="N176" i="99"/>
  <c r="C177" i="99"/>
  <c r="D177" i="99"/>
  <c r="E177" i="99"/>
  <c r="F177" i="99"/>
  <c r="G177" i="99"/>
  <c r="H177" i="99"/>
  <c r="L177" i="99"/>
  <c r="N177" i="99"/>
  <c r="P177" i="99"/>
  <c r="C178" i="99"/>
  <c r="D178" i="99"/>
  <c r="E178" i="99"/>
  <c r="F178" i="99"/>
  <c r="G178" i="99"/>
  <c r="H178" i="99"/>
  <c r="L178" i="99"/>
  <c r="N178" i="99"/>
  <c r="P178" i="99"/>
  <c r="C179" i="99"/>
  <c r="D179" i="99"/>
  <c r="E179" i="99"/>
  <c r="F179" i="99"/>
  <c r="G179" i="99"/>
  <c r="H179" i="99"/>
  <c r="C180" i="99"/>
  <c r="D180" i="99"/>
  <c r="E180" i="99"/>
  <c r="F180" i="99"/>
  <c r="G180" i="99"/>
  <c r="H180" i="99"/>
  <c r="C181" i="99"/>
  <c r="D181" i="99"/>
  <c r="E181" i="99"/>
  <c r="F181" i="99"/>
  <c r="G181" i="99"/>
  <c r="H181" i="99"/>
  <c r="L181" i="99"/>
  <c r="N181" i="99"/>
  <c r="P181" i="99"/>
  <c r="C182" i="99"/>
  <c r="D182" i="99"/>
  <c r="E182" i="99"/>
  <c r="F182" i="99"/>
  <c r="G182" i="99"/>
  <c r="H182" i="99"/>
  <c r="L182" i="99"/>
  <c r="N182" i="99"/>
  <c r="P182" i="99"/>
  <c r="C183" i="99"/>
  <c r="D183" i="99"/>
  <c r="E183" i="99"/>
  <c r="F183" i="99"/>
  <c r="G183" i="99"/>
  <c r="H183" i="99"/>
  <c r="N183" i="99"/>
  <c r="C184" i="99"/>
  <c r="D184" i="99"/>
  <c r="E184" i="99"/>
  <c r="F184" i="99"/>
  <c r="G184" i="99"/>
  <c r="H184" i="99"/>
  <c r="N184" i="99"/>
  <c r="C185" i="99"/>
  <c r="D185" i="99"/>
  <c r="E185" i="99"/>
  <c r="F185" i="99"/>
  <c r="G185" i="99"/>
  <c r="H185" i="99"/>
  <c r="L185" i="99"/>
  <c r="N185" i="99"/>
  <c r="P185" i="99"/>
  <c r="C186" i="99"/>
  <c r="D186" i="99"/>
  <c r="E186" i="99"/>
  <c r="F186" i="99"/>
  <c r="G186" i="99"/>
  <c r="H186" i="99"/>
  <c r="L186" i="99"/>
  <c r="N186" i="99"/>
  <c r="P186" i="99"/>
  <c r="C187" i="99"/>
  <c r="D187" i="99"/>
  <c r="E187" i="99"/>
  <c r="F187" i="99"/>
  <c r="G187" i="99"/>
  <c r="H187" i="99"/>
  <c r="J10" i="98"/>
  <c r="M10" i="98"/>
  <c r="M28" i="98" s="1"/>
  <c r="N10" i="98"/>
  <c r="O10" i="98"/>
  <c r="O28" i="98" s="1"/>
  <c r="P10" i="98"/>
  <c r="Q10" i="98"/>
  <c r="Q28" i="98" s="1"/>
  <c r="R10" i="98"/>
  <c r="S10" i="98"/>
  <c r="S28" i="98" s="1"/>
  <c r="T10" i="98"/>
  <c r="J11" i="98"/>
  <c r="P11" i="98"/>
  <c r="T11" i="98"/>
  <c r="J12" i="98"/>
  <c r="M12" i="98"/>
  <c r="N12" i="98"/>
  <c r="O12" i="98"/>
  <c r="P12" i="98"/>
  <c r="Q12" i="98"/>
  <c r="R12" i="98"/>
  <c r="S12" i="98"/>
  <c r="T12" i="98"/>
  <c r="J13" i="98"/>
  <c r="P13" i="98"/>
  <c r="P49" i="98" s="1"/>
  <c r="T13" i="98"/>
  <c r="T49" i="98" s="1"/>
  <c r="J14" i="98"/>
  <c r="M14" i="98"/>
  <c r="M32" i="98" s="1"/>
  <c r="N14" i="98"/>
  <c r="O14" i="98"/>
  <c r="O32" i="98" s="1"/>
  <c r="P14" i="98"/>
  <c r="Q14" i="98"/>
  <c r="Q32" i="98" s="1"/>
  <c r="R14" i="98"/>
  <c r="S14" i="98"/>
  <c r="S32" i="98" s="1"/>
  <c r="T14" i="98"/>
  <c r="J15" i="98"/>
  <c r="P15" i="98"/>
  <c r="P51" i="98" s="1"/>
  <c r="T15" i="98"/>
  <c r="T51" i="98" s="1"/>
  <c r="J16" i="98"/>
  <c r="M16" i="98"/>
  <c r="M34" i="98" s="1"/>
  <c r="N16" i="98"/>
  <c r="O16" i="98"/>
  <c r="O34" i="98" s="1"/>
  <c r="P16" i="98"/>
  <c r="Q16" i="98"/>
  <c r="Q34" i="98" s="1"/>
  <c r="R16" i="98"/>
  <c r="S16" i="98"/>
  <c r="S34" i="98" s="1"/>
  <c r="T16" i="98"/>
  <c r="J17" i="98"/>
  <c r="P17" i="98"/>
  <c r="P53" i="98" s="1"/>
  <c r="T17" i="98"/>
  <c r="T53" i="98" s="1"/>
  <c r="J18" i="98"/>
  <c r="M18" i="98"/>
  <c r="M36" i="98" s="1"/>
  <c r="N18" i="98"/>
  <c r="O18" i="98"/>
  <c r="O36" i="98" s="1"/>
  <c r="P18" i="98"/>
  <c r="Q18" i="98"/>
  <c r="Q36" i="98" s="1"/>
  <c r="R18" i="98"/>
  <c r="S18" i="98"/>
  <c r="S36" i="98" s="1"/>
  <c r="T18" i="98"/>
  <c r="J19" i="98"/>
  <c r="P19" i="98"/>
  <c r="P55" i="98" s="1"/>
  <c r="T19" i="98"/>
  <c r="T55" i="98" s="1"/>
  <c r="J20" i="98"/>
  <c r="M20" i="98"/>
  <c r="M38" i="98" s="1"/>
  <c r="N20" i="98"/>
  <c r="O20" i="98"/>
  <c r="O38" i="98" s="1"/>
  <c r="P20" i="98"/>
  <c r="Q20" i="98"/>
  <c r="Q38" i="98" s="1"/>
  <c r="R20" i="98"/>
  <c r="S20" i="98"/>
  <c r="S38" i="98" s="1"/>
  <c r="T20" i="98"/>
  <c r="M21" i="98"/>
  <c r="N21" i="98"/>
  <c r="O21" i="98"/>
  <c r="P21" i="98"/>
  <c r="Q21" i="98"/>
  <c r="R21" i="98"/>
  <c r="S21" i="98"/>
  <c r="T21" i="98"/>
  <c r="M22" i="98"/>
  <c r="M40" i="98" s="1"/>
  <c r="N22" i="98"/>
  <c r="O22" i="98"/>
  <c r="O40" i="98" s="1"/>
  <c r="P22" i="98"/>
  <c r="Q22" i="98"/>
  <c r="Q40" i="98" s="1"/>
  <c r="R22" i="98"/>
  <c r="S22" i="98"/>
  <c r="S40" i="98" s="1"/>
  <c r="T22" i="98"/>
  <c r="J23" i="98"/>
  <c r="P23" i="98"/>
  <c r="P59" i="98" s="1"/>
  <c r="T23" i="98"/>
  <c r="T59" i="98" s="1"/>
  <c r="C28" i="98"/>
  <c r="D28" i="98"/>
  <c r="E28" i="98"/>
  <c r="F28" i="98"/>
  <c r="G28" i="98"/>
  <c r="H28" i="98"/>
  <c r="I28" i="98"/>
  <c r="J28" i="98"/>
  <c r="N28" i="98"/>
  <c r="P28" i="98"/>
  <c r="R28" i="98"/>
  <c r="T28" i="98"/>
  <c r="C29" i="98"/>
  <c r="D29" i="98"/>
  <c r="E29" i="98"/>
  <c r="F29" i="98"/>
  <c r="G29" i="98"/>
  <c r="H29" i="98"/>
  <c r="I29" i="98"/>
  <c r="J29" i="98"/>
  <c r="P29" i="98"/>
  <c r="T29" i="98"/>
  <c r="C30" i="98"/>
  <c r="D30" i="98"/>
  <c r="E30" i="98"/>
  <c r="F30" i="98"/>
  <c r="G30" i="98"/>
  <c r="H30" i="98"/>
  <c r="I30" i="98"/>
  <c r="J30" i="98"/>
  <c r="N30" i="98"/>
  <c r="P30" i="98"/>
  <c r="R30" i="98"/>
  <c r="T30" i="98"/>
  <c r="C31" i="98"/>
  <c r="D31" i="98"/>
  <c r="E31" i="98"/>
  <c r="F31" i="98"/>
  <c r="G31" i="98"/>
  <c r="H31" i="98"/>
  <c r="I31" i="98"/>
  <c r="J31" i="98"/>
  <c r="P31" i="98"/>
  <c r="T31" i="98"/>
  <c r="C32" i="98"/>
  <c r="D32" i="98"/>
  <c r="E32" i="98"/>
  <c r="F32" i="98"/>
  <c r="G32" i="98"/>
  <c r="H32" i="98"/>
  <c r="I32" i="98"/>
  <c r="J32" i="98"/>
  <c r="N32" i="98"/>
  <c r="P32" i="98"/>
  <c r="R32" i="98"/>
  <c r="T32" i="98"/>
  <c r="C33" i="98"/>
  <c r="D33" i="98"/>
  <c r="E33" i="98"/>
  <c r="F33" i="98"/>
  <c r="G33" i="98"/>
  <c r="H33" i="98"/>
  <c r="I33" i="98"/>
  <c r="J33" i="98"/>
  <c r="P33" i="98"/>
  <c r="T33" i="98"/>
  <c r="C34" i="98"/>
  <c r="D34" i="98"/>
  <c r="E34" i="98"/>
  <c r="F34" i="98"/>
  <c r="G34" i="98"/>
  <c r="H34" i="98"/>
  <c r="I34" i="98"/>
  <c r="J34" i="98"/>
  <c r="N34" i="98"/>
  <c r="P34" i="98"/>
  <c r="R34" i="98"/>
  <c r="T34" i="98"/>
  <c r="C35" i="98"/>
  <c r="D35" i="98"/>
  <c r="E35" i="98"/>
  <c r="F35" i="98"/>
  <c r="G35" i="98"/>
  <c r="H35" i="98"/>
  <c r="I35" i="98"/>
  <c r="J35" i="98"/>
  <c r="P35" i="98"/>
  <c r="T35" i="98"/>
  <c r="C36" i="98"/>
  <c r="D36" i="98"/>
  <c r="E36" i="98"/>
  <c r="F36" i="98"/>
  <c r="G36" i="98"/>
  <c r="H36" i="98"/>
  <c r="I36" i="98"/>
  <c r="J36" i="98"/>
  <c r="N36" i="98"/>
  <c r="P36" i="98"/>
  <c r="R36" i="98"/>
  <c r="T36" i="98"/>
  <c r="C37" i="98"/>
  <c r="D37" i="98"/>
  <c r="E37" i="98"/>
  <c r="F37" i="98"/>
  <c r="G37" i="98"/>
  <c r="H37" i="98"/>
  <c r="I37" i="98"/>
  <c r="J37" i="98"/>
  <c r="P37" i="98"/>
  <c r="T37" i="98"/>
  <c r="C38" i="98"/>
  <c r="D38" i="98"/>
  <c r="E38" i="98"/>
  <c r="F38" i="98"/>
  <c r="G38" i="98"/>
  <c r="H38" i="98"/>
  <c r="I38" i="98"/>
  <c r="J38" i="98"/>
  <c r="N38" i="98"/>
  <c r="P38" i="98"/>
  <c r="R38" i="98"/>
  <c r="T38" i="98"/>
  <c r="M39" i="98"/>
  <c r="N39" i="98"/>
  <c r="O39" i="98"/>
  <c r="P39" i="98"/>
  <c r="Q39" i="98"/>
  <c r="R39" i="98"/>
  <c r="S39" i="98"/>
  <c r="T39" i="98"/>
  <c r="N40" i="98"/>
  <c r="P40" i="98"/>
  <c r="R40" i="98"/>
  <c r="T40" i="98"/>
  <c r="C41" i="98"/>
  <c r="D41" i="98"/>
  <c r="E41" i="98"/>
  <c r="F41" i="98"/>
  <c r="G41" i="98"/>
  <c r="H41" i="98"/>
  <c r="I41" i="98"/>
  <c r="J41" i="98"/>
  <c r="P41" i="98"/>
  <c r="T41" i="98"/>
  <c r="C47" i="98"/>
  <c r="D47" i="98"/>
  <c r="E47" i="98"/>
  <c r="F47" i="98"/>
  <c r="G47" i="98"/>
  <c r="H47" i="98"/>
  <c r="I47" i="98"/>
  <c r="J47" i="98"/>
  <c r="P47" i="98"/>
  <c r="T47" i="98"/>
  <c r="C48" i="98"/>
  <c r="D48" i="98"/>
  <c r="E48" i="98"/>
  <c r="F48" i="98"/>
  <c r="G48" i="98"/>
  <c r="H48" i="98"/>
  <c r="I48" i="98"/>
  <c r="J48" i="98"/>
  <c r="P48" i="98"/>
  <c r="T48" i="98"/>
  <c r="C49" i="98"/>
  <c r="D49" i="98"/>
  <c r="E49" i="98"/>
  <c r="F49" i="98"/>
  <c r="G49" i="98"/>
  <c r="H49" i="98"/>
  <c r="I49" i="98"/>
  <c r="J49" i="98"/>
  <c r="C50" i="98"/>
  <c r="D50" i="98"/>
  <c r="E50" i="98"/>
  <c r="F50" i="98"/>
  <c r="G50" i="98"/>
  <c r="H50" i="98"/>
  <c r="I50" i="98"/>
  <c r="C51" i="98"/>
  <c r="D51" i="98"/>
  <c r="E51" i="98"/>
  <c r="F51" i="98"/>
  <c r="G51" i="98"/>
  <c r="H51" i="98"/>
  <c r="I51" i="98"/>
  <c r="C52" i="98"/>
  <c r="D52" i="98"/>
  <c r="E52" i="98"/>
  <c r="F52" i="98"/>
  <c r="G52" i="98"/>
  <c r="H52" i="98"/>
  <c r="I52" i="98"/>
  <c r="C53" i="98"/>
  <c r="D53" i="98"/>
  <c r="E53" i="98"/>
  <c r="F53" i="98"/>
  <c r="G53" i="98"/>
  <c r="H53" i="98"/>
  <c r="I53" i="98"/>
  <c r="C54" i="98"/>
  <c r="D54" i="98"/>
  <c r="E54" i="98"/>
  <c r="F54" i="98"/>
  <c r="G54" i="98"/>
  <c r="H54" i="98"/>
  <c r="I54" i="98"/>
  <c r="C55" i="98"/>
  <c r="D55" i="98"/>
  <c r="E55" i="98"/>
  <c r="F55" i="98"/>
  <c r="G55" i="98"/>
  <c r="H55" i="98"/>
  <c r="I55" i="98"/>
  <c r="C56" i="98"/>
  <c r="D56" i="98"/>
  <c r="E56" i="98"/>
  <c r="F56" i="98"/>
  <c r="G56" i="98"/>
  <c r="H56" i="98"/>
  <c r="I56" i="98"/>
  <c r="C57" i="98"/>
  <c r="D57" i="98"/>
  <c r="E57" i="98"/>
  <c r="F57" i="98"/>
  <c r="G57" i="98"/>
  <c r="H57" i="98"/>
  <c r="I57" i="98"/>
  <c r="J57" i="98"/>
  <c r="M57" i="98"/>
  <c r="N57" i="98"/>
  <c r="O57" i="98"/>
  <c r="P57" i="98"/>
  <c r="Q57" i="98"/>
  <c r="R57" i="98"/>
  <c r="S57" i="98"/>
  <c r="T57" i="98"/>
  <c r="C58" i="98"/>
  <c r="D58" i="98"/>
  <c r="E58" i="98"/>
  <c r="F58" i="98"/>
  <c r="G58" i="98"/>
  <c r="H58" i="98"/>
  <c r="I58" i="98"/>
  <c r="J58" i="98"/>
  <c r="M58" i="98"/>
  <c r="N58" i="98"/>
  <c r="O58" i="98"/>
  <c r="P58" i="98"/>
  <c r="Q58" i="98"/>
  <c r="R58" i="98"/>
  <c r="S58" i="98"/>
  <c r="T58" i="98"/>
  <c r="C59" i="98"/>
  <c r="D59" i="98"/>
  <c r="E59" i="98"/>
  <c r="F59" i="98"/>
  <c r="G59" i="98"/>
  <c r="H59" i="98"/>
  <c r="I59" i="98"/>
  <c r="H51" i="92"/>
  <c r="H52" i="92" s="1"/>
  <c r="D21" i="90"/>
  <c r="G21" i="90"/>
  <c r="F45" i="90" s="1"/>
  <c r="D22" i="90"/>
  <c r="E22" i="90"/>
  <c r="G22" i="90"/>
  <c r="H22" i="90"/>
  <c r="D23" i="90"/>
  <c r="E23" i="90"/>
  <c r="G23" i="90"/>
  <c r="H23" i="90"/>
  <c r="G47" i="90" s="1"/>
  <c r="D24" i="90"/>
  <c r="E24" i="90"/>
  <c r="G24" i="90"/>
  <c r="H24" i="90"/>
  <c r="D25" i="90"/>
  <c r="E25" i="90"/>
  <c r="G25" i="90"/>
  <c r="H25" i="90"/>
  <c r="G49" i="90" s="1"/>
  <c r="D26" i="90"/>
  <c r="E26" i="90"/>
  <c r="G26" i="90"/>
  <c r="H26" i="90"/>
  <c r="D27" i="90"/>
  <c r="E27" i="90"/>
  <c r="G27" i="90"/>
  <c r="H27" i="90"/>
  <c r="G51" i="90" s="1"/>
  <c r="D28" i="90"/>
  <c r="E28" i="90"/>
  <c r="G28" i="90"/>
  <c r="H28" i="90"/>
  <c r="D29" i="90"/>
  <c r="E29" i="90"/>
  <c r="G29" i="90"/>
  <c r="H29" i="90"/>
  <c r="G53" i="90" s="1"/>
  <c r="C34" i="90"/>
  <c r="D34" i="90"/>
  <c r="C35" i="90"/>
  <c r="D35" i="90"/>
  <c r="C36" i="90"/>
  <c r="D36" i="90"/>
  <c r="C37" i="90"/>
  <c r="D37" i="90"/>
  <c r="C38" i="90"/>
  <c r="D38" i="90"/>
  <c r="C39" i="90"/>
  <c r="D39" i="90"/>
  <c r="C40" i="90"/>
  <c r="D40" i="90"/>
  <c r="C41" i="90"/>
  <c r="D41" i="90"/>
  <c r="C45" i="90"/>
  <c r="D45" i="90"/>
  <c r="C46" i="90"/>
  <c r="D46" i="90" s="1"/>
  <c r="E46" i="90"/>
  <c r="F46" i="90"/>
  <c r="G46" i="90"/>
  <c r="C47" i="90"/>
  <c r="D47" i="90"/>
  <c r="F47" i="90"/>
  <c r="C48" i="90"/>
  <c r="D48" i="90" s="1"/>
  <c r="E48" i="90"/>
  <c r="F48" i="90"/>
  <c r="G48" i="90"/>
  <c r="C49" i="90"/>
  <c r="D49" i="90"/>
  <c r="F49" i="90"/>
  <c r="C50" i="90"/>
  <c r="D50" i="90" s="1"/>
  <c r="E50" i="90"/>
  <c r="F50" i="90"/>
  <c r="G50" i="90"/>
  <c r="C51" i="90"/>
  <c r="D51" i="90"/>
  <c r="F51" i="90"/>
  <c r="C52" i="90"/>
  <c r="D52" i="90" s="1"/>
  <c r="E52" i="90"/>
  <c r="F52" i="90"/>
  <c r="G52" i="90"/>
  <c r="C53" i="90"/>
  <c r="D53" i="90"/>
  <c r="F53" i="90"/>
  <c r="K95" i="99" l="1"/>
  <c r="M95" i="99"/>
  <c r="O95" i="99"/>
  <c r="L95" i="99"/>
  <c r="P95" i="99"/>
  <c r="X95" i="99"/>
  <c r="H141" i="99"/>
  <c r="K87" i="99"/>
  <c r="M87" i="99"/>
  <c r="O87" i="99"/>
  <c r="L87" i="99"/>
  <c r="P87" i="99"/>
  <c r="X87" i="99"/>
  <c r="H133" i="99"/>
  <c r="K79" i="99"/>
  <c r="M79" i="99"/>
  <c r="O79" i="99"/>
  <c r="L79" i="99"/>
  <c r="P79" i="99"/>
  <c r="X79" i="99"/>
  <c r="H125" i="99"/>
  <c r="N121" i="99"/>
  <c r="N167" i="99"/>
  <c r="N168" i="99"/>
  <c r="K71" i="99"/>
  <c r="M71" i="99"/>
  <c r="O71" i="99"/>
  <c r="L71" i="99"/>
  <c r="P71" i="99"/>
  <c r="X71" i="99"/>
  <c r="H117" i="99"/>
  <c r="H163" i="99"/>
  <c r="H164" i="99"/>
  <c r="P115" i="99"/>
  <c r="P161" i="99"/>
  <c r="P162" i="99"/>
  <c r="L115" i="99"/>
  <c r="L161" i="99"/>
  <c r="L162" i="99"/>
  <c r="N113" i="99"/>
  <c r="N159" i="99"/>
  <c r="N160" i="99"/>
  <c r="K63" i="99"/>
  <c r="M63" i="99"/>
  <c r="O63" i="99"/>
  <c r="L63" i="99"/>
  <c r="P63" i="99"/>
  <c r="X63" i="99"/>
  <c r="H109" i="99"/>
  <c r="H155" i="99"/>
  <c r="H156" i="99"/>
  <c r="P107" i="99"/>
  <c r="P153" i="99"/>
  <c r="P154" i="99"/>
  <c r="L107" i="99"/>
  <c r="L153" i="99"/>
  <c r="L154" i="99"/>
  <c r="N151" i="99"/>
  <c r="N152" i="99"/>
  <c r="K55" i="99"/>
  <c r="M55" i="99"/>
  <c r="O55" i="99"/>
  <c r="L55" i="99"/>
  <c r="P55" i="99"/>
  <c r="X55" i="99"/>
  <c r="H147" i="99"/>
  <c r="H148" i="99"/>
  <c r="O186" i="99"/>
  <c r="K186" i="99"/>
  <c r="O170" i="99"/>
  <c r="K170" i="99"/>
  <c r="K154" i="99"/>
  <c r="O138" i="99"/>
  <c r="M138" i="99"/>
  <c r="K138" i="99"/>
  <c r="O136" i="99"/>
  <c r="M136" i="99"/>
  <c r="K136" i="99"/>
  <c r="O134" i="99"/>
  <c r="M134" i="99"/>
  <c r="K134" i="99"/>
  <c r="O130" i="99"/>
  <c r="M130" i="99"/>
  <c r="K130" i="99"/>
  <c r="O128" i="99"/>
  <c r="M128" i="99"/>
  <c r="K128" i="99"/>
  <c r="O126" i="99"/>
  <c r="M126" i="99"/>
  <c r="K126" i="99"/>
  <c r="O122" i="99"/>
  <c r="M122" i="99"/>
  <c r="K122" i="99"/>
  <c r="O120" i="99"/>
  <c r="M120" i="99"/>
  <c r="K120" i="99"/>
  <c r="O118" i="99"/>
  <c r="M118" i="99"/>
  <c r="K118" i="99"/>
  <c r="O114" i="99"/>
  <c r="M114" i="99"/>
  <c r="K114" i="99"/>
  <c r="O112" i="99"/>
  <c r="M112" i="99"/>
  <c r="K112" i="99"/>
  <c r="O110" i="99"/>
  <c r="M110" i="99"/>
  <c r="K110" i="99"/>
  <c r="H101" i="99"/>
  <c r="N95" i="99"/>
  <c r="K91" i="99"/>
  <c r="M91" i="99"/>
  <c r="O91" i="99"/>
  <c r="L91" i="99"/>
  <c r="P91" i="99"/>
  <c r="X91" i="99"/>
  <c r="H137" i="99"/>
  <c r="N87" i="99"/>
  <c r="K83" i="99"/>
  <c r="M83" i="99"/>
  <c r="O83" i="99"/>
  <c r="L83" i="99"/>
  <c r="P83" i="99"/>
  <c r="X83" i="99"/>
  <c r="H129" i="99"/>
  <c r="N79" i="99"/>
  <c r="K75" i="99"/>
  <c r="M75" i="99"/>
  <c r="O75" i="99"/>
  <c r="L75" i="99"/>
  <c r="P75" i="99"/>
  <c r="X75" i="99"/>
  <c r="H121" i="99"/>
  <c r="H167" i="99"/>
  <c r="H168" i="99"/>
  <c r="P119" i="99"/>
  <c r="P165" i="99"/>
  <c r="P166" i="99"/>
  <c r="L119" i="99"/>
  <c r="L165" i="99"/>
  <c r="L166" i="99"/>
  <c r="N71" i="99"/>
  <c r="K67" i="99"/>
  <c r="M67" i="99"/>
  <c r="O67" i="99"/>
  <c r="L67" i="99"/>
  <c r="P67" i="99"/>
  <c r="X67" i="99"/>
  <c r="H113" i="99"/>
  <c r="H159" i="99"/>
  <c r="H160" i="99"/>
  <c r="P111" i="99"/>
  <c r="P157" i="99"/>
  <c r="P158" i="99"/>
  <c r="L111" i="99"/>
  <c r="L157" i="99"/>
  <c r="L158" i="99"/>
  <c r="N63" i="99"/>
  <c r="K59" i="99"/>
  <c r="M59" i="99"/>
  <c r="O59" i="99"/>
  <c r="L59" i="99"/>
  <c r="P59" i="99"/>
  <c r="X59" i="99"/>
  <c r="H151" i="99"/>
  <c r="H152" i="99"/>
  <c r="O104" i="99"/>
  <c r="M104" i="99"/>
  <c r="K104" i="99"/>
  <c r="P103" i="99"/>
  <c r="P149" i="99"/>
  <c r="P150" i="99"/>
  <c r="L103" i="99"/>
  <c r="L149" i="99"/>
  <c r="L150" i="99"/>
  <c r="N55" i="99"/>
  <c r="K93" i="99"/>
  <c r="M93" i="99"/>
  <c r="O93" i="99"/>
  <c r="K89" i="99"/>
  <c r="M89" i="99"/>
  <c r="O89" i="99"/>
  <c r="K85" i="99"/>
  <c r="M85" i="99"/>
  <c r="O85" i="99"/>
  <c r="K81" i="99"/>
  <c r="M81" i="99"/>
  <c r="O81" i="99"/>
  <c r="K77" i="99"/>
  <c r="M77" i="99"/>
  <c r="O77" i="99"/>
  <c r="K73" i="99"/>
  <c r="M73" i="99"/>
  <c r="O73" i="99"/>
  <c r="K69" i="99"/>
  <c r="M69" i="99"/>
  <c r="O69" i="99"/>
  <c r="K65" i="99"/>
  <c r="M65" i="99"/>
  <c r="O65" i="99"/>
  <c r="K61" i="99"/>
  <c r="M61" i="99"/>
  <c r="O61" i="99"/>
  <c r="O106" i="99"/>
  <c r="M106" i="99"/>
  <c r="K106" i="99"/>
  <c r="K57" i="99"/>
  <c r="M57" i="99"/>
  <c r="O57" i="99"/>
  <c r="O102" i="99"/>
  <c r="M102" i="99"/>
  <c r="K102" i="99"/>
  <c r="M23" i="98"/>
  <c r="O23" i="98"/>
  <c r="Q23" i="98"/>
  <c r="S23" i="98"/>
  <c r="M19" i="98"/>
  <c r="O19" i="98"/>
  <c r="Q19" i="98"/>
  <c r="S19" i="98"/>
  <c r="M17" i="98"/>
  <c r="O17" i="98"/>
  <c r="Q17" i="98"/>
  <c r="S17" i="98"/>
  <c r="M15" i="98"/>
  <c r="O15" i="98"/>
  <c r="Q15" i="98"/>
  <c r="S15" i="98"/>
  <c r="M13" i="98"/>
  <c r="O13" i="98"/>
  <c r="Q13" i="98"/>
  <c r="S13" i="98"/>
  <c r="S30" i="98"/>
  <c r="Q30" i="98"/>
  <c r="Q48" i="98"/>
  <c r="O30" i="98"/>
  <c r="M30" i="98"/>
  <c r="M48" i="98"/>
  <c r="M11" i="98"/>
  <c r="O11" i="98"/>
  <c r="Q11" i="98"/>
  <c r="S11" i="98"/>
  <c r="J59" i="98"/>
  <c r="T56" i="98"/>
  <c r="P56" i="98"/>
  <c r="J56" i="98"/>
  <c r="J55" i="98"/>
  <c r="T54" i="98"/>
  <c r="P54" i="98"/>
  <c r="J54" i="98"/>
  <c r="J53" i="98"/>
  <c r="T52" i="98"/>
  <c r="P52" i="98"/>
  <c r="J52" i="98"/>
  <c r="J51" i="98"/>
  <c r="T50" i="98"/>
  <c r="P50" i="98"/>
  <c r="J50" i="98"/>
  <c r="R23" i="98"/>
  <c r="N23" i="98"/>
  <c r="R19" i="98"/>
  <c r="N19" i="98"/>
  <c r="R17" i="98"/>
  <c r="N17" i="98"/>
  <c r="R15" i="98"/>
  <c r="N15" i="98"/>
  <c r="R13" i="98"/>
  <c r="N13" i="98"/>
  <c r="R11" i="98"/>
  <c r="N11" i="98"/>
  <c r="E53" i="90"/>
  <c r="E51" i="90"/>
  <c r="E49" i="90"/>
  <c r="E47" i="90"/>
  <c r="M103" i="99" l="1"/>
  <c r="M149" i="99"/>
  <c r="M150" i="99"/>
  <c r="M107" i="99"/>
  <c r="M153" i="99"/>
  <c r="M154" i="99"/>
  <c r="O111" i="99"/>
  <c r="O157" i="99"/>
  <c r="O158" i="99"/>
  <c r="K111" i="99"/>
  <c r="K157" i="99"/>
  <c r="K158" i="99"/>
  <c r="M115" i="99"/>
  <c r="M161" i="99"/>
  <c r="M162" i="99"/>
  <c r="O119" i="99"/>
  <c r="O165" i="99"/>
  <c r="O166" i="99"/>
  <c r="K119" i="99"/>
  <c r="K165" i="99"/>
  <c r="K166" i="99"/>
  <c r="M169" i="99"/>
  <c r="M123" i="99"/>
  <c r="O173" i="99"/>
  <c r="O174" i="99"/>
  <c r="O127" i="99"/>
  <c r="K127" i="99"/>
  <c r="K173" i="99"/>
  <c r="K174" i="99"/>
  <c r="M177" i="99"/>
  <c r="M131" i="99"/>
  <c r="O181" i="99"/>
  <c r="O182" i="99"/>
  <c r="O135" i="99"/>
  <c r="K135" i="99"/>
  <c r="K181" i="99"/>
  <c r="K182" i="99"/>
  <c r="M185" i="99"/>
  <c r="M139" i="99"/>
  <c r="N147" i="99"/>
  <c r="N148" i="99"/>
  <c r="N101" i="99"/>
  <c r="L105" i="99"/>
  <c r="L151" i="99"/>
  <c r="L152" i="99"/>
  <c r="M105" i="99"/>
  <c r="M151" i="99"/>
  <c r="M152" i="99"/>
  <c r="N109" i="99"/>
  <c r="N155" i="99"/>
  <c r="N156" i="99"/>
  <c r="L113" i="99"/>
  <c r="L159" i="99"/>
  <c r="L160" i="99"/>
  <c r="M113" i="99"/>
  <c r="M159" i="99"/>
  <c r="M160" i="99"/>
  <c r="N117" i="99"/>
  <c r="N163" i="99"/>
  <c r="N164" i="99"/>
  <c r="L121" i="99"/>
  <c r="L167" i="99"/>
  <c r="L168" i="99"/>
  <c r="M121" i="99"/>
  <c r="M167" i="99"/>
  <c r="M168" i="99"/>
  <c r="N125" i="99"/>
  <c r="N171" i="99"/>
  <c r="N172" i="99"/>
  <c r="L129" i="99"/>
  <c r="L175" i="99"/>
  <c r="L176" i="99"/>
  <c r="M129" i="99"/>
  <c r="M175" i="99"/>
  <c r="M176" i="99"/>
  <c r="N133" i="99"/>
  <c r="N179" i="99"/>
  <c r="N180" i="99"/>
  <c r="L137" i="99"/>
  <c r="L183" i="99"/>
  <c r="L184" i="99"/>
  <c r="M137" i="99"/>
  <c r="M183" i="99"/>
  <c r="M184" i="99"/>
  <c r="N141" i="99"/>
  <c r="N187" i="99"/>
  <c r="M178" i="99"/>
  <c r="P101" i="99"/>
  <c r="P147" i="99"/>
  <c r="P148" i="99"/>
  <c r="O101" i="99"/>
  <c r="O147" i="99"/>
  <c r="O148" i="99"/>
  <c r="K101" i="99"/>
  <c r="K147" i="99"/>
  <c r="K148" i="99"/>
  <c r="L109" i="99"/>
  <c r="L155" i="99"/>
  <c r="L156" i="99"/>
  <c r="M109" i="99"/>
  <c r="M155" i="99"/>
  <c r="M156" i="99"/>
  <c r="L117" i="99"/>
  <c r="L163" i="99"/>
  <c r="L164" i="99"/>
  <c r="M117" i="99"/>
  <c r="M163" i="99"/>
  <c r="M164" i="99"/>
  <c r="L125" i="99"/>
  <c r="L171" i="99"/>
  <c r="L172" i="99"/>
  <c r="M125" i="99"/>
  <c r="M171" i="99"/>
  <c r="M172" i="99"/>
  <c r="P133" i="99"/>
  <c r="P179" i="99"/>
  <c r="P180" i="99"/>
  <c r="O179" i="99"/>
  <c r="O180" i="99"/>
  <c r="O133" i="99"/>
  <c r="K179" i="99"/>
  <c r="K180" i="99"/>
  <c r="K133" i="99"/>
  <c r="L141" i="99"/>
  <c r="L187" i="99"/>
  <c r="M141" i="99"/>
  <c r="M187" i="99"/>
  <c r="O103" i="99"/>
  <c r="O149" i="99"/>
  <c r="O150" i="99"/>
  <c r="K103" i="99"/>
  <c r="K149" i="99"/>
  <c r="K150" i="99"/>
  <c r="O107" i="99"/>
  <c r="O153" i="99"/>
  <c r="O154" i="99"/>
  <c r="K107" i="99"/>
  <c r="K153" i="99"/>
  <c r="M111" i="99"/>
  <c r="M157" i="99"/>
  <c r="M158" i="99"/>
  <c r="O115" i="99"/>
  <c r="O161" i="99"/>
  <c r="O162" i="99"/>
  <c r="K115" i="99"/>
  <c r="K161" i="99"/>
  <c r="M119" i="99"/>
  <c r="M165" i="99"/>
  <c r="M166" i="99"/>
  <c r="O169" i="99"/>
  <c r="O123" i="99"/>
  <c r="K123" i="99"/>
  <c r="K169" i="99"/>
  <c r="M173" i="99"/>
  <c r="M174" i="99"/>
  <c r="M127" i="99"/>
  <c r="O177" i="99"/>
  <c r="O131" i="99"/>
  <c r="K131" i="99"/>
  <c r="K177" i="99"/>
  <c r="M181" i="99"/>
  <c r="M182" i="99"/>
  <c r="M135" i="99"/>
  <c r="O185" i="99"/>
  <c r="O139" i="99"/>
  <c r="K139" i="99"/>
  <c r="K185" i="99"/>
  <c r="P105" i="99"/>
  <c r="P151" i="99"/>
  <c r="P152" i="99"/>
  <c r="O105" i="99"/>
  <c r="O151" i="99"/>
  <c r="O152" i="99"/>
  <c r="K105" i="99"/>
  <c r="K151" i="99"/>
  <c r="K152" i="99"/>
  <c r="P113" i="99"/>
  <c r="P159" i="99"/>
  <c r="P160" i="99"/>
  <c r="O113" i="99"/>
  <c r="O159" i="99"/>
  <c r="O160" i="99"/>
  <c r="K113" i="99"/>
  <c r="K159" i="99"/>
  <c r="K160" i="99"/>
  <c r="P121" i="99"/>
  <c r="P167" i="99"/>
  <c r="P168" i="99"/>
  <c r="O121" i="99"/>
  <c r="O167" i="99"/>
  <c r="O168" i="99"/>
  <c r="K121" i="99"/>
  <c r="K167" i="99"/>
  <c r="K168" i="99"/>
  <c r="P129" i="99"/>
  <c r="P175" i="99"/>
  <c r="P176" i="99"/>
  <c r="O175" i="99"/>
  <c r="O176" i="99"/>
  <c r="O129" i="99"/>
  <c r="K175" i="99"/>
  <c r="K176" i="99"/>
  <c r="K129" i="99"/>
  <c r="P137" i="99"/>
  <c r="P183" i="99"/>
  <c r="P184" i="99"/>
  <c r="O183" i="99"/>
  <c r="O184" i="99"/>
  <c r="O137" i="99"/>
  <c r="K183" i="99"/>
  <c r="K184" i="99"/>
  <c r="K137" i="99"/>
  <c r="K162" i="99"/>
  <c r="M170" i="99"/>
  <c r="K178" i="99"/>
  <c r="O178" i="99"/>
  <c r="M186" i="99"/>
  <c r="L101" i="99"/>
  <c r="L147" i="99"/>
  <c r="L148" i="99"/>
  <c r="M101" i="99"/>
  <c r="M147" i="99"/>
  <c r="M148" i="99"/>
  <c r="P109" i="99"/>
  <c r="P155" i="99"/>
  <c r="P156" i="99"/>
  <c r="O109" i="99"/>
  <c r="O155" i="99"/>
  <c r="O156" i="99"/>
  <c r="K109" i="99"/>
  <c r="K155" i="99"/>
  <c r="K156" i="99"/>
  <c r="P117" i="99"/>
  <c r="P163" i="99"/>
  <c r="P164" i="99"/>
  <c r="O117" i="99"/>
  <c r="O163" i="99"/>
  <c r="O164" i="99"/>
  <c r="K117" i="99"/>
  <c r="K163" i="99"/>
  <c r="K164" i="99"/>
  <c r="P125" i="99"/>
  <c r="P171" i="99"/>
  <c r="P172" i="99"/>
  <c r="O171" i="99"/>
  <c r="O172" i="99"/>
  <c r="O125" i="99"/>
  <c r="K171" i="99"/>
  <c r="K172" i="99"/>
  <c r="K125" i="99"/>
  <c r="L133" i="99"/>
  <c r="L179" i="99"/>
  <c r="L180" i="99"/>
  <c r="M133" i="99"/>
  <c r="M179" i="99"/>
  <c r="M180" i="99"/>
  <c r="P141" i="99"/>
  <c r="P187" i="99"/>
  <c r="O187" i="99"/>
  <c r="O141" i="99"/>
  <c r="K187" i="99"/>
  <c r="K141" i="99"/>
  <c r="N29" i="98"/>
  <c r="N47" i="98"/>
  <c r="N48" i="98"/>
  <c r="N31" i="98"/>
  <c r="N49" i="98"/>
  <c r="N50" i="98"/>
  <c r="N33" i="98"/>
  <c r="N51" i="98"/>
  <c r="N52" i="98"/>
  <c r="N35" i="98"/>
  <c r="N53" i="98"/>
  <c r="N54" i="98"/>
  <c r="N37" i="98"/>
  <c r="N55" i="98"/>
  <c r="N56" i="98"/>
  <c r="N41" i="98"/>
  <c r="N59" i="98"/>
  <c r="S29" i="98"/>
  <c r="S47" i="98"/>
  <c r="O29" i="98"/>
  <c r="O47" i="98"/>
  <c r="O48" i="98"/>
  <c r="S48" i="98"/>
  <c r="S31" i="98"/>
  <c r="S49" i="98"/>
  <c r="S50" i="98"/>
  <c r="O31" i="98"/>
  <c r="O49" i="98"/>
  <c r="O50" i="98"/>
  <c r="S33" i="98"/>
  <c r="S51" i="98"/>
  <c r="S52" i="98"/>
  <c r="O33" i="98"/>
  <c r="O51" i="98"/>
  <c r="O52" i="98"/>
  <c r="S35" i="98"/>
  <c r="S53" i="98"/>
  <c r="S54" i="98"/>
  <c r="O35" i="98"/>
  <c r="O53" i="98"/>
  <c r="O54" i="98"/>
  <c r="S37" i="98"/>
  <c r="S55" i="98"/>
  <c r="S56" i="98"/>
  <c r="O37" i="98"/>
  <c r="O55" i="98"/>
  <c r="O56" i="98"/>
  <c r="S41" i="98"/>
  <c r="S59" i="98"/>
  <c r="O41" i="98"/>
  <c r="O59" i="98"/>
  <c r="R29" i="98"/>
  <c r="R47" i="98"/>
  <c r="R48" i="98"/>
  <c r="R31" i="98"/>
  <c r="R49" i="98"/>
  <c r="R50" i="98"/>
  <c r="R33" i="98"/>
  <c r="R51" i="98"/>
  <c r="R52" i="98"/>
  <c r="R35" i="98"/>
  <c r="R53" i="98"/>
  <c r="R54" i="98"/>
  <c r="R37" i="98"/>
  <c r="R55" i="98"/>
  <c r="R56" i="98"/>
  <c r="R41" i="98"/>
  <c r="R59" i="98"/>
  <c r="Q29" i="98"/>
  <c r="Q47" i="98"/>
  <c r="M29" i="98"/>
  <c r="M47" i="98"/>
  <c r="Q31" i="98"/>
  <c r="Q49" i="98"/>
  <c r="Q50" i="98"/>
  <c r="M31" i="98"/>
  <c r="M49" i="98"/>
  <c r="M50" i="98"/>
  <c r="Q33" i="98"/>
  <c r="Q51" i="98"/>
  <c r="Q52" i="98"/>
  <c r="M33" i="98"/>
  <c r="M51" i="98"/>
  <c r="M52" i="98"/>
  <c r="Q35" i="98"/>
  <c r="Q53" i="98"/>
  <c r="Q54" i="98"/>
  <c r="M35" i="98"/>
  <c r="M53" i="98"/>
  <c r="M54" i="98"/>
  <c r="Q37" i="98"/>
  <c r="Q55" i="98"/>
  <c r="Q56" i="98"/>
  <c r="M37" i="98"/>
  <c r="M55" i="98"/>
  <c r="M56" i="98"/>
  <c r="Q41" i="98"/>
  <c r="Q59" i="98"/>
  <c r="M41" i="98"/>
  <c r="M59" i="98"/>
  <c r="C7" i="6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</authors>
  <commentList>
    <comment ref="F43" authorId="0" shapeId="0" xr:uid="{1E9E3FB9-505F-477A-9A63-1AE9DC0C21FC}">
      <text>
        <r>
          <rPr>
            <sz val="8"/>
            <color indexed="81"/>
            <rFont val="Arial"/>
            <family val="2"/>
            <charset val="238"/>
          </rPr>
          <t>összefüggés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  <author>Balázsné Mócsai Andrea</author>
  </authors>
  <commentList>
    <comment ref="B2" authorId="0" shapeId="0" xr:uid="{A2BF4D02-0BF1-46EB-8E1B-83FB4FAAC9A4}">
      <text>
        <r>
          <rPr>
            <sz val="9"/>
            <color indexed="81"/>
            <rFont val="Tahoma"/>
            <family val="2"/>
          </rPr>
          <t>11.1.1.3. táblázat
https://www.ksh.hu/stadat_files/iga/hu/iga0003.html</t>
        </r>
      </text>
    </comment>
    <comment ref="K24" authorId="1" shapeId="0" xr:uid="{ADFEEB9A-493D-43B0-8708-79BF05A22727}">
      <text>
        <r>
          <rPr>
            <sz val="9"/>
            <color indexed="81"/>
            <rFont val="Tahoma"/>
            <family val="2"/>
            <charset val="238"/>
          </rPr>
          <t>tömbös megvalósítással</t>
        </r>
      </text>
    </comment>
    <comment ref="K41" authorId="1" shapeId="0" xr:uid="{F7CDB82B-4AB5-470C-B602-3BB40D190A45}">
      <text>
        <r>
          <rPr>
            <sz val="9"/>
            <color indexed="81"/>
            <rFont val="Tahoma"/>
            <family val="2"/>
            <charset val="238"/>
          </rPr>
          <t>tömbös megvalósítással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</authors>
  <commentList>
    <comment ref="H51" authorId="0" shapeId="0" xr:uid="{3C9BD2A3-03AC-4955-9FDC-44D3D58FB89E}">
      <text>
        <r>
          <rPr>
            <sz val="9"/>
            <color indexed="81"/>
            <rFont val="Tahoma"/>
            <family val="2"/>
          </rPr>
          <t>Ha a határokat szigorúan vesszük, akkor 1-gyel növelni kell az értéket. Ezzel nem szoktunk foglalkozni, így is jó, növelés nélkül is.</t>
        </r>
      </text>
    </comment>
    <comment ref="H52" authorId="0" shapeId="0" xr:uid="{1DDA3A21-6FD9-4C8B-80AD-D0ACD21ACAF5}">
      <text>
        <r>
          <rPr>
            <sz val="9"/>
            <color indexed="81"/>
            <rFont val="Tahoma"/>
            <family val="2"/>
          </rPr>
          <t>A 20 hosszúság és 81-től indítás még jobban igazodna a megszokott 10-es számrendszerhez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</authors>
  <commentList>
    <comment ref="B2" authorId="0" shapeId="0" xr:uid="{39A35370-5A3A-4B36-82B5-E610E7BA61C1}">
      <text>
        <r>
          <rPr>
            <sz val="9"/>
            <color indexed="81"/>
            <rFont val="Tahoma"/>
            <family val="2"/>
          </rPr>
          <t>Forrás: KSH</t>
        </r>
      </text>
    </comment>
    <comment ref="C4" authorId="0" shapeId="0" xr:uid="{BDA32F76-FCED-4424-86FF-0E750386DB16}">
      <text>
        <r>
          <rPr>
            <sz val="9"/>
            <color indexed="81"/>
            <rFont val="Tahoma"/>
            <family val="2"/>
          </rPr>
          <t>Jan. 1-jei adatok átlagolása</t>
        </r>
      </text>
    </comment>
    <comment ref="D35" authorId="0" shapeId="0" xr:uid="{4275EE3B-730D-478F-BB1D-C4ED1F8B38C6}">
      <text>
        <r>
          <rPr>
            <sz val="8"/>
            <color indexed="81"/>
            <rFont val="Tahoma"/>
            <family val="2"/>
            <charset val="238"/>
          </rPr>
          <t>a népesség száma adatok alapján</t>
        </r>
      </text>
    </comment>
    <comment ref="F49" authorId="0" shapeId="0" xr:uid="{77772AFC-F643-4EBE-9554-DDD26F1835C7}">
      <text>
        <r>
          <rPr>
            <sz val="8"/>
            <color indexed="81"/>
            <rFont val="Arial"/>
            <family val="2"/>
            <charset val="238"/>
          </rPr>
          <t>összefüggés</t>
        </r>
      </text>
    </comment>
    <comment ref="F63" authorId="0" shapeId="0" xr:uid="{F23AFD13-9649-4B72-BF09-1A4D44008D65}">
      <text>
        <r>
          <rPr>
            <sz val="8"/>
            <color indexed="81"/>
            <rFont val="Arial"/>
            <family val="2"/>
            <charset val="238"/>
          </rPr>
          <t>összefüggés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</authors>
  <commentList>
    <comment ref="B2" authorId="0" shapeId="0" xr:uid="{2B41A5AF-3457-4467-B1AD-9715F0B9D32C}">
      <text>
        <r>
          <rPr>
            <sz val="9"/>
            <color indexed="81"/>
            <rFont val="Tahoma"/>
            <family val="2"/>
          </rPr>
          <t>23.1.1.14. táblázat
https://www.ksh.hu/stadat_files/okt/hu/okt0014.html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</authors>
  <commentList>
    <comment ref="B2" authorId="0" shapeId="0" xr:uid="{B1EE5CD6-8255-46FC-884B-5E494F9368D7}">
      <text>
        <r>
          <rPr>
            <sz val="9"/>
            <color indexed="81"/>
            <rFont val="Tahoma"/>
            <family val="2"/>
          </rPr>
          <t>20.1.1.17 táblázat
https://www.ksh.hu/stadat_files/mun/hu/mun0027.html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Kovács László</author>
  </authors>
  <commentList>
    <comment ref="B2" authorId="0" shapeId="0" xr:uid="{0F4A580F-9ED3-4CE8-8DF4-C6AD51E2D4F6}">
      <text>
        <r>
          <rPr>
            <sz val="9"/>
            <color indexed="81"/>
            <rFont val="Tahoma"/>
            <family val="2"/>
          </rPr>
          <t>Adatok forrása:
https://ourworldindata.org/coronavirus
https://github.com/owid/covid-19-data/tree/master/public/data
https://www.ksh.hu/interaktiv/grafikonok/vilag_nepessege.html
https://www.worldometers.info/population/
A kontinensekhez nem tartozó adatokat a táblázatból kihagytuk.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BMA</author>
    <author>Kovács László</author>
  </authors>
  <commentList>
    <comment ref="B2" authorId="0" shapeId="0" xr:uid="{1DF1F5D2-5204-4F2B-86AF-B154C7D55705}">
      <text>
        <r>
          <rPr>
            <sz val="9"/>
            <color indexed="81"/>
            <rFont val="Tahoma"/>
            <family val="2"/>
          </rPr>
          <t>21.1.1.18 táblázat
https://www.ksh.hu/stadat_files/gdp/hu/gdp0018.html</t>
        </r>
      </text>
    </comment>
    <comment ref="C9" authorId="1" shapeId="0" xr:uid="{BEE6A2C7-2FEB-4A22-8D87-1C39A97C2832}">
      <text>
        <r>
          <rPr>
            <sz val="9"/>
            <color indexed="81"/>
            <rFont val="Tahoma"/>
            <family val="2"/>
          </rPr>
          <t>- Végrehajtó és törvényhozó szervek, pénzügyi és 
   költségvetési ügyek, külügyek
- Gazdasági segítségnyújtás más országok részére
- Általános közszolgáltatások
- Alapkutatás
- Az általános közszolgáltatásokhoz kapcsolódó kutatás-fejlesztés
- Máshová nem sorolható általános közszolgáltatások
- Az államadóssággal kapcsolatos tranzakciók
- A kormányzat alszektorai közötti általános jellegű,
   funkcióhoz nem köthető transzferek</t>
        </r>
      </text>
    </comment>
    <comment ref="D9" authorId="1" shapeId="0" xr:uid="{579BF5CD-E0CB-4432-A426-9F4AEA9AD3FF}">
      <text>
        <r>
          <rPr>
            <sz val="9"/>
            <color indexed="81"/>
            <rFont val="Tahoma"/>
            <family val="2"/>
          </rPr>
          <t>- Katonai védelem
- Polgári honvédelem
- Külföldi katonai segítségnyújtás
- A védelemmel kapcsolatos kutatás-fejlesztés
- Máshová nem sorolható védelmi ügyek</t>
        </r>
      </text>
    </comment>
    <comment ref="E9" authorId="1" shapeId="0" xr:uid="{1EA95F7E-CF97-4B6F-A4D2-9837ABECDBF9}">
      <text>
        <r>
          <rPr>
            <sz val="9"/>
            <color indexed="81"/>
            <rFont val="Tahoma"/>
            <family val="2"/>
          </rPr>
          <t>- Közrend
- Tűzvédelem
- Igazságügy
- Büntetés-végrehajtás
- A közrenddel és közbiztonsággal kapcsolatos kutatás-fejlesztés
- Máshová nem sorolható közrenddel és közbiztonsággal kapcsolatos ügyek</t>
        </r>
      </text>
    </comment>
    <comment ref="F9" authorId="1" shapeId="0" xr:uid="{0A6F1886-FED1-4C51-B099-019D7AF35C7E}">
      <text>
        <r>
          <rPr>
            <sz val="9"/>
            <color indexed="81"/>
            <rFont val="Tahoma"/>
            <family val="2"/>
          </rPr>
          <t>- Általános gazdasági-, kereskedelmi- és munkaügyek
- Mezőgazdaság, erdőgazdálkodás, halászat és vadgazdálkodás
- Fűtőanyag és energia
- Bányászat, feldolgozóipar és építőipar
- Szállítás
- Távközlés
- Egyéb iparágak
- Gazdasági ügyekkel kapcsolatos kutatás-fejlesztés
- Máshová nem sorolható gazdasági ügyek</t>
        </r>
      </text>
    </comment>
    <comment ref="G9" authorId="1" shapeId="0" xr:uid="{C72E5808-7D94-4C7D-8ADB-326F4039ABB1}">
      <text>
        <r>
          <rPr>
            <sz val="9"/>
            <color indexed="81"/>
            <rFont val="Tahoma"/>
            <family val="2"/>
          </rPr>
          <t>- Hulladékkezelés
- Szennyvízkezelés
- Szennyeződésmentesítés
- Biológiai sokféleség védelme és tájvédelem 
- A környezetvédelemmel kapcsolatos kutatás-fejlesztés
- Máshová nem sorolható környezetvédelemmel kapcsolatos ügyek</t>
        </r>
      </text>
    </comment>
    <comment ref="H9" authorId="1" shapeId="0" xr:uid="{9CB9F39F-F2C5-4C77-9800-C2B3BFBED0FE}">
      <text>
        <r>
          <rPr>
            <sz val="9"/>
            <color indexed="81"/>
            <rFont val="Tahoma"/>
            <family val="2"/>
          </rPr>
          <t>- Lakásfejlesztési ügyek
- Településfejlesztés
- Vízellátás
- Közvilágítás
- A lakásügyekkel és települési infrastruktúrával kapcsolatos kutatás-fejlesztés
- Máshová nem sorolható lakásügyek és települési infrastrukturális ügyek</t>
        </r>
      </text>
    </comment>
    <comment ref="I9" authorId="1" shapeId="0" xr:uid="{404D464E-9933-41CF-A518-0B8B8E7C0F4E}">
      <text>
        <r>
          <rPr>
            <sz val="9"/>
            <color indexed="81"/>
            <rFont val="Tahoma"/>
            <family val="2"/>
          </rPr>
          <t>- Gyógyászati termékek, készülékek és felszerelések
- Járóbeteg-ellátás
- Fekvőbeteg-ellátás
- Közegészségügyi szolgáltatások
- Az egészségüggyel kapcsolatos kutatás-fejlesztés
- Máshová nem sorolható egészségügyi ellátás</t>
        </r>
      </text>
    </comment>
    <comment ref="J9" authorId="1" shapeId="0" xr:uid="{ED83A25E-A36A-4185-A590-4D6C380E0890}">
      <text>
        <r>
          <rPr>
            <sz val="9"/>
            <color indexed="81"/>
            <rFont val="Tahoma"/>
            <family val="2"/>
          </rPr>
          <t>- Szabadidővel és sporttal kapcsolatos szolgáltatások
- Kulturális szolgáltatások
- Műsorszórás és kiadói szolgáltatás
- Vallásügyek és egyéb közösségi szolgáltatások
- A szabadidővel, kultúrával és vallásügyekkel kapcsolatos kutatás-fejlesztés
- Máshová nem sorolható szabadidő, kultúra és vallásügyek</t>
        </r>
      </text>
    </comment>
    <comment ref="K9" authorId="1" shapeId="0" xr:uid="{06BD3801-0A9C-4CAF-8462-0670F2AEC60C}">
      <text>
        <r>
          <rPr>
            <sz val="9"/>
            <color indexed="81"/>
            <rFont val="Tahoma"/>
            <family val="2"/>
          </rPr>
          <t>- Iskola-előkészítő  és alapfokú oktatás
- Középfokú oktatás
- Középfok feletti, nem felsőfokú oktatás
- Felsőfokú oktatás
- Oktatási szinthez nem kapcsolódó oktatás
- Oktatáshoz kapcsolódó kiegészítő szolgáltatások
- Oktatással kapcsolatos kutatás-fejlesztés
- Máshová nem sorolható oktatás</t>
        </r>
      </text>
    </comment>
    <comment ref="L9" authorId="1" shapeId="0" xr:uid="{65428B44-36B5-4310-8316-D5276F276865}">
      <text>
        <r>
          <rPr>
            <sz val="9"/>
            <color indexed="81"/>
            <rFont val="Tahoma"/>
            <family val="2"/>
          </rPr>
          <t>- Betegség és rokkantság
- Időskor
- Hátramaradottak
- Család és gyermekek
- Munkanélküliség
- Szociális jellegű lakásügyek
- Máshová nem sorolható társadalmi kirekesztés
- Szociális védelemmel kapcsolatos kutatás-fejlesztés
- Máshová nem sorolható szociális védelem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<sst xmlns="http://schemas.openxmlformats.org/spreadsheetml/2006/main" count="17451" uniqueCount="6468">
  <si>
    <t>Hány %-kal nőtt 2000-ről 2010-re az egy főre jutó gyermekgondozási díj?</t>
  </si>
  <si>
    <t>Válasz:</t>
  </si>
  <si>
    <t>%-kal nőtt</t>
  </si>
  <si>
    <t>A számítógépet használó általános iskolai tanulók száma a 2010/2011-es tanévben 8,2 %-kal haladta meg a 2002/2003. tanévi létszámot. Az oktatási célra használt számítógépek száma a 2010/2011-es tanévben 69880 db, ami 14100 db-bal haladja meg a 2002/2003. tanévi mennyiséget.</t>
  </si>
  <si>
    <t>Hány %-kal változott az egy számítógépre jutó tanulók száma?</t>
  </si>
  <si>
    <t>Nem</t>
  </si>
  <si>
    <t>Hányadik indulás</t>
  </si>
  <si>
    <t>férfi</t>
  </si>
  <si>
    <t>nő</t>
  </si>
  <si>
    <t>Életkor,
év</t>
  </si>
  <si>
    <t>Eredmény,
perc</t>
  </si>
  <si>
    <t>Sorcímkék</t>
  </si>
  <si>
    <t>Végösszeg</t>
  </si>
  <si>
    <t>Mennyiség / Hányadik indulás</t>
  </si>
  <si>
    <t>Mennyiség / Életkor,
év</t>
  </si>
  <si>
    <t>A gyermekgondozási díjat igénybe vevők havi átlagos száma 2000-ben 54,0 ezer fő, 2010-ben 94,7 ezer fő volt, a kifizetett havi összeg pedig 2000-ről 2010-re 353 %-kal növekedett.</t>
  </si>
  <si>
    <t>(mind)</t>
  </si>
  <si>
    <t>k</t>
  </si>
  <si>
    <t>hossz</t>
  </si>
  <si>
    <t>félelemmel</t>
  </si>
  <si>
    <t>érdektelenséggel</t>
  </si>
  <si>
    <t>várakozással</t>
  </si>
  <si>
    <t>Hozzáállás</t>
  </si>
  <si>
    <t>Szak</t>
  </si>
  <si>
    <t>Alkalmazás</t>
  </si>
  <si>
    <t>Felvételi</t>
  </si>
  <si>
    <t>Utazás</t>
  </si>
  <si>
    <t>Megoszlás</t>
  </si>
  <si>
    <t>Gyakoriság</t>
  </si>
  <si>
    <t>Relatív gyakoriság</t>
  </si>
  <si>
    <t>Alkalmazások</t>
  </si>
  <si>
    <t>Osztályköz</t>
  </si>
  <si>
    <t>Idő</t>
  </si>
  <si>
    <t>Darabszám</t>
  </si>
  <si>
    <t>5-15</t>
  </si>
  <si>
    <t>15-25</t>
  </si>
  <si>
    <t>25-35</t>
  </si>
  <si>
    <t>35-45</t>
  </si>
  <si>
    <t>45-55</t>
  </si>
  <si>
    <t>55-65</t>
  </si>
  <si>
    <t>65-75</t>
  </si>
  <si>
    <t>75-85</t>
  </si>
  <si>
    <t>85-95</t>
  </si>
  <si>
    <r>
      <t xml:space="preserve">Szálkásság a kerekítések miatt </t>
    </r>
    <r>
      <rPr>
        <sz val="10"/>
        <rFont val="Symbol"/>
        <family val="1"/>
        <charset val="2"/>
      </rPr>
      <t>®</t>
    </r>
    <r>
      <rPr>
        <sz val="10"/>
        <rFont val="Arial CE"/>
        <charset val="238"/>
      </rPr>
      <t xml:space="preserve"> 10 hosszúságú osztályközök (középen a 10-es érték)</t>
    </r>
  </si>
  <si>
    <t>Összesen</t>
  </si>
  <si>
    <t>a)</t>
  </si>
  <si>
    <t>gazdálkodás és menedzsment</t>
  </si>
  <si>
    <t>Kategória</t>
  </si>
  <si>
    <t>Előző év=100%</t>
  </si>
  <si>
    <t>1996=100%</t>
  </si>
  <si>
    <t>Egy főre jutó sörfogyasztás</t>
  </si>
  <si>
    <t>Egy főre jutó sör-fogyasztás, l/fő</t>
  </si>
  <si>
    <t>Év</t>
  </si>
  <si>
    <t>b)</t>
  </si>
  <si>
    <t>Láncviszonyszá-mok szorzata</t>
  </si>
  <si>
    <t>Bázisviszonyszá-mok hányadosa</t>
  </si>
  <si>
    <t>Értékesített sör mennyisége</t>
  </si>
  <si>
    <t>Értékesített sör mennyisége, hl</t>
  </si>
  <si>
    <t>Látogatók száma</t>
  </si>
  <si>
    <t>Látogatók száma, ezer fő</t>
  </si>
  <si>
    <t>a) Jellemezze az egyes sokaságok nagyságának alakulását bázis- és láncviszonyszámokkal, illetve grafikusan! Mutassa meg a viszonyszámok közt levő összefüggéseket!
b) Számítsa ki a fajlagos mutatókat, azok bázis és láncviszonyszámait! Mutassa be a viszonyszámok közötti összefüggést!</t>
  </si>
  <si>
    <t>A lenti táblázatban a Sziget Fesztivál látogatóinak száma és sörfogyasztásának mennyisége látható.</t>
  </si>
  <si>
    <t>Viszonyszámok</t>
  </si>
  <si>
    <t>Életkor: a tizes számrendszerhez igazódó, egyforma hosszúságú osztályközök</t>
  </si>
  <si>
    <t>hossz 2</t>
  </si>
  <si>
    <t>287-308</t>
  </si>
  <si>
    <t>265-286</t>
  </si>
  <si>
    <t>243-264</t>
  </si>
  <si>
    <t>221-242</t>
  </si>
  <si>
    <t>199-220</t>
  </si>
  <si>
    <t>177-198</t>
  </si>
  <si>
    <t>155-176</t>
  </si>
  <si>
    <t>133-154</t>
  </si>
  <si>
    <t>111-132</t>
  </si>
  <si>
    <t>89-110</t>
  </si>
  <si>
    <t>67-88</t>
  </si>
  <si>
    <t>Mennyiség / Eredmény,
perc</t>
  </si>
  <si>
    <t>Eredmények: egyenlő hosszúságú osztályközök, az osztályközök számának irányadó száma alapján, de kerekítve</t>
  </si>
  <si>
    <t>A lenti táblázatban egy Balaton átúszás (5,3 km) résztvevőinek adatai láthatók az egyik évben. A sokaságot azok képezik, akik az adott évben elindultak és eredményesen befejezték a versenyt.</t>
  </si>
  <si>
    <t>2023/2024</t>
  </si>
  <si>
    <t>2022/2023</t>
  </si>
  <si>
    <t>2021/2022</t>
  </si>
  <si>
    <t>2020/2021</t>
  </si>
  <si>
    <t>2019/2020</t>
  </si>
  <si>
    <t>2018/2019</t>
  </si>
  <si>
    <t>2017/2018</t>
  </si>
  <si>
    <t>2016/2017</t>
  </si>
  <si>
    <t>2015/2016</t>
  </si>
  <si>
    <t>2014/2015</t>
  </si>
  <si>
    <t>2013/2014</t>
  </si>
  <si>
    <t>2012/2013</t>
  </si>
  <si>
    <t>2011/2012</t>
  </si>
  <si>
    <t>2010/2011</t>
  </si>
  <si>
    <t>2009/2010</t>
  </si>
  <si>
    <t>2008/2009</t>
  </si>
  <si>
    <t>2007/2008</t>
  </si>
  <si>
    <t>2006/2007</t>
  </si>
  <si>
    <t>2005/2006</t>
  </si>
  <si>
    <t>2004/2005</t>
  </si>
  <si>
    <t>2003/2004</t>
  </si>
  <si>
    <t>2002/2003</t>
  </si>
  <si>
    <t>2001/2002</t>
  </si>
  <si>
    <t>2000/2001</t>
  </si>
  <si>
    <t>1999/2000</t>
  </si>
  <si>
    <t>1998/1999</t>
  </si>
  <si>
    <t>1997/1998</t>
  </si>
  <si>
    <t>1996/1997</t>
  </si>
  <si>
    <t>1995/1996</t>
  </si>
  <si>
    <t>1994/1995</t>
  </si>
  <si>
    <t>1993/1994</t>
  </si>
  <si>
    <t>1992/1993</t>
  </si>
  <si>
    <t>1991/1992</t>
  </si>
  <si>
    <t>1990/1991</t>
  </si>
  <si>
    <t>előző = 100</t>
  </si>
  <si>
    <t>1990 = 100</t>
  </si>
  <si>
    <t>száma</t>
  </si>
  <si>
    <t xml:space="preserve">Egy pedagógusra jutó tanulók </t>
  </si>
  <si>
    <t>Tanulók</t>
  </si>
  <si>
    <t>Pedagógusok</t>
  </si>
  <si>
    <t>Tanulók száma</t>
  </si>
  <si>
    <t>Pedagógusok száma</t>
  </si>
  <si>
    <t>Adatok</t>
  </si>
  <si>
    <t>Töltse le a pedagógusokra és a tanulókra vonatkozó adatokat, és elemezze azokat!</t>
  </si>
  <si>
    <t>HUN</t>
  </si>
  <si>
    <t>M40</t>
  </si>
  <si>
    <t>M45</t>
  </si>
  <si>
    <t>M30</t>
  </si>
  <si>
    <t>DEN</t>
  </si>
  <si>
    <t>M20</t>
  </si>
  <si>
    <t>GER</t>
  </si>
  <si>
    <t>M35</t>
  </si>
  <si>
    <t>GBR</t>
  </si>
  <si>
    <t>FRA</t>
  </si>
  <si>
    <t>RUS</t>
  </si>
  <si>
    <t>M25</t>
  </si>
  <si>
    <t>M55</t>
  </si>
  <si>
    <t>M60</t>
  </si>
  <si>
    <t>Földesi József</t>
  </si>
  <si>
    <t>KOR</t>
  </si>
  <si>
    <t>NED</t>
  </si>
  <si>
    <t>M65</t>
  </si>
  <si>
    <t>ESP</t>
  </si>
  <si>
    <t>M50</t>
  </si>
  <si>
    <t>TWN</t>
  </si>
  <si>
    <t>FIN</t>
  </si>
  <si>
    <t>CAN</t>
  </si>
  <si>
    <t>IND</t>
  </si>
  <si>
    <t>USA</t>
  </si>
  <si>
    <t>POL</t>
  </si>
  <si>
    <t>ROM</t>
  </si>
  <si>
    <t>Nagy Péter</t>
  </si>
  <si>
    <t>ISR</t>
  </si>
  <si>
    <t>BEL</t>
  </si>
  <si>
    <t>Markót András</t>
  </si>
  <si>
    <t>SLO</t>
  </si>
  <si>
    <t>ITA</t>
  </si>
  <si>
    <t>MDA</t>
  </si>
  <si>
    <t>SVK</t>
  </si>
  <si>
    <t>Faragó Roland</t>
  </si>
  <si>
    <t>Mészáros Imre</t>
  </si>
  <si>
    <t>CZE</t>
  </si>
  <si>
    <t>Cseresznyés Csaba Barna</t>
  </si>
  <si>
    <t>Tari István dr.</t>
  </si>
  <si>
    <t>Halmosi Gábor</t>
  </si>
  <si>
    <t>Pongrácz Gábor</t>
  </si>
  <si>
    <t>IRL</t>
  </si>
  <si>
    <t>Marsovszky László</t>
  </si>
  <si>
    <t>Béres Bálint</t>
  </si>
  <si>
    <t>SUI</t>
  </si>
  <si>
    <t>SWE</t>
  </si>
  <si>
    <t>Monori Péter</t>
  </si>
  <si>
    <t>AUT</t>
  </si>
  <si>
    <t>LUX</t>
  </si>
  <si>
    <t>NOR</t>
  </si>
  <si>
    <t>MEX</t>
  </si>
  <si>
    <t>GEO</t>
  </si>
  <si>
    <t>CHI</t>
  </si>
  <si>
    <t>Pajerich Péter</t>
  </si>
  <si>
    <t>Rácz Róbert László</t>
  </si>
  <si>
    <t>Tarjányi Attila</t>
  </si>
  <si>
    <t>Gyulai Dávid</t>
  </si>
  <si>
    <t>Horváth Balázs</t>
  </si>
  <si>
    <t>Szalai Attila</t>
  </si>
  <si>
    <t>Leel-Őssy István</t>
  </si>
  <si>
    <t>Tóth Gábor</t>
  </si>
  <si>
    <t>Tóth László</t>
  </si>
  <si>
    <t>Pristyák Zoltán</t>
  </si>
  <si>
    <t>RSA</t>
  </si>
  <si>
    <t>CHN</t>
  </si>
  <si>
    <t>Kaluz Ákos Bertalan</t>
  </si>
  <si>
    <t>Pethő Sándor</t>
  </si>
  <si>
    <t>Tehel Tibor</t>
  </si>
  <si>
    <t>Ádám Zsolt</t>
  </si>
  <si>
    <t>Cservák Tamás</t>
  </si>
  <si>
    <t>Nyitrai Mihály</t>
  </si>
  <si>
    <t>Molnár Zoltán</t>
  </si>
  <si>
    <t>Varga Gábor</t>
  </si>
  <si>
    <t>Kenyeres Gábor</t>
  </si>
  <si>
    <t>Hegedűs Attila</t>
  </si>
  <si>
    <t>Horváth Péter</t>
  </si>
  <si>
    <t>ALG</t>
  </si>
  <si>
    <t>Prajczer Péter Ferenc</t>
  </si>
  <si>
    <t>Jávor Gellért</t>
  </si>
  <si>
    <t>Nagy Miklós</t>
  </si>
  <si>
    <t>Lukács Zoltán</t>
  </si>
  <si>
    <t>AUS</t>
  </si>
  <si>
    <t>Szekretár János</t>
  </si>
  <si>
    <t>LAT</t>
  </si>
  <si>
    <t>NZL</t>
  </si>
  <si>
    <t>Négyesi László ifj</t>
  </si>
  <si>
    <t>POR</t>
  </si>
  <si>
    <t>Bikfalvi Péter</t>
  </si>
  <si>
    <t>BRA</t>
  </si>
  <si>
    <t>Ujhelyi Tamás</t>
  </si>
  <si>
    <t>Tamás István</t>
  </si>
  <si>
    <t>Dombay Gábor</t>
  </si>
  <si>
    <t>Rejtő András</t>
  </si>
  <si>
    <t>Lojkó Zoltán</t>
  </si>
  <si>
    <t>KAZ</t>
  </si>
  <si>
    <t>Kalmár Nagy László</t>
  </si>
  <si>
    <t>Pis Sándor</t>
  </si>
  <si>
    <t>Tóth Barnabás</t>
  </si>
  <si>
    <t>M70</t>
  </si>
  <si>
    <t>SRB</t>
  </si>
  <si>
    <t>Lipták János</t>
  </si>
  <si>
    <t>Molnár Gábor</t>
  </si>
  <si>
    <t>Pifka Gábor</t>
  </si>
  <si>
    <t>Ureczky Bálint</t>
  </si>
  <si>
    <t>M75</t>
  </si>
  <si>
    <t>Fehér László</t>
  </si>
  <si>
    <t>Sztercsa Tamás Dr.</t>
  </si>
  <si>
    <t>Hegedüs Levente</t>
  </si>
  <si>
    <t>Bangha Tamás Krisztián</t>
  </si>
  <si>
    <t>Kovács Gábor</t>
  </si>
  <si>
    <t>Burián András</t>
  </si>
  <si>
    <t>Kovács István</t>
  </si>
  <si>
    <t>Farkas Gyula</t>
  </si>
  <si>
    <t>Tóth Zoltán</t>
  </si>
  <si>
    <t>Kiss István</t>
  </si>
  <si>
    <t>Makkos Lóránt</t>
  </si>
  <si>
    <t>MKD</t>
  </si>
  <si>
    <t>Ulveczki Mihály</t>
  </si>
  <si>
    <t>Stelli Tibor</t>
  </si>
  <si>
    <t>Berényi Gergely</t>
  </si>
  <si>
    <t>Iván Bence</t>
  </si>
  <si>
    <t>Czingráber László</t>
  </si>
  <si>
    <t>Kovács Sándor</t>
  </si>
  <si>
    <t>Schuch Tamás</t>
  </si>
  <si>
    <t>Nagy Róbert Sándor</t>
  </si>
  <si>
    <t>M18</t>
  </si>
  <si>
    <t>Papp András</t>
  </si>
  <si>
    <t>Kota József</t>
  </si>
  <si>
    <t>Szabó István</t>
  </si>
  <si>
    <t>Tóth Sándor</t>
  </si>
  <si>
    <t>Varju Gáspár</t>
  </si>
  <si>
    <t>Juhos Gábor</t>
  </si>
  <si>
    <t>Károlyi Péter</t>
  </si>
  <si>
    <t>Baudot, Jean-Baptiste</t>
  </si>
  <si>
    <t>Papp László</t>
  </si>
  <si>
    <t>Farkas Péter</t>
  </si>
  <si>
    <t>CRO</t>
  </si>
  <si>
    <t>Pongrácz János</t>
  </si>
  <si>
    <t>Kiss Vilmos</t>
  </si>
  <si>
    <t>UKR</t>
  </si>
  <si>
    <t>Várszegi Gábor</t>
  </si>
  <si>
    <t>Bars Tamás</t>
  </si>
  <si>
    <t>Tulkán Attila</t>
  </si>
  <si>
    <t>Józsa Péter</t>
  </si>
  <si>
    <t>Gulyás András</t>
  </si>
  <si>
    <t>Davies, Gareth</t>
  </si>
  <si>
    <t>Nagy Imre dr.</t>
  </si>
  <si>
    <t>Péter Gábor</t>
  </si>
  <si>
    <t>Bán Gergely</t>
  </si>
  <si>
    <t>Nagy-Győri László</t>
  </si>
  <si>
    <t>Kun Árpád Csaba</t>
  </si>
  <si>
    <t>Czaltig Zsolt</t>
  </si>
  <si>
    <t>Demcsák Zoltán</t>
  </si>
  <si>
    <t>Tóth Péter</t>
  </si>
  <si>
    <t>Gasparics Gábor</t>
  </si>
  <si>
    <t>Takács Attila</t>
  </si>
  <si>
    <t>Baksa János</t>
  </si>
  <si>
    <t>Pajor Zoltán</t>
  </si>
  <si>
    <t>Nagy Attila</t>
  </si>
  <si>
    <t>Kovács Péter</t>
  </si>
  <si>
    <t>Horváth István</t>
  </si>
  <si>
    <t>Szabó Gábor</t>
  </si>
  <si>
    <t>Kiss István Elek</t>
  </si>
  <si>
    <t>Urbán Zsolt</t>
  </si>
  <si>
    <t>Vámos Sándor János</t>
  </si>
  <si>
    <t>JPN</t>
  </si>
  <si>
    <t>Görög Tamás</t>
  </si>
  <si>
    <t>Nagy István</t>
  </si>
  <si>
    <t>Molnár Tibor</t>
  </si>
  <si>
    <t>Richter Zsolt</t>
  </si>
  <si>
    <t>De Coster, Wouter</t>
  </si>
  <si>
    <t>Farkas Attila</t>
  </si>
  <si>
    <t>Lászka János dr.</t>
  </si>
  <si>
    <t>Molnár Péter</t>
  </si>
  <si>
    <t>Fenyvessy Gábor</t>
  </si>
  <si>
    <t>Hajdu Péter</t>
  </si>
  <si>
    <t>Majoros Gábor Zoltán</t>
  </si>
  <si>
    <t>Vass János</t>
  </si>
  <si>
    <t>???</t>
  </si>
  <si>
    <t>Kovács Attila</t>
  </si>
  <si>
    <t>THA</t>
  </si>
  <si>
    <t>Kocza István</t>
  </si>
  <si>
    <t>ALB</t>
  </si>
  <si>
    <t>Perneki Tibor</t>
  </si>
  <si>
    <t>Sztojcsev Iván</t>
  </si>
  <si>
    <t>LIT</t>
  </si>
  <si>
    <t>Magyar Csaba</t>
  </si>
  <si>
    <t>Bucsák Győző</t>
  </si>
  <si>
    <t>Bori János</t>
  </si>
  <si>
    <t>Szilágyi Zoltán</t>
  </si>
  <si>
    <t>GRE</t>
  </si>
  <si>
    <t>Berzi Zoltán</t>
  </si>
  <si>
    <t>Krakonperger Viktor</t>
  </si>
  <si>
    <t>Szerencsi Attila</t>
  </si>
  <si>
    <t>Nagy László</t>
  </si>
  <si>
    <t>Fehér Sándor Adrián</t>
  </si>
  <si>
    <t>Juhász Péter</t>
  </si>
  <si>
    <t>BOL</t>
  </si>
  <si>
    <t>Kretovics Gusztáv</t>
  </si>
  <si>
    <t>Kasza László</t>
  </si>
  <si>
    <t>Molnár Tamás</t>
  </si>
  <si>
    <t>Végső Csaba</t>
  </si>
  <si>
    <t>Kópiás Balázs</t>
  </si>
  <si>
    <t>Dobi Zsigmond</t>
  </si>
  <si>
    <t>Sándor Csaba</t>
  </si>
  <si>
    <t>Büki Dávid</t>
  </si>
  <si>
    <t>Szabó Balázs</t>
  </si>
  <si>
    <t>Hrustinszky Zsolt</t>
  </si>
  <si>
    <t>Szentes Gergely</t>
  </si>
  <si>
    <t>Szabó Norbert</t>
  </si>
  <si>
    <t>Dezső Sándor</t>
  </si>
  <si>
    <t>Lendvai Attila</t>
  </si>
  <si>
    <t>Major Balázs</t>
  </si>
  <si>
    <t>Konrát Andor Viktor</t>
  </si>
  <si>
    <t>Kiss Gábor</t>
  </si>
  <si>
    <t>SCO</t>
  </si>
  <si>
    <t>Major Tibor dr.</t>
  </si>
  <si>
    <t>Nyári Zoltán</t>
  </si>
  <si>
    <t>Tóth István</t>
  </si>
  <si>
    <t>Daczi Imre</t>
  </si>
  <si>
    <t>Vajda László</t>
  </si>
  <si>
    <t>Dobó Gábor</t>
  </si>
  <si>
    <t>Orsós Ferenc</t>
  </si>
  <si>
    <t>Peizer Szabolcs</t>
  </si>
  <si>
    <t>Bauer László</t>
  </si>
  <si>
    <t>Csapó Viktor</t>
  </si>
  <si>
    <t>Varga István</t>
  </si>
  <si>
    <t>Morvai Balázs</t>
  </si>
  <si>
    <t>Budai Sándor</t>
  </si>
  <si>
    <t>Sódor Ádám Dr.</t>
  </si>
  <si>
    <t>Oláh Csaba</t>
  </si>
  <si>
    <t>Donkó Antal</t>
  </si>
  <si>
    <t>Dobos Tamás</t>
  </si>
  <si>
    <t>Szászi Tamás Dr.</t>
  </si>
  <si>
    <t>Rudolf József dr.</t>
  </si>
  <si>
    <t>Jánosi Balázs</t>
  </si>
  <si>
    <t>Bordás Csaba</t>
  </si>
  <si>
    <t>Kiss Balázs</t>
  </si>
  <si>
    <t>Bakó Attila</t>
  </si>
  <si>
    <t>Szántó András</t>
  </si>
  <si>
    <t>Rajkó Tamás</t>
  </si>
  <si>
    <t>Pechl Ferenc</t>
  </si>
  <si>
    <t>Kiss László</t>
  </si>
  <si>
    <t>Szkridon Gellért</t>
  </si>
  <si>
    <t>Réthelyi János</t>
  </si>
  <si>
    <t>Szemerédi Gábor</t>
  </si>
  <si>
    <t>Pál László Csaba</t>
  </si>
  <si>
    <t>Szinger Balázs</t>
  </si>
  <si>
    <t>Mester Péter</t>
  </si>
  <si>
    <t>Illés Mátyás</t>
  </si>
  <si>
    <t>Nagy Zoltán</t>
  </si>
  <si>
    <t>Blázsik Endre</t>
  </si>
  <si>
    <t>INA</t>
  </si>
  <si>
    <t>Takács Gábor</t>
  </si>
  <si>
    <t>Somogyi Zsolt</t>
  </si>
  <si>
    <t>Vörös, Róbert</t>
  </si>
  <si>
    <t>Engler Tamás</t>
  </si>
  <si>
    <t>Kecskeméti György</t>
  </si>
  <si>
    <t>Pap Sándor</t>
  </si>
  <si>
    <t>Papp Tuma Attila</t>
  </si>
  <si>
    <t>Beke Károly</t>
  </si>
  <si>
    <t>Török Zoltán</t>
  </si>
  <si>
    <t>Balogh Roland</t>
  </si>
  <si>
    <t>Farkas István</t>
  </si>
  <si>
    <t>Szabó Patrik</t>
  </si>
  <si>
    <t>Beke Tamás László</t>
  </si>
  <si>
    <t>Ördög Krisztián</t>
  </si>
  <si>
    <t>Resz András</t>
  </si>
  <si>
    <t>Benkő Gábor</t>
  </si>
  <si>
    <t>Tóth Tamás</t>
  </si>
  <si>
    <t>Váradi Gábor</t>
  </si>
  <si>
    <t>SYR</t>
  </si>
  <si>
    <t>Katona György</t>
  </si>
  <si>
    <t>Portik, Lóránd</t>
  </si>
  <si>
    <t>Horváth Zsolt</t>
  </si>
  <si>
    <t>Jódy Károly</t>
  </si>
  <si>
    <t>BIH</t>
  </si>
  <si>
    <t>Molnár Bence</t>
  </si>
  <si>
    <t>Bicskei Roland</t>
  </si>
  <si>
    <t>Szirmai Péter</t>
  </si>
  <si>
    <t>Vojtkó Tibor</t>
  </si>
  <si>
    <t>Lipóth István</t>
  </si>
  <si>
    <t>Garamszegi László</t>
  </si>
  <si>
    <t>Izsó László</t>
  </si>
  <si>
    <t>Kelemen Zsolt</t>
  </si>
  <si>
    <t>Gyúri Attila</t>
  </si>
  <si>
    <t>Tóth János</t>
  </si>
  <si>
    <t>Nagy Kornél</t>
  </si>
  <si>
    <t>Szalmási Dániel</t>
  </si>
  <si>
    <t>Csecsetka Dániel</t>
  </si>
  <si>
    <t>Kelemen József</t>
  </si>
  <si>
    <t>Hajzer János</t>
  </si>
  <si>
    <t>Nagy Csaba</t>
  </si>
  <si>
    <t>Szöllőssy Krisztián</t>
  </si>
  <si>
    <t>Kiss Sándor</t>
  </si>
  <si>
    <t>Darányi János</t>
  </si>
  <si>
    <t>Lengyel László Ottó</t>
  </si>
  <si>
    <t>Zsöllei Ákos</t>
  </si>
  <si>
    <t>Horváth Ferenc</t>
  </si>
  <si>
    <t>Vincze Zsolt</t>
  </si>
  <si>
    <t>VIE</t>
  </si>
  <si>
    <t>Juhász Balázs</t>
  </si>
  <si>
    <t>Fekete Gábor</t>
  </si>
  <si>
    <t>SIN</t>
  </si>
  <si>
    <t>Kiss Ottó</t>
  </si>
  <si>
    <t>Papai Laszlo</t>
  </si>
  <si>
    <t>Barabás Áron</t>
  </si>
  <si>
    <t>Lantos János</t>
  </si>
  <si>
    <t>Varga Krisztián</t>
  </si>
  <si>
    <t>Takács István</t>
  </si>
  <si>
    <t>Dudás Péter</t>
  </si>
  <si>
    <t>Vandenko, Anton</t>
  </si>
  <si>
    <t>Soltész Márk Mihály</t>
  </si>
  <si>
    <t>Khazanehdari, Jamshid</t>
  </si>
  <si>
    <t>Hartlieb Balázs dr.</t>
  </si>
  <si>
    <t>Márton Tibor</t>
  </si>
  <si>
    <t>Kiss Csaba</t>
  </si>
  <si>
    <t>Kadenszky Zsolt</t>
  </si>
  <si>
    <t>Százdi László Tamás Dr.</t>
  </si>
  <si>
    <t>Jenkei Péter</t>
  </si>
  <si>
    <t>Furdan Dániel</t>
  </si>
  <si>
    <t>Szabó Attila dr.</t>
  </si>
  <si>
    <t>MAS</t>
  </si>
  <si>
    <t>Kovács Zoltán József</t>
  </si>
  <si>
    <t>Hernádi Edvin</t>
  </si>
  <si>
    <t>Petró Ádám</t>
  </si>
  <si>
    <t>ISL</t>
  </si>
  <si>
    <t>Molnár Ferenc Dr.</t>
  </si>
  <si>
    <t>HKG</t>
  </si>
  <si>
    <t>Antal Zsolt</t>
  </si>
  <si>
    <t>Lenti József</t>
  </si>
  <si>
    <t>Palkovics Péter</t>
  </si>
  <si>
    <t>Babarczy Tamás</t>
  </si>
  <si>
    <t>Both Szabolcs</t>
  </si>
  <si>
    <t>Koleszár Krisztián</t>
  </si>
  <si>
    <t>Takács Csaba</t>
  </si>
  <si>
    <t>Tóth Imre</t>
  </si>
  <si>
    <t>Szabó Gyula</t>
  </si>
  <si>
    <t>Farkas Gábor</t>
  </si>
  <si>
    <t>Kis Gábor</t>
  </si>
  <si>
    <t>Tál Gábor</t>
  </si>
  <si>
    <t>Kiss Attila</t>
  </si>
  <si>
    <t>Sáfár Zsolt</t>
  </si>
  <si>
    <t>Tabajdi József Nándor</t>
  </si>
  <si>
    <t>Kuris Oszkár</t>
  </si>
  <si>
    <t>Németh Balázs</t>
  </si>
  <si>
    <t>Füki Gyula</t>
  </si>
  <si>
    <t>Trella-Várhelyi Róbert</t>
  </si>
  <si>
    <t>Piszker Zoltán</t>
  </si>
  <si>
    <t>Csikós Gergő</t>
  </si>
  <si>
    <t>Futó Zsolt</t>
  </si>
  <si>
    <t>Ibos Igor</t>
  </si>
  <si>
    <t>Hettinger Sándor dr.</t>
  </si>
  <si>
    <t>Horváth Csaba</t>
  </si>
  <si>
    <t>Bazsinka József</t>
  </si>
  <si>
    <t>Sarok Ferenc</t>
  </si>
  <si>
    <t>Borbás Imre</t>
  </si>
  <si>
    <t>Telek Gábor</t>
  </si>
  <si>
    <t>Csillik Áron</t>
  </si>
  <si>
    <t>Kozma Géza</t>
  </si>
  <si>
    <t>Páyer Imre</t>
  </si>
  <si>
    <t>Fosztó Zsolt</t>
  </si>
  <si>
    <t>Füle Zsolt</t>
  </si>
  <si>
    <t>Ács István Győző</t>
  </si>
  <si>
    <t>Szikszai Ferenc ifj</t>
  </si>
  <si>
    <t>Bognár Attila</t>
  </si>
  <si>
    <t>Lőrincz Sándor</t>
  </si>
  <si>
    <t>Bogár János</t>
  </si>
  <si>
    <t>Nagy Gábor</t>
  </si>
  <si>
    <t>Rácz István</t>
  </si>
  <si>
    <t>Farkas Tamás</t>
  </si>
  <si>
    <t>ARG</t>
  </si>
  <si>
    <t>Vág János ifj</t>
  </si>
  <si>
    <t>Tóth Ervin</t>
  </si>
  <si>
    <t>Muskovics Endre</t>
  </si>
  <si>
    <t>Kondor János</t>
  </si>
  <si>
    <t>Tóth András</t>
  </si>
  <si>
    <t>Csővári Szabolcs</t>
  </si>
  <si>
    <t>Kövér Balázs</t>
  </si>
  <si>
    <t>Lukács Sándor</t>
  </si>
  <si>
    <t>Cristian, Togor</t>
  </si>
  <si>
    <t>Varga Zoltán</t>
  </si>
  <si>
    <t>Pető Márk</t>
  </si>
  <si>
    <t>Márkus György</t>
  </si>
  <si>
    <t>Séner Gergő</t>
  </si>
  <si>
    <t>Vízer Dániel</t>
  </si>
  <si>
    <t>Pljesovszki Roland</t>
  </si>
  <si>
    <t>Kralován Árpád</t>
  </si>
  <si>
    <t>Cseresznyés Dániel</t>
  </si>
  <si>
    <t>Cserpák Tamás</t>
  </si>
  <si>
    <t>Kápolnás József</t>
  </si>
  <si>
    <t>Christensen, Tommy</t>
  </si>
  <si>
    <t>Schulcz Gábor</t>
  </si>
  <si>
    <t>Horváth Attila</t>
  </si>
  <si>
    <t>Meleg Attila</t>
  </si>
  <si>
    <t>Misák, Béla ifj</t>
  </si>
  <si>
    <t>Szabó Attila</t>
  </si>
  <si>
    <t>Gartner Áron</t>
  </si>
  <si>
    <t>Szalay Krisztián</t>
  </si>
  <si>
    <t>Viola László</t>
  </si>
  <si>
    <t>Dimény László</t>
  </si>
  <si>
    <t>Illés György dr.</t>
  </si>
  <si>
    <t>Hajnal Balázs</t>
  </si>
  <si>
    <t>Szabo Zsolt</t>
  </si>
  <si>
    <t>Sólyom Zoltán</t>
  </si>
  <si>
    <t>Tózsa Balázs</t>
  </si>
  <si>
    <t>Takács András</t>
  </si>
  <si>
    <t>MLT</t>
  </si>
  <si>
    <t>Pozsgai Mihály</t>
  </si>
  <si>
    <t>Kardos Péter</t>
  </si>
  <si>
    <t>Jurcsák Viktor</t>
  </si>
  <si>
    <t>Pók János</t>
  </si>
  <si>
    <t>Hiripi Ferenc</t>
  </si>
  <si>
    <t>Kurpé László dr.</t>
  </si>
  <si>
    <t>Sándor Miklós</t>
  </si>
  <si>
    <t>Csipak István</t>
  </si>
  <si>
    <t>LIB</t>
  </si>
  <si>
    <t>Ferge István</t>
  </si>
  <si>
    <t>Szabó Péter</t>
  </si>
  <si>
    <t>Sebestyén Ádám Dr.</t>
  </si>
  <si>
    <t>Pajor Attila</t>
  </si>
  <si>
    <t>Tagscherer Imre</t>
  </si>
  <si>
    <t>Széll Endre</t>
  </si>
  <si>
    <t>Sipos Ádám Bence</t>
  </si>
  <si>
    <t>Somodi László Antal</t>
  </si>
  <si>
    <t>Prencsok József</t>
  </si>
  <si>
    <t>Gulyás Péter</t>
  </si>
  <si>
    <t>Delly Csaba</t>
  </si>
  <si>
    <t>Tóth Donát</t>
  </si>
  <si>
    <t>Molnár Ferenc</t>
  </si>
  <si>
    <t>Hegedűs János</t>
  </si>
  <si>
    <t>Szabó László</t>
  </si>
  <si>
    <t>Szeibel Máté</t>
  </si>
  <si>
    <t>Varga Lőrinc</t>
  </si>
  <si>
    <t>Peyer Zoltán</t>
  </si>
  <si>
    <t>Gavaldi János</t>
  </si>
  <si>
    <t>Bajcsi Sándor</t>
  </si>
  <si>
    <t>Baranyi Gábor</t>
  </si>
  <si>
    <t>Metzger Balázs</t>
  </si>
  <si>
    <t>Pszota Attila</t>
  </si>
  <si>
    <t>Hájas Attila</t>
  </si>
  <si>
    <t>Krajcar, Zelko</t>
  </si>
  <si>
    <t>Gelencer, Damir</t>
  </si>
  <si>
    <t>Gelányi Attila</t>
  </si>
  <si>
    <t>Békési László</t>
  </si>
  <si>
    <t>Kuczkó Róbert</t>
  </si>
  <si>
    <t>Rozgonyi Zoltán Attila</t>
  </si>
  <si>
    <t>Bokor Zoltán</t>
  </si>
  <si>
    <t>Szabó Zsolt</t>
  </si>
  <si>
    <t>Balczó Norbert</t>
  </si>
  <si>
    <t>Csató Gergő</t>
  </si>
  <si>
    <t>Hegedűs Henrik</t>
  </si>
  <si>
    <t>Fekete András dr.</t>
  </si>
  <si>
    <t>Borbély Imre</t>
  </si>
  <si>
    <t>Majláth Gábor</t>
  </si>
  <si>
    <t>Simon András</t>
  </si>
  <si>
    <t>Bata Balázs</t>
  </si>
  <si>
    <t>Avin, Houman</t>
  </si>
  <si>
    <t>Sipos Sándor</t>
  </si>
  <si>
    <t>Juhász József</t>
  </si>
  <si>
    <t>Benke Balázs Attila</t>
  </si>
  <si>
    <t>Turi Gábor</t>
  </si>
  <si>
    <t>Soós Elek</t>
  </si>
  <si>
    <t>Biró Balázs</t>
  </si>
  <si>
    <t>BUL</t>
  </si>
  <si>
    <t>File Balázs</t>
  </si>
  <si>
    <t>Szökrönyös László</t>
  </si>
  <si>
    <t>Gulyás Balázs</t>
  </si>
  <si>
    <t>Béres Szilárd</t>
  </si>
  <si>
    <t>Pintér Ferenc</t>
  </si>
  <si>
    <t>Réder Kristóf</t>
  </si>
  <si>
    <t>Gulyás Attila</t>
  </si>
  <si>
    <t>Tóth Dávid</t>
  </si>
  <si>
    <t>Holecz Attila</t>
  </si>
  <si>
    <t>Budenszki Péter</t>
  </si>
  <si>
    <t>Tánczos László</t>
  </si>
  <si>
    <t>Mata László</t>
  </si>
  <si>
    <t>Kóczián Tibor</t>
  </si>
  <si>
    <t>Székelyhidi Zoltán Csaba</t>
  </si>
  <si>
    <t>Kálmán Zsolt</t>
  </si>
  <si>
    <t>Stollmayer Ákos</t>
  </si>
  <si>
    <t>Vitéz Attila</t>
  </si>
  <si>
    <t>Simsik Zoltán</t>
  </si>
  <si>
    <t>Retek Zoltán</t>
  </si>
  <si>
    <t>Balázs Ferenc</t>
  </si>
  <si>
    <t>Mészáros Gábor</t>
  </si>
  <si>
    <t>Járosi Tamás</t>
  </si>
  <si>
    <t>Tokai Tamás</t>
  </si>
  <si>
    <t>Gyulai László</t>
  </si>
  <si>
    <t>Stollmayer Ákos Zoltán</t>
  </si>
  <si>
    <t>Márki-Zay Dániel</t>
  </si>
  <si>
    <t>Lilik Ádám</t>
  </si>
  <si>
    <t>Meszleny Zsolt</t>
  </si>
  <si>
    <t>Keller Elek</t>
  </si>
  <si>
    <t>Illés, Péter</t>
  </si>
  <si>
    <t>Daniel, Nemes</t>
  </si>
  <si>
    <t>Kovács László</t>
  </si>
  <si>
    <t>Szalai László</t>
  </si>
  <si>
    <t>Haven, Peter</t>
  </si>
  <si>
    <t>Győrffy András</t>
  </si>
  <si>
    <t>Dózsa Gergely</t>
  </si>
  <si>
    <t>Gaszner Zsolt</t>
  </si>
  <si>
    <t>Halász Tamás</t>
  </si>
  <si>
    <t>Mucsi Zoltán</t>
  </si>
  <si>
    <t>Gellén László</t>
  </si>
  <si>
    <t>Durucz István</t>
  </si>
  <si>
    <t>Bajári Attila</t>
  </si>
  <si>
    <t>Pásztor Ádám</t>
  </si>
  <si>
    <t>Kőnig Ferenc</t>
  </si>
  <si>
    <t>Turner John</t>
  </si>
  <si>
    <t>Sebesvári Bence</t>
  </si>
  <si>
    <t>Vadkerti Csaba</t>
  </si>
  <si>
    <t>Radak, Perica</t>
  </si>
  <si>
    <t>Mészáros Lajos</t>
  </si>
  <si>
    <t>Szilasi Árpád</t>
  </si>
  <si>
    <t>Szakál Endre</t>
  </si>
  <si>
    <t>Schultz György</t>
  </si>
  <si>
    <t>Fogarasi Zoltán Dániel</t>
  </si>
  <si>
    <t>Boross András</t>
  </si>
  <si>
    <t>345-360</t>
  </si>
  <si>
    <t>Magyar Róbert</t>
  </si>
  <si>
    <t>330-345</t>
  </si>
  <si>
    <t>315-330</t>
  </si>
  <si>
    <t>300-315</t>
  </si>
  <si>
    <t>285-300</t>
  </si>
  <si>
    <t>270-285</t>
  </si>
  <si>
    <t>255-270</t>
  </si>
  <si>
    <t>240-255</t>
  </si>
  <si>
    <t>225-240</t>
  </si>
  <si>
    <t>210-225</t>
  </si>
  <si>
    <t>195-210</t>
  </si>
  <si>
    <t>180-195</t>
  </si>
  <si>
    <t>165-180</t>
  </si>
  <si>
    <t>150-165</t>
  </si>
  <si>
    <t>&lt;150</t>
  </si>
  <si>
    <t>Idő (perc)</t>
  </si>
  <si>
    <t>Piszter Gergely</t>
  </si>
  <si>
    <t>c)</t>
  </si>
  <si>
    <t>Németh-Döltl György</t>
  </si>
  <si>
    <t>László-Varga, Zoltán</t>
  </si>
  <si>
    <t>Priger István Imre</t>
  </si>
  <si>
    <t>Maximum</t>
  </si>
  <si>
    <t>Váradi Zoltán</t>
  </si>
  <si>
    <t>Minimum</t>
  </si>
  <si>
    <t>Eredmény</t>
  </si>
  <si>
    <t>Ország</t>
  </si>
  <si>
    <t>Név / Csapatnév</t>
  </si>
  <si>
    <t>A Spar Maraton verseny dátuma</t>
  </si>
  <si>
    <t>Ezer főre jutó sz.gépkocsik száma</t>
  </si>
  <si>
    <t>Ezer főre jutó
személygépkocsik száma</t>
  </si>
  <si>
    <t>Ezer főre jutó házasságkötések száma</t>
  </si>
  <si>
    <t>Ezer főre jutó
házasságkötések száma</t>
  </si>
  <si>
    <t>Személygépkocsik</t>
  </si>
  <si>
    <t>Házasságkötések</t>
  </si>
  <si>
    <t>Házasságkötések
száma</t>
  </si>
  <si>
    <t>Népesség</t>
  </si>
  <si>
    <t>Egyetem</t>
  </si>
  <si>
    <t>Főiskola</t>
  </si>
  <si>
    <t>Egyéb érettségi</t>
  </si>
  <si>
    <t>Gimnázium</t>
  </si>
  <si>
    <t>Szakiskola, szakmunkás</t>
  </si>
  <si>
    <t>8 általános</t>
  </si>
  <si>
    <t>8 általános alatt</t>
  </si>
  <si>
    <t>Láncviszonyszám arány (előző = 100%)</t>
  </si>
  <si>
    <t>Láncviszonyszám létszám (előző = 100%)</t>
  </si>
  <si>
    <t>Bázisviszonyszám arány (2009 = 100%)</t>
  </si>
  <si>
    <t>Bázisviszonyszám létszám (2009 = 100%)</t>
  </si>
  <si>
    <t>Munkanélküliek aránya (%)</t>
  </si>
  <si>
    <t>Munkanélküliek száma (ezer fő)</t>
  </si>
  <si>
    <t xml:space="preserve">Töltse le a táblázatot, majd jellemezze a munkanélküliség végzettség szerinti alakulását! </t>
  </si>
  <si>
    <t>A Központi Statisztikai Hivatal honlapján megtalálható a munkanélküliek számának a legmagasabb iskolai végzettség szerinti alakulása 2009 és 2022 között.</t>
  </si>
  <si>
    <t>Európa</t>
  </si>
  <si>
    <t>Ázsia</t>
  </si>
  <si>
    <t>Ausztrália és Óceánia</t>
  </si>
  <si>
    <t>Amerika</t>
  </si>
  <si>
    <t>Afrika</t>
  </si>
  <si>
    <t>Hónap</t>
  </si>
  <si>
    <t>Láncviszonyszám az esetszámok megoszlására (előző = 100%)</t>
  </si>
  <si>
    <t>Láncviszonyszám az esetszámokra (előző = 100%)</t>
  </si>
  <si>
    <t>Bázisviszonyszám az esetszámok megoszlására (2020.03. = 100%)</t>
  </si>
  <si>
    <t>Bázisviszonyszám az esetszámokra (2020.03. = 100%)</t>
  </si>
  <si>
    <t>1 millió főre jutó koronavírus esetszám (eset/millió fő)</t>
  </si>
  <si>
    <t>Koronavírus esetszám megoszlása (%)</t>
  </si>
  <si>
    <t>Koronavírus esetszám (fő)</t>
  </si>
  <si>
    <t xml:space="preserve">Jellemezze az adatokat viszonyszámokkal és grafikusan! </t>
  </si>
  <si>
    <t>Az alábbi két táblázat a havi új koronavírus megbetegedések számát (fő) és az adott évben a népesség évközepi (július 1.) számát (millió fő) mutatja 2020. március és 2023. augusztus között kontinensek szerinti bontásban.</t>
  </si>
  <si>
    <t>Szociális védelem</t>
  </si>
  <si>
    <t>Oktatás</t>
  </si>
  <si>
    <t>Kultúra és vallás</t>
  </si>
  <si>
    <t>Egészségügy</t>
  </si>
  <si>
    <t>Környezet
védelem</t>
  </si>
  <si>
    <t>Gazdasági ügyek</t>
  </si>
  <si>
    <t>Közbiztonság</t>
  </si>
  <si>
    <t>Védelem</t>
  </si>
  <si>
    <t>Láncviszonyszám megoszlás (előző = 100%)</t>
  </si>
  <si>
    <t>Láncviszonyszám kiadások (előző = 100%)</t>
  </si>
  <si>
    <t>Bázisviszonyszám megoszlás (2010 = 100%)</t>
  </si>
  <si>
    <t>Bázisviszonyszám kiadások (2010 = 100%)</t>
  </si>
  <si>
    <t>Kormányzati kiadások megoszlása (%)</t>
  </si>
  <si>
    <t>Kormányzati kiadások (millió Ft)</t>
  </si>
  <si>
    <t>A Központi Statisztikai Hivatal honlapján megtalálható a kormányzat végső fogyasztási kiadásainak funkciók szerint alakulása 2010 és 2022 között.</t>
  </si>
  <si>
    <t xml:space="preserve">Jellemezze a kormányzati kiadások funkciók szerinti alakulását! </t>
  </si>
  <si>
    <t>Általános köz-szolgáltatások</t>
  </si>
  <si>
    <t>Település-fejlesztés</t>
  </si>
  <si>
    <t>A Központi Statisztikai Hivatal honlapján megtalálhatók a gimnáziumokra vonatkozó adatok az 1990/1991. tanévtől 2024/2025-ös tanévig.</t>
  </si>
  <si>
    <t>2024/2025</t>
  </si>
  <si>
    <r>
      <t xml:space="preserve">Névleges skála </t>
    </r>
    <r>
      <rPr>
        <sz val="10"/>
        <rFont val="Symbol"/>
        <family val="1"/>
        <charset val="2"/>
      </rPr>
      <t>®</t>
    </r>
    <r>
      <rPr>
        <sz val="10"/>
        <rFont val="Arial"/>
        <family val="2"/>
        <charset val="238"/>
      </rPr>
      <t xml:space="preserve"> darabszám és megoszlás értelmezhető, az ábra kördiagram</t>
    </r>
  </si>
  <si>
    <r>
      <t xml:space="preserve">sorrendiség már van </t>
    </r>
    <r>
      <rPr>
        <sz val="10"/>
        <rFont val="Symbol"/>
        <family val="1"/>
        <charset val="2"/>
      </rPr>
      <t>®</t>
    </r>
    <r>
      <rPr>
        <sz val="10"/>
        <rFont val="Arial"/>
        <family val="2"/>
        <charset val="238"/>
      </rPr>
      <t xml:space="preserve"> oszlopdiagram (szimmetrikus eloszlás)</t>
    </r>
  </si>
  <si>
    <t>Bűncselekmények száma (db)</t>
  </si>
  <si>
    <t>Bűncselekmények megoszlása (%)</t>
  </si>
  <si>
    <t>Láncviszonyszám bűncselekmények (előző = 100%)</t>
  </si>
  <si>
    <t>A lenti táblázatban a 2024-es Spar Maraton férfi verseny adatait láthatjuk.</t>
  </si>
  <si>
    <t>Zachar, Matej</t>
  </si>
  <si>
    <t>03:28:13</t>
  </si>
  <si>
    <t>Szalai Barna</t>
  </si>
  <si>
    <t>04:05:38</t>
  </si>
  <si>
    <t>Herman Patrik</t>
  </si>
  <si>
    <t>04:51:06</t>
  </si>
  <si>
    <t>Ujszegi Róbert</t>
  </si>
  <si>
    <t>03:31:16</t>
  </si>
  <si>
    <t>03:51:29</t>
  </si>
  <si>
    <t>MORGAN, DAVID</t>
  </si>
  <si>
    <t>04:24:09</t>
  </si>
  <si>
    <t>04:41:08</t>
  </si>
  <si>
    <t>Katus Kristóf</t>
  </si>
  <si>
    <t>03:47:54</t>
  </si>
  <si>
    <t>VINCENT, MIELLE</t>
  </si>
  <si>
    <t>04:05:21</t>
  </si>
  <si>
    <t>Bajnóczki Csongor</t>
  </si>
  <si>
    <t>03:56:56</t>
  </si>
  <si>
    <t>Roberts, Mark</t>
  </si>
  <si>
    <t>03:36:44</t>
  </si>
  <si>
    <t>Pálfi Előd</t>
  </si>
  <si>
    <t>03:58:23</t>
  </si>
  <si>
    <t>Brabrand, Kristoffer</t>
  </si>
  <si>
    <t>02:49:22</t>
  </si>
  <si>
    <t>Szlaukó Róbert</t>
  </si>
  <si>
    <t>05:14:18</t>
  </si>
  <si>
    <t>Wennerström, Per</t>
  </si>
  <si>
    <t>03:23:34</t>
  </si>
  <si>
    <t>Manduch, Jan</t>
  </si>
  <si>
    <t>03:27:29</t>
  </si>
  <si>
    <t>Jagasits Tamás</t>
  </si>
  <si>
    <t>03:45:59</t>
  </si>
  <si>
    <t>05:26:03</t>
  </si>
  <si>
    <t>Nour Eddin Abdul Nasser</t>
  </si>
  <si>
    <t>05:11:36</t>
  </si>
  <si>
    <t>Strasser, Tobias</t>
  </si>
  <si>
    <t>05:23:35</t>
  </si>
  <si>
    <t>03:09:16</t>
  </si>
  <si>
    <t>Shearwood, Michael</t>
  </si>
  <si>
    <t>03:38:42</t>
  </si>
  <si>
    <t>05:25:05</t>
  </si>
  <si>
    <t>Kukor Dávid</t>
  </si>
  <si>
    <t>03:26:35</t>
  </si>
  <si>
    <t>MUNARI, FRANCO</t>
  </si>
  <si>
    <t>04:25:34</t>
  </si>
  <si>
    <t>Bozó-Bódi Gábor</t>
  </si>
  <si>
    <t>03:47:38</t>
  </si>
  <si>
    <t>Lukács Gábor</t>
  </si>
  <si>
    <t>04:45:27</t>
  </si>
  <si>
    <t>Seignette, Max</t>
  </si>
  <si>
    <t>03:09:08</t>
  </si>
  <si>
    <t>Sasson, Nir</t>
  </si>
  <si>
    <t>03:47:35</t>
  </si>
  <si>
    <t>Wyatt, Peter dr</t>
  </si>
  <si>
    <t>03:16:04</t>
  </si>
  <si>
    <t>GAL, DARIUS</t>
  </si>
  <si>
    <t>04:45:30</t>
  </si>
  <si>
    <t>Molnár Mihály</t>
  </si>
  <si>
    <t>05:11:04</t>
  </si>
  <si>
    <t>Paggi, Patrizio</t>
  </si>
  <si>
    <t>03:41:47</t>
  </si>
  <si>
    <t>Piskla, tefan</t>
  </si>
  <si>
    <t>03:25:51</t>
  </si>
  <si>
    <t>KARAVIDAS, KONSTNATIN</t>
  </si>
  <si>
    <t>04:20:27</t>
  </si>
  <si>
    <t>Kovács Csaba</t>
  </si>
  <si>
    <t>04:38:22</t>
  </si>
  <si>
    <t>Franck, Thomas</t>
  </si>
  <si>
    <t>04:20:41</t>
  </si>
  <si>
    <t>04:00:44</t>
  </si>
  <si>
    <t>Knezevic, Goran</t>
  </si>
  <si>
    <t>04:15:52</t>
  </si>
  <si>
    <t>Hanley, Ryan</t>
  </si>
  <si>
    <t>04:35:05</t>
  </si>
  <si>
    <t>Lückhoff, Gerhard</t>
  </si>
  <si>
    <t>03:29:59</t>
  </si>
  <si>
    <t>Csiki Tas</t>
  </si>
  <si>
    <t>03:40:53</t>
  </si>
  <si>
    <t>Kládek, Attila</t>
  </si>
  <si>
    <t>03:48:04</t>
  </si>
  <si>
    <t>Flynn, Daniel</t>
  </si>
  <si>
    <t>03:41:14</t>
  </si>
  <si>
    <t>Ido, Rotman</t>
  </si>
  <si>
    <t>04:16:47</t>
  </si>
  <si>
    <t>03:25:16</t>
  </si>
  <si>
    <t>Barta Gábor</t>
  </si>
  <si>
    <t>03:08:16</t>
  </si>
  <si>
    <t>Mankiewicz, Mariusz</t>
  </si>
  <si>
    <t>04:18:26</t>
  </si>
  <si>
    <t>Czövek Andrys</t>
  </si>
  <si>
    <t>04:31:30</t>
  </si>
  <si>
    <t>Kok, Rens</t>
  </si>
  <si>
    <t>03:39:46</t>
  </si>
  <si>
    <t>Webber, William</t>
  </si>
  <si>
    <t>03:30:02</t>
  </si>
  <si>
    <t>Herbay András</t>
  </si>
  <si>
    <t>03:23:32</t>
  </si>
  <si>
    <t>Ferencz Gyula</t>
  </si>
  <si>
    <t>04:14:59</t>
  </si>
  <si>
    <t>Saad, Rageb</t>
  </si>
  <si>
    <t>03:54:03</t>
  </si>
  <si>
    <t>ERDEI, NORBERT</t>
  </si>
  <si>
    <t>03:48:23</t>
  </si>
  <si>
    <t>Bredács István</t>
  </si>
  <si>
    <t>04:24:44</t>
  </si>
  <si>
    <t>DIMITRIOS, KOUTSOUMPIDIS</t>
  </si>
  <si>
    <t>02:50:09</t>
  </si>
  <si>
    <t>Szappanos Tamás</t>
  </si>
  <si>
    <t>03:46:23</t>
  </si>
  <si>
    <t>Fucile, Fabrizio prof</t>
  </si>
  <si>
    <t>04:05:52</t>
  </si>
  <si>
    <t>Illés Zoltán Dávid</t>
  </si>
  <si>
    <t>03:26:56</t>
  </si>
  <si>
    <t>Berendi Dominik</t>
  </si>
  <si>
    <t>04:21:51</t>
  </si>
  <si>
    <t>VERGAUWE, LUC</t>
  </si>
  <si>
    <t>04:19:35</t>
  </si>
  <si>
    <t>Gilis, Maxim</t>
  </si>
  <si>
    <t>03:35:42</t>
  </si>
  <si>
    <t>Földes Antal Márton</t>
  </si>
  <si>
    <t>03:17:48</t>
  </si>
  <si>
    <t>Balázs Ervin</t>
  </si>
  <si>
    <t>04:10:30</t>
  </si>
  <si>
    <t>Rácz Bence</t>
  </si>
  <si>
    <t>04:43:33</t>
  </si>
  <si>
    <t>Pataki András</t>
  </si>
  <si>
    <t>04:11:08</t>
  </si>
  <si>
    <t>Done, Andrew</t>
  </si>
  <si>
    <t>04:31:03</t>
  </si>
  <si>
    <t>Béres Tamás</t>
  </si>
  <si>
    <t>03:51:36</t>
  </si>
  <si>
    <t>04:18:42</t>
  </si>
  <si>
    <t>Ainscough, Tom prof</t>
  </si>
  <si>
    <t>02:58:12</t>
  </si>
  <si>
    <t>Virag Gyula</t>
  </si>
  <si>
    <t>04:44:04</t>
  </si>
  <si>
    <t>Hathi, Cameron</t>
  </si>
  <si>
    <t>03:37:40</t>
  </si>
  <si>
    <t>04:16:10</t>
  </si>
  <si>
    <t>Czeglédy Krisztián</t>
  </si>
  <si>
    <t>04:42:59</t>
  </si>
  <si>
    <t>Mengyi Péter</t>
  </si>
  <si>
    <t>03:47:27</t>
  </si>
  <si>
    <t>Veress Péter</t>
  </si>
  <si>
    <t>03:46:48</t>
  </si>
  <si>
    <t>Debreczeni Bence</t>
  </si>
  <si>
    <t>03:47:09</t>
  </si>
  <si>
    <t>Brown, Laurie</t>
  </si>
  <si>
    <t>03:30:51</t>
  </si>
  <si>
    <t>Szommer Lőrinc</t>
  </si>
  <si>
    <t>04:07:24</t>
  </si>
  <si>
    <t>Lutor Tamás</t>
  </si>
  <si>
    <t>04:10:54</t>
  </si>
  <si>
    <t>Balassa Balázs</t>
  </si>
  <si>
    <t>04:44:40</t>
  </si>
  <si>
    <t>Raykov, Ivo</t>
  </si>
  <si>
    <t>04:04:01</t>
  </si>
  <si>
    <t>Hompot Ferenc</t>
  </si>
  <si>
    <t>05:07:21</t>
  </si>
  <si>
    <t>03:08:43</t>
  </si>
  <si>
    <t>Vaszkó Máté</t>
  </si>
  <si>
    <t>03:49:10</t>
  </si>
  <si>
    <t>04:58:43</t>
  </si>
  <si>
    <t>Kovács Krisztián</t>
  </si>
  <si>
    <t>04:48:13</t>
  </si>
  <si>
    <t>Conlon, Argelnon</t>
  </si>
  <si>
    <t>03:50:58</t>
  </si>
  <si>
    <t>Tóbiás Rajmund dr</t>
  </si>
  <si>
    <t>04:06:33</t>
  </si>
  <si>
    <t>Pierre, Renauld</t>
  </si>
  <si>
    <t>02:47:38</t>
  </si>
  <si>
    <t>Green, James</t>
  </si>
  <si>
    <t>03:51:07</t>
  </si>
  <si>
    <t>Weissbrich, Alexander</t>
  </si>
  <si>
    <t>03:54:49</t>
  </si>
  <si>
    <t>Khairrul Saleh, Imran</t>
  </si>
  <si>
    <t>04:16:39</t>
  </si>
  <si>
    <t>Király Béla</t>
  </si>
  <si>
    <t>05:11:16</t>
  </si>
  <si>
    <t>Rác Benedek</t>
  </si>
  <si>
    <t>03:56:29</t>
  </si>
  <si>
    <t>Loboncz Dávid</t>
  </si>
  <si>
    <t>05:00:50</t>
  </si>
  <si>
    <t>03:23:14</t>
  </si>
  <si>
    <t>Adamson, Stewart</t>
  </si>
  <si>
    <t>04:19:43</t>
  </si>
  <si>
    <t>Buzadić, Srdjan</t>
  </si>
  <si>
    <t>04:42:35</t>
  </si>
  <si>
    <t>Bruck Dániel</t>
  </si>
  <si>
    <t>04:39:47</t>
  </si>
  <si>
    <t>Mészáros Andris</t>
  </si>
  <si>
    <t>03:09:53</t>
  </si>
  <si>
    <t>Michellier, Andy</t>
  </si>
  <si>
    <t>03:43:54</t>
  </si>
  <si>
    <t>03:09:35</t>
  </si>
  <si>
    <t>Cramphorn, Leigh</t>
  </si>
  <si>
    <t>03:53:15</t>
  </si>
  <si>
    <t>Pospíil, Pavel</t>
  </si>
  <si>
    <t>03:04:50</t>
  </si>
  <si>
    <t>Toth Peter</t>
  </si>
  <si>
    <t>04:22:30</t>
  </si>
  <si>
    <t>Bíró Gábor</t>
  </si>
  <si>
    <t>03:41:32</t>
  </si>
  <si>
    <t>04:46:55</t>
  </si>
  <si>
    <t>Csörgő Bálint dr</t>
  </si>
  <si>
    <t>03:42:12</t>
  </si>
  <si>
    <t>Bisi Lajos</t>
  </si>
  <si>
    <t>04:18:11</t>
  </si>
  <si>
    <t>Andres, De La Pe?a Gallegos prof</t>
  </si>
  <si>
    <t>03:27:24</t>
  </si>
  <si>
    <t>03:44:08</t>
  </si>
  <si>
    <t>Kukk Tamás</t>
  </si>
  <si>
    <t>04:29:09</t>
  </si>
  <si>
    <t>Sacchi, Filippo</t>
  </si>
  <si>
    <t>03:54:39</t>
  </si>
  <si>
    <t>Domboróczki Zsolt</t>
  </si>
  <si>
    <t>04:59:16</t>
  </si>
  <si>
    <t>Lenkovics Attila</t>
  </si>
  <si>
    <t>03:48:30</t>
  </si>
  <si>
    <t>05:03:46</t>
  </si>
  <si>
    <t>Glazachev, Evgenii</t>
  </si>
  <si>
    <t>03:23:05</t>
  </si>
  <si>
    <t>Szabó Levente</t>
  </si>
  <si>
    <t>03:50:11</t>
  </si>
  <si>
    <t>Léránt Gábor</t>
  </si>
  <si>
    <t>04:43:07</t>
  </si>
  <si>
    <t>Melotti, Marco</t>
  </si>
  <si>
    <t>05:14:27</t>
  </si>
  <si>
    <t>05:31:41</t>
  </si>
  <si>
    <t>Papp Andor</t>
  </si>
  <si>
    <t>05:32:18</t>
  </si>
  <si>
    <t>Faulks, Joshua</t>
  </si>
  <si>
    <t>03:38:41</t>
  </si>
  <si>
    <t>Góbi Gyula</t>
  </si>
  <si>
    <t>04:13:03</t>
  </si>
  <si>
    <t>Appert, Louis</t>
  </si>
  <si>
    <t>04:46:10</t>
  </si>
  <si>
    <t>Bozsó Tamás</t>
  </si>
  <si>
    <t>04:48:15</t>
  </si>
  <si>
    <t>Mikulski, Jacek</t>
  </si>
  <si>
    <t>03:22:26</t>
  </si>
  <si>
    <t>Kunc, Jakub</t>
  </si>
  <si>
    <t>03:44:16</t>
  </si>
  <si>
    <t>Hall, Peter-Rory dr</t>
  </si>
  <si>
    <t>02:54:01</t>
  </si>
  <si>
    <t>04:02:45</t>
  </si>
  <si>
    <t>Preite, Piero</t>
  </si>
  <si>
    <t>05:30:11</t>
  </si>
  <si>
    <t>Ambler, Arthur prof</t>
  </si>
  <si>
    <t>03:27:45</t>
  </si>
  <si>
    <t>CLEPICOV, Alexei dr</t>
  </si>
  <si>
    <t>03:53:51</t>
  </si>
  <si>
    <t>Tompa Péter</t>
  </si>
  <si>
    <t>04:45:38</t>
  </si>
  <si>
    <t>Majerusz Ádám</t>
  </si>
  <si>
    <t>04:18:48</t>
  </si>
  <si>
    <t>04:49:29</t>
  </si>
  <si>
    <t>van 't Verlaat, Jeroen</t>
  </si>
  <si>
    <t>04:58:41</t>
  </si>
  <si>
    <t>04:25:24</t>
  </si>
  <si>
    <t>Kroc, Mirosław</t>
  </si>
  <si>
    <t>03:25:59</t>
  </si>
  <si>
    <t>Kiss Csongor</t>
  </si>
  <si>
    <t>04:12:14</t>
  </si>
  <si>
    <t>Szekér Ferenc</t>
  </si>
  <si>
    <t>03:49:02</t>
  </si>
  <si>
    <t>Malík, David</t>
  </si>
  <si>
    <t>05:02:52</t>
  </si>
  <si>
    <t>05:49:04</t>
  </si>
  <si>
    <t>04:58:46</t>
  </si>
  <si>
    <t>04:00:07</t>
  </si>
  <si>
    <t>Asztalos Andras</t>
  </si>
  <si>
    <t>03:43:29</t>
  </si>
  <si>
    <t>04:07:40</t>
  </si>
  <si>
    <t>Rugg, Sam</t>
  </si>
  <si>
    <t>02:56:57</t>
  </si>
  <si>
    <t>04:05:56</t>
  </si>
  <si>
    <t>Raknes, Lars Peter</t>
  </si>
  <si>
    <t>02:37:20</t>
  </si>
  <si>
    <t>Péter Kristóf dr</t>
  </si>
  <si>
    <t>04:28:22</t>
  </si>
  <si>
    <t>Albastov, Zidan</t>
  </si>
  <si>
    <t>04:35:03</t>
  </si>
  <si>
    <t>JO?O RENATO, Bainy Gomes de Pinho</t>
  </si>
  <si>
    <t>03:54:46</t>
  </si>
  <si>
    <t>GARRITSEN, LENNART</t>
  </si>
  <si>
    <t>03:40:20</t>
  </si>
  <si>
    <t>Forde, Conor</t>
  </si>
  <si>
    <t>03:45:13</t>
  </si>
  <si>
    <t>03:36:39</t>
  </si>
  <si>
    <t>04:12:03</t>
  </si>
  <si>
    <t>Kluitenberg, Friso</t>
  </si>
  <si>
    <t>04:03:29</t>
  </si>
  <si>
    <t>Takarics Béla</t>
  </si>
  <si>
    <t>04:22:31</t>
  </si>
  <si>
    <t>Spányik Gábor</t>
  </si>
  <si>
    <t>04:14:05</t>
  </si>
  <si>
    <t>Cox, Jack</t>
  </si>
  <si>
    <t>03:37:44</t>
  </si>
  <si>
    <t>03:59:36</t>
  </si>
  <si>
    <t>Laczó Barnabás</t>
  </si>
  <si>
    <t>03:44:36</t>
  </si>
  <si>
    <t>04:58:45</t>
  </si>
  <si>
    <t>Macleod, Liam</t>
  </si>
  <si>
    <t>04:09:57</t>
  </si>
  <si>
    <t>Szántó János</t>
  </si>
  <si>
    <t>03:43:41</t>
  </si>
  <si>
    <t>Jakabfalvy Gábor</t>
  </si>
  <si>
    <t>04:50:00</t>
  </si>
  <si>
    <t>Eklund, Marius</t>
  </si>
  <si>
    <t>03:32:54</t>
  </si>
  <si>
    <t>Domjan Kornél</t>
  </si>
  <si>
    <t>04:11:22</t>
  </si>
  <si>
    <t>Pap Áron</t>
  </si>
  <si>
    <t>04:03:23</t>
  </si>
  <si>
    <t>Rebollo Pereira, Jose Carlos</t>
  </si>
  <si>
    <t>03:55:05</t>
  </si>
  <si>
    <t>Herbertsson, Gunnar</t>
  </si>
  <si>
    <t>04:04:04</t>
  </si>
  <si>
    <t>Vernimmen, Richard</t>
  </si>
  <si>
    <t>02:52:02</t>
  </si>
  <si>
    <t>Townsend, Lewis</t>
  </si>
  <si>
    <t>03:45:14</t>
  </si>
  <si>
    <t>Clowes, Jason</t>
  </si>
  <si>
    <t>03:04:23</t>
  </si>
  <si>
    <t>04:34:22</t>
  </si>
  <si>
    <t>Geesink, Derk</t>
  </si>
  <si>
    <t>04:56:59</t>
  </si>
  <si>
    <t>POPELEA, VIRGIL</t>
  </si>
  <si>
    <t>03:27:58</t>
  </si>
  <si>
    <t>Havasi Ádám</t>
  </si>
  <si>
    <t>04:23:00</t>
  </si>
  <si>
    <t>04:08:01</t>
  </si>
  <si>
    <t>05:22:37</t>
  </si>
  <si>
    <t>Mátyás, Norbert</t>
  </si>
  <si>
    <t>03:47:11</t>
  </si>
  <si>
    <t>MULLER, Frank</t>
  </si>
  <si>
    <t>03:59:51</t>
  </si>
  <si>
    <t>Fábik Máté</t>
  </si>
  <si>
    <t>04:22:45</t>
  </si>
  <si>
    <t>Ireland, Reece prof</t>
  </si>
  <si>
    <t>03:47:26</t>
  </si>
  <si>
    <t>04:14:57</t>
  </si>
  <si>
    <t>03:45:47</t>
  </si>
  <si>
    <t>Witkowski, Lukasz</t>
  </si>
  <si>
    <t>03:43:43</t>
  </si>
  <si>
    <t>dijkstra, Mark</t>
  </si>
  <si>
    <t>03:33:11</t>
  </si>
  <si>
    <t>Wiernasz, Grzegorz prof</t>
  </si>
  <si>
    <t>04:01:53</t>
  </si>
  <si>
    <t>Bodor Dániel</t>
  </si>
  <si>
    <t>03:40:46</t>
  </si>
  <si>
    <t>Pásztor Attila dr.</t>
  </si>
  <si>
    <t>04:47:08</t>
  </si>
  <si>
    <t>Li, CHENGBIN</t>
  </si>
  <si>
    <t>05:03:29</t>
  </si>
  <si>
    <t>Guevara, Pablo</t>
  </si>
  <si>
    <t>03:49:07</t>
  </si>
  <si>
    <t>FLORIAN, DAUBA</t>
  </si>
  <si>
    <t>02:42:32</t>
  </si>
  <si>
    <t>Howe, Paul</t>
  </si>
  <si>
    <t>04:56:09</t>
  </si>
  <si>
    <t>Kotsis Tibor</t>
  </si>
  <si>
    <t>04:21:14</t>
  </si>
  <si>
    <t>Angyal Dániel</t>
  </si>
  <si>
    <t>05:30:29</t>
  </si>
  <si>
    <t>Kiss Alajos</t>
  </si>
  <si>
    <t>03:47:30</t>
  </si>
  <si>
    <t>Berglund, Einar</t>
  </si>
  <si>
    <t>03:58:48</t>
  </si>
  <si>
    <t>Csuja Gábor</t>
  </si>
  <si>
    <t>03:02:31</t>
  </si>
  <si>
    <t>Csernus Mátyás</t>
  </si>
  <si>
    <t>05:22:18</t>
  </si>
  <si>
    <t>Koprivica, Pavle</t>
  </si>
  <si>
    <t>03:56:22</t>
  </si>
  <si>
    <t>Way, Oliver prof</t>
  </si>
  <si>
    <t>03:57:32</t>
  </si>
  <si>
    <t>Petrov, Yuri</t>
  </si>
  <si>
    <t>04:08:55</t>
  </si>
  <si>
    <t>Tuohy, Eoin</t>
  </si>
  <si>
    <t>TZAMPAZAKIS, MATTHAIOS</t>
  </si>
  <si>
    <t>04:00:41</t>
  </si>
  <si>
    <t>Szentirmai Endre</t>
  </si>
  <si>
    <t>04:16:33</t>
  </si>
  <si>
    <t>Müller Viktor</t>
  </si>
  <si>
    <t>04:19:19</t>
  </si>
  <si>
    <t>04:05:44</t>
  </si>
  <si>
    <t>Santander, Damian</t>
  </si>
  <si>
    <t>03:40:10</t>
  </si>
  <si>
    <t>Halász Krisztián</t>
  </si>
  <si>
    <t>03:57:51</t>
  </si>
  <si>
    <t>Breznyán Bence</t>
  </si>
  <si>
    <t>04:43:10</t>
  </si>
  <si>
    <t>Hellum, Knut</t>
  </si>
  <si>
    <t>03:22:10</t>
  </si>
  <si>
    <t>Zsarkó-Berta László</t>
  </si>
  <si>
    <t>03:33:16</t>
  </si>
  <si>
    <t>05:22:34</t>
  </si>
  <si>
    <t>Keliuh, Denis</t>
  </si>
  <si>
    <t>03:53:52</t>
  </si>
  <si>
    <t>Siemieniak, Karol</t>
  </si>
  <si>
    <t>03:56:48</t>
  </si>
  <si>
    <t>Nagy Balázs</t>
  </si>
  <si>
    <t>04:06:26</t>
  </si>
  <si>
    <t>04:08:44</t>
  </si>
  <si>
    <t>Kathan, Christoph</t>
  </si>
  <si>
    <t>03:13:51</t>
  </si>
  <si>
    <t>Crook, Dalton</t>
  </si>
  <si>
    <t>03:36:34</t>
  </si>
  <si>
    <t>Kolarovsky, Mihaly</t>
  </si>
  <si>
    <t>04:22:49</t>
  </si>
  <si>
    <t>Diószegi Béla</t>
  </si>
  <si>
    <t>03:50:42</t>
  </si>
  <si>
    <t>04:56:57</t>
  </si>
  <si>
    <t>Schümann, Henry</t>
  </si>
  <si>
    <t>03:33:56</t>
  </si>
  <si>
    <t>Börcsök Imre</t>
  </si>
  <si>
    <t>05:12:30</t>
  </si>
  <si>
    <t>03:32:06</t>
  </si>
  <si>
    <t>Dennis, Haskins</t>
  </si>
  <si>
    <t>04:33:44</t>
  </si>
  <si>
    <t>FEDORCZUK, MAREK</t>
  </si>
  <si>
    <t>04:33:02</t>
  </si>
  <si>
    <t>02:32:43</t>
  </si>
  <si>
    <t>Lima, Fabio prof</t>
  </si>
  <si>
    <t>03:10:50</t>
  </si>
  <si>
    <t>03:40:14</t>
  </si>
  <si>
    <t>Jakab Zoltán</t>
  </si>
  <si>
    <t>04:21:13</t>
  </si>
  <si>
    <t>Hornung András</t>
  </si>
  <si>
    <t>03:15:44</t>
  </si>
  <si>
    <t>03:53:46</t>
  </si>
  <si>
    <t>Georges, Rescoussier</t>
  </si>
  <si>
    <t>04:39:21</t>
  </si>
  <si>
    <t>Kretovics Zsolt</t>
  </si>
  <si>
    <t>05:03:47</t>
  </si>
  <si>
    <t>Ádám János Péter</t>
  </si>
  <si>
    <t>04:13:44</t>
  </si>
  <si>
    <t>Linde, Anton</t>
  </si>
  <si>
    <t>Kvapil, Tomá</t>
  </si>
  <si>
    <t>03:57:46</t>
  </si>
  <si>
    <t>04:13:38</t>
  </si>
  <si>
    <t>Sabater, Mikel</t>
  </si>
  <si>
    <t>03:42:08</t>
  </si>
  <si>
    <t>Hegedüs Péter</t>
  </si>
  <si>
    <t>03:44:53</t>
  </si>
  <si>
    <t>Putzke, Holm prof</t>
  </si>
  <si>
    <t>03:31:50</t>
  </si>
  <si>
    <t>Csőke Martin</t>
  </si>
  <si>
    <t>Droogmans, Martijn</t>
  </si>
  <si>
    <t>03:32:22</t>
  </si>
  <si>
    <t>Juchniewicz, Matt</t>
  </si>
  <si>
    <t>03:52:10</t>
  </si>
  <si>
    <t>Shchori, Gal</t>
  </si>
  <si>
    <t>03:23:12</t>
  </si>
  <si>
    <t>Dévai Ádám Dominik</t>
  </si>
  <si>
    <t>Zięba, Daniel</t>
  </si>
  <si>
    <t>03:39:45</t>
  </si>
  <si>
    <t>Gombás Tibor</t>
  </si>
  <si>
    <t>04:12:31</t>
  </si>
  <si>
    <t>Oláh Gábor</t>
  </si>
  <si>
    <t>03:33:10</t>
  </si>
  <si>
    <t>Vincent, Quenet</t>
  </si>
  <si>
    <t>05:09:49</t>
  </si>
  <si>
    <t>Leheny, Seamus</t>
  </si>
  <si>
    <t>03:46:41</t>
  </si>
  <si>
    <t>Bódi Gergely</t>
  </si>
  <si>
    <t>04:01:19</t>
  </si>
  <si>
    <t>Ureczky Balázs</t>
  </si>
  <si>
    <t>03:37:54</t>
  </si>
  <si>
    <t>Benton, Jack dr</t>
  </si>
  <si>
    <t>03:41:17</t>
  </si>
  <si>
    <t>Versegi Zoltán</t>
  </si>
  <si>
    <t>04:00:12</t>
  </si>
  <si>
    <t>Hand, Feargal</t>
  </si>
  <si>
    <t>04:01:01</t>
  </si>
  <si>
    <t>Rábai Richárd</t>
  </si>
  <si>
    <t>04:25:57</t>
  </si>
  <si>
    <t>Nagy, Zoltán</t>
  </si>
  <si>
    <t>04:25:28</t>
  </si>
  <si>
    <t>Fodor Bertalan Balázs</t>
  </si>
  <si>
    <t>04:15:26</t>
  </si>
  <si>
    <t>Szilágyi Gergő</t>
  </si>
  <si>
    <t>04:19:48</t>
  </si>
  <si>
    <t>Ferenc Péter Muck</t>
  </si>
  <si>
    <t>03:59:08</t>
  </si>
  <si>
    <t>Farkas, Csaba</t>
  </si>
  <si>
    <t>04:56:37</t>
  </si>
  <si>
    <t>Gálfi Zsolt</t>
  </si>
  <si>
    <t>04:11:51</t>
  </si>
  <si>
    <t>Jeffrey, Qin</t>
  </si>
  <si>
    <t>03:38:12</t>
  </si>
  <si>
    <t>Bak Szabolcs</t>
  </si>
  <si>
    <t>03:09:06</t>
  </si>
  <si>
    <t>04:14:16</t>
  </si>
  <si>
    <t>Csikós Tamás</t>
  </si>
  <si>
    <t>Foo, Loon Wei</t>
  </si>
  <si>
    <t>03:14:50</t>
  </si>
  <si>
    <t>Agong, David Apassnaba</t>
  </si>
  <si>
    <t>04:55:49</t>
  </si>
  <si>
    <t>Martin, Riccardo</t>
  </si>
  <si>
    <t>03:59:22</t>
  </si>
  <si>
    <t>Lalande, Thibault</t>
  </si>
  <si>
    <t>03:26:57</t>
  </si>
  <si>
    <t>Bódai Nimród</t>
  </si>
  <si>
    <t>03:45:41</t>
  </si>
  <si>
    <t>Stadlbauer, Xaver-Paul</t>
  </si>
  <si>
    <t>02:53:18</t>
  </si>
  <si>
    <t>Kim, Changhun</t>
  </si>
  <si>
    <t>03:34:04</t>
  </si>
  <si>
    <t>Pizarro, Francisco prof</t>
  </si>
  <si>
    <t>03:43:59</t>
  </si>
  <si>
    <t>Zarella, John</t>
  </si>
  <si>
    <t>04:22:25</t>
  </si>
  <si>
    <t>Lökösházi Béla</t>
  </si>
  <si>
    <t>04:03:14</t>
  </si>
  <si>
    <t>Chitoriski, Lochlan prof</t>
  </si>
  <si>
    <t>03:54:04</t>
  </si>
  <si>
    <t>Érsek Péter</t>
  </si>
  <si>
    <t>03:55:18</t>
  </si>
  <si>
    <t>Fee, Adam</t>
  </si>
  <si>
    <t>05:01:11</t>
  </si>
  <si>
    <t>CAPPELLA, EMANUELE</t>
  </si>
  <si>
    <t>03:30:08</t>
  </si>
  <si>
    <t>Wahid, Kamran</t>
  </si>
  <si>
    <t>PAK</t>
  </si>
  <si>
    <t>Mendel Dániel</t>
  </si>
  <si>
    <t>03:31:34</t>
  </si>
  <si>
    <t>Harty, William</t>
  </si>
  <si>
    <t>03:51:53</t>
  </si>
  <si>
    <t>04:11:03</t>
  </si>
  <si>
    <t>Knowles, Ben</t>
  </si>
  <si>
    <t>05:31:20</t>
  </si>
  <si>
    <t>Rive, Charlie</t>
  </si>
  <si>
    <t>02:52:07</t>
  </si>
  <si>
    <t>Kane, Noel</t>
  </si>
  <si>
    <t>04:14:30</t>
  </si>
  <si>
    <t>Udvari Szabolcs</t>
  </si>
  <si>
    <t>03:32:53</t>
  </si>
  <si>
    <t>Casey, Daniel</t>
  </si>
  <si>
    <t>04:46:39</t>
  </si>
  <si>
    <t>Kerekes Máté</t>
  </si>
  <si>
    <t>05:13:03</t>
  </si>
  <si>
    <t>Kosdi-Kovács Márton</t>
  </si>
  <si>
    <t>02:55:38</t>
  </si>
  <si>
    <t>Chua, Charlie</t>
  </si>
  <si>
    <t>04:13:25</t>
  </si>
  <si>
    <t>05:35:13</t>
  </si>
  <si>
    <t>Jakub, liwiński dr</t>
  </si>
  <si>
    <t>04:06:29</t>
  </si>
  <si>
    <t>Zádori Ferenc</t>
  </si>
  <si>
    <t>03:34:05</t>
  </si>
  <si>
    <t>Hudetz András</t>
  </si>
  <si>
    <t>05:17:45</t>
  </si>
  <si>
    <t>Llewellyn, Neal prof</t>
  </si>
  <si>
    <t>03:36:31</t>
  </si>
  <si>
    <t>Mózes Károly</t>
  </si>
  <si>
    <t>03:59:12</t>
  </si>
  <si>
    <t>04:02:49</t>
  </si>
  <si>
    <t>Marceau, Jean-Louis</t>
  </si>
  <si>
    <t>04:43:57</t>
  </si>
  <si>
    <t>Cayir, Ali</t>
  </si>
  <si>
    <t>03:21:33</t>
  </si>
  <si>
    <t>Kun Fülöp</t>
  </si>
  <si>
    <t>04:02:09</t>
  </si>
  <si>
    <t>Borbás Péter István</t>
  </si>
  <si>
    <t>05:12:09</t>
  </si>
  <si>
    <t>Nádró Csaba</t>
  </si>
  <si>
    <t>04:59:54</t>
  </si>
  <si>
    <t>05:06:36</t>
  </si>
  <si>
    <t>Lénárt Viktor</t>
  </si>
  <si>
    <t>04:24:22</t>
  </si>
  <si>
    <t>András Ákos</t>
  </si>
  <si>
    <t>03:22:24</t>
  </si>
  <si>
    <t>03:28:44</t>
  </si>
  <si>
    <t>04:38:21</t>
  </si>
  <si>
    <t>Brzeski, Dawid</t>
  </si>
  <si>
    <t>03:54:15</t>
  </si>
  <si>
    <t>Recski Ferenc</t>
  </si>
  <si>
    <t>04:12:55</t>
  </si>
  <si>
    <t>04:14:54</t>
  </si>
  <si>
    <t>Anderlik Attila Lajos</t>
  </si>
  <si>
    <t>04:13:40</t>
  </si>
  <si>
    <t>Imre, Tomá</t>
  </si>
  <si>
    <t>03:02:51</t>
  </si>
  <si>
    <t>Gyurin Attila</t>
  </si>
  <si>
    <t>03:26:44</t>
  </si>
  <si>
    <t>Fallon, Martin prof</t>
  </si>
  <si>
    <t>05:13:51</t>
  </si>
  <si>
    <t>Gémes Levente</t>
  </si>
  <si>
    <t>03:54:01</t>
  </si>
  <si>
    <t>Németh Kálmán</t>
  </si>
  <si>
    <t>04:02:27</t>
  </si>
  <si>
    <t>Kieran, Palmer</t>
  </si>
  <si>
    <t>04:28:38</t>
  </si>
  <si>
    <t>03:59:49</t>
  </si>
  <si>
    <t>Sebők László</t>
  </si>
  <si>
    <t>04:32:27</t>
  </si>
  <si>
    <t>Grassy Krisztián</t>
  </si>
  <si>
    <t>04:01:55</t>
  </si>
  <si>
    <t>05:01:03</t>
  </si>
  <si>
    <t>Elizek Viktor</t>
  </si>
  <si>
    <t>04:15:49</t>
  </si>
  <si>
    <t>Horwitz, Noah prof</t>
  </si>
  <si>
    <t>03:56:11</t>
  </si>
  <si>
    <t>04:46:26</t>
  </si>
  <si>
    <t>Varga Márton Dr.</t>
  </si>
  <si>
    <t>Tóth Károly Béla</t>
  </si>
  <si>
    <t>04:20:36</t>
  </si>
  <si>
    <t>Tüske László</t>
  </si>
  <si>
    <t>04:08:25</t>
  </si>
  <si>
    <t>Meffan, Samuel</t>
  </si>
  <si>
    <t>04:54:20</t>
  </si>
  <si>
    <t>Tabányi Gábor</t>
  </si>
  <si>
    <t>Schárer Sándor</t>
  </si>
  <si>
    <t>04:46:58</t>
  </si>
  <si>
    <t>Szoboszlai Gáspár István</t>
  </si>
  <si>
    <t>05:33:08</t>
  </si>
  <si>
    <t>Bíró Balázs</t>
  </si>
  <si>
    <t>05:02:44</t>
  </si>
  <si>
    <t>Fási István Róbert</t>
  </si>
  <si>
    <t>04:47:14</t>
  </si>
  <si>
    <t>david, cusanno</t>
  </si>
  <si>
    <t>04:32:32</t>
  </si>
  <si>
    <t>04:25:21</t>
  </si>
  <si>
    <t>Wilding, Benjamin</t>
  </si>
  <si>
    <t>Gonzalez Unanua, Jose Javier</t>
  </si>
  <si>
    <t>04:11:56</t>
  </si>
  <si>
    <t>Szalai Laszlo</t>
  </si>
  <si>
    <t>05:22:40</t>
  </si>
  <si>
    <t>lasarte, ismael</t>
  </si>
  <si>
    <t>03:44:21</t>
  </si>
  <si>
    <t>Kozma Zsolt dr</t>
  </si>
  <si>
    <t>04:00:54</t>
  </si>
  <si>
    <t>Farkass Ábel</t>
  </si>
  <si>
    <t>03:27:19</t>
  </si>
  <si>
    <t>Lloyd, Samuel</t>
  </si>
  <si>
    <t>04:25:17</t>
  </si>
  <si>
    <t>Charlop, Avi</t>
  </si>
  <si>
    <t>03:56:39</t>
  </si>
  <si>
    <t>Péter, Dániel dr</t>
  </si>
  <si>
    <t>03:28:53</t>
  </si>
  <si>
    <t>Darabos Bence</t>
  </si>
  <si>
    <t>04:15:35</t>
  </si>
  <si>
    <t>Mitchell, Oli</t>
  </si>
  <si>
    <t>04:33:17</t>
  </si>
  <si>
    <t>05:30:10</t>
  </si>
  <si>
    <t>Horváth Zsolt István</t>
  </si>
  <si>
    <t>04:02:48</t>
  </si>
  <si>
    <t>Gojdár Lóránt Balázs dr</t>
  </si>
  <si>
    <t>05:33:19</t>
  </si>
  <si>
    <t>Badura, Michal</t>
  </si>
  <si>
    <t>03:57:49</t>
  </si>
  <si>
    <t>Smaldon, Michael</t>
  </si>
  <si>
    <t>03:25:52</t>
  </si>
  <si>
    <t>Kardoss Bence</t>
  </si>
  <si>
    <t>04:36:48</t>
  </si>
  <si>
    <t>Hadam, Ryszard</t>
  </si>
  <si>
    <t>04:48:56</t>
  </si>
  <si>
    <t>Aradi-Hankó Péter</t>
  </si>
  <si>
    <t>03:41:48</t>
  </si>
  <si>
    <t>Rupnik, Janusz</t>
  </si>
  <si>
    <t>04:32:44</t>
  </si>
  <si>
    <t>Short, Dan</t>
  </si>
  <si>
    <t>03:29:16</t>
  </si>
  <si>
    <t>Tshimbalanga, Jason</t>
  </si>
  <si>
    <t>03:55:23</t>
  </si>
  <si>
    <t>Illés Ádám</t>
  </si>
  <si>
    <t>05:26:56</t>
  </si>
  <si>
    <t>Sharif, Aboelnaga</t>
  </si>
  <si>
    <t>03:11:01</t>
  </si>
  <si>
    <t>Vrontakis, Iraklis</t>
  </si>
  <si>
    <t>03:39:37</t>
  </si>
  <si>
    <t>Bart, van Brussel</t>
  </si>
  <si>
    <t>04:55:45</t>
  </si>
  <si>
    <t>Lee, Yue Heng</t>
  </si>
  <si>
    <t>05:21:27</t>
  </si>
  <si>
    <t>Bartnicki, Jakub</t>
  </si>
  <si>
    <t>03:29:26</t>
  </si>
  <si>
    <t>Herbay Dávid</t>
  </si>
  <si>
    <t>05:18:44</t>
  </si>
  <si>
    <t>Remport Gábor</t>
  </si>
  <si>
    <t>04:12:11</t>
  </si>
  <si>
    <t>Baker, Joseph</t>
  </si>
  <si>
    <t>04:53:13</t>
  </si>
  <si>
    <t>Mátray Ádám Balázs</t>
  </si>
  <si>
    <t>03:58:26</t>
  </si>
  <si>
    <t>Zeller Róbert</t>
  </si>
  <si>
    <t>Maxence, LOIRE</t>
  </si>
  <si>
    <t>03:58:03</t>
  </si>
  <si>
    <t>05:24:04</t>
  </si>
  <si>
    <t>Noam, Ben Zimra prof</t>
  </si>
  <si>
    <t>03:47:36</t>
  </si>
  <si>
    <t>Haidu, Gyula</t>
  </si>
  <si>
    <t>03:49:03</t>
  </si>
  <si>
    <t>03:41:18</t>
  </si>
  <si>
    <t>05:14:57</t>
  </si>
  <si>
    <t>Kaszab Máté</t>
  </si>
  <si>
    <t>04:38:50</t>
  </si>
  <si>
    <t>Vásárhelyi Máté</t>
  </si>
  <si>
    <t>02:29:36</t>
  </si>
  <si>
    <t>Tanárki Mihály</t>
  </si>
  <si>
    <t>03:48:24</t>
  </si>
  <si>
    <t>03:14:58</t>
  </si>
  <si>
    <t>Szekeres Gabor</t>
  </si>
  <si>
    <t>03:40:42</t>
  </si>
  <si>
    <t>Olofsson, Jonas</t>
  </si>
  <si>
    <t>Bakk, Jutas</t>
  </si>
  <si>
    <t>04:38:55</t>
  </si>
  <si>
    <t>Balogh Benjamin</t>
  </si>
  <si>
    <t>03:27:28</t>
  </si>
  <si>
    <t>Fenyvesi Ákos</t>
  </si>
  <si>
    <t>03:57:22</t>
  </si>
  <si>
    <t>Benedek Marcell</t>
  </si>
  <si>
    <t>03:25:40</t>
  </si>
  <si>
    <t>Matveiev, Oleksandr</t>
  </si>
  <si>
    <t>04:27:48</t>
  </si>
  <si>
    <t>Concas, Antonio prof</t>
  </si>
  <si>
    <t>04:05:28</t>
  </si>
  <si>
    <t>04:45:59</t>
  </si>
  <si>
    <t>Wolniaczyk, Marcin</t>
  </si>
  <si>
    <t>03:27:03</t>
  </si>
  <si>
    <t>Cseke Ádám</t>
  </si>
  <si>
    <t>03:39:29</t>
  </si>
  <si>
    <t>03:29:36</t>
  </si>
  <si>
    <t>Johnson, Alexander</t>
  </si>
  <si>
    <t>04:31:05</t>
  </si>
  <si>
    <t>03:56:20</t>
  </si>
  <si>
    <t>Garbacz Máté Soma</t>
  </si>
  <si>
    <t>04:41:33</t>
  </si>
  <si>
    <t>Pipis László</t>
  </si>
  <si>
    <t>03:48:32</t>
  </si>
  <si>
    <t>Antović, Vladimir</t>
  </si>
  <si>
    <t>03:08:46</t>
  </si>
  <si>
    <t>Akpojaro, Princeton</t>
  </si>
  <si>
    <t>Pető Attila</t>
  </si>
  <si>
    <t>05:25:11</t>
  </si>
  <si>
    <t>Patakfalvi Zsolt dr</t>
  </si>
  <si>
    <t>04:16:31</t>
  </si>
  <si>
    <t>04:23:06</t>
  </si>
  <si>
    <t>Morin, Philippe</t>
  </si>
  <si>
    <t>04:16:25</t>
  </si>
  <si>
    <t>Antal István</t>
  </si>
  <si>
    <t>03:39:41</t>
  </si>
  <si>
    <t>Böhm, Patrick</t>
  </si>
  <si>
    <t>04:46:12</t>
  </si>
  <si>
    <t>Csík Szabolcs dr.</t>
  </si>
  <si>
    <t>04:08:20</t>
  </si>
  <si>
    <t>O'Neill, Callum</t>
  </si>
  <si>
    <t>03:58:34</t>
  </si>
  <si>
    <t>Bodnár Krisztián</t>
  </si>
  <si>
    <t>04:54:46</t>
  </si>
  <si>
    <t>Magyar Zoltán</t>
  </si>
  <si>
    <t>04:49:41</t>
  </si>
  <si>
    <t>Breglovics Milán</t>
  </si>
  <si>
    <t>04:13:35</t>
  </si>
  <si>
    <t>Amaral Fonseca, Antonio Miguel</t>
  </si>
  <si>
    <t>03:33:05</t>
  </si>
  <si>
    <t>Samhaber, Christof</t>
  </si>
  <si>
    <t>03:56:33</t>
  </si>
  <si>
    <t>Weinberger Tamás</t>
  </si>
  <si>
    <t>Öhman, Marcus prof</t>
  </si>
  <si>
    <t>03:54:45</t>
  </si>
  <si>
    <t>Kariniemi, Roope</t>
  </si>
  <si>
    <t>02:51:59</t>
  </si>
  <si>
    <t>Larsen, Jonas</t>
  </si>
  <si>
    <t>04:17:29</t>
  </si>
  <si>
    <t>Debreczeni Dávid</t>
  </si>
  <si>
    <t>04:30:09</t>
  </si>
  <si>
    <t>Pop Péter</t>
  </si>
  <si>
    <t>03:25:56</t>
  </si>
  <si>
    <t>04:38:16</t>
  </si>
  <si>
    <t>Mikecz András</t>
  </si>
  <si>
    <t>04:59:45</t>
  </si>
  <si>
    <t>Koch Kristóf dr</t>
  </si>
  <si>
    <t>03:28:10</t>
  </si>
  <si>
    <t>Reisz Attila</t>
  </si>
  <si>
    <t>03:55:46</t>
  </si>
  <si>
    <t>05:08:31</t>
  </si>
  <si>
    <t>Giuricich, Luca</t>
  </si>
  <si>
    <t>03:18:23</t>
  </si>
  <si>
    <t>Steinbach Marcell</t>
  </si>
  <si>
    <t>03:16:15</t>
  </si>
  <si>
    <t>Panka Dániel</t>
  </si>
  <si>
    <t>03:46:01</t>
  </si>
  <si>
    <t>Kőhegyi Máté</t>
  </si>
  <si>
    <t>04:31:06</t>
  </si>
  <si>
    <t>Kanyó Balázs</t>
  </si>
  <si>
    <t>04:32:39</t>
  </si>
  <si>
    <t>Spriggs, Josh</t>
  </si>
  <si>
    <t>04:15:36</t>
  </si>
  <si>
    <t>Hunt, Richard</t>
  </si>
  <si>
    <t>04:32:42</t>
  </si>
  <si>
    <t>03:51:33</t>
  </si>
  <si>
    <t>O kane, Philip</t>
  </si>
  <si>
    <t>04:27:27</t>
  </si>
  <si>
    <t>Rosenberg, Julius</t>
  </si>
  <si>
    <t>04:32:15</t>
  </si>
  <si>
    <t>Farkas Pál</t>
  </si>
  <si>
    <t>03:05:17</t>
  </si>
  <si>
    <t>Tamás Csaba Gergely</t>
  </si>
  <si>
    <t>03:48:19</t>
  </si>
  <si>
    <t>Barber, Harry</t>
  </si>
  <si>
    <t>04:05:20</t>
  </si>
  <si>
    <t>Kertics Herbert</t>
  </si>
  <si>
    <t>04:51:05</t>
  </si>
  <si>
    <t>Mortelette, Alexandre</t>
  </si>
  <si>
    <t>04:08:15</t>
  </si>
  <si>
    <t>Lütolf, Brian</t>
  </si>
  <si>
    <t>04:05:39</t>
  </si>
  <si>
    <t>Konstantakopoulos, Aristotelis</t>
  </si>
  <si>
    <t>04:46:05</t>
  </si>
  <si>
    <t>Zelenský, Filip</t>
  </si>
  <si>
    <t>03:15:00</t>
  </si>
  <si>
    <t>Bilik Péter</t>
  </si>
  <si>
    <t>04:00:42</t>
  </si>
  <si>
    <t>03:19:11</t>
  </si>
  <si>
    <t>Baranyi Roland</t>
  </si>
  <si>
    <t>03:48:48</t>
  </si>
  <si>
    <t>Lakatos Balázs</t>
  </si>
  <si>
    <t>03:57:17</t>
  </si>
  <si>
    <t>Nagy Ádám László</t>
  </si>
  <si>
    <t>04:13:09</t>
  </si>
  <si>
    <t>03:33:55</t>
  </si>
  <si>
    <t>Gmyzo, Vasilii</t>
  </si>
  <si>
    <t>05:32:41</t>
  </si>
  <si>
    <t>Nash, Tom</t>
  </si>
  <si>
    <t>03:55:59</t>
  </si>
  <si>
    <t>04:13:59</t>
  </si>
  <si>
    <t>Farkas Szabolcs</t>
  </si>
  <si>
    <t>03:28:03</t>
  </si>
  <si>
    <t>Tischer, Stefan</t>
  </si>
  <si>
    <t>04:43:32</t>
  </si>
  <si>
    <t>Janes, Christopher</t>
  </si>
  <si>
    <t>04:11:07</t>
  </si>
  <si>
    <t>Budavári Zoltán</t>
  </si>
  <si>
    <t>LESCOAT, Philippe</t>
  </si>
  <si>
    <t>04:30:05</t>
  </si>
  <si>
    <t>Nagy Izsó</t>
  </si>
  <si>
    <t>05:19:07</t>
  </si>
  <si>
    <t>Kirzner, Igor prof</t>
  </si>
  <si>
    <t>04:19:18</t>
  </si>
  <si>
    <t>Czesznak Zoltán</t>
  </si>
  <si>
    <t>05:19:00</t>
  </si>
  <si>
    <t>Luangphetcharat, Songkij</t>
  </si>
  <si>
    <t>04:49:02</t>
  </si>
  <si>
    <t>Kamierczak, Karol</t>
  </si>
  <si>
    <t>05:18:29</t>
  </si>
  <si>
    <t>Dean, Lloyd</t>
  </si>
  <si>
    <t>05:39:40</t>
  </si>
  <si>
    <t>Cameron, Thomas</t>
  </si>
  <si>
    <t>04:25:52</t>
  </si>
  <si>
    <t>Gaston, David</t>
  </si>
  <si>
    <t>03:35:03</t>
  </si>
  <si>
    <t>Patos Attila</t>
  </si>
  <si>
    <t>03:37:04</t>
  </si>
  <si>
    <t>Goosmann, Malthe</t>
  </si>
  <si>
    <t>03:58:11</t>
  </si>
  <si>
    <t>Varga István János</t>
  </si>
  <si>
    <t>04:58:53</t>
  </si>
  <si>
    <t>03:48:53</t>
  </si>
  <si>
    <t>Whittaker-Axon, Max</t>
  </si>
  <si>
    <t>05:01:00</t>
  </si>
  <si>
    <t>Smith, Jackson</t>
  </si>
  <si>
    <t>03:22:51</t>
  </si>
  <si>
    <t>Dr. Kovács Tamás</t>
  </si>
  <si>
    <t>05:13:38</t>
  </si>
  <si>
    <t>Thomson, Gilbert</t>
  </si>
  <si>
    <t>03:27:30</t>
  </si>
  <si>
    <t>Parker, Frederick</t>
  </si>
  <si>
    <t>03:50:51</t>
  </si>
  <si>
    <t>Borbély Imre Attila</t>
  </si>
  <si>
    <t>04:22:10</t>
  </si>
  <si>
    <t>Robinson, Philip</t>
  </si>
  <si>
    <t>04:24:14</t>
  </si>
  <si>
    <t>Hamilton, Patrick</t>
  </si>
  <si>
    <t>03:18:56</t>
  </si>
  <si>
    <t>Bos, Sean William</t>
  </si>
  <si>
    <t>03:10:46</t>
  </si>
  <si>
    <t>Pongrácz Márton</t>
  </si>
  <si>
    <t>04:03:38</t>
  </si>
  <si>
    <t>Kocsis Richárd</t>
  </si>
  <si>
    <t>03:15:32</t>
  </si>
  <si>
    <t>Lowley James</t>
  </si>
  <si>
    <t>Révai József</t>
  </si>
  <si>
    <t>04:03:28</t>
  </si>
  <si>
    <t>Cindrić, Igor</t>
  </si>
  <si>
    <t>03:38:44</t>
  </si>
  <si>
    <t>Áncsán István</t>
  </si>
  <si>
    <t>03:43:39</t>
  </si>
  <si>
    <t>Gajdos Imre</t>
  </si>
  <si>
    <t>03:46:58</t>
  </si>
  <si>
    <t>Jack, Elworthy</t>
  </si>
  <si>
    <t>04:41:39</t>
  </si>
  <si>
    <t>Zeleke, Samuel</t>
  </si>
  <si>
    <t>04:09:05</t>
  </si>
  <si>
    <t>Németh Lajos</t>
  </si>
  <si>
    <t>04:45:37</t>
  </si>
  <si>
    <t>Vaz, Tiago</t>
  </si>
  <si>
    <t>03:30:36</t>
  </si>
  <si>
    <t>Mészáros Márk dr.</t>
  </si>
  <si>
    <t>05:02:33</t>
  </si>
  <si>
    <t>04:04:12</t>
  </si>
  <si>
    <t>Ruskó Richárd</t>
  </si>
  <si>
    <t>04:35:18</t>
  </si>
  <si>
    <t>Skobrák Dénes</t>
  </si>
  <si>
    <t>03:58:07</t>
  </si>
  <si>
    <t>Stummer Balázs</t>
  </si>
  <si>
    <t>04:08:46</t>
  </si>
  <si>
    <t>Ruiz de Leon Consuegra, Isaac</t>
  </si>
  <si>
    <t>03:55:45</t>
  </si>
  <si>
    <t>Beamonte Córdoba, Eduardo dr</t>
  </si>
  <si>
    <t>04:39:36</t>
  </si>
  <si>
    <t>Békési Bálint</t>
  </si>
  <si>
    <t>04:38:24</t>
  </si>
  <si>
    <t>Summers, Richard</t>
  </si>
  <si>
    <t>04:59:24</t>
  </si>
  <si>
    <t>CORDOBES ACEDO, JOSE LUIS</t>
  </si>
  <si>
    <t>03:40:43</t>
  </si>
  <si>
    <t>Klint, Kasper</t>
  </si>
  <si>
    <t>04:13:47</t>
  </si>
  <si>
    <t>Szikszai István</t>
  </si>
  <si>
    <t>04:05:32</t>
  </si>
  <si>
    <t>Baixauli, Javier</t>
  </si>
  <si>
    <t>03:09:39</t>
  </si>
  <si>
    <t>Mocsári Sándor</t>
  </si>
  <si>
    <t>04:10:50</t>
  </si>
  <si>
    <t>CHIARAMONTE, IVAN ANTONIO ANDREA prof</t>
  </si>
  <si>
    <t>05:24:50</t>
  </si>
  <si>
    <t>Borbás János</t>
  </si>
  <si>
    <t>04:06:52</t>
  </si>
  <si>
    <t>Kazmierczak, Pawel dr</t>
  </si>
  <si>
    <t>04:43:25</t>
  </si>
  <si>
    <t>Mussini, Marco</t>
  </si>
  <si>
    <t>04:56:12</t>
  </si>
  <si>
    <t>Gombai János</t>
  </si>
  <si>
    <t>04:18:07</t>
  </si>
  <si>
    <t>Daniel Bozsoki</t>
  </si>
  <si>
    <t>04:15:00</t>
  </si>
  <si>
    <t>Ennis, Oliver</t>
  </si>
  <si>
    <t>04:29:54</t>
  </si>
  <si>
    <t>Wołowski, Lech dr</t>
  </si>
  <si>
    <t>03:42:05</t>
  </si>
  <si>
    <t>Kovacik, Michal</t>
  </si>
  <si>
    <t>03:59:18</t>
  </si>
  <si>
    <t>03:58:22</t>
  </si>
  <si>
    <t>Herbert Gyula</t>
  </si>
  <si>
    <t>04:53:42</t>
  </si>
  <si>
    <t>03:08:11</t>
  </si>
  <si>
    <t>György Péter</t>
  </si>
  <si>
    <t>04:08:09</t>
  </si>
  <si>
    <t>Ashton, Neil</t>
  </si>
  <si>
    <t>04:45:22</t>
  </si>
  <si>
    <t>04:43:13</t>
  </si>
  <si>
    <t>05:12:05</t>
  </si>
  <si>
    <t>Kálmán Balázs</t>
  </si>
  <si>
    <t>04:31:42</t>
  </si>
  <si>
    <t>Bernáth Bence dr</t>
  </si>
  <si>
    <t>04:20:00</t>
  </si>
  <si>
    <t>04:53:47</t>
  </si>
  <si>
    <t>03:37:48</t>
  </si>
  <si>
    <t>Kahr, Manuel</t>
  </si>
  <si>
    <t>02:43:36</t>
  </si>
  <si>
    <t>Franck, CHENU</t>
  </si>
  <si>
    <t>04:20:54</t>
  </si>
  <si>
    <t>GONZALEZ HERNANDEZ, ANTONIO</t>
  </si>
  <si>
    <t>05:00:02</t>
  </si>
  <si>
    <t>Kráž, Jakub</t>
  </si>
  <si>
    <t>03:34:42</t>
  </si>
  <si>
    <t>Martínez, Javier</t>
  </si>
  <si>
    <t>COL</t>
  </si>
  <si>
    <t>03:54:42</t>
  </si>
  <si>
    <t>Valkó Bence</t>
  </si>
  <si>
    <t>04:34:15</t>
  </si>
  <si>
    <t>Low, Jonathan</t>
  </si>
  <si>
    <t>02:59:02</t>
  </si>
  <si>
    <t>03:59:47</t>
  </si>
  <si>
    <t>Palumby László Tamás</t>
  </si>
  <si>
    <t>04:47:55</t>
  </si>
  <si>
    <t>Balatbat, Reynaldo</t>
  </si>
  <si>
    <t>03:47:14</t>
  </si>
  <si>
    <t>Sáfrány Csaba</t>
  </si>
  <si>
    <t>04:43:50</t>
  </si>
  <si>
    <t>Bólya Olivér</t>
  </si>
  <si>
    <t>02:58:06</t>
  </si>
  <si>
    <t>Gaudefroy, Frédéric</t>
  </si>
  <si>
    <t>03:50:14</t>
  </si>
  <si>
    <t>04:46:32</t>
  </si>
  <si>
    <t>Serra, Angelo</t>
  </si>
  <si>
    <t>04:27:59</t>
  </si>
  <si>
    <t>Amaan, Ghafoor</t>
  </si>
  <si>
    <t>04:59:19</t>
  </si>
  <si>
    <t>Greenwood, Louis</t>
  </si>
  <si>
    <t>03:35:32</t>
  </si>
  <si>
    <t>Dziewonski Michal</t>
  </si>
  <si>
    <t>03:53:34</t>
  </si>
  <si>
    <t>Boros Máté</t>
  </si>
  <si>
    <t>03:57:47</t>
  </si>
  <si>
    <t>Toth Gabor</t>
  </si>
  <si>
    <t>05:17:55</t>
  </si>
  <si>
    <t>Zhang, Alexandre</t>
  </si>
  <si>
    <t>03:32:33</t>
  </si>
  <si>
    <t>Andrei, Negru</t>
  </si>
  <si>
    <t>03:31:42</t>
  </si>
  <si>
    <t>Dobos Kristóf</t>
  </si>
  <si>
    <t>03:55:43</t>
  </si>
  <si>
    <t>Doig, Marcus dr</t>
  </si>
  <si>
    <t>03:41:51</t>
  </si>
  <si>
    <t>Rojas, Nestor Luciano</t>
  </si>
  <si>
    <t>03:10:06</t>
  </si>
  <si>
    <t>Stewart-Clark, Barney</t>
  </si>
  <si>
    <t>04:00:14</t>
  </si>
  <si>
    <t>Cserháti Vencel</t>
  </si>
  <si>
    <t>04:58:57</t>
  </si>
  <si>
    <t>Sand, H?vard Lyngvi</t>
  </si>
  <si>
    <t>03:15:54</t>
  </si>
  <si>
    <t>Kovács Dániel</t>
  </si>
  <si>
    <t>04:14:26</t>
  </si>
  <si>
    <t>Megyesi Tamás</t>
  </si>
  <si>
    <t>05:00:29</t>
  </si>
  <si>
    <t>Amedu, Akoji</t>
  </si>
  <si>
    <t>NGR</t>
  </si>
  <si>
    <t>05:32:27</t>
  </si>
  <si>
    <t>Gergely Nickl</t>
  </si>
  <si>
    <t>04:28:21</t>
  </si>
  <si>
    <t>Zimner, Steffen</t>
  </si>
  <si>
    <t>03:57:14</t>
  </si>
  <si>
    <t>Arnau, Zarzo Rascón</t>
  </si>
  <si>
    <t>Guiney, Dermot prof</t>
  </si>
  <si>
    <t>04:43:18</t>
  </si>
  <si>
    <t>Kollias, Nikos</t>
  </si>
  <si>
    <t>03:18:55</t>
  </si>
  <si>
    <t>Faragó Balázs</t>
  </si>
  <si>
    <t>nicolas, RUTER</t>
  </si>
  <si>
    <t>04:35:43</t>
  </si>
  <si>
    <t>Balázsi Csaba</t>
  </si>
  <si>
    <t>05:12:57</t>
  </si>
  <si>
    <t>Ismail, Kadioglu prof</t>
  </si>
  <si>
    <t>03:34:17</t>
  </si>
  <si>
    <t>ALMAS, JOSE</t>
  </si>
  <si>
    <t>Rizescu, Robert</t>
  </si>
  <si>
    <t>05:10:34</t>
  </si>
  <si>
    <t>03:01:59</t>
  </si>
  <si>
    <t>Komár Zsolt</t>
  </si>
  <si>
    <t>04:30:22</t>
  </si>
  <si>
    <t>03:54:28</t>
  </si>
  <si>
    <t>Kovács Márton</t>
  </si>
  <si>
    <t>04:31:58</t>
  </si>
  <si>
    <t>Gaál Zoltán</t>
  </si>
  <si>
    <t>04:53:26</t>
  </si>
  <si>
    <t>04:25:23</t>
  </si>
  <si>
    <t>Maidell, Daniel dr</t>
  </si>
  <si>
    <t>Benedek Dávid</t>
  </si>
  <si>
    <t>04:17:56</t>
  </si>
  <si>
    <t>Volák Sándor</t>
  </si>
  <si>
    <t>04:59:56</t>
  </si>
  <si>
    <t>03:55:02</t>
  </si>
  <si>
    <t>Gugleta, Uros</t>
  </si>
  <si>
    <t>04:58:22</t>
  </si>
  <si>
    <t>Abdul Latiff, Mirza Bin</t>
  </si>
  <si>
    <t>04:22:34</t>
  </si>
  <si>
    <t>Kupsza András</t>
  </si>
  <si>
    <t>04:36:20</t>
  </si>
  <si>
    <t>Lovasi Zsolt</t>
  </si>
  <si>
    <t>05:10:26</t>
  </si>
  <si>
    <t>Horvay Balázs</t>
  </si>
  <si>
    <t>03:10:43</t>
  </si>
  <si>
    <t>Mariucci, Roberto</t>
  </si>
  <si>
    <t>03:34:18</t>
  </si>
  <si>
    <t>04:40:55</t>
  </si>
  <si>
    <t>LINTON, RICKY</t>
  </si>
  <si>
    <t>04:39:05</t>
  </si>
  <si>
    <t>Gencsy Zoltán</t>
  </si>
  <si>
    <t>04:35:20</t>
  </si>
  <si>
    <t>Huller Fülöp</t>
  </si>
  <si>
    <t>04:16:24</t>
  </si>
  <si>
    <t>Vig Levente</t>
  </si>
  <si>
    <t>Altanov, Boris</t>
  </si>
  <si>
    <t>Rózsa Tamás</t>
  </si>
  <si>
    <t>04:54:31</t>
  </si>
  <si>
    <t>Dejonckheere, Simon</t>
  </si>
  <si>
    <t>03:55:27</t>
  </si>
  <si>
    <t>Soon, Yung</t>
  </si>
  <si>
    <t>05:30:47</t>
  </si>
  <si>
    <t>Jenkinson, William</t>
  </si>
  <si>
    <t>03:40:01</t>
  </si>
  <si>
    <t>Karlsen, Sebastian</t>
  </si>
  <si>
    <t>03:10:04</t>
  </si>
  <si>
    <t>AK, EMRE</t>
  </si>
  <si>
    <t>TUR</t>
  </si>
  <si>
    <t>REQUIN, Christophe</t>
  </si>
  <si>
    <t>03:45:18</t>
  </si>
  <si>
    <t>04:22:48</t>
  </si>
  <si>
    <t>Corcoran, Séadh</t>
  </si>
  <si>
    <t>04:24:10</t>
  </si>
  <si>
    <t>Sidó Attila</t>
  </si>
  <si>
    <t>04:00:30</t>
  </si>
  <si>
    <t>Cozza, Fedele prof</t>
  </si>
  <si>
    <t>04:43:42</t>
  </si>
  <si>
    <t>WINTGENS, ROMAIN</t>
  </si>
  <si>
    <t>Szamosi Szabolcs</t>
  </si>
  <si>
    <t>04:20:20</t>
  </si>
  <si>
    <t>05:18:20</t>
  </si>
  <si>
    <t>Jablonski, Martin</t>
  </si>
  <si>
    <t>03:57:44</t>
  </si>
  <si>
    <t>Schwender, Fabian</t>
  </si>
  <si>
    <t>03:47:51</t>
  </si>
  <si>
    <t>Vaz Vignolo, Carlos</t>
  </si>
  <si>
    <t>MOZ</t>
  </si>
  <si>
    <t>03:59:00</t>
  </si>
  <si>
    <t>Hamvas Péter</t>
  </si>
  <si>
    <t>03:49:00</t>
  </si>
  <si>
    <t>Nagy Dániel</t>
  </si>
  <si>
    <t>03:18:35</t>
  </si>
  <si>
    <t>Fiore, Raffaele prof</t>
  </si>
  <si>
    <t>05:12:02</t>
  </si>
  <si>
    <t>04:19:10</t>
  </si>
  <si>
    <t>Randrup, Johnny</t>
  </si>
  <si>
    <t>03:25:13</t>
  </si>
  <si>
    <t>03:43:04</t>
  </si>
  <si>
    <t>Camas Alcaide, Fernando prof</t>
  </si>
  <si>
    <t>04:19:00</t>
  </si>
  <si>
    <t>Foglár Gábor</t>
  </si>
  <si>
    <t>05:21:04</t>
  </si>
  <si>
    <t>Spalevic, Radovan</t>
  </si>
  <si>
    <t>03:43:46</t>
  </si>
  <si>
    <t>04:40:27</t>
  </si>
  <si>
    <t>Pucci, Elia prof</t>
  </si>
  <si>
    <t>02:57:02</t>
  </si>
  <si>
    <t>Martin, Cuisy</t>
  </si>
  <si>
    <t>03:16:43</t>
  </si>
  <si>
    <t>Wintersteller, Claus</t>
  </si>
  <si>
    <t>03:56:54</t>
  </si>
  <si>
    <t>Takács Sándor</t>
  </si>
  <si>
    <t>04:15:12</t>
  </si>
  <si>
    <t>Azzini, Davide Stefano Renato</t>
  </si>
  <si>
    <t>03:59:20</t>
  </si>
  <si>
    <t>04:28:23</t>
  </si>
  <si>
    <t>Szczepański, Marcin</t>
  </si>
  <si>
    <t>04:21:09</t>
  </si>
  <si>
    <t>OBrien, Garth</t>
  </si>
  <si>
    <t>04:05:15</t>
  </si>
  <si>
    <t>Kreso, Velimir</t>
  </si>
  <si>
    <t>03:22:44</t>
  </si>
  <si>
    <t>Fazekas Ottó</t>
  </si>
  <si>
    <t>03:32:21</t>
  </si>
  <si>
    <t>Ascard, Martin</t>
  </si>
  <si>
    <t>04:07:01</t>
  </si>
  <si>
    <t>Rojewski, Lukasz prof</t>
  </si>
  <si>
    <t>04:25:20</t>
  </si>
  <si>
    <t>Hackl Mihály ifj</t>
  </si>
  <si>
    <t>03:40:34</t>
  </si>
  <si>
    <t>Gombár Zoltán</t>
  </si>
  <si>
    <t>03:55:03</t>
  </si>
  <si>
    <t>Jenei Attila</t>
  </si>
  <si>
    <t>05:03:20</t>
  </si>
  <si>
    <t>Kerényi Levente</t>
  </si>
  <si>
    <t>05:02:56</t>
  </si>
  <si>
    <t>03:51:46</t>
  </si>
  <si>
    <t>Groesbeek, Michel</t>
  </si>
  <si>
    <t>04:18:27</t>
  </si>
  <si>
    <t>Kovács, Előd</t>
  </si>
  <si>
    <t>03:39:31</t>
  </si>
  <si>
    <t>David, Hitchen</t>
  </si>
  <si>
    <t>03:48:55</t>
  </si>
  <si>
    <t>Fehér Dániel</t>
  </si>
  <si>
    <t>03:49:49</t>
  </si>
  <si>
    <t>Bödör Tamás</t>
  </si>
  <si>
    <t>03:46:40</t>
  </si>
  <si>
    <t>FERNANDEZ GONZALEZ, EMILIO prof</t>
  </si>
  <si>
    <t>03:53:20</t>
  </si>
  <si>
    <t>FU, LEI</t>
  </si>
  <si>
    <t>02:58:23</t>
  </si>
  <si>
    <t>Dove, Daniel</t>
  </si>
  <si>
    <t>04:08:28</t>
  </si>
  <si>
    <t>Misoczki László</t>
  </si>
  <si>
    <t>04:21:40</t>
  </si>
  <si>
    <t>Kuznik, Kasper</t>
  </si>
  <si>
    <t>03:14:03</t>
  </si>
  <si>
    <t>Verdeyen, Kris</t>
  </si>
  <si>
    <t>04:01:12</t>
  </si>
  <si>
    <t>Bánfai Károly</t>
  </si>
  <si>
    <t>03:21:28</t>
  </si>
  <si>
    <t>RAFFERTY, Colin</t>
  </si>
  <si>
    <t>03:31:56</t>
  </si>
  <si>
    <t>Buyse, Geert</t>
  </si>
  <si>
    <t>04:32:28</t>
  </si>
  <si>
    <t>Hambuch Bertold</t>
  </si>
  <si>
    <t>03:40:51</t>
  </si>
  <si>
    <t>Toplak Béla</t>
  </si>
  <si>
    <t>03:45:33</t>
  </si>
  <si>
    <t>Tóth Dávid István</t>
  </si>
  <si>
    <t>04:25:02</t>
  </si>
  <si>
    <t>Nentwich, Steve</t>
  </si>
  <si>
    <t>04:28:39</t>
  </si>
  <si>
    <t>Kopečný, Denis</t>
  </si>
  <si>
    <t>04:01:47</t>
  </si>
  <si>
    <t>Jean-Christophe, LAZARD</t>
  </si>
  <si>
    <t>03:35:24</t>
  </si>
  <si>
    <t>Gosztonyi Zsombor</t>
  </si>
  <si>
    <t>Zabihi, Behrooz</t>
  </si>
  <si>
    <t>02:52:25</t>
  </si>
  <si>
    <t>Branković, Djordje</t>
  </si>
  <si>
    <t>04:24:03</t>
  </si>
  <si>
    <t>Santana, Sebastian</t>
  </si>
  <si>
    <t>DOM</t>
  </si>
  <si>
    <t>04:47:31</t>
  </si>
  <si>
    <t>Bartus Ferenc</t>
  </si>
  <si>
    <t>03:19:05</t>
  </si>
  <si>
    <t>Jackson, Mark</t>
  </si>
  <si>
    <t>NOLSOE, AMUNDUR</t>
  </si>
  <si>
    <t>03:51:20</t>
  </si>
  <si>
    <t>03:28:35</t>
  </si>
  <si>
    <t>04:53:48</t>
  </si>
  <si>
    <t>Grieve, Robert</t>
  </si>
  <si>
    <t>05:26:10</t>
  </si>
  <si>
    <t>Christensen, Bjorn</t>
  </si>
  <si>
    <t>03:09:03</t>
  </si>
  <si>
    <t>Filippov, Anton</t>
  </si>
  <si>
    <t>04:02:25</t>
  </si>
  <si>
    <t>Bielan, Daniel</t>
  </si>
  <si>
    <t>03:43:02</t>
  </si>
  <si>
    <t>PICKAVET, Geert</t>
  </si>
  <si>
    <t>04:13:45</t>
  </si>
  <si>
    <t>Prigyeni László</t>
  </si>
  <si>
    <t>04:43:49</t>
  </si>
  <si>
    <t>Juhász Tamás</t>
  </si>
  <si>
    <t>05:13:15</t>
  </si>
  <si>
    <t>04:42:29</t>
  </si>
  <si>
    <t>Kudrycki, Jakub</t>
  </si>
  <si>
    <t>03:56:24</t>
  </si>
  <si>
    <t>Zoltai Zsolt</t>
  </si>
  <si>
    <t>03:23:23</t>
  </si>
  <si>
    <t>04:13:29</t>
  </si>
  <si>
    <t>MORVANT, KEVIN</t>
  </si>
  <si>
    <t>04:20:35</t>
  </si>
  <si>
    <t>Agócs Róbert</t>
  </si>
  <si>
    <t>04:46:33</t>
  </si>
  <si>
    <t>Pártay Róbert Dénes</t>
  </si>
  <si>
    <t>03:59:03</t>
  </si>
  <si>
    <t>05:23:47</t>
  </si>
  <si>
    <t>Jepsen, Henrik Berg</t>
  </si>
  <si>
    <t>03:22:00</t>
  </si>
  <si>
    <t>05:04:06</t>
  </si>
  <si>
    <t>JANIK, ROMAN</t>
  </si>
  <si>
    <t>05:36:00</t>
  </si>
  <si>
    <t>DE LA RIMADA MANELLA, CARLOS JAVIER</t>
  </si>
  <si>
    <t>Buday, Jozef</t>
  </si>
  <si>
    <t>03:19:45</t>
  </si>
  <si>
    <t>05:03:42</t>
  </si>
  <si>
    <t>Forrai Miklós</t>
  </si>
  <si>
    <t>04:15:46</t>
  </si>
  <si>
    <t>Pym, Cameron</t>
  </si>
  <si>
    <t>04:02:56</t>
  </si>
  <si>
    <t>Macleod, Alistair</t>
  </si>
  <si>
    <t>04:32:47</t>
  </si>
  <si>
    <t>Brájer Attila</t>
  </si>
  <si>
    <t>03:51:37</t>
  </si>
  <si>
    <t>ebek, Duan</t>
  </si>
  <si>
    <t>04:16:01</t>
  </si>
  <si>
    <t>McAlpin, Andrew</t>
  </si>
  <si>
    <t>03:25:34</t>
  </si>
  <si>
    <t>Mohri Szirusz</t>
  </si>
  <si>
    <t>04:02:16</t>
  </si>
  <si>
    <t>Way, Matt</t>
  </si>
  <si>
    <t>04:17:24</t>
  </si>
  <si>
    <t>Babiak, Marek</t>
  </si>
  <si>
    <t>04:13:56</t>
  </si>
  <si>
    <t>03:56:57</t>
  </si>
  <si>
    <t>04:09:13</t>
  </si>
  <si>
    <t>Ferenczi Zsombor</t>
  </si>
  <si>
    <t>04:28:42</t>
  </si>
  <si>
    <t>Lam, Benjamin</t>
  </si>
  <si>
    <t>02:55:56</t>
  </si>
  <si>
    <t>03:16:21</t>
  </si>
  <si>
    <t>Hieu, Tran</t>
  </si>
  <si>
    <t>04:28:17</t>
  </si>
  <si>
    <t>Malblanc, Richard prof</t>
  </si>
  <si>
    <t>03:22:59</t>
  </si>
  <si>
    <t>03:50:54</t>
  </si>
  <si>
    <t>Versényi Péter</t>
  </si>
  <si>
    <t>03:56:40</t>
  </si>
  <si>
    <t>Schachter, Asaf</t>
  </si>
  <si>
    <t>04:40:15</t>
  </si>
  <si>
    <t>Perez sedano, Diego</t>
  </si>
  <si>
    <t>03:49:37</t>
  </si>
  <si>
    <t>Hoarton, George</t>
  </si>
  <si>
    <t>03:27:00</t>
  </si>
  <si>
    <t>Tumuluri, Ramana</t>
  </si>
  <si>
    <t>03:57:37</t>
  </si>
  <si>
    <t>Visy Géza</t>
  </si>
  <si>
    <t>04:18:57</t>
  </si>
  <si>
    <t>Korim Zsolt</t>
  </si>
  <si>
    <t>04:35:12</t>
  </si>
  <si>
    <t>03:34:02</t>
  </si>
  <si>
    <t>Quagini, Davide</t>
  </si>
  <si>
    <t>03:16:28</t>
  </si>
  <si>
    <t>03:17:30</t>
  </si>
  <si>
    <t>04:14:58</t>
  </si>
  <si>
    <t>Nádasdi Gábor</t>
  </si>
  <si>
    <t>04:55:25</t>
  </si>
  <si>
    <t>Henézi Ferenc Róbert</t>
  </si>
  <si>
    <t>04:31:33</t>
  </si>
  <si>
    <t>Trunk Milán</t>
  </si>
  <si>
    <t>03:56:34</t>
  </si>
  <si>
    <t>Israeli, Moshe</t>
  </si>
  <si>
    <t>03:51:30</t>
  </si>
  <si>
    <t>Papp Norbert</t>
  </si>
  <si>
    <t>Keresztes Zoltan</t>
  </si>
  <si>
    <t>04:12:52</t>
  </si>
  <si>
    <t>Jezsó Bence</t>
  </si>
  <si>
    <t>Kruis, Jeffrey</t>
  </si>
  <si>
    <t>03:44:30</t>
  </si>
  <si>
    <t>Pásztor Csaba</t>
  </si>
  <si>
    <t>04:07:05</t>
  </si>
  <si>
    <t>Szerencse Ákos</t>
  </si>
  <si>
    <t>04:38:08</t>
  </si>
  <si>
    <t>BREZNEN, IGOR</t>
  </si>
  <si>
    <t>04:15:47</t>
  </si>
  <si>
    <t>Silva, Diogo</t>
  </si>
  <si>
    <t>03:16:47</t>
  </si>
  <si>
    <t>KIM, MAN DEUK dr</t>
  </si>
  <si>
    <t>04:09:53</t>
  </si>
  <si>
    <t>Keiler, Bernhard</t>
  </si>
  <si>
    <t>05:24:40</t>
  </si>
  <si>
    <t>zagoni csaba</t>
  </si>
  <si>
    <t>03:37:36</t>
  </si>
  <si>
    <t>Kruppa István Gábor</t>
  </si>
  <si>
    <t>Virág Péter</t>
  </si>
  <si>
    <t>04:16:26</t>
  </si>
  <si>
    <t>Tóth Szilárd</t>
  </si>
  <si>
    <t>04:25:44</t>
  </si>
  <si>
    <t>Forczek István</t>
  </si>
  <si>
    <t>04:56:25</t>
  </si>
  <si>
    <t>LIBERNA, ZENON</t>
  </si>
  <si>
    <t>04:25:51</t>
  </si>
  <si>
    <t>Petresevics Róbert</t>
  </si>
  <si>
    <t>Macišg, Krzysztof</t>
  </si>
  <si>
    <t>03:00:33</t>
  </si>
  <si>
    <t>04:44:07</t>
  </si>
  <si>
    <t>Michel, Malet</t>
  </si>
  <si>
    <t>04:58:21</t>
  </si>
  <si>
    <t>Horváth József</t>
  </si>
  <si>
    <t>04:58:54</t>
  </si>
  <si>
    <t>FERRIS, Marc</t>
  </si>
  <si>
    <t>03:50:26</t>
  </si>
  <si>
    <t>Stengl, Christian</t>
  </si>
  <si>
    <t>04:26:09</t>
  </si>
  <si>
    <t>COLLETTE, Sébastien</t>
  </si>
  <si>
    <t>03:55:40</t>
  </si>
  <si>
    <t>Willis, David</t>
  </si>
  <si>
    <t>04:50:15</t>
  </si>
  <si>
    <t>Ward, Andy prof</t>
  </si>
  <si>
    <t>03:28:32</t>
  </si>
  <si>
    <t>CORNILLEAU, SEBASTIEN</t>
  </si>
  <si>
    <t>03:48:36</t>
  </si>
  <si>
    <t>Kárpáti Milán</t>
  </si>
  <si>
    <t>04:29:39</t>
  </si>
  <si>
    <t>04:45:26</t>
  </si>
  <si>
    <t>Bakondi Péter</t>
  </si>
  <si>
    <t>02:55:00</t>
  </si>
  <si>
    <t>Galbovy Szabolcs</t>
  </si>
  <si>
    <t>04:00:56</t>
  </si>
  <si>
    <t>Luká, Tkáč</t>
  </si>
  <si>
    <t>03:46:11</t>
  </si>
  <si>
    <t>03:49:41</t>
  </si>
  <si>
    <t>Dennis, Mark prof</t>
  </si>
  <si>
    <t>03:39:54</t>
  </si>
  <si>
    <t>Beczek, Łukasz</t>
  </si>
  <si>
    <t>04:25:49</t>
  </si>
  <si>
    <t>Hanna, David</t>
  </si>
  <si>
    <t>04:04:05</t>
  </si>
  <si>
    <t>Taylor, James prof</t>
  </si>
  <si>
    <t>03:55:38</t>
  </si>
  <si>
    <t>Ribeiro Agostinho, Peterson</t>
  </si>
  <si>
    <t>04:25:39</t>
  </si>
  <si>
    <t>Gander, Simon</t>
  </si>
  <si>
    <t>03:10:16</t>
  </si>
  <si>
    <t>Norman, Swithun</t>
  </si>
  <si>
    <t>03:56:31</t>
  </si>
  <si>
    <t>Norton, Conner</t>
  </si>
  <si>
    <t>04:57:30</t>
  </si>
  <si>
    <t>Chapman, John</t>
  </si>
  <si>
    <t>Puha, Dávid</t>
  </si>
  <si>
    <t>04:40:50</t>
  </si>
  <si>
    <t>Muldrew, Edward</t>
  </si>
  <si>
    <t>05:11:24</t>
  </si>
  <si>
    <t>Martínez, Aníbal</t>
  </si>
  <si>
    <t>03:43:17</t>
  </si>
  <si>
    <t>Rimár Zsolt</t>
  </si>
  <si>
    <t>03:29:13</t>
  </si>
  <si>
    <t>Kiepsel, David</t>
  </si>
  <si>
    <t>04:02:28</t>
  </si>
  <si>
    <t>Gyarfas, Juraj</t>
  </si>
  <si>
    <t>05:00:59</t>
  </si>
  <si>
    <t>Gál József</t>
  </si>
  <si>
    <t>04:03:06</t>
  </si>
  <si>
    <t>Tamás Pál</t>
  </si>
  <si>
    <t>Csató Gábor dr</t>
  </si>
  <si>
    <t>03:56:14</t>
  </si>
  <si>
    <t>Roberts, Louis prof</t>
  </si>
  <si>
    <t>04:24:35</t>
  </si>
  <si>
    <t>Nedjalkov Balázs</t>
  </si>
  <si>
    <t>Sivo, Giovanni</t>
  </si>
  <si>
    <t>03:53:27</t>
  </si>
  <si>
    <t>Chase, Cole</t>
  </si>
  <si>
    <t>03:37:46</t>
  </si>
  <si>
    <t>Öhlund, Claes</t>
  </si>
  <si>
    <t>04:37:31</t>
  </si>
  <si>
    <t>Arie, Tomer</t>
  </si>
  <si>
    <t>Ignácz Attila dr.</t>
  </si>
  <si>
    <t>05:11:55</t>
  </si>
  <si>
    <t>Bjorgan, Johnny</t>
  </si>
  <si>
    <t>04:24:52</t>
  </si>
  <si>
    <t>Whatmore, Daniel</t>
  </si>
  <si>
    <t>03:08:42</t>
  </si>
  <si>
    <t>Mátyás Dávid</t>
  </si>
  <si>
    <t>04:01:54</t>
  </si>
  <si>
    <t>03:23:02</t>
  </si>
  <si>
    <t>Mócz Gábor</t>
  </si>
  <si>
    <t>03:51:35</t>
  </si>
  <si>
    <t>04:13:33</t>
  </si>
  <si>
    <t>03:56:19</t>
  </si>
  <si>
    <t>04:54:24</t>
  </si>
  <si>
    <t>Vida Ádám</t>
  </si>
  <si>
    <t>04:39:16</t>
  </si>
  <si>
    <t>Bates, Tom</t>
  </si>
  <si>
    <t>03:34:56</t>
  </si>
  <si>
    <t>05:34:57</t>
  </si>
  <si>
    <t>Chen, Bryan</t>
  </si>
  <si>
    <t>03:43:31</t>
  </si>
  <si>
    <t>Greasley, Jamie prof</t>
  </si>
  <si>
    <t>Dóczé, Edmund</t>
  </si>
  <si>
    <t>03:35:02</t>
  </si>
  <si>
    <t>Sturges, Alex</t>
  </si>
  <si>
    <t>05:16:29</t>
  </si>
  <si>
    <t>Kucharik, Jiri</t>
  </si>
  <si>
    <t>03:05:22</t>
  </si>
  <si>
    <t>CASADO RODRIGUEZ, ADOLFO</t>
  </si>
  <si>
    <t>03:58:55</t>
  </si>
  <si>
    <t>Rodrigo, Perez Boysselle</t>
  </si>
  <si>
    <t>03:30:01</t>
  </si>
  <si>
    <t>Károlyi Attila</t>
  </si>
  <si>
    <t>03:32:55</t>
  </si>
  <si>
    <t>Mattia, Marchi</t>
  </si>
  <si>
    <t>03:53:05</t>
  </si>
  <si>
    <t>02:59:01</t>
  </si>
  <si>
    <t>Polyánki Bence</t>
  </si>
  <si>
    <t>02:38:43</t>
  </si>
  <si>
    <t>Di Palma, Nicola</t>
  </si>
  <si>
    <t>03:08:02</t>
  </si>
  <si>
    <t>Pitcher, Braden</t>
  </si>
  <si>
    <t>03:05:43</t>
  </si>
  <si>
    <t>Rigó Béla</t>
  </si>
  <si>
    <t>04:00:36</t>
  </si>
  <si>
    <t>Franck, Rescoussier</t>
  </si>
  <si>
    <t>04:39:22</t>
  </si>
  <si>
    <t>Nyéki Gábor</t>
  </si>
  <si>
    <t>03:49:55</t>
  </si>
  <si>
    <t>Meszaros Peter id</t>
  </si>
  <si>
    <t>Angaroni, Enrico prof</t>
  </si>
  <si>
    <t>03:41:21</t>
  </si>
  <si>
    <t>Lestar, Robert</t>
  </si>
  <si>
    <t>03:57:18</t>
  </si>
  <si>
    <t>Cernat, Danut</t>
  </si>
  <si>
    <t>04:33:54</t>
  </si>
  <si>
    <t>Skrodzki Andrzej</t>
  </si>
  <si>
    <t>HERVE, RAMAT</t>
  </si>
  <si>
    <t>04:29:01</t>
  </si>
  <si>
    <t>Konkoly Gergely</t>
  </si>
  <si>
    <t>03:55:37</t>
  </si>
  <si>
    <t>04:38:56</t>
  </si>
  <si>
    <t>Chan, Alan</t>
  </si>
  <si>
    <t>05:31:36</t>
  </si>
  <si>
    <t>Saey, Dennis</t>
  </si>
  <si>
    <t>04:08:21</t>
  </si>
  <si>
    <t>Simonyik Levente</t>
  </si>
  <si>
    <t>04:00:52</t>
  </si>
  <si>
    <t>Bronlund, Petter</t>
  </si>
  <si>
    <t>04:29:05</t>
  </si>
  <si>
    <t>BUCKTOWAR, RALPH</t>
  </si>
  <si>
    <t>03:28:06</t>
  </si>
  <si>
    <t>Penka, Wolfgang</t>
  </si>
  <si>
    <t>05:32:50</t>
  </si>
  <si>
    <t>Briac, Andrei</t>
  </si>
  <si>
    <t>Maroda Máté</t>
  </si>
  <si>
    <t>04:26:20</t>
  </si>
  <si>
    <t>Louwagie Sapena, Ruben</t>
  </si>
  <si>
    <t>03:07:39</t>
  </si>
  <si>
    <t>Weiß, Ricardo</t>
  </si>
  <si>
    <t>03:16:22</t>
  </si>
  <si>
    <t>Limp Dávid</t>
  </si>
  <si>
    <t>04:00:38</t>
  </si>
  <si>
    <t>03:53:19</t>
  </si>
  <si>
    <t>Lenstra, Jelmer-Joost</t>
  </si>
  <si>
    <t>02:45:55</t>
  </si>
  <si>
    <t>Baukó Ferenc</t>
  </si>
  <si>
    <t>04:10:12</t>
  </si>
  <si>
    <t>05:06:27</t>
  </si>
  <si>
    <t>Suchna, Jiří</t>
  </si>
  <si>
    <t>03:49:51</t>
  </si>
  <si>
    <t>Turcsi László</t>
  </si>
  <si>
    <t>03:55:19</t>
  </si>
  <si>
    <t>Görgényi-Nagy Szabolcs</t>
  </si>
  <si>
    <t>04:49:56</t>
  </si>
  <si>
    <t>Reszegi Sándor</t>
  </si>
  <si>
    <t>05:40:35</t>
  </si>
  <si>
    <t>Németh Nándor Dr.</t>
  </si>
  <si>
    <t>03:36:19</t>
  </si>
  <si>
    <t>03:28:52</t>
  </si>
  <si>
    <t>Martin, Connan</t>
  </si>
  <si>
    <t>05:10:23</t>
  </si>
  <si>
    <t>05:32:48</t>
  </si>
  <si>
    <t>Bognár Károly</t>
  </si>
  <si>
    <t>04:27:50</t>
  </si>
  <si>
    <t>04:47:59</t>
  </si>
  <si>
    <t>Pacifero, Giuliano</t>
  </si>
  <si>
    <t>04:58:11</t>
  </si>
  <si>
    <t>Bíró Krisztián</t>
  </si>
  <si>
    <t>04:22:24</t>
  </si>
  <si>
    <t>Bajdik János</t>
  </si>
  <si>
    <t>02:58:22</t>
  </si>
  <si>
    <t>Marwane, Benakki</t>
  </si>
  <si>
    <t>MAR</t>
  </si>
  <si>
    <t>03:26:04</t>
  </si>
  <si>
    <t>László Péter</t>
  </si>
  <si>
    <t>03:47:21</t>
  </si>
  <si>
    <t>Lajarige, William</t>
  </si>
  <si>
    <t>04:00:15</t>
  </si>
  <si>
    <t>CERISIER, William</t>
  </si>
  <si>
    <t>03:14:57</t>
  </si>
  <si>
    <t>Casiraghi, Gilberto</t>
  </si>
  <si>
    <t>Petrovay Zoltán</t>
  </si>
  <si>
    <t>05:03:04</t>
  </si>
  <si>
    <t>05:15:12</t>
  </si>
  <si>
    <t>04:24:16</t>
  </si>
  <si>
    <t>Szekeres András</t>
  </si>
  <si>
    <t>04:29:35</t>
  </si>
  <si>
    <t>Kim, Changwook</t>
  </si>
  <si>
    <t>04:07:56</t>
  </si>
  <si>
    <t>Szabó Zoltán</t>
  </si>
  <si>
    <t>04:13:10</t>
  </si>
  <si>
    <t>Siskov, Vasilij</t>
  </si>
  <si>
    <t>04:28:08</t>
  </si>
  <si>
    <t>Kaali, Daniel</t>
  </si>
  <si>
    <t>03:15:06</t>
  </si>
  <si>
    <t>04:26:24</t>
  </si>
  <si>
    <t>Torsnes, Sindre</t>
  </si>
  <si>
    <t>03:25:18</t>
  </si>
  <si>
    <t>Pelle Laszlo</t>
  </si>
  <si>
    <t>04:24:08</t>
  </si>
  <si>
    <t>Francisco J., Ruz</t>
  </si>
  <si>
    <t>04:35:46</t>
  </si>
  <si>
    <t>Ágoston Márton</t>
  </si>
  <si>
    <t>04:07:44</t>
  </si>
  <si>
    <t>Sivó Balázs</t>
  </si>
  <si>
    <t>Nicolas, Carbon</t>
  </si>
  <si>
    <t>03:49:31</t>
  </si>
  <si>
    <t>Baráth Péter</t>
  </si>
  <si>
    <t>04:27:28</t>
  </si>
  <si>
    <t>Varga János</t>
  </si>
  <si>
    <t>04:37:14</t>
  </si>
  <si>
    <t>Sylvain, Ducat</t>
  </si>
  <si>
    <t>03:57:11</t>
  </si>
  <si>
    <t>Ivancso, Béla dr.</t>
  </si>
  <si>
    <t>03:34:15</t>
  </si>
  <si>
    <t>03:59:10</t>
  </si>
  <si>
    <t>Kónya Benedek</t>
  </si>
  <si>
    <t>03:59:48</t>
  </si>
  <si>
    <t>F?rlie, Asbj?rn</t>
  </si>
  <si>
    <t>Guilhem, Maxime ifj</t>
  </si>
  <si>
    <t>04:18:37</t>
  </si>
  <si>
    <t>Watson, Tom</t>
  </si>
  <si>
    <t>03:51:31</t>
  </si>
  <si>
    <t>Tóth Adam</t>
  </si>
  <si>
    <t>03:33:28</t>
  </si>
  <si>
    <t>da Cruz Almeida, Jo?o Pedro Afonso</t>
  </si>
  <si>
    <t>03:49:21</t>
  </si>
  <si>
    <t>Cantave, Day dr</t>
  </si>
  <si>
    <t>03:17:24</t>
  </si>
  <si>
    <t>Henrik, Ljung</t>
  </si>
  <si>
    <t>03:40:58</t>
  </si>
  <si>
    <t>Dövényi-Nagy Ferenc</t>
  </si>
  <si>
    <t>03:46:31</t>
  </si>
  <si>
    <t>BARDELOT, Stéphane</t>
  </si>
  <si>
    <t>Jánosi Péter</t>
  </si>
  <si>
    <t>04:35:28</t>
  </si>
  <si>
    <t>Vigh Péter</t>
  </si>
  <si>
    <t>03:09:09</t>
  </si>
  <si>
    <t>Remac, Milan dr</t>
  </si>
  <si>
    <t>03:48:14</t>
  </si>
  <si>
    <t>Kagan, Ryszard</t>
  </si>
  <si>
    <t>04:16:15</t>
  </si>
  <si>
    <t>Ferrebee James</t>
  </si>
  <si>
    <t>04:42:00</t>
  </si>
  <si>
    <t>Sarty, Robert</t>
  </si>
  <si>
    <t>03:04:49</t>
  </si>
  <si>
    <t>Benedek Martin</t>
  </si>
  <si>
    <t>05:25:17</t>
  </si>
  <si>
    <t>Parkes, Harvey</t>
  </si>
  <si>
    <t>03:35:09</t>
  </si>
  <si>
    <t>Sebők Attila</t>
  </si>
  <si>
    <t>03:56:05</t>
  </si>
  <si>
    <t>Dimény Lóránt</t>
  </si>
  <si>
    <t>04:00:20</t>
  </si>
  <si>
    <t>Pataki Tamás</t>
  </si>
  <si>
    <t>04:55:44</t>
  </si>
  <si>
    <t>Hugo, Willemet</t>
  </si>
  <si>
    <t>03:30:22</t>
  </si>
  <si>
    <t>Kovács, Tamás</t>
  </si>
  <si>
    <t>03:38:23</t>
  </si>
  <si>
    <t>Schwartz-Nagy Attila</t>
  </si>
  <si>
    <t>03:41:56</t>
  </si>
  <si>
    <t>Kovács Árpád Csaba</t>
  </si>
  <si>
    <t>03:44:44</t>
  </si>
  <si>
    <t>Vajda György</t>
  </si>
  <si>
    <t>04:44:54</t>
  </si>
  <si>
    <t>BARBONE, DOMENICO</t>
  </si>
  <si>
    <t>03:43:07</t>
  </si>
  <si>
    <t>Wiatrowski, Andrzej</t>
  </si>
  <si>
    <t>03:48:03</t>
  </si>
  <si>
    <t>Gonçalves, Jorge prof</t>
  </si>
  <si>
    <t>03:45:05</t>
  </si>
  <si>
    <t>Kálló Gábor</t>
  </si>
  <si>
    <t>05:07:37</t>
  </si>
  <si>
    <t>Wester, Andreas</t>
  </si>
  <si>
    <t>04:08:24</t>
  </si>
  <si>
    <t>Ugolini, Luigino</t>
  </si>
  <si>
    <t>03:57:06</t>
  </si>
  <si>
    <t>Harbinja, Jasmin</t>
  </si>
  <si>
    <t>04:10:01</t>
  </si>
  <si>
    <t>Suha Viktor</t>
  </si>
  <si>
    <t>05:35:27</t>
  </si>
  <si>
    <t>Gambarana, Bruno</t>
  </si>
  <si>
    <t>03:57:45</t>
  </si>
  <si>
    <t>Drandic, Sandi</t>
  </si>
  <si>
    <t>03:25:22</t>
  </si>
  <si>
    <t>Sudjunadi, Wisakasuta</t>
  </si>
  <si>
    <t>03:56:37</t>
  </si>
  <si>
    <t>Wéninger Ákos</t>
  </si>
  <si>
    <t>03:50:15</t>
  </si>
  <si>
    <t>Yliluoma, Ville</t>
  </si>
  <si>
    <t>03:02:04</t>
  </si>
  <si>
    <t>Fazakas Zsolt</t>
  </si>
  <si>
    <t>03:05:49</t>
  </si>
  <si>
    <t>Sipos Szabolcs</t>
  </si>
  <si>
    <t>05:00:27</t>
  </si>
  <si>
    <t>Baranyai Levente</t>
  </si>
  <si>
    <t>04:15:44</t>
  </si>
  <si>
    <t>Ács Gábor</t>
  </si>
  <si>
    <t>04:13:46</t>
  </si>
  <si>
    <t>Harestad, Snorre Alm</t>
  </si>
  <si>
    <t>04:40:54</t>
  </si>
  <si>
    <t>László Tibor</t>
  </si>
  <si>
    <t>04:00:58</t>
  </si>
  <si>
    <t>Leclerc, Jean-Pierre</t>
  </si>
  <si>
    <t>03:28:07</t>
  </si>
  <si>
    <t>David, Kadar</t>
  </si>
  <si>
    <t>04:23:43</t>
  </si>
  <si>
    <t>Szalkay Attila Kázmér</t>
  </si>
  <si>
    <t>05:25:53</t>
  </si>
  <si>
    <t>Alimzhan uulu, Esen jr</t>
  </si>
  <si>
    <t>05:03:32</t>
  </si>
  <si>
    <t>Wojciechowski, Tomasz</t>
  </si>
  <si>
    <t>03:18:34</t>
  </si>
  <si>
    <t>Mocsári Gyula</t>
  </si>
  <si>
    <t>04:35:57</t>
  </si>
  <si>
    <t>04:03:05</t>
  </si>
  <si>
    <t>Szabó-Lőrincz Ádám</t>
  </si>
  <si>
    <t>05:31:32</t>
  </si>
  <si>
    <t>04:50:33</t>
  </si>
  <si>
    <t>Lakkas, Theo</t>
  </si>
  <si>
    <t>05:03:09</t>
  </si>
  <si>
    <t>Szőcs, Attila-Zsolt dr</t>
  </si>
  <si>
    <t>02:57:15</t>
  </si>
  <si>
    <t>Sterckx, Peter</t>
  </si>
  <si>
    <t>03:18:30</t>
  </si>
  <si>
    <t>Sulák Zsolt</t>
  </si>
  <si>
    <t>03:19:15</t>
  </si>
  <si>
    <t>Szabó Gergő</t>
  </si>
  <si>
    <t>04:44:03</t>
  </si>
  <si>
    <t>Garbani, Marvin</t>
  </si>
  <si>
    <t>04:03:45</t>
  </si>
  <si>
    <t>Ligeti András</t>
  </si>
  <si>
    <t>02:54:31</t>
  </si>
  <si>
    <t>PANICO, GIUSEPPE</t>
  </si>
  <si>
    <t>04:36:24</t>
  </si>
  <si>
    <t>Benkics Péter</t>
  </si>
  <si>
    <t>van Zanden, Menno</t>
  </si>
  <si>
    <t>03:54:34</t>
  </si>
  <si>
    <t>Ronchi, Erwin</t>
  </si>
  <si>
    <t>03:23:08</t>
  </si>
  <si>
    <t>Lantos Bence</t>
  </si>
  <si>
    <t>05:00:45</t>
  </si>
  <si>
    <t>Courtnadge, Philip</t>
  </si>
  <si>
    <t>03:46:24</t>
  </si>
  <si>
    <t>Mouhali, Liam</t>
  </si>
  <si>
    <t>04:27:55</t>
  </si>
  <si>
    <t>04:33:23</t>
  </si>
  <si>
    <t>Kószó Péter</t>
  </si>
  <si>
    <t>04:42:48</t>
  </si>
  <si>
    <t>Hertelendy Márton Maximilián</t>
  </si>
  <si>
    <t>Richter, Thorsten</t>
  </si>
  <si>
    <t>03:53:38</t>
  </si>
  <si>
    <t>Vermes Balázs</t>
  </si>
  <si>
    <t>Gavula Sándor</t>
  </si>
  <si>
    <t>05:00:38</t>
  </si>
  <si>
    <t>Stoichkov, Nikolay</t>
  </si>
  <si>
    <t>03:49:36</t>
  </si>
  <si>
    <t>Kányási István</t>
  </si>
  <si>
    <t>04:08:54</t>
  </si>
  <si>
    <t>Benedek-Rápolti, Vajk</t>
  </si>
  <si>
    <t>04:11:04</t>
  </si>
  <si>
    <t>Murkin, Keith</t>
  </si>
  <si>
    <t>03:58:56</t>
  </si>
  <si>
    <t>Csizér Márton</t>
  </si>
  <si>
    <t>04:19:45</t>
  </si>
  <si>
    <t>Baranek, Lukas</t>
  </si>
  <si>
    <t>04:29:28</t>
  </si>
  <si>
    <t>Baranyai Balázs</t>
  </si>
  <si>
    <t>Nijborg, Jarno</t>
  </si>
  <si>
    <t>04:00:50</t>
  </si>
  <si>
    <t>Hugyecz András</t>
  </si>
  <si>
    <t>05:04:11</t>
  </si>
  <si>
    <t>Babos Mátyás Market</t>
  </si>
  <si>
    <t>03:08:41</t>
  </si>
  <si>
    <t>Nyist Gábor</t>
  </si>
  <si>
    <t>05:01:35</t>
  </si>
  <si>
    <t>Davidson, Gary</t>
  </si>
  <si>
    <t>03:32:19</t>
  </si>
  <si>
    <t>Zelnis, Daniel</t>
  </si>
  <si>
    <t>ALGECIRAS, JOSE</t>
  </si>
  <si>
    <t>05:00:01</t>
  </si>
  <si>
    <t>O'Halloran, Damien</t>
  </si>
  <si>
    <t>04:26:16</t>
  </si>
  <si>
    <t>Gyávol, Roland</t>
  </si>
  <si>
    <t>04:45:01</t>
  </si>
  <si>
    <t>Bugovics Péter</t>
  </si>
  <si>
    <t>Romeo, Bougon</t>
  </si>
  <si>
    <t>03:56:46</t>
  </si>
  <si>
    <t>Rubóczki Béla ifj</t>
  </si>
  <si>
    <t>04:05:19</t>
  </si>
  <si>
    <t>Benkő Ádám</t>
  </si>
  <si>
    <t>04:40:11</t>
  </si>
  <si>
    <t>Jurecska Áron</t>
  </si>
  <si>
    <t>03:35:06</t>
  </si>
  <si>
    <t>Tánczos-Szabó Tamás</t>
  </si>
  <si>
    <t>04:12:58</t>
  </si>
  <si>
    <t>04:11:11</t>
  </si>
  <si>
    <t>Sabri, Beqiri</t>
  </si>
  <si>
    <t>03:38:58</t>
  </si>
  <si>
    <t>Mcinerney, Liam</t>
  </si>
  <si>
    <t>04:37:59</t>
  </si>
  <si>
    <t>Szabados Balázs</t>
  </si>
  <si>
    <t>03:58:08</t>
  </si>
  <si>
    <t>04:15:39</t>
  </si>
  <si>
    <t>Kiss Mátyás</t>
  </si>
  <si>
    <t>04:40:29</t>
  </si>
  <si>
    <t>ROMERO RUIZ, FRANCISCO</t>
  </si>
  <si>
    <t>Bálint Zoltán</t>
  </si>
  <si>
    <t>03:10:35</t>
  </si>
  <si>
    <t>Gebal, Adam</t>
  </si>
  <si>
    <t>03:18:08</t>
  </si>
  <si>
    <t>Karkatzoulis, Panagiotis prof</t>
  </si>
  <si>
    <t>03:26:43</t>
  </si>
  <si>
    <t>03:26:30</t>
  </si>
  <si>
    <t>Peck, Crispin</t>
  </si>
  <si>
    <t>04:58:38</t>
  </si>
  <si>
    <t>Rahim, Ziyad</t>
  </si>
  <si>
    <t>05:24:52</t>
  </si>
  <si>
    <t>Huang, Junbo</t>
  </si>
  <si>
    <t>05:35:28</t>
  </si>
  <si>
    <t>Portin, Kaj</t>
  </si>
  <si>
    <t>03:37:41</t>
  </si>
  <si>
    <t>Nylund, Jesper</t>
  </si>
  <si>
    <t>04:19:09</t>
  </si>
  <si>
    <t>Miklós, Tamás</t>
  </si>
  <si>
    <t>04:08:58</t>
  </si>
  <si>
    <t>Polhammer Zsolt</t>
  </si>
  <si>
    <t>05:03:45</t>
  </si>
  <si>
    <t>Machado, Francisco</t>
  </si>
  <si>
    <t>03:34:14</t>
  </si>
  <si>
    <t>Juhász Ádám</t>
  </si>
  <si>
    <t>04:56:27</t>
  </si>
  <si>
    <t>Bergermayer, Thomas</t>
  </si>
  <si>
    <t>03:10:26</t>
  </si>
  <si>
    <t>Szczygieł, Mateusz</t>
  </si>
  <si>
    <t>Gyarmati Erik</t>
  </si>
  <si>
    <t>Magyar Márk</t>
  </si>
  <si>
    <t>Kedziora, Cedric</t>
  </si>
  <si>
    <t>04:11:12</t>
  </si>
  <si>
    <t>Budil, Jan</t>
  </si>
  <si>
    <t>03:23:21</t>
  </si>
  <si>
    <t>Dieter, Frank</t>
  </si>
  <si>
    <t>04:31:52</t>
  </si>
  <si>
    <t>Kéki Tamás</t>
  </si>
  <si>
    <t>02:37:28</t>
  </si>
  <si>
    <t>Thierry, Guéna</t>
  </si>
  <si>
    <t>04:23:55</t>
  </si>
  <si>
    <t>Magalh?es, José</t>
  </si>
  <si>
    <t>04:02:17</t>
  </si>
  <si>
    <t>Gustavsson, Glenn</t>
  </si>
  <si>
    <t>04:20:48</t>
  </si>
  <si>
    <t>Nagy Gábor Balázs</t>
  </si>
  <si>
    <t>05:28:01</t>
  </si>
  <si>
    <t>Asensio Garcia, David</t>
  </si>
  <si>
    <t>03:25:55</t>
  </si>
  <si>
    <t>alsop, Jack</t>
  </si>
  <si>
    <t>Mazzotta, Alfredo</t>
  </si>
  <si>
    <t>03:28:24</t>
  </si>
  <si>
    <t>Módra György</t>
  </si>
  <si>
    <t>03:23:38</t>
  </si>
  <si>
    <t>03:54:25</t>
  </si>
  <si>
    <t>04:08:45</t>
  </si>
  <si>
    <t>Gemmell, Stephen</t>
  </si>
  <si>
    <t>Hergesheimer, Jonathan</t>
  </si>
  <si>
    <t>04:19:38</t>
  </si>
  <si>
    <t>Ruszin Mihály</t>
  </si>
  <si>
    <t>04:54:17</t>
  </si>
  <si>
    <t>03:53:53</t>
  </si>
  <si>
    <t>05:13:52</t>
  </si>
  <si>
    <t>Fakoya, Oluwatobi Charles</t>
  </si>
  <si>
    <t>05:06:59</t>
  </si>
  <si>
    <t>Krupa, Zbigniew</t>
  </si>
  <si>
    <t>04:24:45</t>
  </si>
  <si>
    <t>Tóth József</t>
  </si>
  <si>
    <t>04:50:32</t>
  </si>
  <si>
    <t>Maninger, Florian</t>
  </si>
  <si>
    <t>Miklós Péter</t>
  </si>
  <si>
    <t>03:55:07</t>
  </si>
  <si>
    <t>Fodor Pál Zoltán</t>
  </si>
  <si>
    <t>04:10:44</t>
  </si>
  <si>
    <t>COLACI, GREGORIO</t>
  </si>
  <si>
    <t>03:35:25</t>
  </si>
  <si>
    <t>Szász Norbert</t>
  </si>
  <si>
    <t>03:28:57</t>
  </si>
  <si>
    <t>04:28:01</t>
  </si>
  <si>
    <t>BEATRIX, Charles jr</t>
  </si>
  <si>
    <t>02:50:40</t>
  </si>
  <si>
    <t>Rückert, Thomas</t>
  </si>
  <si>
    <t>04:12:10</t>
  </si>
  <si>
    <t>03:39:49</t>
  </si>
  <si>
    <t>03:44:20</t>
  </si>
  <si>
    <t>Daws, Peter</t>
  </si>
  <si>
    <t>04:54:54</t>
  </si>
  <si>
    <t>Benedek Csaba</t>
  </si>
  <si>
    <t>04:08:35</t>
  </si>
  <si>
    <t>PASOTTO, CORRADO</t>
  </si>
  <si>
    <t>04:12:56</t>
  </si>
  <si>
    <t>Oláh Attila</t>
  </si>
  <si>
    <t>03:46:49</t>
  </si>
  <si>
    <t>Mészáros Máté</t>
  </si>
  <si>
    <t>04:12:38</t>
  </si>
  <si>
    <t>JUAN CARLOS, VILLALBA ANAYA</t>
  </si>
  <si>
    <t>04:40:52</t>
  </si>
  <si>
    <t>Bestford, Daryl</t>
  </si>
  <si>
    <t>04:40:12</t>
  </si>
  <si>
    <t>Baruti, Kastriot</t>
  </si>
  <si>
    <t>03:30:38</t>
  </si>
  <si>
    <t>Bíró András</t>
  </si>
  <si>
    <t>03:36:08</t>
  </si>
  <si>
    <t>Schaller, Ringo</t>
  </si>
  <si>
    <t>03:52:06</t>
  </si>
  <si>
    <t>Horváth Márk dr</t>
  </si>
  <si>
    <t>03:07:56</t>
  </si>
  <si>
    <t>Huszák Tamás</t>
  </si>
  <si>
    <t>DUVILLIER, Sébastien</t>
  </si>
  <si>
    <t>03:49:14</t>
  </si>
  <si>
    <t>Silóczki József</t>
  </si>
  <si>
    <t>04:28:57</t>
  </si>
  <si>
    <t>Csontos Balázs</t>
  </si>
  <si>
    <t>04:16:09</t>
  </si>
  <si>
    <t>Matuk Bálint</t>
  </si>
  <si>
    <t>04:26:07</t>
  </si>
  <si>
    <t>Lin, Yusheng</t>
  </si>
  <si>
    <t>04:13:48</t>
  </si>
  <si>
    <t>Tal, Sasson</t>
  </si>
  <si>
    <t>04:23:12</t>
  </si>
  <si>
    <t>Carpentsier, Fredrik</t>
  </si>
  <si>
    <t>03:05:06</t>
  </si>
  <si>
    <t>Móró István</t>
  </si>
  <si>
    <t>03:41:49</t>
  </si>
  <si>
    <t>05:16:13</t>
  </si>
  <si>
    <t>Humphries, Joseph</t>
  </si>
  <si>
    <t>03:29:06</t>
  </si>
  <si>
    <t>Csikós Bálint dr</t>
  </si>
  <si>
    <t>04:30:15</t>
  </si>
  <si>
    <t>Zimmermann, Martin</t>
  </si>
  <si>
    <t>04:31:24</t>
  </si>
  <si>
    <t>03:47:19</t>
  </si>
  <si>
    <t>Stich Milán</t>
  </si>
  <si>
    <t>04:12:07</t>
  </si>
  <si>
    <t>Warne, Tom</t>
  </si>
  <si>
    <t>Farkas Máté</t>
  </si>
  <si>
    <t>02:57:06</t>
  </si>
  <si>
    <t>Bakó Bálint</t>
  </si>
  <si>
    <t>03:02:19</t>
  </si>
  <si>
    <t>Vágási Tibor</t>
  </si>
  <si>
    <t>04:44:14</t>
  </si>
  <si>
    <t>03:58:43</t>
  </si>
  <si>
    <t>Lewis, Martin</t>
  </si>
  <si>
    <t>04:03:00</t>
  </si>
  <si>
    <t>Alt Gábor</t>
  </si>
  <si>
    <t>04:16:37</t>
  </si>
  <si>
    <t>Horváth Bence</t>
  </si>
  <si>
    <t>03:50:45</t>
  </si>
  <si>
    <t>Marcus, De Gennes</t>
  </si>
  <si>
    <t>04:41:44</t>
  </si>
  <si>
    <t>03:50:50</t>
  </si>
  <si>
    <t>Dienes Csaba</t>
  </si>
  <si>
    <t>03:29:21</t>
  </si>
  <si>
    <t>Blastik Mátyás</t>
  </si>
  <si>
    <t>03:39:56</t>
  </si>
  <si>
    <t>03:09:20</t>
  </si>
  <si>
    <t>abete, miguel prof</t>
  </si>
  <si>
    <t>03:48:16</t>
  </si>
  <si>
    <t>Pirga, Marcin</t>
  </si>
  <si>
    <t>04:17:02</t>
  </si>
  <si>
    <t>Kecskés Ádám</t>
  </si>
  <si>
    <t>05:25:43</t>
  </si>
  <si>
    <t>Prigyeni Tibor</t>
  </si>
  <si>
    <t>04:43:51</t>
  </si>
  <si>
    <t>Goldie, Christopher</t>
  </si>
  <si>
    <t>05:21:57</t>
  </si>
  <si>
    <t>Várföldi Krisztián</t>
  </si>
  <si>
    <t>04:31:29</t>
  </si>
  <si>
    <t>Thomas, Roef</t>
  </si>
  <si>
    <t>04:28:33</t>
  </si>
  <si>
    <t>Weisz László</t>
  </si>
  <si>
    <t>05:13:32</t>
  </si>
  <si>
    <t>Jámbor Marcell</t>
  </si>
  <si>
    <t>04:56:40</t>
  </si>
  <si>
    <t>TAHA, GAMAL EL DIN</t>
  </si>
  <si>
    <t>03:27:16</t>
  </si>
  <si>
    <t>05:01:54</t>
  </si>
  <si>
    <t>03:54:14</t>
  </si>
  <si>
    <t>Zsirai László dr.</t>
  </si>
  <si>
    <t>04:33:55</t>
  </si>
  <si>
    <t>05:03:12</t>
  </si>
  <si>
    <t>Gazdic, Mirza</t>
  </si>
  <si>
    <t>03:35:04</t>
  </si>
  <si>
    <t>Feichter, Erich</t>
  </si>
  <si>
    <t>03:54:52</t>
  </si>
  <si>
    <t>Gyenis Dániel</t>
  </si>
  <si>
    <t>04:01:25</t>
  </si>
  <si>
    <t>04:21:52</t>
  </si>
  <si>
    <t>Bartlett, Joseph</t>
  </si>
  <si>
    <t>02:38:36</t>
  </si>
  <si>
    <t>Hajdu Tibor</t>
  </si>
  <si>
    <t>04:16:19</t>
  </si>
  <si>
    <t>Homoki Mark</t>
  </si>
  <si>
    <t>03:14:01</t>
  </si>
  <si>
    <t>Fabók János</t>
  </si>
  <si>
    <t>05:02:39</t>
  </si>
  <si>
    <t>Beaudoire, Teddy</t>
  </si>
  <si>
    <t>04:43:59</t>
  </si>
  <si>
    <t>Enzsöl Ákos</t>
  </si>
  <si>
    <t>05:18:38</t>
  </si>
  <si>
    <t>Finta Kolos</t>
  </si>
  <si>
    <t>04:23:31</t>
  </si>
  <si>
    <t>Szoleczky Péter</t>
  </si>
  <si>
    <t>04:39:52</t>
  </si>
  <si>
    <t>Smits, Matthijs jr</t>
  </si>
  <si>
    <t>03:40:40</t>
  </si>
  <si>
    <t>Paulinyi Endre</t>
  </si>
  <si>
    <t>03:56:09</t>
  </si>
  <si>
    <t>Bjoerlo, Geir Jota</t>
  </si>
  <si>
    <t>04:17:16</t>
  </si>
  <si>
    <t>Vucinac, Stefan</t>
  </si>
  <si>
    <t>Davies, Adam</t>
  </si>
  <si>
    <t>03:23:18</t>
  </si>
  <si>
    <t>Triglianos, Athos jr</t>
  </si>
  <si>
    <t>Herman Károly</t>
  </si>
  <si>
    <t>04:18:24</t>
  </si>
  <si>
    <t>Ormonde, Brian</t>
  </si>
  <si>
    <t>04:39:00</t>
  </si>
  <si>
    <t>Mc Auliffe, liam</t>
  </si>
  <si>
    <t>Richards, Cian</t>
  </si>
  <si>
    <t>02:57:37</t>
  </si>
  <si>
    <t>03:00:40</t>
  </si>
  <si>
    <t>Rasztovich Gyula</t>
  </si>
  <si>
    <t>03:35:18</t>
  </si>
  <si>
    <t>Szalay Miklós</t>
  </si>
  <si>
    <t>04:12:24</t>
  </si>
  <si>
    <t>Bulfinsky, Mihai</t>
  </si>
  <si>
    <t>05:09:39</t>
  </si>
  <si>
    <t>Solti Péter</t>
  </si>
  <si>
    <t>03:17:32</t>
  </si>
  <si>
    <t>Koós Sándor</t>
  </si>
  <si>
    <t>04:09:47</t>
  </si>
  <si>
    <t>Boudier, Stephane</t>
  </si>
  <si>
    <t>03:14:45</t>
  </si>
  <si>
    <t>04:06:30</t>
  </si>
  <si>
    <t>Veeneman, Mads</t>
  </si>
  <si>
    <t>03:47:22</t>
  </si>
  <si>
    <t>Tóth Péter Tamás</t>
  </si>
  <si>
    <t>Eynon, Arthur</t>
  </si>
  <si>
    <t>Kovács Kristóf</t>
  </si>
  <si>
    <t>04:24:27</t>
  </si>
  <si>
    <t>04:11:27</t>
  </si>
  <si>
    <t>Balfour, Luke</t>
  </si>
  <si>
    <t>Helle Olav</t>
  </si>
  <si>
    <t>04:15:34</t>
  </si>
  <si>
    <t>Györgyi Ádám István</t>
  </si>
  <si>
    <t>04:59:14</t>
  </si>
  <si>
    <t>HATAKEYAMA, JUNYA</t>
  </si>
  <si>
    <t>Mosonczki Péter</t>
  </si>
  <si>
    <t>Schindler József</t>
  </si>
  <si>
    <t>03:30:55</t>
  </si>
  <si>
    <t>Elsholtz László</t>
  </si>
  <si>
    <t>03:28:23</t>
  </si>
  <si>
    <t>Szabó András</t>
  </si>
  <si>
    <t>03:37:11</t>
  </si>
  <si>
    <t>Giappichini, Alessandro</t>
  </si>
  <si>
    <t>05:18:01</t>
  </si>
  <si>
    <t>Hricisák László</t>
  </si>
  <si>
    <t>04:42:49</t>
  </si>
  <si>
    <t>LI, Shuo</t>
  </si>
  <si>
    <t>03:17:41</t>
  </si>
  <si>
    <t>Rózenthál Zoltán</t>
  </si>
  <si>
    <t>Horvátth Balázs</t>
  </si>
  <si>
    <t>05:16:32</t>
  </si>
  <si>
    <t>Ostojic Mihailo</t>
  </si>
  <si>
    <t>03:41:42</t>
  </si>
  <si>
    <t>05:18:17</t>
  </si>
  <si>
    <t>Day, Dominic</t>
  </si>
  <si>
    <t>03:48:42</t>
  </si>
  <si>
    <t>Valovics Márton</t>
  </si>
  <si>
    <t>03:53:59</t>
  </si>
  <si>
    <t>Benitez Romero, Alan Michel</t>
  </si>
  <si>
    <t>04:01:16</t>
  </si>
  <si>
    <t>Gherzan, Theodor</t>
  </si>
  <si>
    <t>03:34:37</t>
  </si>
  <si>
    <t>DURSI, STEFANO</t>
  </si>
  <si>
    <t>03:37:25</t>
  </si>
  <si>
    <t>Robb, David</t>
  </si>
  <si>
    <t>04:08:36</t>
  </si>
  <si>
    <t>Miholcsek Zsolt</t>
  </si>
  <si>
    <t>04:03:21</t>
  </si>
  <si>
    <t>Maros Tamás dr</t>
  </si>
  <si>
    <t>04:28:36</t>
  </si>
  <si>
    <t>Faragó István</t>
  </si>
  <si>
    <t>02:52:45</t>
  </si>
  <si>
    <t>Hanssen, Henning</t>
  </si>
  <si>
    <t>02:59:38</t>
  </si>
  <si>
    <t>05:08:27</t>
  </si>
  <si>
    <t>Kiss, Roman</t>
  </si>
  <si>
    <t>Riseborough, Russell</t>
  </si>
  <si>
    <t>Winters, Robertus</t>
  </si>
  <si>
    <t>04:34:09</t>
  </si>
  <si>
    <t>REPECKI, MARCIN</t>
  </si>
  <si>
    <t>03:19:51</t>
  </si>
  <si>
    <t>Reith Péter</t>
  </si>
  <si>
    <t>04:05:08</t>
  </si>
  <si>
    <t>Pető András</t>
  </si>
  <si>
    <t>03:25:20</t>
  </si>
  <si>
    <t>Hortobágyi Péter Szabolcs</t>
  </si>
  <si>
    <t>04:26:19</t>
  </si>
  <si>
    <t>Donelan, Sam</t>
  </si>
  <si>
    <t>03:30:09</t>
  </si>
  <si>
    <t>Jobbágy Zoltán</t>
  </si>
  <si>
    <t>03:38:28</t>
  </si>
  <si>
    <t>Batra, David</t>
  </si>
  <si>
    <t>03:33:15</t>
  </si>
  <si>
    <t>Bordoniqi, Granit</t>
  </si>
  <si>
    <t>03:51:09</t>
  </si>
  <si>
    <t>Franke Marcell</t>
  </si>
  <si>
    <t>03:58:57</t>
  </si>
  <si>
    <t>Tordai Ádám</t>
  </si>
  <si>
    <t>03:01:50</t>
  </si>
  <si>
    <t>Dobrosavljević, Slavia</t>
  </si>
  <si>
    <t>04:09:56</t>
  </si>
  <si>
    <t>Brejcha, Martin</t>
  </si>
  <si>
    <t>03:50:46</t>
  </si>
  <si>
    <t>Gebauer Ervin</t>
  </si>
  <si>
    <t>Le Roux Alain dr</t>
  </si>
  <si>
    <t>03:46:39</t>
  </si>
  <si>
    <t>Csiszár Krisztián</t>
  </si>
  <si>
    <t>03:54:44</t>
  </si>
  <si>
    <t>Freiberger, Werner</t>
  </si>
  <si>
    <t>04:05:18</t>
  </si>
  <si>
    <t>Stafiej, Mariusz</t>
  </si>
  <si>
    <t>03:34:19</t>
  </si>
  <si>
    <t>Narman, Alin</t>
  </si>
  <si>
    <t>Gregor Péter</t>
  </si>
  <si>
    <t>03:39:57</t>
  </si>
  <si>
    <t>Forgáč, Matú</t>
  </si>
  <si>
    <t>02:50:06</t>
  </si>
  <si>
    <t>Carvalh?o, Fernando</t>
  </si>
  <si>
    <t>03:51:32</t>
  </si>
  <si>
    <t>Gregárik Krisztián</t>
  </si>
  <si>
    <t>04:13:04</t>
  </si>
  <si>
    <t>04:33:50</t>
  </si>
  <si>
    <t>Berencsi Tamás</t>
  </si>
  <si>
    <t>04:52:02</t>
  </si>
  <si>
    <t>Pető György</t>
  </si>
  <si>
    <t>04:02:07</t>
  </si>
  <si>
    <t>GIANLUCA, FUNES dr</t>
  </si>
  <si>
    <t>04:12:26</t>
  </si>
  <si>
    <t>Potocsnik Károly</t>
  </si>
  <si>
    <t>04:58:04</t>
  </si>
  <si>
    <t>Zadworny, Ireneusz</t>
  </si>
  <si>
    <t>04:16:00</t>
  </si>
  <si>
    <t>Mucsi Krisztián</t>
  </si>
  <si>
    <t>04:49:12</t>
  </si>
  <si>
    <t>Fényes Szabolcs</t>
  </si>
  <si>
    <t>04:13:26</t>
  </si>
  <si>
    <t>Pardoe, Liam</t>
  </si>
  <si>
    <t>04:17:06</t>
  </si>
  <si>
    <t>Tokmantcev, Anatolii prof</t>
  </si>
  <si>
    <t>03:25:27</t>
  </si>
  <si>
    <t>Schreij, Jos</t>
  </si>
  <si>
    <t>03:37:02</t>
  </si>
  <si>
    <t>Adam, Russell</t>
  </si>
  <si>
    <t>04:40:38</t>
  </si>
  <si>
    <t>Stampf Péter</t>
  </si>
  <si>
    <t>Zsöllei Kálmán</t>
  </si>
  <si>
    <t>04:54:43</t>
  </si>
  <si>
    <t>Komlósi Szabolcs</t>
  </si>
  <si>
    <t>04:05:41</t>
  </si>
  <si>
    <t>MOREL, François-Xavier</t>
  </si>
  <si>
    <t>04:55:13</t>
  </si>
  <si>
    <t>Domonkos, Alexander</t>
  </si>
  <si>
    <t>03:40:49</t>
  </si>
  <si>
    <t>Lakatos János</t>
  </si>
  <si>
    <t>03:07:07</t>
  </si>
  <si>
    <t>Kovács Ádám</t>
  </si>
  <si>
    <t>03:34:43</t>
  </si>
  <si>
    <t>Julian, Joachim</t>
  </si>
  <si>
    <t>04:00:37</t>
  </si>
  <si>
    <t>Somogyi Balázs</t>
  </si>
  <si>
    <t>05:23:59</t>
  </si>
  <si>
    <t>Czifra Szabolcs</t>
  </si>
  <si>
    <t>Soós Ádám István dr.</t>
  </si>
  <si>
    <t>05:15:00</t>
  </si>
  <si>
    <t>Ribier, Bruno</t>
  </si>
  <si>
    <t>02:58:45</t>
  </si>
  <si>
    <t>04:26:01</t>
  </si>
  <si>
    <t>Sim, Ban leng</t>
  </si>
  <si>
    <t>03:55:24</t>
  </si>
  <si>
    <t>Simonics Martin Balázs</t>
  </si>
  <si>
    <t>04:57:00</t>
  </si>
  <si>
    <t>03:23:03</t>
  </si>
  <si>
    <t>Santens, Frederic</t>
  </si>
  <si>
    <t>04:42:20</t>
  </si>
  <si>
    <t>Selzer, Yoram</t>
  </si>
  <si>
    <t>04:31:51</t>
  </si>
  <si>
    <t>koflanc, Davorin</t>
  </si>
  <si>
    <t>03:29:54</t>
  </si>
  <si>
    <t>GALLAGHER, COLM prof</t>
  </si>
  <si>
    <t>03:34:22</t>
  </si>
  <si>
    <t>04:21:48</t>
  </si>
  <si>
    <t>Janovics György</t>
  </si>
  <si>
    <t>04:58:06</t>
  </si>
  <si>
    <t>Leow, Jermaine</t>
  </si>
  <si>
    <t>03:54:38</t>
  </si>
  <si>
    <t>Berti, Nicola dr</t>
  </si>
  <si>
    <t>03:05:20</t>
  </si>
  <si>
    <t>Sipter László</t>
  </si>
  <si>
    <t>04:07:20</t>
  </si>
  <si>
    <t>Manzini, Riccardo</t>
  </si>
  <si>
    <t>03:49:34</t>
  </si>
  <si>
    <t>Németh László</t>
  </si>
  <si>
    <t>04:02:06</t>
  </si>
  <si>
    <t>Johnstone, Scott</t>
  </si>
  <si>
    <t>Dando, Bryan</t>
  </si>
  <si>
    <t>04:43:04</t>
  </si>
  <si>
    <t>Debski, Andrzej prof</t>
  </si>
  <si>
    <t>03:52:13</t>
  </si>
  <si>
    <t>Almási Csaba Sándor</t>
  </si>
  <si>
    <t>04:02:38</t>
  </si>
  <si>
    <t>Popken, Hans</t>
  </si>
  <si>
    <t>03:39:33</t>
  </si>
  <si>
    <t>Veszeli Dániel</t>
  </si>
  <si>
    <t>04:21:19</t>
  </si>
  <si>
    <t>Olmeda Alvarez, Luis</t>
  </si>
  <si>
    <t>04:36:32</t>
  </si>
  <si>
    <t>Edwards, Gethin</t>
  </si>
  <si>
    <t>02:52:26</t>
  </si>
  <si>
    <t>Rausch Bence</t>
  </si>
  <si>
    <t>05:26:11</t>
  </si>
  <si>
    <t>Kenyeres József</t>
  </si>
  <si>
    <t>04:40:43</t>
  </si>
  <si>
    <t>Börcsök Ferenc</t>
  </si>
  <si>
    <t>03:52:02</t>
  </si>
  <si>
    <t>Donnelly, Lucas</t>
  </si>
  <si>
    <t>04:24:47</t>
  </si>
  <si>
    <t>Rivero, Diego</t>
  </si>
  <si>
    <t>03:33:51</t>
  </si>
  <si>
    <t>Kovács Bence</t>
  </si>
  <si>
    <t>04:17:43</t>
  </si>
  <si>
    <t>Brouwer, Olivier</t>
  </si>
  <si>
    <t>03:16:35</t>
  </si>
  <si>
    <t>Kochan, Radim</t>
  </si>
  <si>
    <t>03:03:03</t>
  </si>
  <si>
    <t>Pető, Dávid</t>
  </si>
  <si>
    <t>03:26:22</t>
  </si>
  <si>
    <t>Holmes, Lewis prof</t>
  </si>
  <si>
    <t>03:41:02</t>
  </si>
  <si>
    <t>Zandegiacomo De Zorzi, Francesco</t>
  </si>
  <si>
    <t>05:01:58</t>
  </si>
  <si>
    <t>Filipszki János</t>
  </si>
  <si>
    <t>04:01:10</t>
  </si>
  <si>
    <t>Baranyi Gergely dr.</t>
  </si>
  <si>
    <t>03:41:29</t>
  </si>
  <si>
    <t>Récsányi József</t>
  </si>
  <si>
    <t>04:49:19</t>
  </si>
  <si>
    <t>03:54:43</t>
  </si>
  <si>
    <t>Kosztya Botond</t>
  </si>
  <si>
    <t>04:39:43</t>
  </si>
  <si>
    <t>04:33:57</t>
  </si>
  <si>
    <t>Szűrös József</t>
  </si>
  <si>
    <t>04:17:38</t>
  </si>
  <si>
    <t>Rácz Rodrigó</t>
  </si>
  <si>
    <t>03:45:04</t>
  </si>
  <si>
    <t>Ivády Péter</t>
  </si>
  <si>
    <t>03:55:42</t>
  </si>
  <si>
    <t>Stojkovič, David</t>
  </si>
  <si>
    <t>Br?ndum, Frederik</t>
  </si>
  <si>
    <t>03:29:34</t>
  </si>
  <si>
    <t>Nacci, Amedeo prof</t>
  </si>
  <si>
    <t>03:32:51</t>
  </si>
  <si>
    <t>Thuen, ?ivind Christian</t>
  </si>
  <si>
    <t>02:57:20</t>
  </si>
  <si>
    <t>Palmer, Oscar</t>
  </si>
  <si>
    <t>02:58:37</t>
  </si>
  <si>
    <t>Kabata, Jakub</t>
  </si>
  <si>
    <t>Crockatt, James</t>
  </si>
  <si>
    <t>05:20:47</t>
  </si>
  <si>
    <t>Zsinór Gábor</t>
  </si>
  <si>
    <t>04:23:20</t>
  </si>
  <si>
    <t>04:34:33</t>
  </si>
  <si>
    <t>Surányi Máté</t>
  </si>
  <si>
    <t>04:49:36</t>
  </si>
  <si>
    <t>04:10:11</t>
  </si>
  <si>
    <t>FAC, MATEUSZ</t>
  </si>
  <si>
    <t>04:10:21</t>
  </si>
  <si>
    <t>Puskás Mihály</t>
  </si>
  <si>
    <t>04:37:56</t>
  </si>
  <si>
    <t>Csizmadia Máté</t>
  </si>
  <si>
    <t>05:17:09</t>
  </si>
  <si>
    <t>Horváth Péter dr.</t>
  </si>
  <si>
    <t>Shaboo, Nishwan prof</t>
  </si>
  <si>
    <t>Sundström Henrik</t>
  </si>
  <si>
    <t>03:09:21</t>
  </si>
  <si>
    <t>Kilebu, Johannes</t>
  </si>
  <si>
    <t>03:31:11</t>
  </si>
  <si>
    <t>Pap Zsombor</t>
  </si>
  <si>
    <t>03:47:53</t>
  </si>
  <si>
    <t>03:30:20</t>
  </si>
  <si>
    <t>Kóczán Tamás</t>
  </si>
  <si>
    <t>04:02:44</t>
  </si>
  <si>
    <t>Uzseka Dániel</t>
  </si>
  <si>
    <t>04:19:04</t>
  </si>
  <si>
    <t>perez jimenez, jose luis dr</t>
  </si>
  <si>
    <t>Darko, Balić</t>
  </si>
  <si>
    <t>03:22:21</t>
  </si>
  <si>
    <t>Gordos Árpád Mihály</t>
  </si>
  <si>
    <t>03:37:50</t>
  </si>
  <si>
    <t>Reinumägi, Risto</t>
  </si>
  <si>
    <t>03:44:41</t>
  </si>
  <si>
    <t>sébastien, le corre</t>
  </si>
  <si>
    <t>03:23:20</t>
  </si>
  <si>
    <t>Dehbi, Joan</t>
  </si>
  <si>
    <t>04:06:02</t>
  </si>
  <si>
    <t>Velencei Félix</t>
  </si>
  <si>
    <t>04:13:50</t>
  </si>
  <si>
    <t>Saliamanovitch, Dmitri</t>
  </si>
  <si>
    <t>02:54:30</t>
  </si>
  <si>
    <t>MEző Dávid</t>
  </si>
  <si>
    <t>Kerekes László</t>
  </si>
  <si>
    <t>03:28:04</t>
  </si>
  <si>
    <t>Duffy, Senan</t>
  </si>
  <si>
    <t>Manjunath, Srivijay</t>
  </si>
  <si>
    <t>04:01:56</t>
  </si>
  <si>
    <t>Filloramo, Sergio</t>
  </si>
  <si>
    <t>Rasmussen, Peter</t>
  </si>
  <si>
    <t>Laakkonen, Jukka</t>
  </si>
  <si>
    <t>03:05:47</t>
  </si>
  <si>
    <t>04:54:58</t>
  </si>
  <si>
    <t>Harris, Ashley</t>
  </si>
  <si>
    <t>Bertha Gábor</t>
  </si>
  <si>
    <t>02:59:18</t>
  </si>
  <si>
    <t>Fövényi Zsombor</t>
  </si>
  <si>
    <t>Rohr, Maximilian</t>
  </si>
  <si>
    <t>Fehér Lajos</t>
  </si>
  <si>
    <t>03:33:00</t>
  </si>
  <si>
    <t>Harangi Lajos</t>
  </si>
  <si>
    <t>05:30:01</t>
  </si>
  <si>
    <t>Kis Márkó</t>
  </si>
  <si>
    <t>03:49:15</t>
  </si>
  <si>
    <t>Feldhoffer József</t>
  </si>
  <si>
    <t>04:02:41</t>
  </si>
  <si>
    <t>CONNAN, JULIEN</t>
  </si>
  <si>
    <t>05:28:10</t>
  </si>
  <si>
    <t>Sáfián László</t>
  </si>
  <si>
    <t>Florent, Bassani prof</t>
  </si>
  <si>
    <t>Bossen, Henrik</t>
  </si>
  <si>
    <t>04:19:55</t>
  </si>
  <si>
    <t>Hawkins, Max</t>
  </si>
  <si>
    <t>05:19:58</t>
  </si>
  <si>
    <t>golner, Tihomir prof</t>
  </si>
  <si>
    <t>03:16:39</t>
  </si>
  <si>
    <t>Veerman, Alexander</t>
  </si>
  <si>
    <t>04:03:34</t>
  </si>
  <si>
    <t>Ugodi Zoltán</t>
  </si>
  <si>
    <t>04:33:58</t>
  </si>
  <si>
    <t>Tramontini Zsolt</t>
  </si>
  <si>
    <t>05:25:08</t>
  </si>
  <si>
    <t>Ghezzi, Giampiero</t>
  </si>
  <si>
    <t>Borruat, Matthieu</t>
  </si>
  <si>
    <t>04:44:53</t>
  </si>
  <si>
    <t>Auer Márk</t>
  </si>
  <si>
    <t>04:46:00</t>
  </si>
  <si>
    <t>05:17:04</t>
  </si>
  <si>
    <t>Christensen, Morten Herget dr</t>
  </si>
  <si>
    <t>03:39:35</t>
  </si>
  <si>
    <t>Stummer András</t>
  </si>
  <si>
    <t>04:46:07</t>
  </si>
  <si>
    <t>Szabo Balazs</t>
  </si>
  <si>
    <t>Gál, Lóránt</t>
  </si>
  <si>
    <t>04:17:09</t>
  </si>
  <si>
    <t>Vencel Mészáros</t>
  </si>
  <si>
    <t>03:41:23</t>
  </si>
  <si>
    <t>Major József</t>
  </si>
  <si>
    <t>04:57:40</t>
  </si>
  <si>
    <t>Kenyeres Bálint</t>
  </si>
  <si>
    <t>03:40:37</t>
  </si>
  <si>
    <t>Szakács Sándor Zsolt</t>
  </si>
  <si>
    <t>Taddeo, Fulvio</t>
  </si>
  <si>
    <t>05:03:05</t>
  </si>
  <si>
    <t>Weixler, Manfred</t>
  </si>
  <si>
    <t>03:37:38</t>
  </si>
  <si>
    <t>03:59:34</t>
  </si>
  <si>
    <t>Campolo, Filippo prof</t>
  </si>
  <si>
    <t>03:55:32</t>
  </si>
  <si>
    <t>Gönczöl Csaba</t>
  </si>
  <si>
    <t>03:57:15</t>
  </si>
  <si>
    <t>Csizmadia Csaba</t>
  </si>
  <si>
    <t>Pitz Tamás</t>
  </si>
  <si>
    <t>04:15:30</t>
  </si>
  <si>
    <t>Erskine, Timmy</t>
  </si>
  <si>
    <t>04:43:36</t>
  </si>
  <si>
    <t>WINTGENS, ADRIEN</t>
  </si>
  <si>
    <t>Debreczeni Károly Balázs</t>
  </si>
  <si>
    <t>05:03:10</t>
  </si>
  <si>
    <t>Regős Norbert dr.</t>
  </si>
  <si>
    <t>03:43:10</t>
  </si>
  <si>
    <t>Mochulskii, Stanislav</t>
  </si>
  <si>
    <t>03:43:35</t>
  </si>
  <si>
    <t>03:48:57</t>
  </si>
  <si>
    <t>Doherty, Andrew</t>
  </si>
  <si>
    <t>03:58:14</t>
  </si>
  <si>
    <t>Takács Nándor</t>
  </si>
  <si>
    <t>04:41:13</t>
  </si>
  <si>
    <t>Harvie, John</t>
  </si>
  <si>
    <t>04:54:48</t>
  </si>
  <si>
    <t>Manev, Vihren</t>
  </si>
  <si>
    <t>04:00:26</t>
  </si>
  <si>
    <t>Borbély Tamás</t>
  </si>
  <si>
    <t>03:57:34</t>
  </si>
  <si>
    <t>Sancilio, Alexis</t>
  </si>
  <si>
    <t>03:43:57</t>
  </si>
  <si>
    <t>Hartung Tamás</t>
  </si>
  <si>
    <t>03:44:15</t>
  </si>
  <si>
    <t>Williamson, Jack</t>
  </si>
  <si>
    <t>03:33:40</t>
  </si>
  <si>
    <t>Pajter Zoltán</t>
  </si>
  <si>
    <t>Woodward, Thomas</t>
  </si>
  <si>
    <t>03:50:53</t>
  </si>
  <si>
    <t>Rasmussen, Thomas dr</t>
  </si>
  <si>
    <t>03:10:27</t>
  </si>
  <si>
    <t>Hoffmann, Günther</t>
  </si>
  <si>
    <t>Mándity Róbert</t>
  </si>
  <si>
    <t>04:37:17</t>
  </si>
  <si>
    <t>Horvay Ákos</t>
  </si>
  <si>
    <t>Verba László</t>
  </si>
  <si>
    <t>04:38:45</t>
  </si>
  <si>
    <t>Varga Viktor</t>
  </si>
  <si>
    <t>04:08:37</t>
  </si>
  <si>
    <t>paolinetti, kevin</t>
  </si>
  <si>
    <t>03:40:45</t>
  </si>
  <si>
    <t>03:45:12</t>
  </si>
  <si>
    <t>Mezősi György</t>
  </si>
  <si>
    <t>04:23:54</t>
  </si>
  <si>
    <t>Fónad Péter</t>
  </si>
  <si>
    <t>03:50:05</t>
  </si>
  <si>
    <t>Grabiec, Piotr</t>
  </si>
  <si>
    <t>04:43:56</t>
  </si>
  <si>
    <t>Pyrgidis, Nikos dr</t>
  </si>
  <si>
    <t>03:57:56</t>
  </si>
  <si>
    <t>Stummer Ernő</t>
  </si>
  <si>
    <t>05:00:54</t>
  </si>
  <si>
    <t>Rodriguez, Herminio</t>
  </si>
  <si>
    <t>Mayer, Erik</t>
  </si>
  <si>
    <t>03:15:47</t>
  </si>
  <si>
    <t>Wimmer, Thomas</t>
  </si>
  <si>
    <t>03:41:27</t>
  </si>
  <si>
    <t>Pouzet, Martin</t>
  </si>
  <si>
    <t>03:56:08</t>
  </si>
  <si>
    <t>Csontos Márton</t>
  </si>
  <si>
    <t>03:13:41</t>
  </si>
  <si>
    <t>Hug Dominik</t>
  </si>
  <si>
    <t>Karli Márton</t>
  </si>
  <si>
    <t>Cazorla Quiroga, Oscar</t>
  </si>
  <si>
    <t>Banerjee, Aryaman</t>
  </si>
  <si>
    <t>04:20:49</t>
  </si>
  <si>
    <t>Ferreira, Luis</t>
  </si>
  <si>
    <t>05:08:09</t>
  </si>
  <si>
    <t>Smith-Adams, Jamie</t>
  </si>
  <si>
    <t>04:22:46</t>
  </si>
  <si>
    <t>Uzcategui, Rafael</t>
  </si>
  <si>
    <t>03:19:57</t>
  </si>
  <si>
    <t>Graham, Henry</t>
  </si>
  <si>
    <t>03:31:36</t>
  </si>
  <si>
    <t>Stalevski, Darko</t>
  </si>
  <si>
    <t>04:44:00</t>
  </si>
  <si>
    <t>Tóth Roland</t>
  </si>
  <si>
    <t>04:21:17</t>
  </si>
  <si>
    <t>Szalay János</t>
  </si>
  <si>
    <t>04:18:08</t>
  </si>
  <si>
    <t>Sinka András</t>
  </si>
  <si>
    <t>03:06:04</t>
  </si>
  <si>
    <t>Balazs, Zoltan</t>
  </si>
  <si>
    <t>04:23:01</t>
  </si>
  <si>
    <t>Vukic, Domagoj dr</t>
  </si>
  <si>
    <t>03:21:29</t>
  </si>
  <si>
    <t>Andersson, Emil</t>
  </si>
  <si>
    <t>04:05:57</t>
  </si>
  <si>
    <t>Tóth Attila</t>
  </si>
  <si>
    <t>03:50:43</t>
  </si>
  <si>
    <t>Imecs Ádám</t>
  </si>
  <si>
    <t>03:33:26</t>
  </si>
  <si>
    <t>Shuldham, Michael</t>
  </si>
  <si>
    <t>03:53:37</t>
  </si>
  <si>
    <t>Gazda, Martin</t>
  </si>
  <si>
    <t>05:13:20</t>
  </si>
  <si>
    <t>Putt, Stephen</t>
  </si>
  <si>
    <t>05:27:38</t>
  </si>
  <si>
    <t>Széplaki Norbert</t>
  </si>
  <si>
    <t>03:14:20</t>
  </si>
  <si>
    <t>Töltési László</t>
  </si>
  <si>
    <t>04:59:50</t>
  </si>
  <si>
    <t>ISHIOKA, Kazuki</t>
  </si>
  <si>
    <t>02:52:49</t>
  </si>
  <si>
    <t>Mozheyko, Valery</t>
  </si>
  <si>
    <t>03:50:22</t>
  </si>
  <si>
    <t>BRCKOVIĆ, DAMIR</t>
  </si>
  <si>
    <t>03:48:09</t>
  </si>
  <si>
    <t>Drobilits Ferenc</t>
  </si>
  <si>
    <t>02:59:04</t>
  </si>
  <si>
    <t>Kovács Bence Áron</t>
  </si>
  <si>
    <t>05:19:15</t>
  </si>
  <si>
    <t>Rudner Dávid</t>
  </si>
  <si>
    <t>04:10:08</t>
  </si>
  <si>
    <t>03:28:50</t>
  </si>
  <si>
    <t>Noakes, Ilyas</t>
  </si>
  <si>
    <t>05:09:19</t>
  </si>
  <si>
    <t>Pócsik Zoltán</t>
  </si>
  <si>
    <t>03:48:11</t>
  </si>
  <si>
    <t>Szendrey Kálmán</t>
  </si>
  <si>
    <t>05:09:11</t>
  </si>
  <si>
    <t>Lukácsy Gergő</t>
  </si>
  <si>
    <t>04:53:28</t>
  </si>
  <si>
    <t>Lengyel István</t>
  </si>
  <si>
    <t>04:41:51</t>
  </si>
  <si>
    <t>02:57:21</t>
  </si>
  <si>
    <t>Southam, Matt</t>
  </si>
  <si>
    <t>03:36:42</t>
  </si>
  <si>
    <t>Hornyák Bence</t>
  </si>
  <si>
    <t>Grant-Conlin, Elliot</t>
  </si>
  <si>
    <t>Hegedűs Balázs</t>
  </si>
  <si>
    <t>04:19:21</t>
  </si>
  <si>
    <t>Pataki Zoltán</t>
  </si>
  <si>
    <t>03:41:03</t>
  </si>
  <si>
    <t>Wyrzykowski, Tomasz</t>
  </si>
  <si>
    <t>04:14:42</t>
  </si>
  <si>
    <t>Yordanov, Miroslav</t>
  </si>
  <si>
    <t>04:20:40</t>
  </si>
  <si>
    <t>Sütő Norbert</t>
  </si>
  <si>
    <t>03:18:58</t>
  </si>
  <si>
    <t>Benakis, Pavlos prof</t>
  </si>
  <si>
    <t>Szlávik Bence</t>
  </si>
  <si>
    <t>03:56:21</t>
  </si>
  <si>
    <t>Győrfi Gergely</t>
  </si>
  <si>
    <t>04:01:13</t>
  </si>
  <si>
    <t>GAVRIELIDES, EVAGORAS</t>
  </si>
  <si>
    <t>04:40:01</t>
  </si>
  <si>
    <t>03:05:54</t>
  </si>
  <si>
    <t>Fürjes Csaba</t>
  </si>
  <si>
    <t>03:32:44</t>
  </si>
  <si>
    <t>De Sausmarez, Peter</t>
  </si>
  <si>
    <t>02:59:21</t>
  </si>
  <si>
    <t>Lebarbé, Yannick</t>
  </si>
  <si>
    <t>04:40:04</t>
  </si>
  <si>
    <t>05:30:16</t>
  </si>
  <si>
    <t>Rodolphe, ARCONTE</t>
  </si>
  <si>
    <t>04:11:49</t>
  </si>
  <si>
    <t>04:13:13</t>
  </si>
  <si>
    <t>Kakasy Gergely</t>
  </si>
  <si>
    <t>05:17:51</t>
  </si>
  <si>
    <t>Somogyi Dániel</t>
  </si>
  <si>
    <t>03:34:38</t>
  </si>
  <si>
    <t>binner, agustin dr</t>
  </si>
  <si>
    <t>04:03:57</t>
  </si>
  <si>
    <t>Molnár Damján</t>
  </si>
  <si>
    <t>03:59:14</t>
  </si>
  <si>
    <t>Novák Géza Attila</t>
  </si>
  <si>
    <t>04:24:55</t>
  </si>
  <si>
    <t>Pekker Róbert</t>
  </si>
  <si>
    <t>04:33:01</t>
  </si>
  <si>
    <t>Svejda, Jakub</t>
  </si>
  <si>
    <t>Székely Attila</t>
  </si>
  <si>
    <t>Arciszewski, Marcin</t>
  </si>
  <si>
    <t>03:23:04</t>
  </si>
  <si>
    <t>04:05:10</t>
  </si>
  <si>
    <t>Libresco, Jacques</t>
  </si>
  <si>
    <t>03:10:01</t>
  </si>
  <si>
    <t>Nejstgaard, Christopher</t>
  </si>
  <si>
    <t>03:10:23</t>
  </si>
  <si>
    <t>Bulitka László ifj</t>
  </si>
  <si>
    <t>05:37:47</t>
  </si>
  <si>
    <t>Mészáros Zsolt dr</t>
  </si>
  <si>
    <t>04:15:56</t>
  </si>
  <si>
    <t>Kancsár Tamás</t>
  </si>
  <si>
    <t>05:14:58</t>
  </si>
  <si>
    <t>Yann, Vicherat</t>
  </si>
  <si>
    <t>04:09:00</t>
  </si>
  <si>
    <t>Willemin, Jordan</t>
  </si>
  <si>
    <t>04:42:26</t>
  </si>
  <si>
    <t>Prisznyák Gábor</t>
  </si>
  <si>
    <t>02:53:44</t>
  </si>
  <si>
    <t>03:40:47</t>
  </si>
  <si>
    <t>Turchányi Miklós</t>
  </si>
  <si>
    <t>03:00:53</t>
  </si>
  <si>
    <t>Saliga Ákos</t>
  </si>
  <si>
    <t>04:12:44</t>
  </si>
  <si>
    <t>02:58:38</t>
  </si>
  <si>
    <t>Nilsen, Sigve prof</t>
  </si>
  <si>
    <t>04:09:37</t>
  </si>
  <si>
    <t>Czermann Olivér</t>
  </si>
  <si>
    <t>04:01:08</t>
  </si>
  <si>
    <t>03:57:33</t>
  </si>
  <si>
    <t>03:53:25</t>
  </si>
  <si>
    <t>Görcs Zoltán</t>
  </si>
  <si>
    <t>04:12:09</t>
  </si>
  <si>
    <t>Olesen, Alexander Vium</t>
  </si>
  <si>
    <t>03:40:55</t>
  </si>
  <si>
    <t>Lund-Ravn, Thomas prof</t>
  </si>
  <si>
    <t>03:51:58</t>
  </si>
  <si>
    <t>Victor, MAINGAULT</t>
  </si>
  <si>
    <t>03:50:28</t>
  </si>
  <si>
    <t>Viale, Patrice</t>
  </si>
  <si>
    <t>03:00:24</t>
  </si>
  <si>
    <t>Spasojević, Goran</t>
  </si>
  <si>
    <t>04:05:12</t>
  </si>
  <si>
    <t>Krejčí, Matěj</t>
  </si>
  <si>
    <t>03:56:32</t>
  </si>
  <si>
    <t>PODDIGHE, GAVINO</t>
  </si>
  <si>
    <t>04:07:06</t>
  </si>
  <si>
    <t>Ihantoja, matti</t>
  </si>
  <si>
    <t>05:12:12</t>
  </si>
  <si>
    <t>Orosz Dániel</t>
  </si>
  <si>
    <t>04:10:14</t>
  </si>
  <si>
    <t>Gruber István</t>
  </si>
  <si>
    <t>04:46:27</t>
  </si>
  <si>
    <t>Javier, Chavarria Moreno prof</t>
  </si>
  <si>
    <t>03:01:07</t>
  </si>
  <si>
    <t>Agyagási Ákos</t>
  </si>
  <si>
    <t>03:25:49</t>
  </si>
  <si>
    <t>03:57:48</t>
  </si>
  <si>
    <t>Fermont, Hans</t>
  </si>
  <si>
    <t>Bátyi András</t>
  </si>
  <si>
    <t>03:40:54</t>
  </si>
  <si>
    <t>Reale, Andrea dr</t>
  </si>
  <si>
    <t>Pesti Krisztián</t>
  </si>
  <si>
    <t>05:00:25</t>
  </si>
  <si>
    <t>Altizer, Whitney</t>
  </si>
  <si>
    <t>03:31:32</t>
  </si>
  <si>
    <t>Kuropatwinski, Andrzej</t>
  </si>
  <si>
    <t>03:57:54</t>
  </si>
  <si>
    <t>Mitchell, Elias</t>
  </si>
  <si>
    <t>04:19:02</t>
  </si>
  <si>
    <t>Lillo, Rocco Gianni prof</t>
  </si>
  <si>
    <t>03:58:10</t>
  </si>
  <si>
    <t>B. Németh Kristóf</t>
  </si>
  <si>
    <t>04:24:46</t>
  </si>
  <si>
    <t>Radomir János</t>
  </si>
  <si>
    <t>03:39:26</t>
  </si>
  <si>
    <t>Horváth Gergely</t>
  </si>
  <si>
    <t>03:55:01</t>
  </si>
  <si>
    <t>Nicolas, Pesquerel</t>
  </si>
  <si>
    <t>04:22:28</t>
  </si>
  <si>
    <t>Viola Gábor</t>
  </si>
  <si>
    <t>Tóth-Szarvas Levente</t>
  </si>
  <si>
    <t>Krasznai Vilmos</t>
  </si>
  <si>
    <t>05:11:53</t>
  </si>
  <si>
    <t>Hornyak, Tomas</t>
  </si>
  <si>
    <t>03:51:59</t>
  </si>
  <si>
    <t>Németh Gábor László</t>
  </si>
  <si>
    <t>03:49:09</t>
  </si>
  <si>
    <t>Szentmáry Tamás</t>
  </si>
  <si>
    <t>04:52:04</t>
  </si>
  <si>
    <t>HEINRICH, HERVE</t>
  </si>
  <si>
    <t>04:52:15</t>
  </si>
  <si>
    <t>Dr.Nagy Sándor</t>
  </si>
  <si>
    <t>04:38:48</t>
  </si>
  <si>
    <t>Oliwia, cierczak</t>
  </si>
  <si>
    <t>04:20:33</t>
  </si>
  <si>
    <t>Vesztergombi Norbert</t>
  </si>
  <si>
    <t>05:14:31</t>
  </si>
  <si>
    <t>Koczian, Thomas</t>
  </si>
  <si>
    <t>04:53:30</t>
  </si>
  <si>
    <t>03:55:16</t>
  </si>
  <si>
    <t>Gál Zoltán</t>
  </si>
  <si>
    <t>03:57:05</t>
  </si>
  <si>
    <t>NIKOPOULOS, DIMITRIOS</t>
  </si>
  <si>
    <t>Katona Dániel</t>
  </si>
  <si>
    <t>04:48:37</t>
  </si>
  <si>
    <t>Rakonczay Gábor</t>
  </si>
  <si>
    <t>04:19:13</t>
  </si>
  <si>
    <t>Koncz Ádám</t>
  </si>
  <si>
    <t>Szyjka, Krzysztof prof</t>
  </si>
  <si>
    <t>03:26:07</t>
  </si>
  <si>
    <t>Dencker, Andreas</t>
  </si>
  <si>
    <t>04:00:03</t>
  </si>
  <si>
    <t>Whitehouse, Jason</t>
  </si>
  <si>
    <t>04:24:57</t>
  </si>
  <si>
    <t>BIAŁOSKÓRSKI, ROBERT</t>
  </si>
  <si>
    <t>04:43:54</t>
  </si>
  <si>
    <t>Minder, Steve</t>
  </si>
  <si>
    <t>03:18:18</t>
  </si>
  <si>
    <t>04:40:17</t>
  </si>
  <si>
    <t>04:41:29</t>
  </si>
  <si>
    <t>Hermans, Stephane</t>
  </si>
  <si>
    <t>02:58:58</t>
  </si>
  <si>
    <t>Tazaki, Katsuya</t>
  </si>
  <si>
    <t>04:33:00</t>
  </si>
  <si>
    <t>Joseph, Michael</t>
  </si>
  <si>
    <t>04:34:12</t>
  </si>
  <si>
    <t>03:33:45</t>
  </si>
  <si>
    <t>SCHULTE, laurent</t>
  </si>
  <si>
    <t>04:17:37</t>
  </si>
  <si>
    <t>Timár János</t>
  </si>
  <si>
    <t>04:36:37</t>
  </si>
  <si>
    <t>Madaghjian, Daniel prof</t>
  </si>
  <si>
    <t>03:56:47</t>
  </si>
  <si>
    <t>Jávorszky Zoltán</t>
  </si>
  <si>
    <t>04:15:48</t>
  </si>
  <si>
    <t>Doherty, Ryan</t>
  </si>
  <si>
    <t>SEBASTIAN, PLESINSKI</t>
  </si>
  <si>
    <t>03:29:22</t>
  </si>
  <si>
    <t>Vincent, BROSSARD</t>
  </si>
  <si>
    <t>03:41:45</t>
  </si>
  <si>
    <t>Szép Ábris</t>
  </si>
  <si>
    <t>04:10:09</t>
  </si>
  <si>
    <t>Horvath Adrian</t>
  </si>
  <si>
    <t>03:29:24</t>
  </si>
  <si>
    <t>corona, adriano</t>
  </si>
  <si>
    <t>03:55:14</t>
  </si>
  <si>
    <t>Taranek Csongor</t>
  </si>
  <si>
    <t>04:03:30</t>
  </si>
  <si>
    <t>Ferreira de Cerqueira, Harley</t>
  </si>
  <si>
    <t>04:37:54</t>
  </si>
  <si>
    <t>Mader, Thomas</t>
  </si>
  <si>
    <t>02:57:16</t>
  </si>
  <si>
    <t>Horján, Zoltán</t>
  </si>
  <si>
    <t>03:29:40</t>
  </si>
  <si>
    <t>WARD, PATRICK</t>
  </si>
  <si>
    <t>04:40:07</t>
  </si>
  <si>
    <t>Radosevic, Igor</t>
  </si>
  <si>
    <t>03:45:02</t>
  </si>
  <si>
    <t>02:59:11</t>
  </si>
  <si>
    <t>Gorbai Attila Csaba</t>
  </si>
  <si>
    <t>Impallaria, Calogero</t>
  </si>
  <si>
    <t>Wills, Ty</t>
  </si>
  <si>
    <t>03:14:21</t>
  </si>
  <si>
    <t>Balázs István</t>
  </si>
  <si>
    <t>Ban, Sam</t>
  </si>
  <si>
    <t>03:53:39</t>
  </si>
  <si>
    <t>Kristof Istvan</t>
  </si>
  <si>
    <t>03:51:52</t>
  </si>
  <si>
    <t>04:58:16</t>
  </si>
  <si>
    <t>Brink, Matthijs</t>
  </si>
  <si>
    <t>Kueffner, Thomas</t>
  </si>
  <si>
    <t>03:18:32</t>
  </si>
  <si>
    <t>Szirom Márk</t>
  </si>
  <si>
    <t>04:11:50</t>
  </si>
  <si>
    <t>Szász Dániel</t>
  </si>
  <si>
    <t>05:09:13</t>
  </si>
  <si>
    <t>Szél János</t>
  </si>
  <si>
    <t>Eberhardt Gábor</t>
  </si>
  <si>
    <t>04:10:27</t>
  </si>
  <si>
    <t>05:07:07</t>
  </si>
  <si>
    <t>04:59:34</t>
  </si>
  <si>
    <t>Vrazsgyák Attila</t>
  </si>
  <si>
    <t>04:41:23</t>
  </si>
  <si>
    <t>Rácz Zsolt Dr.</t>
  </si>
  <si>
    <t>04:16:42</t>
  </si>
  <si>
    <t>Mong Balazs dr</t>
  </si>
  <si>
    <t>04:19:28</t>
  </si>
  <si>
    <t>Varrecchia, Francesco</t>
  </si>
  <si>
    <t>04:07:46</t>
  </si>
  <si>
    <t>Zichó Krisztián</t>
  </si>
  <si>
    <t>03:01:12</t>
  </si>
  <si>
    <t>Rego, Antonio</t>
  </si>
  <si>
    <t>05:02:41</t>
  </si>
  <si>
    <t>Harper, Darian</t>
  </si>
  <si>
    <t>Dylan, Tipton</t>
  </si>
  <si>
    <t>04:39:41</t>
  </si>
  <si>
    <t>Szőke Boldizsár</t>
  </si>
  <si>
    <t>04:25:50</t>
  </si>
  <si>
    <t>Molnár Géza</t>
  </si>
  <si>
    <t>04:46:30</t>
  </si>
  <si>
    <t>Gordeev, Vladimir</t>
  </si>
  <si>
    <t>03:15:10</t>
  </si>
  <si>
    <t>Kerekes Zoltán</t>
  </si>
  <si>
    <t>04:16:20</t>
  </si>
  <si>
    <t>Byczyk, Jacek</t>
  </si>
  <si>
    <t>04:25:48</t>
  </si>
  <si>
    <t>Érmezei Zsolt</t>
  </si>
  <si>
    <t>Modee, Mattias</t>
  </si>
  <si>
    <t>04:22:00</t>
  </si>
  <si>
    <t>Szalai András</t>
  </si>
  <si>
    <t>03:55:13</t>
  </si>
  <si>
    <t>Kökényesi Antal</t>
  </si>
  <si>
    <t>04:28:53</t>
  </si>
  <si>
    <t>Nielsen, Mathias Liisberg</t>
  </si>
  <si>
    <t>02:47:40</t>
  </si>
  <si>
    <t>Zab Róbert</t>
  </si>
  <si>
    <t>04:36:46</t>
  </si>
  <si>
    <t>kardasz, jacek</t>
  </si>
  <si>
    <t>03:42:07</t>
  </si>
  <si>
    <t>Kusztor Kornél</t>
  </si>
  <si>
    <t>Tempfli Péter</t>
  </si>
  <si>
    <t>04:29:42</t>
  </si>
  <si>
    <t>Miták Pál</t>
  </si>
  <si>
    <t>05:16:31</t>
  </si>
  <si>
    <t>Buzás Botond</t>
  </si>
  <si>
    <t>04:21:58</t>
  </si>
  <si>
    <t>Peresztegi Bálint</t>
  </si>
  <si>
    <t>03:36:10</t>
  </si>
  <si>
    <t>Gündisch, Zoltán</t>
  </si>
  <si>
    <t>04:22:59</t>
  </si>
  <si>
    <t>03:04:46</t>
  </si>
  <si>
    <t>de Beer, Patrick</t>
  </si>
  <si>
    <t>04:27:34</t>
  </si>
  <si>
    <t>Dominique, Armand</t>
  </si>
  <si>
    <t>03:54:20</t>
  </si>
  <si>
    <t>Gordon, Lane</t>
  </si>
  <si>
    <t>Doran, Matt</t>
  </si>
  <si>
    <t>04:36:41</t>
  </si>
  <si>
    <t>DE LEERSNYDER, FLORENT prof</t>
  </si>
  <si>
    <t>Pintér Gábor</t>
  </si>
  <si>
    <t>04:15:27</t>
  </si>
  <si>
    <t>Berglund, Mikael</t>
  </si>
  <si>
    <t>Felix, Sanchez Adan</t>
  </si>
  <si>
    <t>04:06:31</t>
  </si>
  <si>
    <t>COCHE-DEQUEANT, Manuel</t>
  </si>
  <si>
    <t>04:30:42</t>
  </si>
  <si>
    <t>Harmati Péter</t>
  </si>
  <si>
    <t>05:16:53</t>
  </si>
  <si>
    <t>Montes de Oca Chavez, Ena Berenice</t>
  </si>
  <si>
    <t>04:40:42</t>
  </si>
  <si>
    <t>Dáné István Attila</t>
  </si>
  <si>
    <t>Fejérdy Márton</t>
  </si>
  <si>
    <t>04:11:46</t>
  </si>
  <si>
    <t>Mole, Sam</t>
  </si>
  <si>
    <t>04:15:08</t>
  </si>
  <si>
    <t>Tóth Patony</t>
  </si>
  <si>
    <t>Mader, Roland</t>
  </si>
  <si>
    <t>03:18:47</t>
  </si>
  <si>
    <t>Koller Béla</t>
  </si>
  <si>
    <t>03:36:05</t>
  </si>
  <si>
    <t>Bonte, Maxens</t>
  </si>
  <si>
    <t>Barbero, Gianluca</t>
  </si>
  <si>
    <t>02:58:41</t>
  </si>
  <si>
    <t>03:51:19</t>
  </si>
  <si>
    <t>Dagsland, William</t>
  </si>
  <si>
    <t>04:05:09</t>
  </si>
  <si>
    <t>Puszkarski, Marek</t>
  </si>
  <si>
    <t>Palenius, Juha</t>
  </si>
  <si>
    <t>04:32:04</t>
  </si>
  <si>
    <t>Ötvös Krisztián</t>
  </si>
  <si>
    <t>03:46:57</t>
  </si>
  <si>
    <t>Toldi Levente</t>
  </si>
  <si>
    <t>03:10:28</t>
  </si>
  <si>
    <t>ABED, MILOUDI</t>
  </si>
  <si>
    <t>03:50:00</t>
  </si>
  <si>
    <t>Chevrolet, Laurent</t>
  </si>
  <si>
    <t>04:16:04</t>
  </si>
  <si>
    <t>Jean Claude, ELVIRA MARTIN</t>
  </si>
  <si>
    <t>05:15:45</t>
  </si>
  <si>
    <t>Renton, Sam</t>
  </si>
  <si>
    <t>05:16:26</t>
  </si>
  <si>
    <t>Kiss Gellért</t>
  </si>
  <si>
    <t>03:34:31</t>
  </si>
  <si>
    <t>Baranyai Gergely</t>
  </si>
  <si>
    <t>04:18:17</t>
  </si>
  <si>
    <t>Csarnai Szilárd</t>
  </si>
  <si>
    <t>Semkovski, George</t>
  </si>
  <si>
    <t>03:52:05</t>
  </si>
  <si>
    <t>Reece, Elliott prof</t>
  </si>
  <si>
    <t>04:23:33</t>
  </si>
  <si>
    <t>Smit, Hans</t>
  </si>
  <si>
    <t>03:45:42</t>
  </si>
  <si>
    <t>Seuren, Julian</t>
  </si>
  <si>
    <t>04:02:23</t>
  </si>
  <si>
    <t>Fejér Gábor</t>
  </si>
  <si>
    <t>04:19:57</t>
  </si>
  <si>
    <t>Kotke, Tarmo</t>
  </si>
  <si>
    <t>04:13:22</t>
  </si>
  <si>
    <t>De Ruyck, Faust</t>
  </si>
  <si>
    <t>03:09:02</t>
  </si>
  <si>
    <t>Debreceni Dávid</t>
  </si>
  <si>
    <t>Davidson, James</t>
  </si>
  <si>
    <t>03:48:17</t>
  </si>
  <si>
    <t>Székely István</t>
  </si>
  <si>
    <t>05:13:25</t>
  </si>
  <si>
    <t>Bugáň, Tomá</t>
  </si>
  <si>
    <t>04:24:41</t>
  </si>
  <si>
    <t>CLUSAZ, ELVIS prof</t>
  </si>
  <si>
    <t>03:29:23</t>
  </si>
  <si>
    <t>Blomfield, Stephen</t>
  </si>
  <si>
    <t>03:35:54</t>
  </si>
  <si>
    <t>Cole, Andrew</t>
  </si>
  <si>
    <t>Lonati, Massimo</t>
  </si>
  <si>
    <t>03:38:01</t>
  </si>
  <si>
    <t>Kerekes Szabolcs</t>
  </si>
  <si>
    <t>Niemirowski, Kamil</t>
  </si>
  <si>
    <t>04:22:38</t>
  </si>
  <si>
    <t>Bolsius, Koen</t>
  </si>
  <si>
    <t>03:17:58</t>
  </si>
  <si>
    <t>Tibor Ákos</t>
  </si>
  <si>
    <t>03:59:27</t>
  </si>
  <si>
    <t>GHISTE, Cyrille</t>
  </si>
  <si>
    <t>Vedrov, Pavel</t>
  </si>
  <si>
    <t>03:16:08</t>
  </si>
  <si>
    <t>Engi Tibor</t>
  </si>
  <si>
    <t>03:46:06</t>
  </si>
  <si>
    <t>ALIBES, ARCADI</t>
  </si>
  <si>
    <t>04:29:19</t>
  </si>
  <si>
    <t>Kocsispéter Máté</t>
  </si>
  <si>
    <t>05:25:40</t>
  </si>
  <si>
    <t>Vas Gábor</t>
  </si>
  <si>
    <t>03:29:09</t>
  </si>
  <si>
    <t>Hyland, Eden</t>
  </si>
  <si>
    <t>03:44:24</t>
  </si>
  <si>
    <t>Szaniszló Balázs</t>
  </si>
  <si>
    <t>04:06:27</t>
  </si>
  <si>
    <t>Dóczi Zsolt</t>
  </si>
  <si>
    <t>03:37:37</t>
  </si>
  <si>
    <t>Kovách Tamás</t>
  </si>
  <si>
    <t>Smylie, Oisin</t>
  </si>
  <si>
    <t>03:29:25</t>
  </si>
  <si>
    <t>Mátéffy Kristóf</t>
  </si>
  <si>
    <t>Marek József</t>
  </si>
  <si>
    <t>04:01:17</t>
  </si>
  <si>
    <t>Neumann, Michael</t>
  </si>
  <si>
    <t>03:14:11</t>
  </si>
  <si>
    <t>03:50:49</t>
  </si>
  <si>
    <t>dominique, PERDRIAU</t>
  </si>
  <si>
    <t>04:22:32</t>
  </si>
  <si>
    <t>Hunter, Anthony prof</t>
  </si>
  <si>
    <t>04:09:43</t>
  </si>
  <si>
    <t>02:55:48</t>
  </si>
  <si>
    <t>04:13:58</t>
  </si>
  <si>
    <t>Raineri, Mauro prof</t>
  </si>
  <si>
    <t>02:50:04</t>
  </si>
  <si>
    <t>Rádli Péter</t>
  </si>
  <si>
    <t>03:23:11</t>
  </si>
  <si>
    <t>Dzama Demjén László</t>
  </si>
  <si>
    <t>04:50:21</t>
  </si>
  <si>
    <t>BAISHYA, KAUSHIK</t>
  </si>
  <si>
    <t>05:27:00</t>
  </si>
  <si>
    <t>Mácsár Krisztián</t>
  </si>
  <si>
    <t>03:58:09</t>
  </si>
  <si>
    <t>Révész Máté</t>
  </si>
  <si>
    <t>04:22:08</t>
  </si>
  <si>
    <t>Gőgh Előd</t>
  </si>
  <si>
    <t>04:53:49</t>
  </si>
  <si>
    <t>White, Robert</t>
  </si>
  <si>
    <t>02:49:28</t>
  </si>
  <si>
    <t>Garita, Carlos</t>
  </si>
  <si>
    <t>03:47:07</t>
  </si>
  <si>
    <t>Thomas, Simon</t>
  </si>
  <si>
    <t>05:15:17</t>
  </si>
  <si>
    <t>Bowring, Christopher</t>
  </si>
  <si>
    <t>03:47:44</t>
  </si>
  <si>
    <t>Szabó Roland Krisztián</t>
  </si>
  <si>
    <t>mullin, alan</t>
  </si>
  <si>
    <t>04:51:24</t>
  </si>
  <si>
    <t>Dr. Pintér Tamás</t>
  </si>
  <si>
    <t>Wylde, Jon</t>
  </si>
  <si>
    <t>04:22:52</t>
  </si>
  <si>
    <t>FERRER VILS, JOAN prof</t>
  </si>
  <si>
    <t>04:35:14</t>
  </si>
  <si>
    <t>Pasztor Kiss, Levente</t>
  </si>
  <si>
    <t>03:16:33</t>
  </si>
  <si>
    <t>Cheung, Wai Ki</t>
  </si>
  <si>
    <t>05:24:34</t>
  </si>
  <si>
    <t>04:29:34</t>
  </si>
  <si>
    <t>Lengyel Richárd</t>
  </si>
  <si>
    <t>03:29:29</t>
  </si>
  <si>
    <t>Pavia, Luca</t>
  </si>
  <si>
    <t>03:25:37</t>
  </si>
  <si>
    <t>Bögi Ádám</t>
  </si>
  <si>
    <t>03:32:56</t>
  </si>
  <si>
    <t>Kaczur András</t>
  </si>
  <si>
    <t>Flobergseter, ?yvind</t>
  </si>
  <si>
    <t>02:52:12</t>
  </si>
  <si>
    <t>04:09:06</t>
  </si>
  <si>
    <t>04:29:29</t>
  </si>
  <si>
    <t>Ispánovity Péter Dusán</t>
  </si>
  <si>
    <t>02:59:19</t>
  </si>
  <si>
    <t>Włodarek, Jacek</t>
  </si>
  <si>
    <t>03:57:35</t>
  </si>
  <si>
    <t>Pavlíček, Martin</t>
  </si>
  <si>
    <t>05:13:41</t>
  </si>
  <si>
    <t>Scott, Steven</t>
  </si>
  <si>
    <t>wu, hao</t>
  </si>
  <si>
    <t>Law, Harry</t>
  </si>
  <si>
    <t>03:46:27</t>
  </si>
  <si>
    <t>Mena Gutierrez, Guillermo Enrique</t>
  </si>
  <si>
    <t>05:11:00</t>
  </si>
  <si>
    <t>Gáthy Balázs</t>
  </si>
  <si>
    <t>03:08:39</t>
  </si>
  <si>
    <t>Przybyłowicz, Dominik</t>
  </si>
  <si>
    <t>04:27:15</t>
  </si>
  <si>
    <t>Lepine, Patrick</t>
  </si>
  <si>
    <t>03:33:43</t>
  </si>
  <si>
    <t>03:40:57</t>
  </si>
  <si>
    <t>Baksay Attila</t>
  </si>
  <si>
    <t>Cahill, Shane</t>
  </si>
  <si>
    <t>03:30:26</t>
  </si>
  <si>
    <t>Knill Zsolt</t>
  </si>
  <si>
    <t>04:44:34</t>
  </si>
  <si>
    <t>03:59:09</t>
  </si>
  <si>
    <t>Díaz, Marcos</t>
  </si>
  <si>
    <t>04:59:17</t>
  </si>
  <si>
    <t>Sobczak, Tomasz</t>
  </si>
  <si>
    <t>Teply, Tomas</t>
  </si>
  <si>
    <t>04:01:05</t>
  </si>
  <si>
    <t>Sheppard, Jason</t>
  </si>
  <si>
    <t>04:29:37</t>
  </si>
  <si>
    <t>vanoverskelds, dominique prof</t>
  </si>
  <si>
    <t>03:55:31</t>
  </si>
  <si>
    <t>Chasco Arpón, Daniel prof</t>
  </si>
  <si>
    <t>04:21:02</t>
  </si>
  <si>
    <t>03:53:22</t>
  </si>
  <si>
    <t>Ranauro, Raffaele</t>
  </si>
  <si>
    <t>Kis Árpád</t>
  </si>
  <si>
    <t>04:24:36</t>
  </si>
  <si>
    <t>LANCO, Thomas</t>
  </si>
  <si>
    <t>03:28:41</t>
  </si>
  <si>
    <t>Jimmy, Lomba</t>
  </si>
  <si>
    <t>04:16:54</t>
  </si>
  <si>
    <t>Urbancsek Balázs</t>
  </si>
  <si>
    <t>Christopher, Barney</t>
  </si>
  <si>
    <t>Marian, Alexe dr</t>
  </si>
  <si>
    <t>03:25:29</t>
  </si>
  <si>
    <t>Mestyán Márton</t>
  </si>
  <si>
    <t>04:03:10</t>
  </si>
  <si>
    <t>03:46:37</t>
  </si>
  <si>
    <t>BARNABA, ANDREA</t>
  </si>
  <si>
    <t>04:07:30</t>
  </si>
  <si>
    <t>03:44:04</t>
  </si>
  <si>
    <t>Virág János</t>
  </si>
  <si>
    <t>04:53:27</t>
  </si>
  <si>
    <t>Békésy András</t>
  </si>
  <si>
    <t>04:58:36</t>
  </si>
  <si>
    <t>Perez Cascajares, Manuel</t>
  </si>
  <si>
    <t>Dönisch, Georg</t>
  </si>
  <si>
    <t>04:45:53</t>
  </si>
  <si>
    <t>Wing, Jack</t>
  </si>
  <si>
    <t>04:42:30</t>
  </si>
  <si>
    <t>Marcsa Dániel dr</t>
  </si>
  <si>
    <t>Gebei Tamas</t>
  </si>
  <si>
    <t>05:31:44</t>
  </si>
  <si>
    <t>Pünkösty András Dr.</t>
  </si>
  <si>
    <t>03:38:38</t>
  </si>
  <si>
    <t>04:46:41</t>
  </si>
  <si>
    <t>Lienhard, Martin</t>
  </si>
  <si>
    <t>03:55:55</t>
  </si>
  <si>
    <t>Mitja, Zitnik</t>
  </si>
  <si>
    <t>03:07:13</t>
  </si>
  <si>
    <t>Szlavinics Dániel</t>
  </si>
  <si>
    <t>04:27:29</t>
  </si>
  <si>
    <t>03:30:12</t>
  </si>
  <si>
    <t>04:55:33</t>
  </si>
  <si>
    <t>03:57:21</t>
  </si>
  <si>
    <t>Ortner, Julian</t>
  </si>
  <si>
    <t>03:28:59</t>
  </si>
  <si>
    <t>Csécsei Zoltán</t>
  </si>
  <si>
    <t>Kantzilieris, Michael Angelos</t>
  </si>
  <si>
    <t>04:07:57</t>
  </si>
  <si>
    <t>Palancsa Zsolt</t>
  </si>
  <si>
    <t>04:22:33</t>
  </si>
  <si>
    <t>Ivanic, Zoran</t>
  </si>
  <si>
    <t>Noguchi, Hitoshi</t>
  </si>
  <si>
    <t>04:38:54</t>
  </si>
  <si>
    <t>04:15:04</t>
  </si>
  <si>
    <t>03:25:15</t>
  </si>
  <si>
    <t>Silvano, Rafael prof</t>
  </si>
  <si>
    <t>03:57:24</t>
  </si>
  <si>
    <t>Ritchie, Peter</t>
  </si>
  <si>
    <t>05:22:50</t>
  </si>
  <si>
    <t>Padova, Carmelo</t>
  </si>
  <si>
    <t>03:22:53</t>
  </si>
  <si>
    <t>Szaszkó Dominik</t>
  </si>
  <si>
    <t>Sweeney, Patrick</t>
  </si>
  <si>
    <t>03:43:09</t>
  </si>
  <si>
    <t>Andrikó Máté</t>
  </si>
  <si>
    <t>03:37:57</t>
  </si>
  <si>
    <t>Götz, Lars</t>
  </si>
  <si>
    <t>Kelemen Bálint</t>
  </si>
  <si>
    <t>Verbaanderd, Gunther</t>
  </si>
  <si>
    <t>Souza, David</t>
  </si>
  <si>
    <t>04:03:04</t>
  </si>
  <si>
    <t>Bronswijk, Jeroen</t>
  </si>
  <si>
    <t>04:12:29</t>
  </si>
  <si>
    <t>Baráth Márk</t>
  </si>
  <si>
    <t>04:47:06</t>
  </si>
  <si>
    <t>Kapidis, Vasilis</t>
  </si>
  <si>
    <t>04:31:12</t>
  </si>
  <si>
    <t>Juujärvi, Peitsa</t>
  </si>
  <si>
    <t>04:10:36</t>
  </si>
  <si>
    <t>Tardos Gábor</t>
  </si>
  <si>
    <t>04:33:20</t>
  </si>
  <si>
    <t>Török István</t>
  </si>
  <si>
    <t>05:24:45</t>
  </si>
  <si>
    <t>Bacsó Krisztián</t>
  </si>
  <si>
    <t>05:22:17</t>
  </si>
  <si>
    <t>05:26:16</t>
  </si>
  <si>
    <t>Nemeth David</t>
  </si>
  <si>
    <t>03:25:21</t>
  </si>
  <si>
    <t>04:10:32</t>
  </si>
  <si>
    <t>Delmarche, Antoine</t>
  </si>
  <si>
    <t>03:57:10</t>
  </si>
  <si>
    <t>Leblanc, Renaud</t>
  </si>
  <si>
    <t>02:47:03</t>
  </si>
  <si>
    <t>Deák János</t>
  </si>
  <si>
    <t>04:13:37</t>
  </si>
  <si>
    <t>Huszár Gábor</t>
  </si>
  <si>
    <t>04:23:21</t>
  </si>
  <si>
    <t>Thompson, Simon</t>
  </si>
  <si>
    <t>03:40:06</t>
  </si>
  <si>
    <t>Antoine, Guéranger</t>
  </si>
  <si>
    <t>03:54:31</t>
  </si>
  <si>
    <t>Zenz, Dirk</t>
  </si>
  <si>
    <t>Menyhárt Zoltán</t>
  </si>
  <si>
    <t>03:45:23</t>
  </si>
  <si>
    <t>KYPRIANOU, PANTELIS</t>
  </si>
  <si>
    <t>Sallai, Zsolt</t>
  </si>
  <si>
    <t>Góbor Peti</t>
  </si>
  <si>
    <t>04:09:15</t>
  </si>
  <si>
    <t>Ashworth, Benedict</t>
  </si>
  <si>
    <t>Lamoureux, Bertrand prof</t>
  </si>
  <si>
    <t>03:49:50</t>
  </si>
  <si>
    <t>Autar, Miki</t>
  </si>
  <si>
    <t>04:12:05</t>
  </si>
  <si>
    <t>Alexandru Marian, Negura</t>
  </si>
  <si>
    <t>De Waal, Sybrand</t>
  </si>
  <si>
    <t>03:17:04</t>
  </si>
  <si>
    <t>Morrison, Iain</t>
  </si>
  <si>
    <t>04:32:46</t>
  </si>
  <si>
    <t>Aguiar, Nicolas</t>
  </si>
  <si>
    <t>04:30:17</t>
  </si>
  <si>
    <t>Komáromi-Nagy Márton</t>
  </si>
  <si>
    <t>04:33:22</t>
  </si>
  <si>
    <t>Attila Mészáros</t>
  </si>
  <si>
    <t>05:07:32</t>
  </si>
  <si>
    <t>Orbán Attila</t>
  </si>
  <si>
    <t>05:24:41</t>
  </si>
  <si>
    <t>Belecz Péter</t>
  </si>
  <si>
    <t>03:56:15</t>
  </si>
  <si>
    <t>Henglár György</t>
  </si>
  <si>
    <t>04:12:16</t>
  </si>
  <si>
    <t>Knai, Ole</t>
  </si>
  <si>
    <t>03:18:14</t>
  </si>
  <si>
    <t>Marcali Tibor Zoltán</t>
  </si>
  <si>
    <t>Virágh Pál</t>
  </si>
  <si>
    <t>04:44:18</t>
  </si>
  <si>
    <t>Raiman, Julian</t>
  </si>
  <si>
    <t>Németvölgyi Márk</t>
  </si>
  <si>
    <t>04:02:10</t>
  </si>
  <si>
    <t>Péchy Krisztián</t>
  </si>
  <si>
    <t>04:14:25</t>
  </si>
  <si>
    <t>Pataki Róbert</t>
  </si>
  <si>
    <t>Molnar, Franz</t>
  </si>
  <si>
    <t>04:03:41</t>
  </si>
  <si>
    <t>Luignano, Salvatore</t>
  </si>
  <si>
    <t>Yilmaz Attila</t>
  </si>
  <si>
    <t>04:30:29</t>
  </si>
  <si>
    <t>Csoma, Botond</t>
  </si>
  <si>
    <t>04:09:45</t>
  </si>
  <si>
    <t>Boorsma, Kees Jan</t>
  </si>
  <si>
    <t>03:33:54</t>
  </si>
  <si>
    <t>Downs-Smithen, Quade</t>
  </si>
  <si>
    <t>03:41:22</t>
  </si>
  <si>
    <t>Binnie-Tkacz, Michael</t>
  </si>
  <si>
    <t>05:14:04</t>
  </si>
  <si>
    <t>Middleton, Glynn</t>
  </si>
  <si>
    <t>04:03:02</t>
  </si>
  <si>
    <t>Samu Szabolcs</t>
  </si>
  <si>
    <t>04:27:54</t>
  </si>
  <si>
    <t>03:32:16</t>
  </si>
  <si>
    <t>04:13:07</t>
  </si>
  <si>
    <t>Hazley, Daniel</t>
  </si>
  <si>
    <t>03:48:26</t>
  </si>
  <si>
    <t>Stahl Norbert</t>
  </si>
  <si>
    <t>04:16:34</t>
  </si>
  <si>
    <t>Tarcsay Péter ifj</t>
  </si>
  <si>
    <t>04:16:21</t>
  </si>
  <si>
    <t>Graziano, Gentili prof</t>
  </si>
  <si>
    <t>03:19:12</t>
  </si>
  <si>
    <t>Lyall-Collins, Angus</t>
  </si>
  <si>
    <t>03:51:49</t>
  </si>
  <si>
    <t>04:03:33</t>
  </si>
  <si>
    <t>Martin Garcia, Oscar prof</t>
  </si>
  <si>
    <t>Brans, Jeroen dr</t>
  </si>
  <si>
    <t>03:42:15</t>
  </si>
  <si>
    <t>Janssen, Rob</t>
  </si>
  <si>
    <t>Pákozdi Tibor</t>
  </si>
  <si>
    <t>03:50:44</t>
  </si>
  <si>
    <t>Blanco, Lorenzo</t>
  </si>
  <si>
    <t>04:36:23</t>
  </si>
  <si>
    <t>Szatmári Balázs</t>
  </si>
  <si>
    <t>04:16:23</t>
  </si>
  <si>
    <t>Hugauf Árpád</t>
  </si>
  <si>
    <t>05:13:43</t>
  </si>
  <si>
    <t>Varga Ádám</t>
  </si>
  <si>
    <t>05:03:52</t>
  </si>
  <si>
    <t>BAE, SEONGMUN</t>
  </si>
  <si>
    <t>04:36:03</t>
  </si>
  <si>
    <t>Károly László</t>
  </si>
  <si>
    <t>04:44:19</t>
  </si>
  <si>
    <t>Gere Lajos</t>
  </si>
  <si>
    <t>03:35:14</t>
  </si>
  <si>
    <t>Mohammed Muhemin dr</t>
  </si>
  <si>
    <t>04:19:25</t>
  </si>
  <si>
    <t>Vida Renato</t>
  </si>
  <si>
    <t>03:28:34</t>
  </si>
  <si>
    <t>Kiss Dániel</t>
  </si>
  <si>
    <t>04:59:07</t>
  </si>
  <si>
    <t>04:15:51</t>
  </si>
  <si>
    <t>VAN DER VOORT, SEBASTIEN</t>
  </si>
  <si>
    <t>04:03:01</t>
  </si>
  <si>
    <t>Marlow, Jamie</t>
  </si>
  <si>
    <t>03:28:00</t>
  </si>
  <si>
    <t>Postema, Harro</t>
  </si>
  <si>
    <t>Telekes Tamás</t>
  </si>
  <si>
    <t>Tougher, John</t>
  </si>
  <si>
    <t>03:45:46</t>
  </si>
  <si>
    <t>03:17:57</t>
  </si>
  <si>
    <t>04:57:04</t>
  </si>
  <si>
    <t>Fetés, Szabolcs</t>
  </si>
  <si>
    <t>Selapugin, Grigori</t>
  </si>
  <si>
    <t>03:38:31</t>
  </si>
  <si>
    <t>Görög Krisztián Dr.</t>
  </si>
  <si>
    <t>Hingi Viktor</t>
  </si>
  <si>
    <t>03:58:15</t>
  </si>
  <si>
    <t>Kiss Ádám</t>
  </si>
  <si>
    <t>05:20:51</t>
  </si>
  <si>
    <t>Török János</t>
  </si>
  <si>
    <t>04:29:08</t>
  </si>
  <si>
    <t>Rezső András Péter</t>
  </si>
  <si>
    <t>03:17:59</t>
  </si>
  <si>
    <t>Panchenko, Serhii prof</t>
  </si>
  <si>
    <t>03:21:43</t>
  </si>
  <si>
    <t>Fajó János</t>
  </si>
  <si>
    <t>04:11:57</t>
  </si>
  <si>
    <t>Achtergaele, Jannick</t>
  </si>
  <si>
    <t>03:31:51</t>
  </si>
  <si>
    <t>Ramus, Matthew prof</t>
  </si>
  <si>
    <t>03:41:44</t>
  </si>
  <si>
    <t>Tamura, Tetsu</t>
  </si>
  <si>
    <t>03:35:46</t>
  </si>
  <si>
    <t>Nusser Tamás</t>
  </si>
  <si>
    <t>03:20:01</t>
  </si>
  <si>
    <t>Yerasimou, Christos</t>
  </si>
  <si>
    <t>04:38:23</t>
  </si>
  <si>
    <t>Truesdale, Charles</t>
  </si>
  <si>
    <t>04:00:31</t>
  </si>
  <si>
    <t>Papp Zoltán</t>
  </si>
  <si>
    <t>03:57:42</t>
  </si>
  <si>
    <t>BUfe, Michael</t>
  </si>
  <si>
    <t>03:08:12</t>
  </si>
  <si>
    <t>Magyi Zsolt</t>
  </si>
  <si>
    <t>02:55:10</t>
  </si>
  <si>
    <t>Csiki Gergely</t>
  </si>
  <si>
    <t>03:20:57</t>
  </si>
  <si>
    <t>Saláta Péter</t>
  </si>
  <si>
    <t>DRAKE, FELIX prof</t>
  </si>
  <si>
    <t>03:51:44</t>
  </si>
  <si>
    <t>Yong, Jun Han Louis</t>
  </si>
  <si>
    <t>04:17:39</t>
  </si>
  <si>
    <t>Arnelo, Albin</t>
  </si>
  <si>
    <t>Kovács Gergely</t>
  </si>
  <si>
    <t>04:10:59</t>
  </si>
  <si>
    <t>Abell, Harry</t>
  </si>
  <si>
    <t>03:29:05</t>
  </si>
  <si>
    <t>Gobert, Stephane</t>
  </si>
  <si>
    <t>05:01:33</t>
  </si>
  <si>
    <t>Antal András</t>
  </si>
  <si>
    <t>Bognár Lajos</t>
  </si>
  <si>
    <t>Pintér Balázs</t>
  </si>
  <si>
    <t>Breznyán Gergő András</t>
  </si>
  <si>
    <t>03:55:50</t>
  </si>
  <si>
    <t>Nyikos Bendegúz Richárd</t>
  </si>
  <si>
    <t>Kuchcinski, Marcin</t>
  </si>
  <si>
    <t>05:01:41</t>
  </si>
  <si>
    <t>Runt, Luká</t>
  </si>
  <si>
    <t>03:14:25</t>
  </si>
  <si>
    <t>Konkoly Balázs</t>
  </si>
  <si>
    <t>Sodolski, Stanisław</t>
  </si>
  <si>
    <t>04:40:32</t>
  </si>
  <si>
    <t>Walters, Philip Samuel</t>
  </si>
  <si>
    <t>03:19:59</t>
  </si>
  <si>
    <t>Di Palma, Federico</t>
  </si>
  <si>
    <t>03:54:55</t>
  </si>
  <si>
    <t>Kökényesi András</t>
  </si>
  <si>
    <t>03:49:52</t>
  </si>
  <si>
    <t>03:36:12</t>
  </si>
  <si>
    <t>Pavlek, Sasa</t>
  </si>
  <si>
    <t>03:36:11</t>
  </si>
  <si>
    <t>CASALE, GIUSEPPE</t>
  </si>
  <si>
    <t>04:35:59</t>
  </si>
  <si>
    <t>Bódis Tamás</t>
  </si>
  <si>
    <t>02:33:23</t>
  </si>
  <si>
    <t>03:35:41</t>
  </si>
  <si>
    <t>04:34:56</t>
  </si>
  <si>
    <t>Cselényi Zoltán</t>
  </si>
  <si>
    <t>04:17:14</t>
  </si>
  <si>
    <t>Kiss, Ladislav</t>
  </si>
  <si>
    <t>02:49:50</t>
  </si>
  <si>
    <t>04:12:18</t>
  </si>
  <si>
    <t>Roeckx, Witse</t>
  </si>
  <si>
    <t>03:46:13</t>
  </si>
  <si>
    <t>Vahey, Simon</t>
  </si>
  <si>
    <t>04:24:04</t>
  </si>
  <si>
    <t>Vilho, Lehtoaho</t>
  </si>
  <si>
    <t>03:00:30</t>
  </si>
  <si>
    <t>Cserei Bence</t>
  </si>
  <si>
    <t>RENARD, XAVIER</t>
  </si>
  <si>
    <t>04:01:46</t>
  </si>
  <si>
    <t>THAIZE, Nicolas</t>
  </si>
  <si>
    <t>04:56:50</t>
  </si>
  <si>
    <t>Deák András</t>
  </si>
  <si>
    <t>03:47:59</t>
  </si>
  <si>
    <t>McGrath, Liam</t>
  </si>
  <si>
    <t>04:12:43</t>
  </si>
  <si>
    <t>Taylor, Michael</t>
  </si>
  <si>
    <t>KRITIKOPOULOS, LAZAROS</t>
  </si>
  <si>
    <t>03:50:06</t>
  </si>
  <si>
    <t>Fiam Tamás</t>
  </si>
  <si>
    <t>04:01:36</t>
  </si>
  <si>
    <t>Tanevic, Matija</t>
  </si>
  <si>
    <t>04:37:32</t>
  </si>
  <si>
    <t>Emilien, Debrosse</t>
  </si>
  <si>
    <t>04:28:20</t>
  </si>
  <si>
    <t>Stolzlederer, Robert</t>
  </si>
  <si>
    <t>03:07:51</t>
  </si>
  <si>
    <t>Stewardson, Rob</t>
  </si>
  <si>
    <t>Kunkli Áron</t>
  </si>
  <si>
    <t>04:24:32</t>
  </si>
  <si>
    <t>Várkonyi István</t>
  </si>
  <si>
    <t>03:54:23</t>
  </si>
  <si>
    <t>Snowball, Spencer</t>
  </si>
  <si>
    <t>04:51:59</t>
  </si>
  <si>
    <t>Kajli Ákos</t>
  </si>
  <si>
    <t>03:37:59</t>
  </si>
  <si>
    <t>Grabowski, Grzegorz</t>
  </si>
  <si>
    <t>05:03:13</t>
  </si>
  <si>
    <t>László Attila</t>
  </si>
  <si>
    <t>Tay, Yong Sheng James</t>
  </si>
  <si>
    <t>05:12:33</t>
  </si>
  <si>
    <t>Giorgio, Roberto prof</t>
  </si>
  <si>
    <t>03:23:24</t>
  </si>
  <si>
    <t>Meyer, Heinz</t>
  </si>
  <si>
    <t>03:32:39</t>
  </si>
  <si>
    <t>03:59:17</t>
  </si>
  <si>
    <t>O Sullivan, Ciaran</t>
  </si>
  <si>
    <t>03:19:00</t>
  </si>
  <si>
    <t>O'Halloran, David</t>
  </si>
  <si>
    <t>04:03:40</t>
  </si>
  <si>
    <t>Marhas, Imre</t>
  </si>
  <si>
    <t>05:12:32</t>
  </si>
  <si>
    <t>Monteiro, Rodrigo Cyrino</t>
  </si>
  <si>
    <t>03:09:27</t>
  </si>
  <si>
    <t>Salgado, Sergio prof</t>
  </si>
  <si>
    <t>04:08:04</t>
  </si>
  <si>
    <t>Olariu Csaba</t>
  </si>
  <si>
    <t>04:40:40</t>
  </si>
  <si>
    <t>Victor, Codron prof</t>
  </si>
  <si>
    <t>03:45:16</t>
  </si>
  <si>
    <t>Début, Julien</t>
  </si>
  <si>
    <t>03:53:35</t>
  </si>
  <si>
    <t>Summers, Jack prof</t>
  </si>
  <si>
    <t>04:07:21</t>
  </si>
  <si>
    <t>Szamecz Béla dr</t>
  </si>
  <si>
    <t>04:19:53</t>
  </si>
  <si>
    <t>Frank Zoltán</t>
  </si>
  <si>
    <t>Grabowski, Tomasz jr</t>
  </si>
  <si>
    <t>Garzó Gergely</t>
  </si>
  <si>
    <t>04:25:33</t>
  </si>
  <si>
    <t>Madejski, Sławomir</t>
  </si>
  <si>
    <t>02:58:48</t>
  </si>
  <si>
    <t>Nowinowski, Andrzej</t>
  </si>
  <si>
    <t>03:18:05</t>
  </si>
  <si>
    <t>Fernando, Arco</t>
  </si>
  <si>
    <t>Geiszt Róbert</t>
  </si>
  <si>
    <t>04:39:18</t>
  </si>
  <si>
    <t>05:16:58</t>
  </si>
  <si>
    <t>Ramiro Prieto, Ruben prof</t>
  </si>
  <si>
    <t>03:21:18</t>
  </si>
  <si>
    <t>Hinnerup, Jens</t>
  </si>
  <si>
    <t>03:10:58</t>
  </si>
  <si>
    <t>Isokoski, Erkki</t>
  </si>
  <si>
    <t>03:35:26</t>
  </si>
  <si>
    <t>Kiss Zsolt</t>
  </si>
  <si>
    <t>03:46:02</t>
  </si>
  <si>
    <t>Kuusik, Alex prof</t>
  </si>
  <si>
    <t>02:37:01</t>
  </si>
  <si>
    <t>de Fabribeckers, Henry</t>
  </si>
  <si>
    <t>03:57:36</t>
  </si>
  <si>
    <t>Oluwalana, Sam</t>
  </si>
  <si>
    <t>05:29:22</t>
  </si>
  <si>
    <t>Gasparro, Angelo Scipio</t>
  </si>
  <si>
    <t>Lee, Kenny</t>
  </si>
  <si>
    <t>Novák, Michal</t>
  </si>
  <si>
    <t>03:59:39</t>
  </si>
  <si>
    <t>Marancsics Zsolt</t>
  </si>
  <si>
    <t>04:13:23</t>
  </si>
  <si>
    <t>04:02:54</t>
  </si>
  <si>
    <t>MacLeod, Colin</t>
  </si>
  <si>
    <t>04:26:14</t>
  </si>
  <si>
    <t>Szalai Ferenc</t>
  </si>
  <si>
    <t>03:31:46</t>
  </si>
  <si>
    <t>Sharma, Cyrus</t>
  </si>
  <si>
    <t>KARAGITY MÁRK ADRIÁN</t>
  </si>
  <si>
    <t>Lesniak, Guillaume</t>
  </si>
  <si>
    <t>04:51:08</t>
  </si>
  <si>
    <t>Stegner, Christian</t>
  </si>
  <si>
    <t>04:34:36</t>
  </si>
  <si>
    <t>Antal Tamás</t>
  </si>
  <si>
    <t>03:22:18</t>
  </si>
  <si>
    <t>Hull, Archie</t>
  </si>
  <si>
    <t>04:45:04</t>
  </si>
  <si>
    <t>Kristoffersen, Thomas</t>
  </si>
  <si>
    <t>03:19:32</t>
  </si>
  <si>
    <t>Morris, Owen</t>
  </si>
  <si>
    <t>03:50:18</t>
  </si>
  <si>
    <t>Brzustowicz, Marek</t>
  </si>
  <si>
    <t>Pál Levente</t>
  </si>
  <si>
    <t>03:29:07</t>
  </si>
  <si>
    <t>Vénkuti Krisztián</t>
  </si>
  <si>
    <t>03:16:24</t>
  </si>
  <si>
    <t>Neumann, Jörg</t>
  </si>
  <si>
    <t>03:26:54</t>
  </si>
  <si>
    <t>Tóth Kristóf</t>
  </si>
  <si>
    <t>Horváth Richárd</t>
  </si>
  <si>
    <t>04:42:08</t>
  </si>
  <si>
    <t>Andrew, Abrams</t>
  </si>
  <si>
    <t>03:42:58</t>
  </si>
  <si>
    <t>Schulz, Christian</t>
  </si>
  <si>
    <t>03:48:27</t>
  </si>
  <si>
    <t>Wickett, George</t>
  </si>
  <si>
    <t>04:34:41</t>
  </si>
  <si>
    <t>NAGY, EDE</t>
  </si>
  <si>
    <t>03:51:13</t>
  </si>
  <si>
    <t>Melter László</t>
  </si>
  <si>
    <t>Antoine, Carbon</t>
  </si>
  <si>
    <t>03:56:59</t>
  </si>
  <si>
    <t>Behrens, Ben</t>
  </si>
  <si>
    <t>03:39:52</t>
  </si>
  <si>
    <t>Campestrin, Andrea</t>
  </si>
  <si>
    <t>05:13:42</t>
  </si>
  <si>
    <t>van der Neut, André</t>
  </si>
  <si>
    <t>04:13:34</t>
  </si>
  <si>
    <t>Neger, Edwin prof</t>
  </si>
  <si>
    <t>03:36:20</t>
  </si>
  <si>
    <t>Varga Csaba</t>
  </si>
  <si>
    <t>Sławomir, Włoch</t>
  </si>
  <si>
    <t>03:43:45</t>
  </si>
  <si>
    <t>Domiter Zoltán</t>
  </si>
  <si>
    <t>Adank, Gian</t>
  </si>
  <si>
    <t>03:36:35</t>
  </si>
  <si>
    <t>Palakovics Péter dr</t>
  </si>
  <si>
    <t>03:58:30</t>
  </si>
  <si>
    <t>OKAZAKI, TAKAFUMI</t>
  </si>
  <si>
    <t>04:07:16</t>
  </si>
  <si>
    <t>Pollák András</t>
  </si>
  <si>
    <t>04:07:25</t>
  </si>
  <si>
    <t>Korpics Zsolt</t>
  </si>
  <si>
    <t>03:36:24</t>
  </si>
  <si>
    <t>03:28:30</t>
  </si>
  <si>
    <t>XU, SHIDONG</t>
  </si>
  <si>
    <t>03:04:16</t>
  </si>
  <si>
    <t>Karikó Zalán</t>
  </si>
  <si>
    <t>Govil, Rajiv prof</t>
  </si>
  <si>
    <t>Mézes, Mátyás</t>
  </si>
  <si>
    <t>Jaller, Carl</t>
  </si>
  <si>
    <t>Slobodianyk, Maksym</t>
  </si>
  <si>
    <t>03:14:10</t>
  </si>
  <si>
    <t>Murden, Philip</t>
  </si>
  <si>
    <t>03:10:02</t>
  </si>
  <si>
    <t>Magyar Attila</t>
  </si>
  <si>
    <t>Jelenek Ferenc</t>
  </si>
  <si>
    <t>Sélley Gábor</t>
  </si>
  <si>
    <t>03:56:00</t>
  </si>
  <si>
    <t>Shaw, Stephen</t>
  </si>
  <si>
    <t>04:27:52</t>
  </si>
  <si>
    <t>Avgenikos, Ioannis</t>
  </si>
  <si>
    <t>03:37:47</t>
  </si>
  <si>
    <t>LOUVIOT, Benoit</t>
  </si>
  <si>
    <t>04:52:59</t>
  </si>
  <si>
    <t>BRONDIN, JACKY</t>
  </si>
  <si>
    <t>04:53:16</t>
  </si>
  <si>
    <t>Tóth Ákos</t>
  </si>
  <si>
    <t>04:30:21</t>
  </si>
  <si>
    <t>04:16:48</t>
  </si>
  <si>
    <t>Kovács Csaba Gyula</t>
  </si>
  <si>
    <t>04:53:08</t>
  </si>
  <si>
    <t>Cadden, James</t>
  </si>
  <si>
    <t>Nyiri László</t>
  </si>
  <si>
    <t>04:27:49</t>
  </si>
  <si>
    <t>Bokker Tamás</t>
  </si>
  <si>
    <t>03:53:36</t>
  </si>
  <si>
    <t>Morcillo, Francisco Luis</t>
  </si>
  <si>
    <t>03:27:55</t>
  </si>
  <si>
    <t>Guillaume, Lefin</t>
  </si>
  <si>
    <t>04:16:22</t>
  </si>
  <si>
    <t>04:49:30</t>
  </si>
  <si>
    <t>Nyolcas Patrik</t>
  </si>
  <si>
    <t>04:28:27</t>
  </si>
  <si>
    <t>03:22:41</t>
  </si>
  <si>
    <t>Johansson, Anders</t>
  </si>
  <si>
    <t>Green, Nick</t>
  </si>
  <si>
    <t>Kassai Károly dr</t>
  </si>
  <si>
    <t>Zsigmond István</t>
  </si>
  <si>
    <t>03:46:33</t>
  </si>
  <si>
    <t>Walter, EIKE</t>
  </si>
  <si>
    <t>04:03:31</t>
  </si>
  <si>
    <t>Buza Rómeó</t>
  </si>
  <si>
    <t>Balassa Vilmos</t>
  </si>
  <si>
    <t>04:09:25</t>
  </si>
  <si>
    <t>Tunquist, Eric</t>
  </si>
  <si>
    <t>04:12:00</t>
  </si>
  <si>
    <t>Plaza, Dariusz</t>
  </si>
  <si>
    <t>03:30:39</t>
  </si>
  <si>
    <t>Craescu Gabriel</t>
  </si>
  <si>
    <t>04:20:17</t>
  </si>
  <si>
    <t>Kocsis Péter</t>
  </si>
  <si>
    <t>04:56:53</t>
  </si>
  <si>
    <t>Füleki Ádám</t>
  </si>
  <si>
    <t>04:24:30</t>
  </si>
  <si>
    <t>Surányi, Attila</t>
  </si>
  <si>
    <t>04:32:53</t>
  </si>
  <si>
    <t>Farkas Gábor dr</t>
  </si>
  <si>
    <t>04:59:02</t>
  </si>
  <si>
    <t>Helder van den, Marc prof</t>
  </si>
  <si>
    <t>Dos Santos Ribeiro, José Fortunato prof</t>
  </si>
  <si>
    <t>03:43:44</t>
  </si>
  <si>
    <t>Montag, Andreas</t>
  </si>
  <si>
    <t>03:56:17</t>
  </si>
  <si>
    <t>Pető Zoltán</t>
  </si>
  <si>
    <t>02:54:43</t>
  </si>
  <si>
    <t>Watson, Glenn</t>
  </si>
  <si>
    <t>Hammond, Dean</t>
  </si>
  <si>
    <t>Sander, Jona</t>
  </si>
  <si>
    <t>04:01:21</t>
  </si>
  <si>
    <t>Horváth Norbert</t>
  </si>
  <si>
    <t>04:49:58</t>
  </si>
  <si>
    <t>Muhammad, Ali dr</t>
  </si>
  <si>
    <t>04:42:39</t>
  </si>
  <si>
    <t>Mulhern, Matthew</t>
  </si>
  <si>
    <t>04:50:22</t>
  </si>
  <si>
    <t>Campestrin, Simone prof</t>
  </si>
  <si>
    <t>05:11:48</t>
  </si>
  <si>
    <t>Chiorean, Adrian Raul</t>
  </si>
  <si>
    <t>04:11:13</t>
  </si>
  <si>
    <t>Reynolds, Mark</t>
  </si>
  <si>
    <t>03:09:13</t>
  </si>
  <si>
    <t>Fenyő József</t>
  </si>
  <si>
    <t>04:22:19</t>
  </si>
  <si>
    <t>Roajac, Semir</t>
  </si>
  <si>
    <t>Caballero, Romulo</t>
  </si>
  <si>
    <t>04:57:01</t>
  </si>
  <si>
    <t>Taylor, Charlie</t>
  </si>
  <si>
    <t>03:44:45</t>
  </si>
  <si>
    <t>Zoltán, ILLÉ</t>
  </si>
  <si>
    <t>04:26:13</t>
  </si>
  <si>
    <t>Jenei Zsolt Ferenc</t>
  </si>
  <si>
    <t>Pólik Ádám</t>
  </si>
  <si>
    <t>05:11:44</t>
  </si>
  <si>
    <t>Grant, Ben</t>
  </si>
  <si>
    <t>03:50:52</t>
  </si>
  <si>
    <t>Vincze István ifj</t>
  </si>
  <si>
    <t>04:21:39</t>
  </si>
  <si>
    <t>Gyimesi Benedek</t>
  </si>
  <si>
    <t>03:49:28</t>
  </si>
  <si>
    <t>Feldhoffer Benedek József</t>
  </si>
  <si>
    <t>04:10:04</t>
  </si>
  <si>
    <t>Bagger, Mads</t>
  </si>
  <si>
    <t>ANDRE, VIGNES</t>
  </si>
  <si>
    <t>04:44:47</t>
  </si>
  <si>
    <t>04:34:10</t>
  </si>
  <si>
    <t>Tena Sebastián, Javier dr</t>
  </si>
  <si>
    <t>04:11:19</t>
  </si>
  <si>
    <t>Smylie, Lorcan</t>
  </si>
  <si>
    <t>Barla Tamás</t>
  </si>
  <si>
    <t>04:53:38</t>
  </si>
  <si>
    <t>ERIC, FERNANDEZ LOMBARDO</t>
  </si>
  <si>
    <t>Németh Zoltán</t>
  </si>
  <si>
    <t>03:08:47</t>
  </si>
  <si>
    <t>Kopunec, Michal</t>
  </si>
  <si>
    <t>03:16:56</t>
  </si>
  <si>
    <t>04:44:16</t>
  </si>
  <si>
    <t>Kovács Imre</t>
  </si>
  <si>
    <t>04:46:17</t>
  </si>
  <si>
    <t>Klap, Roel</t>
  </si>
  <si>
    <t>04:13:14</t>
  </si>
  <si>
    <t>Bálint Márton</t>
  </si>
  <si>
    <t>04:15:18</t>
  </si>
  <si>
    <t>Iklódi Zsolt</t>
  </si>
  <si>
    <t>02:59:06</t>
  </si>
  <si>
    <t>04:01:41</t>
  </si>
  <si>
    <t>Grienitz, Stefan</t>
  </si>
  <si>
    <t>04:53:31</t>
  </si>
  <si>
    <t>Harrit, Kasper</t>
  </si>
  <si>
    <t>Chenet, Nicolas</t>
  </si>
  <si>
    <t>03:45:07</t>
  </si>
  <si>
    <t>Demeter Attila</t>
  </si>
  <si>
    <t>04:54:02</t>
  </si>
  <si>
    <t>Addelio, Vincenzo Pietro</t>
  </si>
  <si>
    <t>04:17:59</t>
  </si>
  <si>
    <t>Cercelaru, Constantin</t>
  </si>
  <si>
    <t>03:19:29</t>
  </si>
  <si>
    <t>Bernabeu Calatayud, Jorge</t>
  </si>
  <si>
    <t>03:46:35</t>
  </si>
  <si>
    <t>Thompson, Taylor dr</t>
  </si>
  <si>
    <t>03:48:34</t>
  </si>
  <si>
    <t>Román László</t>
  </si>
  <si>
    <t>04:11:21</t>
  </si>
  <si>
    <t>Szakál Péter</t>
  </si>
  <si>
    <t>04:20:01</t>
  </si>
  <si>
    <t>Király Balázs</t>
  </si>
  <si>
    <t>Francisco Jo´se, Vaquero Ramos</t>
  </si>
  <si>
    <t>Heyl, Thomas</t>
  </si>
  <si>
    <t>04:39:50</t>
  </si>
  <si>
    <t>Babos Csaba</t>
  </si>
  <si>
    <t>03:26:59</t>
  </si>
  <si>
    <t>DONGYUE, Liu</t>
  </si>
  <si>
    <t>04:06:11</t>
  </si>
  <si>
    <t>Hartmann Dániel</t>
  </si>
  <si>
    <t>Brown, Payton</t>
  </si>
  <si>
    <t>03:42:06</t>
  </si>
  <si>
    <t>Stanley, Lloyd</t>
  </si>
  <si>
    <t>03:46:16</t>
  </si>
  <si>
    <t>Veres Gábor</t>
  </si>
  <si>
    <t>04:52:10</t>
  </si>
  <si>
    <t>McGee, Conor</t>
  </si>
  <si>
    <t>04:58:39</t>
  </si>
  <si>
    <t>Konrád Sándor</t>
  </si>
  <si>
    <t>03:50:30</t>
  </si>
  <si>
    <t>Kovac, Pavel</t>
  </si>
  <si>
    <t>04:20:22</t>
  </si>
  <si>
    <t>Wurmański, Wiktor</t>
  </si>
  <si>
    <t>04:23:53</t>
  </si>
  <si>
    <t>04:44:12</t>
  </si>
  <si>
    <t>Lyne, Harvey prof</t>
  </si>
  <si>
    <t>03:31:28</t>
  </si>
  <si>
    <t>Dósa Attila</t>
  </si>
  <si>
    <t>Bokros Péter</t>
  </si>
  <si>
    <t>SCHINIOU, KYRIACOS</t>
  </si>
  <si>
    <t>03:30:11</t>
  </si>
  <si>
    <t>Catois, Quentin</t>
  </si>
  <si>
    <t>03:43:56</t>
  </si>
  <si>
    <t>04:34:44</t>
  </si>
  <si>
    <t>Zhuo, Chen</t>
  </si>
  <si>
    <t>Masters, Dorian</t>
  </si>
  <si>
    <t>03:04:44</t>
  </si>
  <si>
    <t>Hernández Ramos, Ignacio prof</t>
  </si>
  <si>
    <t>04:16:38</t>
  </si>
  <si>
    <t>Bozsik Balázs</t>
  </si>
  <si>
    <t>03:33:30</t>
  </si>
  <si>
    <t>03:41:25</t>
  </si>
  <si>
    <t>Madrigal Villalobos, Marvin dr</t>
  </si>
  <si>
    <t>03:22:14</t>
  </si>
  <si>
    <t>Pogonyi Márton</t>
  </si>
  <si>
    <t>Cservák György</t>
  </si>
  <si>
    <t>05:17:58</t>
  </si>
  <si>
    <t>03:45:19</t>
  </si>
  <si>
    <t>Ulrich, Argeo</t>
  </si>
  <si>
    <t>03:53:57</t>
  </si>
  <si>
    <t>NAVARRO SANCHEZ, FRANCISCO MANUEL</t>
  </si>
  <si>
    <t>05:00:00</t>
  </si>
  <si>
    <t>03:59:35</t>
  </si>
  <si>
    <t>Gramatikov, Martin dr</t>
  </si>
  <si>
    <t>03:08:20</t>
  </si>
  <si>
    <t>Yasyukevich, Dmitry</t>
  </si>
  <si>
    <t>03:43:52</t>
  </si>
  <si>
    <t>Kajtar, Alpar Jozsef</t>
  </si>
  <si>
    <t>03:35:29</t>
  </si>
  <si>
    <t>Trnkocy, Martin</t>
  </si>
  <si>
    <t>03:53:09</t>
  </si>
  <si>
    <t>Bopushev, Stalbek</t>
  </si>
  <si>
    <t>04:11:52</t>
  </si>
  <si>
    <t>Bajusz Péter</t>
  </si>
  <si>
    <t>04:36:12</t>
  </si>
  <si>
    <t>Minter, Daniel</t>
  </si>
  <si>
    <t>03:38:13</t>
  </si>
  <si>
    <t>Peters, Liam</t>
  </si>
  <si>
    <t>03:37:42</t>
  </si>
  <si>
    <t>04:15:10</t>
  </si>
  <si>
    <t>Felföldi Bálint</t>
  </si>
  <si>
    <t>04:32:23</t>
  </si>
  <si>
    <t>04:43:35</t>
  </si>
  <si>
    <t>Homoki Bálint</t>
  </si>
  <si>
    <t>03:49:06</t>
  </si>
  <si>
    <t>Kovács Szabolcs</t>
  </si>
  <si>
    <t>02:42:18</t>
  </si>
  <si>
    <t>Wolstenholme, Ian</t>
  </si>
  <si>
    <t>04:51:25</t>
  </si>
  <si>
    <t>Pruzsinszki Bence</t>
  </si>
  <si>
    <t>03:16:59</t>
  </si>
  <si>
    <t>Bernard, WOLLENBURGER</t>
  </si>
  <si>
    <t>03:57:07</t>
  </si>
  <si>
    <t>03:55:39</t>
  </si>
  <si>
    <t>Papp Dominik</t>
  </si>
  <si>
    <t>Hegyi Tibor</t>
  </si>
  <si>
    <t>Jean-Valery, Atohoun</t>
  </si>
  <si>
    <t>03:05:16</t>
  </si>
  <si>
    <t>McFerren Kristof</t>
  </si>
  <si>
    <t>04:15:23</t>
  </si>
  <si>
    <t>László Norbert</t>
  </si>
  <si>
    <t>04:28:32</t>
  </si>
  <si>
    <t>Padgham, James</t>
  </si>
  <si>
    <t>03:52:17</t>
  </si>
  <si>
    <t>Warin, Hugo</t>
  </si>
  <si>
    <t>04:32:22</t>
  </si>
  <si>
    <t>Omahen, Scott</t>
  </si>
  <si>
    <t>04:41:34</t>
  </si>
  <si>
    <t>Szabo, John</t>
  </si>
  <si>
    <t>03:25:53</t>
  </si>
  <si>
    <t>Madár Áron Attila</t>
  </si>
  <si>
    <t>04:34:00</t>
  </si>
  <si>
    <t>Makai Ádám</t>
  </si>
  <si>
    <t>Wieszt Zoltán</t>
  </si>
  <si>
    <t>04:56:41</t>
  </si>
  <si>
    <t>Cseh Károly</t>
  </si>
  <si>
    <t>04:09:21</t>
  </si>
  <si>
    <t>Hillewaere, Elias</t>
  </si>
  <si>
    <t>04:12:01</t>
  </si>
  <si>
    <t>Pethő Levente</t>
  </si>
  <si>
    <t>05:07:34</t>
  </si>
  <si>
    <t>Arora, Udit</t>
  </si>
  <si>
    <t>04:16:05</t>
  </si>
  <si>
    <t>Antalka Gergely</t>
  </si>
  <si>
    <t>04:36:17</t>
  </si>
  <si>
    <t>Rodick, Olivier</t>
  </si>
  <si>
    <t>03:14:37</t>
  </si>
  <si>
    <t>Manole, Paul Alexandru</t>
  </si>
  <si>
    <t>04:51:43</t>
  </si>
  <si>
    <t>TERRADURA, Yoann</t>
  </si>
  <si>
    <t>Rodríguez, Daniel prof</t>
  </si>
  <si>
    <t>Connor, Alistair</t>
  </si>
  <si>
    <t>03:28:39</t>
  </si>
  <si>
    <t>Dósai-Molnár Krisztián</t>
  </si>
  <si>
    <t>05:23:12</t>
  </si>
  <si>
    <t>Hartyáni Ákos</t>
  </si>
  <si>
    <t>04:49:25</t>
  </si>
  <si>
    <t>Milák Attila</t>
  </si>
  <si>
    <t>05:30:22</t>
  </si>
  <si>
    <t>Molnár, Tamás</t>
  </si>
  <si>
    <t>04:22:21</t>
  </si>
  <si>
    <t>Nánássy Tamás</t>
  </si>
  <si>
    <t>Zsane Vlagyiszlav</t>
  </si>
  <si>
    <t>Batai László</t>
  </si>
  <si>
    <t>03:33:27</t>
  </si>
  <si>
    <t>Sroms, Romans</t>
  </si>
  <si>
    <t>04:44:49</t>
  </si>
  <si>
    <t>04:28:37</t>
  </si>
  <si>
    <t>Piazzo, Guido</t>
  </si>
  <si>
    <t>03:01:19</t>
  </si>
  <si>
    <t>Luizard, Guillaume</t>
  </si>
  <si>
    <t>03:33:01</t>
  </si>
  <si>
    <t>04:35:27</t>
  </si>
  <si>
    <t>Lapouille, Gaspard</t>
  </si>
  <si>
    <t>05:02:17</t>
  </si>
  <si>
    <t>Kullik, Sven Bela</t>
  </si>
  <si>
    <t>03:31:24</t>
  </si>
  <si>
    <t>Koller Máté</t>
  </si>
  <si>
    <t>03:53:50</t>
  </si>
  <si>
    <t>Byrne, Shane</t>
  </si>
  <si>
    <t>Seres Dániel</t>
  </si>
  <si>
    <t>03:34:26</t>
  </si>
  <si>
    <t>Novák Dávid Erik</t>
  </si>
  <si>
    <t>Altana, Vanni</t>
  </si>
  <si>
    <t>04:08:08</t>
  </si>
  <si>
    <t>03:19:58</t>
  </si>
  <si>
    <t>04:58:07</t>
  </si>
  <si>
    <t>Edwards, Ben</t>
  </si>
  <si>
    <t>Di Bisceglie, Mauro</t>
  </si>
  <si>
    <t>04:38:47</t>
  </si>
  <si>
    <t>Barta Péter</t>
  </si>
  <si>
    <t>Gellén Gergő</t>
  </si>
  <si>
    <t>YILDIRIM, SERVET</t>
  </si>
  <si>
    <t>Misund, Bjarte</t>
  </si>
  <si>
    <t>04:19:11</t>
  </si>
  <si>
    <t>Szőke Szabolcs</t>
  </si>
  <si>
    <t>05:12:31</t>
  </si>
  <si>
    <t>Niedberg, Danilo</t>
  </si>
  <si>
    <t>05:10:15</t>
  </si>
  <si>
    <t>Tom, Vanson</t>
  </si>
  <si>
    <t>04:13:02</t>
  </si>
  <si>
    <t>Heneghan, Michael</t>
  </si>
  <si>
    <t>D'ERRICO, GINO</t>
  </si>
  <si>
    <t>Maróti Zsolt</t>
  </si>
  <si>
    <t>05:20:40</t>
  </si>
  <si>
    <t>03:21:24</t>
  </si>
  <si>
    <t>Hogan, Andrew</t>
  </si>
  <si>
    <t>03:19:31</t>
  </si>
  <si>
    <t>Konyhás Péter</t>
  </si>
  <si>
    <t>04:10:55</t>
  </si>
  <si>
    <t>Reizinger Patrik</t>
  </si>
  <si>
    <t>03:17:28</t>
  </si>
  <si>
    <t>Pénzes Barnabás</t>
  </si>
  <si>
    <t>04:33:07</t>
  </si>
  <si>
    <t>Tóth Róbert</t>
  </si>
  <si>
    <t>04:16:58</t>
  </si>
  <si>
    <t>ABENGOZA MARNE, RAFAEL</t>
  </si>
  <si>
    <t>04:09:10</t>
  </si>
  <si>
    <t>Roberts, Archibald</t>
  </si>
  <si>
    <t>03:38:09</t>
  </si>
  <si>
    <t>Tarnai Dávid</t>
  </si>
  <si>
    <t>03:34:55</t>
  </si>
  <si>
    <t>Palásti Gergő dr</t>
  </si>
  <si>
    <t>03:06:51</t>
  </si>
  <si>
    <t>kispál sándor</t>
  </si>
  <si>
    <t>03:48:13</t>
  </si>
  <si>
    <t>Kávai Márk</t>
  </si>
  <si>
    <t>03:59:28</t>
  </si>
  <si>
    <t>04:21:54</t>
  </si>
  <si>
    <t>Pringle, Will</t>
  </si>
  <si>
    <t>Pawka, Igor</t>
  </si>
  <si>
    <t>04:55:42</t>
  </si>
  <si>
    <t>05:01:02</t>
  </si>
  <si>
    <t>Marosi Péter</t>
  </si>
  <si>
    <t>03:50:20</t>
  </si>
  <si>
    <t>04:41:46</t>
  </si>
  <si>
    <t>Sandbekken, Atle</t>
  </si>
  <si>
    <t>02:58:54</t>
  </si>
  <si>
    <t>Tymcyna Péter</t>
  </si>
  <si>
    <t>03:31:19</t>
  </si>
  <si>
    <t>O'Cleirigh, Robi</t>
  </si>
  <si>
    <t>03:35:17</t>
  </si>
  <si>
    <t>Forbes, Harry</t>
  </si>
  <si>
    <t>04:58:44</t>
  </si>
  <si>
    <t>Bartók Bálint</t>
  </si>
  <si>
    <t>05:07:31</t>
  </si>
  <si>
    <t>Küllős Máté</t>
  </si>
  <si>
    <t>03:08:50</t>
  </si>
  <si>
    <t>CARNERO VARO, ANDRES prof</t>
  </si>
  <si>
    <t>04:29:55</t>
  </si>
  <si>
    <t>XING, ZHAOYU</t>
  </si>
  <si>
    <t>03:59:26</t>
  </si>
  <si>
    <t>Fitzgerald, Verling John jr</t>
  </si>
  <si>
    <t>03:31:12</t>
  </si>
  <si>
    <t>Barna Róbert</t>
  </si>
  <si>
    <t>03:48:51</t>
  </si>
  <si>
    <t>Burján Péter</t>
  </si>
  <si>
    <t>04:48:24</t>
  </si>
  <si>
    <t>Largy, Jean-Mathieu</t>
  </si>
  <si>
    <t>04:03:39</t>
  </si>
  <si>
    <t>Szafoni, Radosław</t>
  </si>
  <si>
    <t>04:18:53</t>
  </si>
  <si>
    <t>meister, thomas</t>
  </si>
  <si>
    <t>Vidalis, Georgios</t>
  </si>
  <si>
    <t>03:18:27</t>
  </si>
  <si>
    <t>Smith, George</t>
  </si>
  <si>
    <t>04:34:40</t>
  </si>
  <si>
    <t>Crick, Lewis prof</t>
  </si>
  <si>
    <t>Standen, William</t>
  </si>
  <si>
    <t>Végh Gyula</t>
  </si>
  <si>
    <t>Vince, Jim</t>
  </si>
  <si>
    <t>04:48:22</t>
  </si>
  <si>
    <t>04:36:09</t>
  </si>
  <si>
    <t>Cséfalvay Zoltán prof</t>
  </si>
  <si>
    <t>05:42:49</t>
  </si>
  <si>
    <t>Valler Szabolcs</t>
  </si>
  <si>
    <t>04:32:43</t>
  </si>
  <si>
    <t>04:02:57</t>
  </si>
  <si>
    <t>03:44:03</t>
  </si>
  <si>
    <t>03:09:41</t>
  </si>
  <si>
    <t>Telek Bálint</t>
  </si>
  <si>
    <t>03:43:18</t>
  </si>
  <si>
    <t>Hjertstedt, Leonardo</t>
  </si>
  <si>
    <t>04:38:05</t>
  </si>
  <si>
    <t>Gyebnár Szabolcs</t>
  </si>
  <si>
    <t>03:28:33</t>
  </si>
  <si>
    <t>debenham, Harvey</t>
  </si>
  <si>
    <t>03:31:53</t>
  </si>
  <si>
    <t>Fodor László</t>
  </si>
  <si>
    <t>03:50:40</t>
  </si>
  <si>
    <t>Sergyán Szabolcs dr</t>
  </si>
  <si>
    <t>03:59:54</t>
  </si>
  <si>
    <t>Bergamaschi, Gianluca</t>
  </si>
  <si>
    <t>03:19:55</t>
  </si>
  <si>
    <t>05:14:01</t>
  </si>
  <si>
    <t>CORTIJO MORENO, JAVIER</t>
  </si>
  <si>
    <t>03:40:22</t>
  </si>
  <si>
    <t>Bosomworth, Andrew</t>
  </si>
  <si>
    <t>Vaz Osório, Tiago</t>
  </si>
  <si>
    <t>03:31:14</t>
  </si>
  <si>
    <t>Mouterde, Sylvain</t>
  </si>
  <si>
    <t>Jean-Baptiste, HEROD</t>
  </si>
  <si>
    <t>Jacobsen, Jacob</t>
  </si>
  <si>
    <t>03:50:16</t>
  </si>
  <si>
    <t>Escamez Ortiz, Antonio prof</t>
  </si>
  <si>
    <t>Pallós Barna</t>
  </si>
  <si>
    <t>03:45:00</t>
  </si>
  <si>
    <t>Kecskés Konrád</t>
  </si>
  <si>
    <t>04:56:32</t>
  </si>
  <si>
    <t>Csapó Krisztián</t>
  </si>
  <si>
    <t>04:32:25</t>
  </si>
  <si>
    <t>Bokor Bálint</t>
  </si>
  <si>
    <t>04:50:14</t>
  </si>
  <si>
    <t>02:59:57</t>
  </si>
  <si>
    <t>Mr, Harry</t>
  </si>
  <si>
    <t>Zahorsky, Oskar</t>
  </si>
  <si>
    <t>05:19:51</t>
  </si>
  <si>
    <t>Vizvári, Norbert</t>
  </si>
  <si>
    <t>Miles, Daniel</t>
  </si>
  <si>
    <t>03:20:27</t>
  </si>
  <si>
    <t>Kube, Ondřej</t>
  </si>
  <si>
    <t>Petrarca, Vincenzo</t>
  </si>
  <si>
    <t>Mózer Gyula</t>
  </si>
  <si>
    <t>04:37:57</t>
  </si>
  <si>
    <t>Komjáti Krisztián</t>
  </si>
  <si>
    <t>Kormos Attila dr</t>
  </si>
  <si>
    <t>Sóstói Tamás</t>
  </si>
  <si>
    <t>04:43:14</t>
  </si>
  <si>
    <t>Patel, Prem prof</t>
  </si>
  <si>
    <t>04:55:50</t>
  </si>
  <si>
    <t>Guti Viktor</t>
  </si>
  <si>
    <t>04:57:57</t>
  </si>
  <si>
    <t>Barsi Zsolt</t>
  </si>
  <si>
    <t>03:38:35</t>
  </si>
  <si>
    <t>Wareham, Matthew</t>
  </si>
  <si>
    <t>Tupikov, Maxim</t>
  </si>
  <si>
    <t>05:09:46</t>
  </si>
  <si>
    <t>Cota López, Pablo Isai prof</t>
  </si>
  <si>
    <t>04:41:03</t>
  </si>
  <si>
    <t>Hans Peter, Ladreiter dr</t>
  </si>
  <si>
    <t>03:35:08</t>
  </si>
  <si>
    <t>Ordonez Diez, Juan Lorenzo</t>
  </si>
  <si>
    <t>03:39:36</t>
  </si>
  <si>
    <t>Vadócz Máté</t>
  </si>
  <si>
    <t>03:19:27</t>
  </si>
  <si>
    <t>Szalai Roland</t>
  </si>
  <si>
    <t>03:43:21</t>
  </si>
  <si>
    <t>TOUSSAINT, RENAUD</t>
  </si>
  <si>
    <t>04:29:03</t>
  </si>
  <si>
    <t>FRISONI, DAVIDE prof</t>
  </si>
  <si>
    <t>04:07:31</t>
  </si>
  <si>
    <t>Antalka Zsolt</t>
  </si>
  <si>
    <t>05:02:19</t>
  </si>
  <si>
    <t>Varga, Dénes</t>
  </si>
  <si>
    <t>05:28:26</t>
  </si>
  <si>
    <t>Szigeti Gábor</t>
  </si>
  <si>
    <t>04:30:01</t>
  </si>
  <si>
    <t>Le Bars, Lo?c</t>
  </si>
  <si>
    <t>Galeotti Almos Stefano</t>
  </si>
  <si>
    <t>03:07:59</t>
  </si>
  <si>
    <t>Nenast, Carlo</t>
  </si>
  <si>
    <t>02:28:31</t>
  </si>
  <si>
    <t>04:46:37</t>
  </si>
  <si>
    <t>Isupov, Vasily</t>
  </si>
  <si>
    <t>02:48:09</t>
  </si>
  <si>
    <t>Pavlov, Oleksandr</t>
  </si>
  <si>
    <t>Bálint Ambrus</t>
  </si>
  <si>
    <t>04:13:55</t>
  </si>
  <si>
    <t>Kasza Tibor</t>
  </si>
  <si>
    <t>05:00:37</t>
  </si>
  <si>
    <t>Buri, Patrick</t>
  </si>
  <si>
    <t>04:09:08</t>
  </si>
  <si>
    <t>Lőrincz Dávid</t>
  </si>
  <si>
    <t>Vibholt, Anders Bock prof</t>
  </si>
  <si>
    <t>Brezáni, Adam</t>
  </si>
  <si>
    <t>04:19:01</t>
  </si>
  <si>
    <t>Tóth Máté</t>
  </si>
  <si>
    <t>04:21:31</t>
  </si>
  <si>
    <t>Szurmik Attila</t>
  </si>
  <si>
    <t>02:53:07</t>
  </si>
  <si>
    <t>Karikás Csaba Lajos</t>
  </si>
  <si>
    <t>03:51:02</t>
  </si>
  <si>
    <t>Fajstavr, Marek dr</t>
  </si>
  <si>
    <t>02:51:51</t>
  </si>
  <si>
    <t>Jakab Viktor András</t>
  </si>
  <si>
    <t>03:23:10</t>
  </si>
  <si>
    <t>Jankovic, Igor</t>
  </si>
  <si>
    <t>04:00:51</t>
  </si>
  <si>
    <t>Papp Alex</t>
  </si>
  <si>
    <t>04:24:29</t>
  </si>
  <si>
    <t>Könczöl Péter Dr.</t>
  </si>
  <si>
    <t>04:40:20</t>
  </si>
  <si>
    <t>03:57:31</t>
  </si>
  <si>
    <t>Ometti, PROTASIO</t>
  </si>
  <si>
    <t>Sári Béla</t>
  </si>
  <si>
    <t>Kiss Bálint dr</t>
  </si>
  <si>
    <t>Hadnagy József</t>
  </si>
  <si>
    <t>04:50:34</t>
  </si>
  <si>
    <t>Pailippl Gibon</t>
  </si>
  <si>
    <t>05:07:05</t>
  </si>
  <si>
    <t>Pelado, Pedro</t>
  </si>
  <si>
    <t>02:46:44</t>
  </si>
  <si>
    <t>Tuczapski, Artur</t>
  </si>
  <si>
    <t>Szabó Bátor</t>
  </si>
  <si>
    <t>Ludwig, Patrick</t>
  </si>
  <si>
    <t>Tarsi, Riccardo</t>
  </si>
  <si>
    <t>04:11:14</t>
  </si>
  <si>
    <t>Nyitrai Balázs</t>
  </si>
  <si>
    <t>04:34:05</t>
  </si>
  <si>
    <t>Erismann, Thomas</t>
  </si>
  <si>
    <t>03:00:34</t>
  </si>
  <si>
    <t>Kovács Martin</t>
  </si>
  <si>
    <t>04:30:31</t>
  </si>
  <si>
    <t>Bihari Tamás</t>
  </si>
  <si>
    <t>03:19:28</t>
  </si>
  <si>
    <t>Czifra Gábor</t>
  </si>
  <si>
    <t>03:43:12</t>
  </si>
  <si>
    <t>Bagosi, Csaba</t>
  </si>
  <si>
    <t>04:38:40</t>
  </si>
  <si>
    <t>05:21:25</t>
  </si>
  <si>
    <t>Rab Gergő</t>
  </si>
  <si>
    <t>Schwarz, Marian</t>
  </si>
  <si>
    <t>04:11:36</t>
  </si>
  <si>
    <t>Vajda, Andrej</t>
  </si>
  <si>
    <t>03:11:03</t>
  </si>
  <si>
    <t>Sherriffs, George</t>
  </si>
  <si>
    <t>05:09:57</t>
  </si>
  <si>
    <t>Newsom, Arthur</t>
  </si>
  <si>
    <t>04:09:20</t>
  </si>
  <si>
    <t>Kumas, Omer</t>
  </si>
  <si>
    <t>POSTAL, TIZIANO</t>
  </si>
  <si>
    <t>04:12:46</t>
  </si>
  <si>
    <t>Emeric, LEDOUX</t>
  </si>
  <si>
    <t>03:35:13</t>
  </si>
  <si>
    <t>Tiren, Erkan</t>
  </si>
  <si>
    <t>03:34:45</t>
  </si>
  <si>
    <t>Galambos Máté</t>
  </si>
  <si>
    <t>04:05:40</t>
  </si>
  <si>
    <t>04:08:39</t>
  </si>
  <si>
    <t>Waghorn, Dean</t>
  </si>
  <si>
    <t>05:15:18</t>
  </si>
  <si>
    <t>03:58:19</t>
  </si>
  <si>
    <t>Gyalai Bence</t>
  </si>
  <si>
    <t>04:20:56</t>
  </si>
  <si>
    <t>Weatherhead, Matthew</t>
  </si>
  <si>
    <t>Salamon Károly</t>
  </si>
  <si>
    <t>04:54:27</t>
  </si>
  <si>
    <t>Gaál Norbert</t>
  </si>
  <si>
    <t>03:20:06</t>
  </si>
  <si>
    <t>Stefanov, Milko</t>
  </si>
  <si>
    <t>03:35:15</t>
  </si>
  <si>
    <t>Kovács, Attila</t>
  </si>
  <si>
    <t>03:56:50</t>
  </si>
  <si>
    <t>Nochta Bálint</t>
  </si>
  <si>
    <t>Vidó Dániel</t>
  </si>
  <si>
    <t>02:49:03</t>
  </si>
  <si>
    <t>Hynes, Cillian</t>
  </si>
  <si>
    <t>03:38:53</t>
  </si>
  <si>
    <t>Veres, Alpar</t>
  </si>
  <si>
    <t>04:01:28</t>
  </si>
  <si>
    <t>04:29:51</t>
  </si>
  <si>
    <t>Szőnyi János</t>
  </si>
  <si>
    <t>04:12:39</t>
  </si>
  <si>
    <t>Stears, Matthew</t>
  </si>
  <si>
    <t>04:58:27</t>
  </si>
  <si>
    <t>Siimer, Martin</t>
  </si>
  <si>
    <t>04:44:36</t>
  </si>
  <si>
    <t>Terpiak, Andrii</t>
  </si>
  <si>
    <t>Kálmán Levente</t>
  </si>
  <si>
    <t>03:44:42</t>
  </si>
  <si>
    <t>Pánti Zsombor</t>
  </si>
  <si>
    <t>Tirado, Josep prof</t>
  </si>
  <si>
    <t>03:32:07</t>
  </si>
  <si>
    <t>jean-philippe, menetrey</t>
  </si>
  <si>
    <t>04:38:52</t>
  </si>
  <si>
    <t>Bojic, Andrej</t>
  </si>
  <si>
    <t>03:58:39</t>
  </si>
  <si>
    <t>Pálvölgyi Imre</t>
  </si>
  <si>
    <t>Márton, Csaba</t>
  </si>
  <si>
    <t>03:46:04</t>
  </si>
  <si>
    <t>04:19:37</t>
  </si>
  <si>
    <t>Stranyóczky László</t>
  </si>
  <si>
    <t>04:13:17</t>
  </si>
  <si>
    <t>Horváth Zoltán</t>
  </si>
  <si>
    <t>04:39:20</t>
  </si>
  <si>
    <t>Klekler András</t>
  </si>
  <si>
    <t>03:53:07</t>
  </si>
  <si>
    <t>Oates, Jack</t>
  </si>
  <si>
    <t>03:55:10</t>
  </si>
  <si>
    <t>Friis, Peter</t>
  </si>
  <si>
    <t>05:33:12</t>
  </si>
  <si>
    <t>Serafin, Szymon</t>
  </si>
  <si>
    <t>04:31:10</t>
  </si>
  <si>
    <t>ingor, Daniel</t>
  </si>
  <si>
    <t>04:39:40</t>
  </si>
  <si>
    <t>05:14:39</t>
  </si>
  <si>
    <t>Kende Zoltán</t>
  </si>
  <si>
    <t>03:38:40</t>
  </si>
  <si>
    <t>04:21:04</t>
  </si>
  <si>
    <t>Witzel, Jens</t>
  </si>
  <si>
    <t>03:49:40</t>
  </si>
  <si>
    <t>Springel Mihály</t>
  </si>
  <si>
    <t>04:46:42</t>
  </si>
  <si>
    <t>Nota, Maarten</t>
  </si>
  <si>
    <t>Székely Gergő</t>
  </si>
  <si>
    <t>03:38:10</t>
  </si>
  <si>
    <t>Pelikán Gergely</t>
  </si>
  <si>
    <t>Kelemen Dávid</t>
  </si>
  <si>
    <t>03:56:36</t>
  </si>
  <si>
    <t>Braconnier, Miguel</t>
  </si>
  <si>
    <t>02:59:20</t>
  </si>
  <si>
    <t>Paulik Tamás</t>
  </si>
  <si>
    <t>03:32:15</t>
  </si>
  <si>
    <t>Horváth Gábor</t>
  </si>
  <si>
    <t>04:25:18</t>
  </si>
  <si>
    <t>Bódi Csaba</t>
  </si>
  <si>
    <t>04:48:00</t>
  </si>
  <si>
    <t>Sabo Péter</t>
  </si>
  <si>
    <t>05:30:18</t>
  </si>
  <si>
    <t>Hofbauer Zsolt</t>
  </si>
  <si>
    <t>04:46:21</t>
  </si>
  <si>
    <t>04:53:53</t>
  </si>
  <si>
    <t>Huijben, Wouter</t>
  </si>
  <si>
    <t>Krawczyk, Krzysztof</t>
  </si>
  <si>
    <t>Halász Gábor</t>
  </si>
  <si>
    <t>04:59:00</t>
  </si>
  <si>
    <t>Richards, Steven</t>
  </si>
  <si>
    <t>04:05:36</t>
  </si>
  <si>
    <t>Svrcek, Milan</t>
  </si>
  <si>
    <t>05:29:00</t>
  </si>
  <si>
    <t>Orel, Aleksandr</t>
  </si>
  <si>
    <t>04:01:45</t>
  </si>
  <si>
    <t>Kiss-Berdó Ádám</t>
  </si>
  <si>
    <t>Nickerson, Jake</t>
  </si>
  <si>
    <t>04:22:06</t>
  </si>
  <si>
    <t>04:14:32</t>
  </si>
  <si>
    <t>Kai, Yee Hoe</t>
  </si>
  <si>
    <t>05:26:32</t>
  </si>
  <si>
    <t>zhao, xiaoyong</t>
  </si>
  <si>
    <t>03:57:25</t>
  </si>
  <si>
    <t>Benjamin, Fleurisson</t>
  </si>
  <si>
    <t>03:46:09</t>
  </si>
  <si>
    <t>Tóth Géza dr</t>
  </si>
  <si>
    <t>Zwahlen, Remo</t>
  </si>
  <si>
    <t>03:47:52</t>
  </si>
  <si>
    <t>Szöllősi József</t>
  </si>
  <si>
    <t>03:58:44</t>
  </si>
  <si>
    <t>05:14:52</t>
  </si>
  <si>
    <t>02:45:15</t>
  </si>
  <si>
    <t>FARDELLA, ALESSANDRO</t>
  </si>
  <si>
    <t>04:50:31</t>
  </si>
  <si>
    <t>Houwaart, Vincent</t>
  </si>
  <si>
    <t>Hamar Bálint Dániel</t>
  </si>
  <si>
    <t>03:51:10</t>
  </si>
  <si>
    <t>Pagio, José</t>
  </si>
  <si>
    <t>Měkyna, Jiří</t>
  </si>
  <si>
    <t>04:10:57</t>
  </si>
  <si>
    <t>Jansen van Rensburg Michael</t>
  </si>
  <si>
    <t>04:56:46</t>
  </si>
  <si>
    <t>Óbert Zoltán</t>
  </si>
  <si>
    <t>03:14:00</t>
  </si>
  <si>
    <t>Honti Csaba</t>
  </si>
  <si>
    <t>03:46:22</t>
  </si>
  <si>
    <t>Lackner, Werner</t>
  </si>
  <si>
    <t>Hynne, Erik</t>
  </si>
  <si>
    <t>Elliott, Richard</t>
  </si>
  <si>
    <t>Kraias, Stergios prof</t>
  </si>
  <si>
    <t>03:38:03</t>
  </si>
  <si>
    <t>bertrand, floc'h</t>
  </si>
  <si>
    <t>03:49:01</t>
  </si>
  <si>
    <t>Mészáros Balázs dr</t>
  </si>
  <si>
    <t>03:48:43</t>
  </si>
  <si>
    <t>Jelander, Anders</t>
  </si>
  <si>
    <t>05:22:16</t>
  </si>
  <si>
    <t>Tóth Krisztián dr.</t>
  </si>
  <si>
    <t>04:21:33</t>
  </si>
  <si>
    <t>Lamkin, Simon</t>
  </si>
  <si>
    <t>Kovaloczy András</t>
  </si>
  <si>
    <t>dos Santos, Nicolas</t>
  </si>
  <si>
    <t>03:20:46</t>
  </si>
  <si>
    <t>Russo, Nicholas</t>
  </si>
  <si>
    <t>03:19:14</t>
  </si>
  <si>
    <t>Pőcze Tamás dr.</t>
  </si>
  <si>
    <t>Hegedüs Máté dr</t>
  </si>
  <si>
    <t>05:08:34</t>
  </si>
  <si>
    <t>Világosi Zoltán</t>
  </si>
  <si>
    <t>03:00:11</t>
  </si>
  <si>
    <t>Szombathelyi Béla</t>
  </si>
  <si>
    <t>03:29:37</t>
  </si>
  <si>
    <t>giuseppe, macchia</t>
  </si>
  <si>
    <t>04:35:19</t>
  </si>
  <si>
    <t>Beke József</t>
  </si>
  <si>
    <t>Steiner, Johannes</t>
  </si>
  <si>
    <t>03:31:09</t>
  </si>
  <si>
    <t>ebok, Duan</t>
  </si>
  <si>
    <t>03:40:21</t>
  </si>
  <si>
    <t>03:55:12</t>
  </si>
  <si>
    <t>Szabó Ernő</t>
  </si>
  <si>
    <t>03:37:16</t>
  </si>
  <si>
    <t>Wuebbels, Tim</t>
  </si>
  <si>
    <t>03:21:37</t>
  </si>
  <si>
    <t>Marcin, Debowski prof</t>
  </si>
  <si>
    <t>panzi, riccardo prof</t>
  </si>
  <si>
    <t>Cheung, Kwan Ue</t>
  </si>
  <si>
    <t>04:07:18</t>
  </si>
  <si>
    <t>02:51:43</t>
  </si>
  <si>
    <t>04:50:59</t>
  </si>
  <si>
    <t>Joós József</t>
  </si>
  <si>
    <t>04:37:11</t>
  </si>
  <si>
    <t>Monteiro, Pedro</t>
  </si>
  <si>
    <t>02:58:01</t>
  </si>
  <si>
    <t>Tót Kálmán</t>
  </si>
  <si>
    <t>Gillespie, Andrew</t>
  </si>
  <si>
    <t>Timár Péter</t>
  </si>
  <si>
    <t>Moskowicz, Stefan</t>
  </si>
  <si>
    <t>03:48:45</t>
  </si>
  <si>
    <t>Szilvási Péter</t>
  </si>
  <si>
    <t>03:37:32</t>
  </si>
  <si>
    <t>Csorba László</t>
  </si>
  <si>
    <t>03:50:07</t>
  </si>
  <si>
    <t>Panyi József</t>
  </si>
  <si>
    <t>03:59:42</t>
  </si>
  <si>
    <t>DĽBROWSKI, PRZEMO</t>
  </si>
  <si>
    <t>It Aguirre, Gabriel jr</t>
  </si>
  <si>
    <t>De Potter, Mathias</t>
  </si>
  <si>
    <t>Iványicki Tamás</t>
  </si>
  <si>
    <t>04:03:42</t>
  </si>
  <si>
    <t>Birkás Tamás</t>
  </si>
  <si>
    <t>04:10:42</t>
  </si>
  <si>
    <t>Tholén, Anton</t>
  </si>
  <si>
    <t>03:16:06</t>
  </si>
  <si>
    <t>Fuller, Tim</t>
  </si>
  <si>
    <t>03:25:48</t>
  </si>
  <si>
    <t>Henttonen, Mika</t>
  </si>
  <si>
    <t>Kraft, Andreas</t>
  </si>
  <si>
    <t>Takacs Akos</t>
  </si>
  <si>
    <t>04:34:30</t>
  </si>
  <si>
    <t>Fülöp, Peter</t>
  </si>
  <si>
    <t>03:28:22</t>
  </si>
  <si>
    <t>Beszterczey Pál</t>
  </si>
  <si>
    <t>Szabó Bence</t>
  </si>
  <si>
    <t>05:16:47</t>
  </si>
  <si>
    <t>Iliou, Julien</t>
  </si>
  <si>
    <t>Merrigan, Patrick</t>
  </si>
  <si>
    <t>04:41:30</t>
  </si>
  <si>
    <t>Szunyogh Péter</t>
  </si>
  <si>
    <t>02:50:34</t>
  </si>
  <si>
    <t>thibaut, dewaulle</t>
  </si>
  <si>
    <t>05:01:08</t>
  </si>
  <si>
    <t>Clément, Hembert</t>
  </si>
  <si>
    <t>Kaijim, Ronald</t>
  </si>
  <si>
    <t>03:53:28</t>
  </si>
  <si>
    <t>Dombi Tibor</t>
  </si>
  <si>
    <t>03:22:06</t>
  </si>
  <si>
    <t>Gjerde, Emil</t>
  </si>
  <si>
    <t>03:29:50</t>
  </si>
  <si>
    <t>McHardy, Simon</t>
  </si>
  <si>
    <t>03:46:21</t>
  </si>
  <si>
    <t>CHANTEAU, JEAN-PIERRE</t>
  </si>
  <si>
    <t>03:27:06</t>
  </si>
  <si>
    <t>Németh Mátyás</t>
  </si>
  <si>
    <t>04:24:48</t>
  </si>
  <si>
    <t>04:22:47</t>
  </si>
  <si>
    <t>04:27:19</t>
  </si>
  <si>
    <t>03:48:31</t>
  </si>
  <si>
    <t>03:43:36</t>
  </si>
  <si>
    <t>Hajzer Barnabás</t>
  </si>
  <si>
    <t>04:17:27</t>
  </si>
  <si>
    <t>You, Jiageng</t>
  </si>
  <si>
    <t>Cesko, Admir</t>
  </si>
  <si>
    <t>03:59:29</t>
  </si>
  <si>
    <t>Károlyi Zoltán</t>
  </si>
  <si>
    <t>03:43:06</t>
  </si>
  <si>
    <t>Ljevakovic, Abdulah</t>
  </si>
  <si>
    <t>05:00:52</t>
  </si>
  <si>
    <t>03:37:15</t>
  </si>
  <si>
    <t>04:07:13</t>
  </si>
  <si>
    <t>Jordan, Alastair</t>
  </si>
  <si>
    <t>03:20:28</t>
  </si>
  <si>
    <t>Rozgonyi János</t>
  </si>
  <si>
    <t>05:31:24</t>
  </si>
  <si>
    <t>Laki Dániel</t>
  </si>
  <si>
    <t>05:32:33</t>
  </si>
  <si>
    <t>Maczkó Manó</t>
  </si>
  <si>
    <t>Dobos Sándor</t>
  </si>
  <si>
    <t>04:43:48</t>
  </si>
  <si>
    <t>Walters, Alexander</t>
  </si>
  <si>
    <t>03:01:42</t>
  </si>
  <si>
    <t>Gellén Tamás</t>
  </si>
  <si>
    <t>markelov, yury</t>
  </si>
  <si>
    <t>Kozsán Attila</t>
  </si>
  <si>
    <t>Jeroen, Kusse</t>
  </si>
  <si>
    <t>04:28:03</t>
  </si>
  <si>
    <t>05:20:11</t>
  </si>
  <si>
    <t>Lasoen, Mathias</t>
  </si>
  <si>
    <t>04:24:12</t>
  </si>
  <si>
    <t>03:04:06</t>
  </si>
  <si>
    <t>Jasarov, Zdenek</t>
  </si>
  <si>
    <t>03:55:53</t>
  </si>
  <si>
    <t>Jezerniczky Bálint</t>
  </si>
  <si>
    <t>04:53:56</t>
  </si>
  <si>
    <t>ALTEA, ANDREA</t>
  </si>
  <si>
    <t>Toljamo, Göran</t>
  </si>
  <si>
    <t>04:42:13</t>
  </si>
  <si>
    <t>Dillon, Harry</t>
  </si>
  <si>
    <t>05:13:47</t>
  </si>
  <si>
    <t>Charrue, Cyril</t>
  </si>
  <si>
    <t>04:17:11</t>
  </si>
  <si>
    <t>CEDRIC, DOUAI</t>
  </si>
  <si>
    <t>04:30:33</t>
  </si>
  <si>
    <t>Tattersall-Walker, Liam</t>
  </si>
  <si>
    <t>03:40:50</t>
  </si>
  <si>
    <t>Henry, Joshua</t>
  </si>
  <si>
    <t>piccinini, lorenzo</t>
  </si>
  <si>
    <t>02:57:43</t>
  </si>
  <si>
    <t>Holecz László</t>
  </si>
  <si>
    <t>Bognár Ákos dr.</t>
  </si>
  <si>
    <t>Tabaku, Erblin</t>
  </si>
  <si>
    <t>04:03:51</t>
  </si>
  <si>
    <t>Pintér Attila ifj</t>
  </si>
  <si>
    <t>05:00:14</t>
  </si>
  <si>
    <t>Duba, Gergely</t>
  </si>
  <si>
    <t>Orbán Balázs</t>
  </si>
  <si>
    <t>03:51:21</t>
  </si>
  <si>
    <t>Gebe Aron ifj</t>
  </si>
  <si>
    <t>Fagerfjord, Frode</t>
  </si>
  <si>
    <t>04:24:00</t>
  </si>
  <si>
    <t>Mihale, Catalin</t>
  </si>
  <si>
    <t>IM, HAKRAE</t>
  </si>
  <si>
    <t>03:54:00</t>
  </si>
  <si>
    <t>03:37:34</t>
  </si>
  <si>
    <t>Maxwell, Jordan</t>
  </si>
  <si>
    <t>04:24:19</t>
  </si>
  <si>
    <t>Newnham, Christopher</t>
  </si>
  <si>
    <t>03:45:06</t>
  </si>
  <si>
    <t>Blackledge, Gavin</t>
  </si>
  <si>
    <t>04:59:25</t>
  </si>
  <si>
    <t>Nyársik Ferenc Balázs</t>
  </si>
  <si>
    <t>Gaston, James</t>
  </si>
  <si>
    <t>Rudera, Waldemar</t>
  </si>
  <si>
    <t>Sabatou, Cedric prof</t>
  </si>
  <si>
    <t>04:03:07</t>
  </si>
  <si>
    <t>Mester László</t>
  </si>
  <si>
    <t>04:04:14</t>
  </si>
  <si>
    <t>Miskolczi Zsolt</t>
  </si>
  <si>
    <t>04:27:21</t>
  </si>
  <si>
    <t>Fatah, Abdennour prof</t>
  </si>
  <si>
    <t>03:29:43</t>
  </si>
  <si>
    <t>Hamar Szabolcs</t>
  </si>
  <si>
    <t>04:54:45</t>
  </si>
  <si>
    <t>Sobieski, Tomasz prof</t>
  </si>
  <si>
    <t>Mauri, Massimilano</t>
  </si>
  <si>
    <t>03:30:46</t>
  </si>
  <si>
    <t>Eppel Attila</t>
  </si>
  <si>
    <t>03:57:40</t>
  </si>
  <si>
    <t>McCabe, Dave</t>
  </si>
  <si>
    <t>03:47:17</t>
  </si>
  <si>
    <t>Fernández, David prof</t>
  </si>
  <si>
    <t>03:58:45</t>
  </si>
  <si>
    <t>Harmati Dániel</t>
  </si>
  <si>
    <t>03:48:37</t>
  </si>
  <si>
    <t>Marzio, Corda</t>
  </si>
  <si>
    <t>03:46:14</t>
  </si>
  <si>
    <t>Schauer Ádám</t>
  </si>
  <si>
    <t>Sperka Tamás</t>
  </si>
  <si>
    <t>04:01:51</t>
  </si>
  <si>
    <t>Májer Milán</t>
  </si>
  <si>
    <t>05:20:14</t>
  </si>
  <si>
    <t>Kincse Szabolcs Örs</t>
  </si>
  <si>
    <t>04:05:58</t>
  </si>
  <si>
    <t>Duggan, Seamus prof</t>
  </si>
  <si>
    <t>Havasi Viktor</t>
  </si>
  <si>
    <t>03:55:21</t>
  </si>
  <si>
    <t>Tams, Viorel</t>
  </si>
  <si>
    <t>02:39:54</t>
  </si>
  <si>
    <t>Bratt, Chris dr</t>
  </si>
  <si>
    <t>03:52:19</t>
  </si>
  <si>
    <t>Numan Zsolt</t>
  </si>
  <si>
    <t>04:57:21</t>
  </si>
  <si>
    <t>Suhajda Attila</t>
  </si>
  <si>
    <t>04:53:55</t>
  </si>
  <si>
    <t>Fernandez Alvarez, Teodoro prof</t>
  </si>
  <si>
    <t>Papp Kristóf</t>
  </si>
  <si>
    <t>Nyevrikel Rajmund</t>
  </si>
  <si>
    <t>04:22:15</t>
  </si>
  <si>
    <t>GARCIA CASADO, MANUEL</t>
  </si>
  <si>
    <t>Denaro, Danilo</t>
  </si>
  <si>
    <t>05:11:09</t>
  </si>
  <si>
    <t>Moar, Nick prof</t>
  </si>
  <si>
    <t>Parker, Sean</t>
  </si>
  <si>
    <t>04:01:14</t>
  </si>
  <si>
    <t>Ney, Richard</t>
  </si>
  <si>
    <t>04:17:44</t>
  </si>
  <si>
    <t>REMARK, FRANCOIS</t>
  </si>
  <si>
    <t>04:55:26</t>
  </si>
  <si>
    <t>Kadlecsik Milán</t>
  </si>
  <si>
    <t>02:53:12</t>
  </si>
  <si>
    <t>Fowler, Matthew</t>
  </si>
  <si>
    <t>03:26:53</t>
  </si>
  <si>
    <t>Molina, David</t>
  </si>
  <si>
    <t>03:33:47</t>
  </si>
  <si>
    <t>McLeod, Fraser</t>
  </si>
  <si>
    <t>03:44:31</t>
  </si>
  <si>
    <t>Harvey, Khan</t>
  </si>
  <si>
    <t>Kaas, Thomas</t>
  </si>
  <si>
    <t>Agerbo, Thomas prof</t>
  </si>
  <si>
    <t>03:08:04</t>
  </si>
  <si>
    <t>Pósfai Gábor</t>
  </si>
  <si>
    <t>04:46:50</t>
  </si>
  <si>
    <t>04:16:51</t>
  </si>
  <si>
    <t>Rasztovits István</t>
  </si>
  <si>
    <t>Clarté, Benjamin prof</t>
  </si>
  <si>
    <t>white, joshua</t>
  </si>
  <si>
    <t>04:40:16</t>
  </si>
  <si>
    <t>Matre, Reidar dr</t>
  </si>
  <si>
    <t>04:28:12</t>
  </si>
  <si>
    <t>Jukevics, Kristaps</t>
  </si>
  <si>
    <t>04:54:49</t>
  </si>
  <si>
    <t>Stolarz, Adam</t>
  </si>
  <si>
    <t>03:02:27</t>
  </si>
  <si>
    <t>Sebastiano, Furnó</t>
  </si>
  <si>
    <t>04:10:05</t>
  </si>
  <si>
    <t>Csernyik Zsolt</t>
  </si>
  <si>
    <t>03:49:25</t>
  </si>
  <si>
    <t>Kosztolányi Gábor</t>
  </si>
  <si>
    <t>04:42:53</t>
  </si>
  <si>
    <t>Ambler, wilfred</t>
  </si>
  <si>
    <t>03:27:44</t>
  </si>
  <si>
    <t>Reinhard, Jakits</t>
  </si>
  <si>
    <t>03:28:29</t>
  </si>
  <si>
    <t>Magos Bálint</t>
  </si>
  <si>
    <t>04:07:00</t>
  </si>
  <si>
    <t>03:26:21</t>
  </si>
  <si>
    <t>04:18:30</t>
  </si>
  <si>
    <t>Dávid Zsombor</t>
  </si>
  <si>
    <t>04:42:18</t>
  </si>
  <si>
    <t>fabrice, MAYOUSSIER</t>
  </si>
  <si>
    <t>03:44:17</t>
  </si>
  <si>
    <t>Rengers, Jaimy</t>
  </si>
  <si>
    <t>03:54:50</t>
  </si>
  <si>
    <t>Nemes Ádám</t>
  </si>
  <si>
    <t>04:09:42</t>
  </si>
  <si>
    <t>Michael, Reger</t>
  </si>
  <si>
    <t>Żeliszczak, Artur</t>
  </si>
  <si>
    <t>02:51:11</t>
  </si>
  <si>
    <t>Mirowski, Mariusz</t>
  </si>
  <si>
    <t>03:54:58</t>
  </si>
  <si>
    <t>Yeomans, Joseph</t>
  </si>
  <si>
    <t>04:43:09</t>
  </si>
  <si>
    <t>Fernández Castellano, Javier</t>
  </si>
  <si>
    <t>Stróhmajer János</t>
  </si>
  <si>
    <t>03:59:55</t>
  </si>
  <si>
    <t>Dollinger, Arthur dr</t>
  </si>
  <si>
    <t>03:17:22</t>
  </si>
  <si>
    <t>Baumgartner, Florian</t>
  </si>
  <si>
    <t>Anthony, Pierron</t>
  </si>
  <si>
    <t>Van der Auwera, Dries dr</t>
  </si>
  <si>
    <t>03:36:18</t>
  </si>
  <si>
    <t>Oláh György</t>
  </si>
  <si>
    <t>03:42:04</t>
  </si>
  <si>
    <t>Sereda, Oleh jr</t>
  </si>
  <si>
    <t>04:08:19</t>
  </si>
  <si>
    <t>Glück, Günther</t>
  </si>
  <si>
    <t>04:13:31</t>
  </si>
  <si>
    <t>Kalmár Máté</t>
  </si>
  <si>
    <t>04:07:39</t>
  </si>
  <si>
    <t>Gyöngyösi Róbert</t>
  </si>
  <si>
    <t>03:59:11</t>
  </si>
  <si>
    <t>Csongor Márk</t>
  </si>
  <si>
    <t>Lawrence, Finlay</t>
  </si>
  <si>
    <t>05:30:53</t>
  </si>
  <si>
    <t>Gyurkó Zsombor</t>
  </si>
  <si>
    <t>03:27:13</t>
  </si>
  <si>
    <t>Mikulán Attila</t>
  </si>
  <si>
    <t>03:47:12</t>
  </si>
  <si>
    <t>Tímár Zoltán Dr.</t>
  </si>
  <si>
    <t>04:49:21</t>
  </si>
  <si>
    <t>Moore, Paul</t>
  </si>
  <si>
    <t>Cholewka, Jan</t>
  </si>
  <si>
    <t>04:19:07</t>
  </si>
  <si>
    <t>Jávor Miklós</t>
  </si>
  <si>
    <t>Rasputnii, Ilia</t>
  </si>
  <si>
    <t>04:38:10</t>
  </si>
  <si>
    <t>Fábián Olivér dr</t>
  </si>
  <si>
    <t>03:37:55</t>
  </si>
  <si>
    <t>Blond, Hans</t>
  </si>
  <si>
    <t>02:49:52</t>
  </si>
  <si>
    <t>Abramowicz, Piotr</t>
  </si>
  <si>
    <t>Duzmath László</t>
  </si>
  <si>
    <t>05:18:42</t>
  </si>
  <si>
    <t>claude, le franc</t>
  </si>
  <si>
    <t>Puskás Zsolt</t>
  </si>
  <si>
    <t>04:21:00</t>
  </si>
  <si>
    <t>Alejandro, Martinez</t>
  </si>
  <si>
    <t>04:35:47</t>
  </si>
  <si>
    <t>Siepietowski, Piotr</t>
  </si>
  <si>
    <t>03:30:25</t>
  </si>
  <si>
    <t>03:55:35</t>
  </si>
  <si>
    <t>Császár Levente</t>
  </si>
  <si>
    <t>04:21:11</t>
  </si>
  <si>
    <t>Filipoiu, George</t>
  </si>
  <si>
    <t>04:56:22</t>
  </si>
  <si>
    <t>Pischleritsch, Daniel</t>
  </si>
  <si>
    <t>02:41:40</t>
  </si>
  <si>
    <t>mcmanus, kenny</t>
  </si>
  <si>
    <t>Rusin, Kornel</t>
  </si>
  <si>
    <t>02:56:25</t>
  </si>
  <si>
    <t>Chia, Matthias</t>
  </si>
  <si>
    <t>Tompa Tamás</t>
  </si>
  <si>
    <t>04:39:10</t>
  </si>
  <si>
    <t>Tarbuck, Harry prof</t>
  </si>
  <si>
    <t>04:25:43</t>
  </si>
  <si>
    <t>03:05:02</t>
  </si>
  <si>
    <t>Kristály Krisztián</t>
  </si>
  <si>
    <t>04:30:32</t>
  </si>
  <si>
    <t>Davies, Huw</t>
  </si>
  <si>
    <t>03:21:04</t>
  </si>
  <si>
    <t>Southall, Ed</t>
  </si>
  <si>
    <t>Ábrahám Lajos</t>
  </si>
  <si>
    <t>Jahoda, Vit</t>
  </si>
  <si>
    <t>Cislaghi, Gianmarco</t>
  </si>
  <si>
    <t>wang, guoliang</t>
  </si>
  <si>
    <t>04:10:15</t>
  </si>
  <si>
    <t>Beregi Barnabás</t>
  </si>
  <si>
    <t>Gábris Péter</t>
  </si>
  <si>
    <t>04:16:55</t>
  </si>
  <si>
    <t>Meuser, Jens</t>
  </si>
  <si>
    <t>03:56:18</t>
  </si>
  <si>
    <t>Lame, Erik</t>
  </si>
  <si>
    <t>kao, yungchun</t>
  </si>
  <si>
    <t>Ray, Murphy</t>
  </si>
  <si>
    <t>03:42:14</t>
  </si>
  <si>
    <t>Nuthall, Rafael</t>
  </si>
  <si>
    <t>Steiner Gábor</t>
  </si>
  <si>
    <t>04:51:15</t>
  </si>
  <si>
    <t>Vattamány Zsolt</t>
  </si>
  <si>
    <t>05:26:22</t>
  </si>
  <si>
    <t>Tóth Bálint</t>
  </si>
  <si>
    <t>04:55:14</t>
  </si>
  <si>
    <t>Magdó Zoltán</t>
  </si>
  <si>
    <t>Czerovszki József</t>
  </si>
  <si>
    <t>Makhajda Bence</t>
  </si>
  <si>
    <t>Hamill, Justin</t>
  </si>
  <si>
    <t>Vinár Gábor</t>
  </si>
  <si>
    <t>Cole, Matthew</t>
  </si>
  <si>
    <t>Székely Tibor</t>
  </si>
  <si>
    <t>03:26:05</t>
  </si>
  <si>
    <t>Simon Tamás</t>
  </si>
  <si>
    <t>04:45:07</t>
  </si>
  <si>
    <t>04:25:08</t>
  </si>
  <si>
    <t>Perry, Billy</t>
  </si>
  <si>
    <t>04:12:48</t>
  </si>
  <si>
    <t>Gácsi Kristóf dr</t>
  </si>
  <si>
    <t>03:21:53</t>
  </si>
  <si>
    <t>LEGROS, BRUNO</t>
  </si>
  <si>
    <t>03:38:33</t>
  </si>
  <si>
    <t>Pogány Attila</t>
  </si>
  <si>
    <t>04:45:02</t>
  </si>
  <si>
    <t>Nánási Péter Zsolt</t>
  </si>
  <si>
    <t>François, Roland</t>
  </si>
  <si>
    <t>04:17:33</t>
  </si>
  <si>
    <t>Török Endre</t>
  </si>
  <si>
    <t>04:29:10</t>
  </si>
  <si>
    <t>Pálfi György Simon dr</t>
  </si>
  <si>
    <t>04:30:07</t>
  </si>
  <si>
    <t>Montag, Bernd</t>
  </si>
  <si>
    <t>Bécsy Benedek</t>
  </si>
  <si>
    <t>05:01:39</t>
  </si>
  <si>
    <t>Kwei, Ming</t>
  </si>
  <si>
    <t>04:21:37</t>
  </si>
  <si>
    <t>BATEMAN, JAY</t>
  </si>
  <si>
    <t>Jensen, Niels-Johan</t>
  </si>
  <si>
    <t>02:48:56</t>
  </si>
  <si>
    <t>Ellenrieder Péter</t>
  </si>
  <si>
    <t>Ladislav, Horváth</t>
  </si>
  <si>
    <t>04:18:04</t>
  </si>
  <si>
    <t>Adi, Roytman</t>
  </si>
  <si>
    <t>Bottlik Csaba</t>
  </si>
  <si>
    <t>03:31:01</t>
  </si>
  <si>
    <t>Feher Balint</t>
  </si>
  <si>
    <t>03:28:15</t>
  </si>
  <si>
    <t>Barker, Richard</t>
  </si>
  <si>
    <t>03:41:11</t>
  </si>
  <si>
    <t>Maxime, HEINRICH</t>
  </si>
  <si>
    <t>03:37:52</t>
  </si>
  <si>
    <t>Mosoiu, George dr</t>
  </si>
  <si>
    <t>Szőcs, Patrik</t>
  </si>
  <si>
    <t>04:23:49</t>
  </si>
  <si>
    <t>Zsitnyányi András</t>
  </si>
  <si>
    <t>04:57:31</t>
  </si>
  <si>
    <t>Szabolcs András</t>
  </si>
  <si>
    <t>04:05:55</t>
  </si>
  <si>
    <t>Rousselet, Alexandre</t>
  </si>
  <si>
    <t>03:41:36</t>
  </si>
  <si>
    <t>Martin Marcell</t>
  </si>
  <si>
    <t>03:59:07</t>
  </si>
  <si>
    <t>Reisenhofer-Graber, Franz</t>
  </si>
  <si>
    <t>Kele, Gejza</t>
  </si>
  <si>
    <t>04:24:26</t>
  </si>
  <si>
    <t>Pleßnitzer, Thomas</t>
  </si>
  <si>
    <t>03:44:26</t>
  </si>
  <si>
    <t>Orha László</t>
  </si>
  <si>
    <t>03:48:38</t>
  </si>
  <si>
    <t>Kump Norbert</t>
  </si>
  <si>
    <t>03:53:47</t>
  </si>
  <si>
    <t>Voß, Mike</t>
  </si>
  <si>
    <t>HAUZA, Matthieu</t>
  </si>
  <si>
    <t>Touré Amidou</t>
  </si>
  <si>
    <t>Wallace, Iain</t>
  </si>
  <si>
    <t>04:48:59</t>
  </si>
  <si>
    <t>Vilmos Turányi</t>
  </si>
  <si>
    <t>Heinonen, Petri</t>
  </si>
  <si>
    <t>03:53:54</t>
  </si>
  <si>
    <t>Renfer Péter</t>
  </si>
  <si>
    <t>04:48:29</t>
  </si>
  <si>
    <t>Kennedy, David id</t>
  </si>
  <si>
    <t>03:18:01</t>
  </si>
  <si>
    <t>Molnár Balázs</t>
  </si>
  <si>
    <t>04:20:21</t>
  </si>
  <si>
    <t>04:01:30</t>
  </si>
  <si>
    <t>Levisohn, David</t>
  </si>
  <si>
    <t>04:34:43</t>
  </si>
  <si>
    <t>Szarvas Balázs</t>
  </si>
  <si>
    <t>04:33:13</t>
  </si>
  <si>
    <t>Baschirotto, Giovanni</t>
  </si>
  <si>
    <t>Bokros Balázs</t>
  </si>
  <si>
    <t>Sik Dominik</t>
  </si>
  <si>
    <t>03:26:48</t>
  </si>
  <si>
    <t>Mougey, Christian</t>
  </si>
  <si>
    <t>04:52:22</t>
  </si>
  <si>
    <t>Vén Csaba</t>
  </si>
  <si>
    <t>03:31:27</t>
  </si>
  <si>
    <t>Hogben, Michael prof</t>
  </si>
  <si>
    <t>05:19:36</t>
  </si>
  <si>
    <t>Łuczak, Tomasz</t>
  </si>
  <si>
    <t>Értekes András</t>
  </si>
  <si>
    <t>04:00:25</t>
  </si>
  <si>
    <t>Petró Gyula</t>
  </si>
  <si>
    <t>04:25:59</t>
  </si>
  <si>
    <t>Villányi Dániel</t>
  </si>
  <si>
    <t>04:28:45</t>
  </si>
  <si>
    <t>Maraniello, Alessandro</t>
  </si>
  <si>
    <t>03:29:32</t>
  </si>
  <si>
    <t>04:29:59</t>
  </si>
  <si>
    <t>Janák, Béla</t>
  </si>
  <si>
    <t>04:05:23</t>
  </si>
  <si>
    <t>Elhag, Omar</t>
  </si>
  <si>
    <t>03:48:46</t>
  </si>
  <si>
    <t>Hunyaddobrai András</t>
  </si>
  <si>
    <t>04:22:50</t>
  </si>
  <si>
    <t>Földi Marcell</t>
  </si>
  <si>
    <t>04:53:32</t>
  </si>
  <si>
    <t>Berta Balázs</t>
  </si>
  <si>
    <t>04:52:09</t>
  </si>
  <si>
    <t>Németh Márton</t>
  </si>
  <si>
    <t>03:27:12</t>
  </si>
  <si>
    <t>Vachtler Ferenc</t>
  </si>
  <si>
    <t>Ahmadi Pour, Ahmad</t>
  </si>
  <si>
    <t>04:34:24</t>
  </si>
  <si>
    <t>Modetti, Daniele</t>
  </si>
  <si>
    <t>03:33:20</t>
  </si>
  <si>
    <t>Leko, Ivan</t>
  </si>
  <si>
    <t>Surányi Kristóf</t>
  </si>
  <si>
    <t>04:42:37</t>
  </si>
  <si>
    <t>Lupou, George</t>
  </si>
  <si>
    <t>Kása Ákos</t>
  </si>
  <si>
    <t>Schveinert, Jiri</t>
  </si>
  <si>
    <t>04:36:49</t>
  </si>
  <si>
    <t>Mazzeo, Antonio Fiorenzo Mazzeo dr</t>
  </si>
  <si>
    <t>04:00:24</t>
  </si>
  <si>
    <t>Michal, Vrabel</t>
  </si>
  <si>
    <t>04:09:44</t>
  </si>
  <si>
    <t>King, Chris prof</t>
  </si>
  <si>
    <t>04:02:26</t>
  </si>
  <si>
    <t>Ferenczi Balázs</t>
  </si>
  <si>
    <t>Kerekes Ákos dr</t>
  </si>
  <si>
    <t>Manger Ádám</t>
  </si>
  <si>
    <t>04:02:03</t>
  </si>
  <si>
    <t>Kocsis Benedek</t>
  </si>
  <si>
    <t>Juhász Zoltán dr</t>
  </si>
  <si>
    <t>04:44:37</t>
  </si>
  <si>
    <t>03:01:54</t>
  </si>
  <si>
    <t>Caspersson, Tobias</t>
  </si>
  <si>
    <t>Scott, Alan</t>
  </si>
  <si>
    <t>03:32:48</t>
  </si>
  <si>
    <t>cannobio, filippo dr</t>
  </si>
  <si>
    <t>Szakács Tamás</t>
  </si>
  <si>
    <t>04:12:22</t>
  </si>
  <si>
    <t>LECHEVIN, LUDOVIC</t>
  </si>
  <si>
    <t>03:32:35</t>
  </si>
  <si>
    <t>Ashdown, Harry</t>
  </si>
  <si>
    <t>04:12:27</t>
  </si>
  <si>
    <t>Gray, Joshua</t>
  </si>
  <si>
    <t>04:34:25</t>
  </si>
  <si>
    <t>Balázs Ádám</t>
  </si>
  <si>
    <t>04:28:09</t>
  </si>
  <si>
    <t>Pusch Szilárd</t>
  </si>
  <si>
    <t>04:38:39</t>
  </si>
  <si>
    <t>Popat, Khian-Jush</t>
  </si>
  <si>
    <t>04:48:27</t>
  </si>
  <si>
    <t>Szekretár Endre</t>
  </si>
  <si>
    <t>05:35:10</t>
  </si>
  <si>
    <t>Kock, Erik prof</t>
  </si>
  <si>
    <t>04:22:04</t>
  </si>
  <si>
    <t>05:22:39</t>
  </si>
  <si>
    <t>04:39:17</t>
  </si>
  <si>
    <t>Burkhardt Balázs</t>
  </si>
  <si>
    <t>04:29:52</t>
  </si>
  <si>
    <t>Thornton, Alan</t>
  </si>
  <si>
    <t>03:49:57</t>
  </si>
  <si>
    <t>Bence Barta</t>
  </si>
  <si>
    <t>03:30:43</t>
  </si>
  <si>
    <t>Nagy Bogdán</t>
  </si>
  <si>
    <t>04:09:35</t>
  </si>
  <si>
    <t>Haraszti László</t>
  </si>
  <si>
    <t>Kósa, Tomá</t>
  </si>
  <si>
    <t>04:20:18</t>
  </si>
  <si>
    <t>Polgár Ervin</t>
  </si>
  <si>
    <t>04:25:03</t>
  </si>
  <si>
    <t>Karagity Dániel</t>
  </si>
  <si>
    <t>04:49:08</t>
  </si>
  <si>
    <t>Gonda, Tibor</t>
  </si>
  <si>
    <t>Helman, Leszek</t>
  </si>
  <si>
    <t>03:16:57</t>
  </si>
  <si>
    <t>Rónai Zoltán</t>
  </si>
  <si>
    <t>03:27:53</t>
  </si>
  <si>
    <t>Latino, Luigi</t>
  </si>
  <si>
    <t>Köllő Szabolcs</t>
  </si>
  <si>
    <t>Kéri Bálint</t>
  </si>
  <si>
    <t>04:50:53</t>
  </si>
  <si>
    <t>Kákonyi Dávid</t>
  </si>
  <si>
    <t>Francis, Richard</t>
  </si>
  <si>
    <t>McEwing, John</t>
  </si>
  <si>
    <t>04:09:51</t>
  </si>
  <si>
    <t>Tánczos Csombor</t>
  </si>
  <si>
    <t>05:42:21</t>
  </si>
  <si>
    <t>ROTTE, Bruno</t>
  </si>
  <si>
    <t>04:10:03</t>
  </si>
  <si>
    <t>Musil, Jaroslav</t>
  </si>
  <si>
    <t>04:36:47</t>
  </si>
  <si>
    <t>Klein Péter</t>
  </si>
  <si>
    <t>Morbey, Dan</t>
  </si>
  <si>
    <t>04:21:10</t>
  </si>
  <si>
    <t>03:54:29</t>
  </si>
  <si>
    <t>Zsoldos Péter</t>
  </si>
  <si>
    <t>André Milán</t>
  </si>
  <si>
    <t>Rainey, Cathal</t>
  </si>
  <si>
    <t>04:17:04</t>
  </si>
  <si>
    <t>Virág Róbert</t>
  </si>
  <si>
    <t>03:59:15</t>
  </si>
  <si>
    <t>Németh Miklós Márton</t>
  </si>
  <si>
    <t>04:17:32</t>
  </si>
  <si>
    <t>cordier, boris</t>
  </si>
  <si>
    <t>PARK, YONG JUN</t>
  </si>
  <si>
    <t>Dancza Zsolt</t>
  </si>
  <si>
    <t>04:52:06</t>
  </si>
  <si>
    <t>Burkard, Marco</t>
  </si>
  <si>
    <t>Kardos Géza</t>
  </si>
  <si>
    <t>03:51:48</t>
  </si>
  <si>
    <t>Mihályházi Vilmos</t>
  </si>
  <si>
    <t>04:22:36</t>
  </si>
  <si>
    <t>Fodor Ferenc</t>
  </si>
  <si>
    <t>Lakatos Zsolt</t>
  </si>
  <si>
    <t>04:37:18</t>
  </si>
  <si>
    <t>Zacarias de Oliveira, Fernando</t>
  </si>
  <si>
    <t>04:08:33</t>
  </si>
  <si>
    <t>Füleki Áron</t>
  </si>
  <si>
    <t>03:57:43</t>
  </si>
  <si>
    <t>kirk, simo</t>
  </si>
  <si>
    <t>02:59:31</t>
  </si>
  <si>
    <t>Lakatos Dániel</t>
  </si>
  <si>
    <t>04:37:13</t>
  </si>
  <si>
    <t>KOZIRIS, LIBERIS</t>
  </si>
  <si>
    <t>03:29:38</t>
  </si>
  <si>
    <t>04:28:05</t>
  </si>
  <si>
    <t>Webb, James</t>
  </si>
  <si>
    <t>De Rosa, Vincenzo</t>
  </si>
  <si>
    <t>04:40:48</t>
  </si>
  <si>
    <t>Evangelou, Andreas</t>
  </si>
  <si>
    <t>04:38:03</t>
  </si>
  <si>
    <t>de Vries, Maurice</t>
  </si>
  <si>
    <t>04:27:53</t>
  </si>
  <si>
    <t>Holwitt, Stephan</t>
  </si>
  <si>
    <t>Moreau, Gregory</t>
  </si>
  <si>
    <t>TSAI, KUO CHUN</t>
  </si>
  <si>
    <t>03:51:00</t>
  </si>
  <si>
    <t>Kocsis Antal</t>
  </si>
  <si>
    <t>Biliński, Tomasz</t>
  </si>
  <si>
    <t>Jannon, Francesco</t>
  </si>
  <si>
    <t>04:58:13</t>
  </si>
  <si>
    <t>Notarangelo, Massimiliano</t>
  </si>
  <si>
    <t>04:50:07</t>
  </si>
  <si>
    <t>POTIER, Jean</t>
  </si>
  <si>
    <t>03:22:15</t>
  </si>
  <si>
    <t>Michaels, Alex</t>
  </si>
  <si>
    <t>03:39:34</t>
  </si>
  <si>
    <t>Czikkely Zsolt</t>
  </si>
  <si>
    <t>05:00:17</t>
  </si>
  <si>
    <t>Dr. Smidla József</t>
  </si>
  <si>
    <t>Seres Gergely</t>
  </si>
  <si>
    <t>04:37:47</t>
  </si>
  <si>
    <t>03:51:17</t>
  </si>
  <si>
    <t>Goret, Christophe</t>
  </si>
  <si>
    <t>03:31:07</t>
  </si>
  <si>
    <t>Csoba Dénes dr.</t>
  </si>
  <si>
    <t>03:55:36</t>
  </si>
  <si>
    <t>Steri, Fabio</t>
  </si>
  <si>
    <t>Vasilij, Kobec</t>
  </si>
  <si>
    <t>James, Trott</t>
  </si>
  <si>
    <t>Pálinkás Norbert</t>
  </si>
  <si>
    <t>03:44:09</t>
  </si>
  <si>
    <t>Győri András dr</t>
  </si>
  <si>
    <t>04:54:55</t>
  </si>
  <si>
    <t>Halmi István</t>
  </si>
  <si>
    <t>03:30:37</t>
  </si>
  <si>
    <t>Hood, William</t>
  </si>
  <si>
    <t>03:51:57</t>
  </si>
  <si>
    <t>McGall, Dylan</t>
  </si>
  <si>
    <t>Bird, Conall</t>
  </si>
  <si>
    <t>03:35:36</t>
  </si>
  <si>
    <t>Hegyes Dániel</t>
  </si>
  <si>
    <t>03:47:23</t>
  </si>
  <si>
    <t>Csaba Gergely</t>
  </si>
  <si>
    <t>03:18:02</t>
  </si>
  <si>
    <t>wnetrzak, krzysztof</t>
  </si>
  <si>
    <t>04:14:43</t>
  </si>
  <si>
    <t>LOIC, DOUAI</t>
  </si>
  <si>
    <t>03:59:23</t>
  </si>
  <si>
    <t>Tamás Bertalan</t>
  </si>
  <si>
    <t>03:22:02</t>
  </si>
  <si>
    <t>Nádor-Nikitits Benedek</t>
  </si>
  <si>
    <t>03:06:28</t>
  </si>
  <si>
    <t>Bergman, Aard</t>
  </si>
  <si>
    <t>04:22:54</t>
  </si>
  <si>
    <t>Paterson, Reece</t>
  </si>
  <si>
    <t>05:19:14</t>
  </si>
  <si>
    <t>Pénzes András ifj</t>
  </si>
  <si>
    <t>05:11:20</t>
  </si>
  <si>
    <t>Remenyik Bence</t>
  </si>
  <si>
    <t>03:55:54</t>
  </si>
  <si>
    <t>Hadlaczky Máté</t>
  </si>
  <si>
    <t>03:28:58</t>
  </si>
  <si>
    <t>Rási Béla</t>
  </si>
  <si>
    <t>05:13:34</t>
  </si>
  <si>
    <t>Tárnok András dr</t>
  </si>
  <si>
    <t>Mathiasen Gabriel</t>
  </si>
  <si>
    <t>Warner, Ian</t>
  </si>
  <si>
    <t>04:15:24</t>
  </si>
  <si>
    <t>Hauet, Yvo</t>
  </si>
  <si>
    <t>03:15:16</t>
  </si>
  <si>
    <t>Paterson, Oliver</t>
  </si>
  <si>
    <t>03:26:36</t>
  </si>
  <si>
    <t>Utry Álmos</t>
  </si>
  <si>
    <t>04:09:46</t>
  </si>
  <si>
    <t>Dubus, Sylvain</t>
  </si>
  <si>
    <t>02:59:32</t>
  </si>
  <si>
    <t>Mezősi András</t>
  </si>
  <si>
    <t>Iskra, Piotr</t>
  </si>
  <si>
    <t>05:08:06</t>
  </si>
  <si>
    <t>Laczják Sándor</t>
  </si>
  <si>
    <t>04:10:25</t>
  </si>
  <si>
    <t>Szalay Szabolcs Kornél</t>
  </si>
  <si>
    <t>04:30:30</t>
  </si>
  <si>
    <t>Hegedüs Dávid</t>
  </si>
  <si>
    <t>03:47:46</t>
  </si>
  <si>
    <t>Zombori Ákos</t>
  </si>
  <si>
    <t>03:26:45</t>
  </si>
  <si>
    <t>Luis, Araiza</t>
  </si>
  <si>
    <t>04:10:16</t>
  </si>
  <si>
    <t>Sabolic, Tomislav</t>
  </si>
  <si>
    <t>03:46:42</t>
  </si>
  <si>
    <t>Donnat, Clément</t>
  </si>
  <si>
    <t>03:29:14</t>
  </si>
  <si>
    <t>Döbrőssy Viktor</t>
  </si>
  <si>
    <t>Lebedev, Dmitry</t>
  </si>
  <si>
    <t>04:12:45</t>
  </si>
  <si>
    <t>Bányai János</t>
  </si>
  <si>
    <t>03:04:37</t>
  </si>
  <si>
    <t>Skorski, Linus</t>
  </si>
  <si>
    <t>Csipak, Peter</t>
  </si>
  <si>
    <t>04:18:20</t>
  </si>
  <si>
    <t>Kertesz Peter</t>
  </si>
  <si>
    <t>04:24:37</t>
  </si>
  <si>
    <t>Magyar Balázs</t>
  </si>
  <si>
    <t>04:45:03</t>
  </si>
  <si>
    <t>Koszorú Sándor</t>
  </si>
  <si>
    <t>Smith, James</t>
  </si>
  <si>
    <t>05:28:17</t>
  </si>
  <si>
    <t>Roth-Kleiner, Matthias prof</t>
  </si>
  <si>
    <t>05:14:10</t>
  </si>
  <si>
    <t>Hall, Benjamin</t>
  </si>
  <si>
    <t>Balássy Zoltán</t>
  </si>
  <si>
    <t>Hegyvári Attila</t>
  </si>
  <si>
    <t>04:43:00</t>
  </si>
  <si>
    <t>Kaposvári György</t>
  </si>
  <si>
    <t>03:46:15</t>
  </si>
  <si>
    <t>Juhász Bálint</t>
  </si>
  <si>
    <t>Kanizsai Gábor István</t>
  </si>
  <si>
    <t>03:19:46</t>
  </si>
  <si>
    <t>O'Boyle, Frank</t>
  </si>
  <si>
    <t>03:15:14</t>
  </si>
  <si>
    <t>Asztalos János</t>
  </si>
  <si>
    <t>03:20:08</t>
  </si>
  <si>
    <t>03:37:27</t>
  </si>
  <si>
    <t>Vida Gábor dr</t>
  </si>
  <si>
    <t>Battistolo, Julien</t>
  </si>
  <si>
    <t>04:44:02</t>
  </si>
  <si>
    <t>Gyuricza István</t>
  </si>
  <si>
    <t>04:11:32</t>
  </si>
  <si>
    <t>George, Alex</t>
  </si>
  <si>
    <t>03:45:01</t>
  </si>
  <si>
    <t>05:15:21</t>
  </si>
  <si>
    <t>Pogorelsky, Dima</t>
  </si>
  <si>
    <t>Zöldy Tamás</t>
  </si>
  <si>
    <t>Dicoi, Tiberiu</t>
  </si>
  <si>
    <t>Edison Armando, Castillo Herrera prof</t>
  </si>
  <si>
    <t>Maczkó Miklós</t>
  </si>
  <si>
    <t>03:34:35</t>
  </si>
  <si>
    <t>Hrabovský, Marek</t>
  </si>
  <si>
    <t>03:06:59</t>
  </si>
  <si>
    <t>Zonjee, Alexander prof</t>
  </si>
  <si>
    <t>03:29:49</t>
  </si>
  <si>
    <t>04:05:43</t>
  </si>
  <si>
    <t>Zagraj László</t>
  </si>
  <si>
    <t>03:31:44</t>
  </si>
  <si>
    <t>04:29:07</t>
  </si>
  <si>
    <t>Szathmáry Benedek</t>
  </si>
  <si>
    <t>05:00:10</t>
  </si>
  <si>
    <t>Csáky László</t>
  </si>
  <si>
    <t>04:35:07</t>
  </si>
  <si>
    <t>04:24:07</t>
  </si>
  <si>
    <t>Seal, Barrie</t>
  </si>
  <si>
    <t>03:09:18</t>
  </si>
  <si>
    <t>Páli Zsombor András</t>
  </si>
  <si>
    <t>04:30:56</t>
  </si>
  <si>
    <t>Fekete László</t>
  </si>
  <si>
    <t>04:33:15</t>
  </si>
  <si>
    <t>Kátai-Pál Benedek</t>
  </si>
  <si>
    <t>04:14:09</t>
  </si>
  <si>
    <t>Sharma, Sunkalp</t>
  </si>
  <si>
    <t>Naschke, Lennart</t>
  </si>
  <si>
    <t>Gatsanoga, Miroslav</t>
  </si>
  <si>
    <t>05:01:43</t>
  </si>
  <si>
    <t>Zólyomi Balázs</t>
  </si>
  <si>
    <t>04:43:16</t>
  </si>
  <si>
    <t>James, Gareth</t>
  </si>
  <si>
    <t>Schmid, Philipp</t>
  </si>
  <si>
    <t>Labádi Máté</t>
  </si>
  <si>
    <t>04:06:18</t>
  </si>
  <si>
    <t>Renaud, Lecomte</t>
  </si>
  <si>
    <t>03:45:30</t>
  </si>
  <si>
    <t>Molyneux, Freddie</t>
  </si>
  <si>
    <t>03:45:09</t>
  </si>
  <si>
    <t>04:53:59</t>
  </si>
  <si>
    <t>Potornai Zoltán</t>
  </si>
  <si>
    <t>GURRIERI, Peter</t>
  </si>
  <si>
    <t>03:50:27</t>
  </si>
  <si>
    <t>04:10:13</t>
  </si>
  <si>
    <t>03:31:57</t>
  </si>
  <si>
    <t>Tepavac, Marko</t>
  </si>
  <si>
    <t>04:19:49</t>
  </si>
  <si>
    <t>Angster Áron</t>
  </si>
  <si>
    <t>03:58:50</t>
  </si>
  <si>
    <t>Savas, Spanudis</t>
  </si>
  <si>
    <t>Lénárt Zoltán dr</t>
  </si>
  <si>
    <t>04:05:33</t>
  </si>
  <si>
    <t>04:16:52</t>
  </si>
  <si>
    <t>Layous Robert</t>
  </si>
  <si>
    <t>04:52:39</t>
  </si>
  <si>
    <t>05:17:44</t>
  </si>
  <si>
    <t>Purdye, Graham</t>
  </si>
  <si>
    <t>Spernoga Miklós ifj</t>
  </si>
  <si>
    <t>04:29:26</t>
  </si>
  <si>
    <t>Timpson, Jonathan</t>
  </si>
  <si>
    <t>05:06:49</t>
  </si>
  <si>
    <t>ZURAUSKAS, OSVALDAS</t>
  </si>
  <si>
    <t>04:33:39</t>
  </si>
  <si>
    <t>Fornara, Hadrien</t>
  </si>
  <si>
    <t>02:55:45</t>
  </si>
  <si>
    <t>Nógrádi Ádám</t>
  </si>
  <si>
    <t>03:36:03</t>
  </si>
  <si>
    <t>Canterberry, William</t>
  </si>
  <si>
    <t>04:40:53</t>
  </si>
  <si>
    <t>Diker, Boris</t>
  </si>
  <si>
    <t>03:33:29</t>
  </si>
  <si>
    <t>04:46:31</t>
  </si>
  <si>
    <t>Neff, Gary</t>
  </si>
  <si>
    <t>03:50:38</t>
  </si>
  <si>
    <t>Patocskai Mátyás</t>
  </si>
  <si>
    <t>Saarijärvi, Eetu</t>
  </si>
  <si>
    <t>Dieter, Schlaefke</t>
  </si>
  <si>
    <t>05:19:39</t>
  </si>
  <si>
    <t>Irving, Neil</t>
  </si>
  <si>
    <t>03:31:13</t>
  </si>
  <si>
    <t>Hetey Márton</t>
  </si>
  <si>
    <t>Bányóczky Ferenc</t>
  </si>
  <si>
    <t>04:41:06</t>
  </si>
  <si>
    <t>Portörő Gábor</t>
  </si>
  <si>
    <t>Fredrik, Cato</t>
  </si>
  <si>
    <t>03:53:44</t>
  </si>
  <si>
    <t>Dósa Péter</t>
  </si>
  <si>
    <t>03:57:23</t>
  </si>
  <si>
    <t>Schmid, Sebastian</t>
  </si>
  <si>
    <t>03:48:56</t>
  </si>
  <si>
    <t>Cannini, Alberto prof</t>
  </si>
  <si>
    <t>02:48:46</t>
  </si>
  <si>
    <t>Ács Miklós</t>
  </si>
  <si>
    <t>Máth Dániel</t>
  </si>
  <si>
    <t>Hakk Bence</t>
  </si>
  <si>
    <t>Wilder William Jackson</t>
  </si>
  <si>
    <t>05:00:39</t>
  </si>
  <si>
    <t>Roberts, Bradley</t>
  </si>
  <si>
    <t>Davitt, Robert prof</t>
  </si>
  <si>
    <t>04:23:51</t>
  </si>
  <si>
    <t>Tratner Barna id</t>
  </si>
  <si>
    <t>03:21:59</t>
  </si>
  <si>
    <t>GAZEY, STEVEN</t>
  </si>
  <si>
    <t>04:00:43</t>
  </si>
  <si>
    <t>Andreas, Künkele</t>
  </si>
  <si>
    <t>03:32:14</t>
  </si>
  <si>
    <t>Germán Tibor</t>
  </si>
  <si>
    <t>Pálvölgyi Zoltán</t>
  </si>
  <si>
    <t>Berriman, Jack</t>
  </si>
  <si>
    <t>04:10:10</t>
  </si>
  <si>
    <t>Somodi László</t>
  </si>
  <si>
    <t>03:50:55</t>
  </si>
  <si>
    <t>Palmen, Nataschja</t>
  </si>
  <si>
    <t>04:22:29</t>
  </si>
  <si>
    <t>Vörös Zoltán Dr.</t>
  </si>
  <si>
    <t>04:19:26</t>
  </si>
  <si>
    <t>Dickinson, Patrick</t>
  </si>
  <si>
    <t>05:21:10</t>
  </si>
  <si>
    <t>Bodor Csaba Gergely</t>
  </si>
  <si>
    <t>Mátyus János</t>
  </si>
  <si>
    <t>05:16:45</t>
  </si>
  <si>
    <t>Jones, Neil prof</t>
  </si>
  <si>
    <t>03:18:21</t>
  </si>
  <si>
    <t>Enright, Brian</t>
  </si>
  <si>
    <t>Rahner Róbert</t>
  </si>
  <si>
    <t>04:29:23</t>
  </si>
  <si>
    <t>Koster, Henry</t>
  </si>
  <si>
    <t>03:43:23</t>
  </si>
  <si>
    <t>03:47:56</t>
  </si>
  <si>
    <t>02:43:10</t>
  </si>
  <si>
    <t>Bónis Ádám Dárius</t>
  </si>
  <si>
    <t>Bock Endre</t>
  </si>
  <si>
    <t>Talu, Alberto dr</t>
  </si>
  <si>
    <t>Krejčí, Robin</t>
  </si>
  <si>
    <t>Derényi Imre prof</t>
  </si>
  <si>
    <t>03:28:02</t>
  </si>
  <si>
    <t>Simonyi Balázs</t>
  </si>
  <si>
    <t>03:09:00</t>
  </si>
  <si>
    <t>Tekin, Veli</t>
  </si>
  <si>
    <t>Korteweg, Anton</t>
  </si>
  <si>
    <t>Schuch András</t>
  </si>
  <si>
    <t>03:46:38</t>
  </si>
  <si>
    <t>Nánai-Nagy Norbert dr</t>
  </si>
  <si>
    <t>04:44:55</t>
  </si>
  <si>
    <t>04:21:46</t>
  </si>
  <si>
    <t>Byrne, Matt</t>
  </si>
  <si>
    <t>Hollós Tamás</t>
  </si>
  <si>
    <t>Pult, Erich</t>
  </si>
  <si>
    <t>02:57:40</t>
  </si>
  <si>
    <t>Geiger Tamás</t>
  </si>
  <si>
    <t>Kiss, Gábor</t>
  </si>
  <si>
    <t>03:58:05</t>
  </si>
  <si>
    <t>Jordan, Daniel</t>
  </si>
  <si>
    <t>03:41:53</t>
  </si>
  <si>
    <t>Józsa Zalán Attila</t>
  </si>
  <si>
    <t>03:50:21</t>
  </si>
  <si>
    <t>Prencipe, Luigi Giovanni Dolores</t>
  </si>
  <si>
    <t>04:57:39</t>
  </si>
  <si>
    <t>Vincze Tibor</t>
  </si>
  <si>
    <t>Yaxley, Miles prof</t>
  </si>
  <si>
    <t>Hirschfeld, Richard</t>
  </si>
  <si>
    <t>03:08:52</t>
  </si>
  <si>
    <t>De Gennaro, Giovanni Battista</t>
  </si>
  <si>
    <t>03:21:11</t>
  </si>
  <si>
    <t>Papp Szabolcs</t>
  </si>
  <si>
    <t>05:18:50</t>
  </si>
  <si>
    <t>Ortega Jiménez, Manuel dr</t>
  </si>
  <si>
    <t>Iskra, Filip</t>
  </si>
  <si>
    <t>05:08:05</t>
  </si>
  <si>
    <t>Czimmer Máté</t>
  </si>
  <si>
    <t>03:32:01</t>
  </si>
  <si>
    <t>Kiss Olivér</t>
  </si>
  <si>
    <t>Jordán László</t>
  </si>
  <si>
    <t>Hedelund, Daniel Turi</t>
  </si>
  <si>
    <t>02:54:35</t>
  </si>
  <si>
    <t>Oláh János</t>
  </si>
  <si>
    <t>Galambos Norbert</t>
  </si>
  <si>
    <t>04:13:11</t>
  </si>
  <si>
    <t>Castano, Juan</t>
  </si>
  <si>
    <t>04:16:30</t>
  </si>
  <si>
    <t>Hartfree, Sam</t>
  </si>
  <si>
    <t>03:43:33</t>
  </si>
  <si>
    <t>Ihárosi Wiktor</t>
  </si>
  <si>
    <t>Igaz, Adam</t>
  </si>
  <si>
    <t>03:42:55</t>
  </si>
  <si>
    <t>Lendor, Isaac</t>
  </si>
  <si>
    <t>Notari, Massimo</t>
  </si>
  <si>
    <t>Koffein Kapitány</t>
  </si>
  <si>
    <t>03:58:38</t>
  </si>
  <si>
    <t>Albert Áron</t>
  </si>
  <si>
    <t>Neszmélyi Péter</t>
  </si>
  <si>
    <t>04:20:15</t>
  </si>
  <si>
    <t>03:58:31</t>
  </si>
  <si>
    <t>Zsigó Ádám</t>
  </si>
  <si>
    <t>03:55:11</t>
  </si>
  <si>
    <t>Deák Péter</t>
  </si>
  <si>
    <t>04:22:23</t>
  </si>
  <si>
    <t>Gentile, Francesco</t>
  </si>
  <si>
    <t>03:43:22</t>
  </si>
  <si>
    <t>04:47:32</t>
  </si>
  <si>
    <t>UBA, ARTUR</t>
  </si>
  <si>
    <t>05:28:04</t>
  </si>
  <si>
    <t>Kapus Richard</t>
  </si>
  <si>
    <t>Hughes, Perry</t>
  </si>
  <si>
    <t>05:51:15</t>
  </si>
  <si>
    <t>Stanisław, Szuksztul</t>
  </si>
  <si>
    <t>04:30:10</t>
  </si>
  <si>
    <t>Wessels, Jann</t>
  </si>
  <si>
    <t>04:40:41</t>
  </si>
  <si>
    <t>Beszteri Attila</t>
  </si>
  <si>
    <t>03:44:29</t>
  </si>
  <si>
    <t>Felix, Joao</t>
  </si>
  <si>
    <t>03:39:38</t>
  </si>
  <si>
    <t>Kaspár Máté István</t>
  </si>
  <si>
    <t>03:59:32</t>
  </si>
  <si>
    <t>Rucinski, Christian</t>
  </si>
  <si>
    <t>05:09:23</t>
  </si>
  <si>
    <t>Kazi Alex</t>
  </si>
  <si>
    <t>03:48:41</t>
  </si>
  <si>
    <t>04:19:42</t>
  </si>
  <si>
    <t>Váradi Attila</t>
  </si>
  <si>
    <t>04:47:26</t>
  </si>
  <si>
    <t>LEE, TOBIAS</t>
  </si>
  <si>
    <t>Cavagna, Cristian</t>
  </si>
  <si>
    <t>Malinov, Filip</t>
  </si>
  <si>
    <t>Anda Attila</t>
  </si>
  <si>
    <t>04:47:16</t>
  </si>
  <si>
    <t>Notz, Vincent</t>
  </si>
  <si>
    <t>Tono, Junya</t>
  </si>
  <si>
    <t>04:09:52</t>
  </si>
  <si>
    <t>Figarski, Tomasz</t>
  </si>
  <si>
    <t>04:24:05</t>
  </si>
  <si>
    <t>Sárközi Tamás</t>
  </si>
  <si>
    <t>04:40:19</t>
  </si>
  <si>
    <t>Papp Sándor Zoltán dr</t>
  </si>
  <si>
    <t>04:28:15</t>
  </si>
  <si>
    <t>Bodnár Dávid</t>
  </si>
  <si>
    <t>Etienne, Thomas</t>
  </si>
  <si>
    <t>Oku, Yusuke</t>
  </si>
  <si>
    <t>04:49:03</t>
  </si>
  <si>
    <t>Huszár András</t>
  </si>
  <si>
    <t>04:55:05</t>
  </si>
  <si>
    <t>Valdez, Ryan</t>
  </si>
  <si>
    <t>Jesus, Carlos</t>
  </si>
  <si>
    <t>04:17:49</t>
  </si>
  <si>
    <t>03:17:27</t>
  </si>
  <si>
    <t>Ducourneau, Laurent</t>
  </si>
  <si>
    <t>03:45:10</t>
  </si>
  <si>
    <t>Galdiolo, Nicola prof</t>
  </si>
  <si>
    <t>03:15:25</t>
  </si>
  <si>
    <t>Kovács Zsolt</t>
  </si>
  <si>
    <t>Benkö, Gábor</t>
  </si>
  <si>
    <t>03:47:00</t>
  </si>
  <si>
    <t>Briechle, Ivan</t>
  </si>
  <si>
    <t>Andersen, Flemming</t>
  </si>
  <si>
    <t>Bálint Zsolt</t>
  </si>
  <si>
    <t>Juhász Richárd Márk</t>
  </si>
  <si>
    <t>03:54:18</t>
  </si>
  <si>
    <t>Joó Csaba</t>
  </si>
  <si>
    <t>04:18:47</t>
  </si>
  <si>
    <t>05:27:16</t>
  </si>
  <si>
    <t>Bella Máté</t>
  </si>
  <si>
    <t>Fazekas János</t>
  </si>
  <si>
    <t>04:14:36</t>
  </si>
  <si>
    <t>Peeters, Cedric</t>
  </si>
  <si>
    <t>04:21:43</t>
  </si>
  <si>
    <t>04:17:48</t>
  </si>
  <si>
    <t>Serfel Péter</t>
  </si>
  <si>
    <t>03:26:14</t>
  </si>
  <si>
    <t>Menezes, Justin</t>
  </si>
  <si>
    <t>Ilosfai Tamás</t>
  </si>
  <si>
    <t>03:08:56</t>
  </si>
  <si>
    <t>Lassú Ferenc</t>
  </si>
  <si>
    <t>BURGAS DE BRIOUDE, OSCAR</t>
  </si>
  <si>
    <t>Frau, Nicola</t>
  </si>
  <si>
    <t>03:47:03</t>
  </si>
  <si>
    <t>Vízi Kristóf</t>
  </si>
  <si>
    <t>Zakál Miklós</t>
  </si>
  <si>
    <t>Gilbert, Alexander</t>
  </si>
  <si>
    <t>Bucher, Martin</t>
  </si>
  <si>
    <t>Szentmihályi Gergely</t>
  </si>
  <si>
    <t>04:31:46</t>
  </si>
  <si>
    <t>Price, William</t>
  </si>
  <si>
    <t>04:41:16</t>
  </si>
  <si>
    <t>Mullee, Caelainn</t>
  </si>
  <si>
    <t>05:23:49</t>
  </si>
  <si>
    <t>Hegedűs Ákos</t>
  </si>
  <si>
    <t>03:17:38</t>
  </si>
  <si>
    <t>Walthier Tamás ifj</t>
  </si>
  <si>
    <t>Guedes abreu, Rafael prof</t>
  </si>
  <si>
    <t>04:14:11</t>
  </si>
  <si>
    <t>Lunn, Oliver</t>
  </si>
  <si>
    <t>04:07:43</t>
  </si>
  <si>
    <t>Nicolas, Albi</t>
  </si>
  <si>
    <t>03:18:24</t>
  </si>
  <si>
    <t>Clune, Connor</t>
  </si>
  <si>
    <t>Palumbo, Michele</t>
  </si>
  <si>
    <t>Bodor Barnabás</t>
  </si>
  <si>
    <t>05:30:48</t>
  </si>
  <si>
    <t>Hegedus, Robert</t>
  </si>
  <si>
    <t>03:47:33</t>
  </si>
  <si>
    <t>Hattyasy László</t>
  </si>
  <si>
    <t>04:47:34</t>
  </si>
  <si>
    <t>03:41:15</t>
  </si>
  <si>
    <t>Schwarz, Mathis</t>
  </si>
  <si>
    <t>03:08:34</t>
  </si>
  <si>
    <t>Tandory Gábor</t>
  </si>
  <si>
    <t>Császár Előd</t>
  </si>
  <si>
    <t>03:21:48</t>
  </si>
  <si>
    <t>Kedro, Tomas</t>
  </si>
  <si>
    <t>03:41:57</t>
  </si>
  <si>
    <t>03:53:18</t>
  </si>
  <si>
    <t>Ubrankovics Tibor</t>
  </si>
  <si>
    <t>Antal Ákos</t>
  </si>
  <si>
    <t>04:05:31</t>
  </si>
  <si>
    <t>Simpson, Christopher</t>
  </si>
  <si>
    <t>02:50:36</t>
  </si>
  <si>
    <t>Bolla Bence László</t>
  </si>
  <si>
    <t>Zucchelli, Alessandro</t>
  </si>
  <si>
    <t>Avenant, JC</t>
  </si>
  <si>
    <t>Jakubik Zsolt</t>
  </si>
  <si>
    <t>04:34:20</t>
  </si>
  <si>
    <t>Hajnal Gergely</t>
  </si>
  <si>
    <t>Barker, Chris</t>
  </si>
  <si>
    <t>03:50:10</t>
  </si>
  <si>
    <t>Csonka Gergely</t>
  </si>
  <si>
    <t>Szakács Barna</t>
  </si>
  <si>
    <t>Mullally, Keith</t>
  </si>
  <si>
    <t>03:36:47</t>
  </si>
  <si>
    <t>03:58:06</t>
  </si>
  <si>
    <t>05:11:37</t>
  </si>
  <si>
    <t>Amoroso, Ivo Maria</t>
  </si>
  <si>
    <t>Marton Dávid</t>
  </si>
  <si>
    <t>Petróczki Imre</t>
  </si>
  <si>
    <t>02:42:02</t>
  </si>
  <si>
    <t>Peeters, Marc</t>
  </si>
  <si>
    <t>02:57:53</t>
  </si>
  <si>
    <t>Kasza Gergő</t>
  </si>
  <si>
    <t>04:45:20</t>
  </si>
  <si>
    <t>Szoboszlai-Gáspár István</t>
  </si>
  <si>
    <t>04:47:19</t>
  </si>
  <si>
    <t>Ekpe, Joseph</t>
  </si>
  <si>
    <t>Illés Bálint</t>
  </si>
  <si>
    <t>Calin, Feri</t>
  </si>
  <si>
    <t>04:27:24</t>
  </si>
  <si>
    <t>Torday Solyom</t>
  </si>
  <si>
    <t>04:24:13</t>
  </si>
  <si>
    <t>Pięta, Piotr prof</t>
  </si>
  <si>
    <t>03:37:39</t>
  </si>
  <si>
    <t>Bregnh?j, Emil</t>
  </si>
  <si>
    <t>03:10:22</t>
  </si>
  <si>
    <t>Segers, Kevin</t>
  </si>
  <si>
    <t>04:39:30</t>
  </si>
  <si>
    <t>De Lee, Johan</t>
  </si>
  <si>
    <t>Juhász Botond</t>
  </si>
  <si>
    <t>Prakushenkau, Dzmitry</t>
  </si>
  <si>
    <t>Kenéz Márton</t>
  </si>
  <si>
    <t>04:29:30</t>
  </si>
  <si>
    <t>Piszkor Péter</t>
  </si>
  <si>
    <t>04:30:49</t>
  </si>
  <si>
    <t>CARLOTTI, GIMMI</t>
  </si>
  <si>
    <t>04:30:08</t>
  </si>
  <si>
    <t>Szabó Balázs György</t>
  </si>
  <si>
    <t>04:37:35</t>
  </si>
  <si>
    <t>Lukács Ákos</t>
  </si>
  <si>
    <t>03:07:33</t>
  </si>
  <si>
    <t>Helembai Csaba</t>
  </si>
  <si>
    <t>04:37:22</t>
  </si>
  <si>
    <t>Miskei Gergely</t>
  </si>
  <si>
    <t>04:24:33</t>
  </si>
  <si>
    <t>Mantovan Roberto dr</t>
  </si>
  <si>
    <t>03:26:28</t>
  </si>
  <si>
    <t>Huber György</t>
  </si>
  <si>
    <t>Erdős Attila</t>
  </si>
  <si>
    <t>03:48:08</t>
  </si>
  <si>
    <t>McGurty, Matthew</t>
  </si>
  <si>
    <t>05:12:19</t>
  </si>
  <si>
    <t>Andersson, Kim</t>
  </si>
  <si>
    <t>Porsmyr Andersen, Sigurd</t>
  </si>
  <si>
    <t>04:38:29</t>
  </si>
  <si>
    <t>Pádár István</t>
  </si>
  <si>
    <t>04:48:04</t>
  </si>
  <si>
    <t>Demmelmayr, Karl Heinz</t>
  </si>
  <si>
    <t>Hajagos Róbert</t>
  </si>
  <si>
    <t>04:53:09</t>
  </si>
  <si>
    <t>Cislaghi, Antonio</t>
  </si>
  <si>
    <t>Szymon, Dziubecki</t>
  </si>
  <si>
    <t>05:12:45</t>
  </si>
  <si>
    <t>Balogh Attila</t>
  </si>
  <si>
    <t>Ámon Gergely</t>
  </si>
  <si>
    <t>04:18:39</t>
  </si>
  <si>
    <t>Krzysztof, Klos</t>
  </si>
  <si>
    <t>03:54:41</t>
  </si>
  <si>
    <t>Sabo Dániel</t>
  </si>
  <si>
    <t>04:56:17</t>
  </si>
  <si>
    <t>Kalapács Kornél</t>
  </si>
  <si>
    <t>04:08:13</t>
  </si>
  <si>
    <t>Bernád Mihály</t>
  </si>
  <si>
    <t>Lakomcsik Attila</t>
  </si>
  <si>
    <t>Szőke Péter</t>
  </si>
  <si>
    <t>04:46:09</t>
  </si>
  <si>
    <t>Benjamin, JOLY</t>
  </si>
  <si>
    <t>Vojnic Tunic, Bojan</t>
  </si>
  <si>
    <t>04:51:35</t>
  </si>
  <si>
    <t>Väänänen, Jarmo</t>
  </si>
  <si>
    <t>03:29:47</t>
  </si>
  <si>
    <t>04:14:17</t>
  </si>
  <si>
    <t>Kondor Csaba</t>
  </si>
  <si>
    <t>04:54:59</t>
  </si>
  <si>
    <t>Magnusson, Rikard</t>
  </si>
  <si>
    <t>04:49:16</t>
  </si>
  <si>
    <t>Pató Márton Ábel</t>
  </si>
  <si>
    <t>03:29:00</t>
  </si>
  <si>
    <t>Nagy Ádám dr</t>
  </si>
  <si>
    <t>02:56:40</t>
  </si>
  <si>
    <t>04:48:05</t>
  </si>
  <si>
    <t>Alegre Gallart, joan Ferran prof</t>
  </si>
  <si>
    <t>03:20:21</t>
  </si>
  <si>
    <t>Kadoury, Sarmad</t>
  </si>
  <si>
    <t>Gilányi Tamás</t>
  </si>
  <si>
    <t>04:33:27</t>
  </si>
  <si>
    <t>Szirom Gábor</t>
  </si>
  <si>
    <t>03:35:23</t>
  </si>
  <si>
    <t>Kerekes Ábel</t>
  </si>
  <si>
    <t>03:30:16</t>
  </si>
  <si>
    <t>Fairclough, Oliver</t>
  </si>
  <si>
    <t>04:45:24</t>
  </si>
  <si>
    <t>Fekete Sándor</t>
  </si>
  <si>
    <t>Diesel, Simon</t>
  </si>
  <si>
    <t>02:50:52</t>
  </si>
  <si>
    <t>Dan, Andersen</t>
  </si>
  <si>
    <t>Costa, Alessandro Nicola</t>
  </si>
  <si>
    <t>02:58:30</t>
  </si>
  <si>
    <t>Várszegi Bence</t>
  </si>
  <si>
    <t>04:31:31</t>
  </si>
  <si>
    <t>rinaldi tufi, Francesco dr</t>
  </si>
  <si>
    <t>03:27:51</t>
  </si>
  <si>
    <t>Filip, Kowtun</t>
  </si>
  <si>
    <t>05:21:29</t>
  </si>
  <si>
    <t>Jansen van Rensburg Andreas</t>
  </si>
  <si>
    <t>05:15:35</t>
  </si>
  <si>
    <t>Lubner, Sam</t>
  </si>
  <si>
    <t>04:07:48</t>
  </si>
  <si>
    <t>Richard, Borruat</t>
  </si>
  <si>
    <t>04:44:31</t>
  </si>
  <si>
    <t>Vida László</t>
  </si>
  <si>
    <t>04:22:42</t>
  </si>
  <si>
    <t>Csalló Miklós</t>
  </si>
  <si>
    <t>03:41:06</t>
  </si>
  <si>
    <t>Afendi, Farhan</t>
  </si>
  <si>
    <t>04:23:45</t>
  </si>
  <si>
    <t>Urso, Vincenzo prof</t>
  </si>
  <si>
    <t>MÉSZÁROS ARNOLD</t>
  </si>
  <si>
    <t>04:23:57</t>
  </si>
  <si>
    <t>03:49:27</t>
  </si>
  <si>
    <t>Mala Miklós</t>
  </si>
  <si>
    <t>04:18:32</t>
  </si>
  <si>
    <t>04:55:24</t>
  </si>
  <si>
    <t>Taylor, Simon</t>
  </si>
  <si>
    <t>Éry Tamás</t>
  </si>
  <si>
    <t>04:52:44</t>
  </si>
  <si>
    <t>03:44:28</t>
  </si>
  <si>
    <t>Jakab Richárd</t>
  </si>
  <si>
    <t>04:44:30</t>
  </si>
  <si>
    <t>03:57:27</t>
  </si>
  <si>
    <t>Rivera, Jesus</t>
  </si>
  <si>
    <t>Tóth Péter Attila</t>
  </si>
  <si>
    <t>03:44:48</t>
  </si>
  <si>
    <t>Tonkin, Jeremy</t>
  </si>
  <si>
    <t>05:11:38</t>
  </si>
  <si>
    <t>Nagy Vilmos</t>
  </si>
  <si>
    <t>03:14:12</t>
  </si>
  <si>
    <t>Doras, Quaid</t>
  </si>
  <si>
    <t>04:41:22</t>
  </si>
  <si>
    <t>05:26:51</t>
  </si>
  <si>
    <t>Lassak, Tibor</t>
  </si>
  <si>
    <t>04:19:15</t>
  </si>
  <si>
    <t>Bagdan David</t>
  </si>
  <si>
    <t>03:06:46</t>
  </si>
  <si>
    <t>Pareja Esteban, Jose Antonio dr</t>
  </si>
  <si>
    <t>03:49:39</t>
  </si>
  <si>
    <t>Zakor István</t>
  </si>
  <si>
    <t>04:00:13</t>
  </si>
  <si>
    <t>Hegedus-Pickvance Balazs</t>
  </si>
  <si>
    <t>04:31:21</t>
  </si>
  <si>
    <t>Harlamenkov Dmitrij</t>
  </si>
  <si>
    <t>04:14:45</t>
  </si>
  <si>
    <t>04:16:43</t>
  </si>
  <si>
    <t>Cheung, Jason</t>
  </si>
  <si>
    <t>05:13:04</t>
  </si>
  <si>
    <t>03:38:20</t>
  </si>
  <si>
    <t>Nyirkos Zsolt</t>
  </si>
  <si>
    <t>05:11:05</t>
  </si>
  <si>
    <t>Sopisz Aposztolisz</t>
  </si>
  <si>
    <t>04:43:58</t>
  </si>
  <si>
    <t>Hohmann Norbert</t>
  </si>
  <si>
    <t>Kalanovics Marcell</t>
  </si>
  <si>
    <t>03:46:29</t>
  </si>
  <si>
    <t>nicolas, huneault</t>
  </si>
  <si>
    <t>05:33:22</t>
  </si>
  <si>
    <t>Ambrus József</t>
  </si>
  <si>
    <t>04:59:28</t>
  </si>
  <si>
    <t>Díaz, Marcelo</t>
  </si>
  <si>
    <t>04:51:12</t>
  </si>
  <si>
    <t>Bogya Dávid</t>
  </si>
  <si>
    <t>03:55:15</t>
  </si>
  <si>
    <t>Nestepny, Peter</t>
  </si>
  <si>
    <t>Serge, Dupied</t>
  </si>
  <si>
    <t>04:51:46</t>
  </si>
  <si>
    <t>Kaljunen, Jani</t>
  </si>
  <si>
    <t>05:24:09</t>
  </si>
  <si>
    <t>04:23:44</t>
  </si>
  <si>
    <t>Philippe, LINXE</t>
  </si>
  <si>
    <t>Szajkó Tamás</t>
  </si>
  <si>
    <t>02:59:35</t>
  </si>
  <si>
    <t>Jans, Bart</t>
  </si>
  <si>
    <t>04:48:11</t>
  </si>
  <si>
    <t>Sirirat, Wichai</t>
  </si>
  <si>
    <t>03:47:37</t>
  </si>
  <si>
    <t>Thompson, Jay</t>
  </si>
  <si>
    <t>03:49:16</t>
  </si>
  <si>
    <t>Polgár András</t>
  </si>
  <si>
    <t>04:48:31</t>
  </si>
  <si>
    <t>mega, pierpaolo dr</t>
  </si>
  <si>
    <t>Halik Péter</t>
  </si>
  <si>
    <t>03:30:45</t>
  </si>
  <si>
    <t>Byrne, Jack</t>
  </si>
  <si>
    <t>Hälvin, Valdo</t>
  </si>
  <si>
    <t>03:56:49</t>
  </si>
  <si>
    <t>03:28:17</t>
  </si>
  <si>
    <t>03:59:43</t>
  </si>
  <si>
    <t>Mandalia, Hinesh</t>
  </si>
  <si>
    <t>04:11:48</t>
  </si>
  <si>
    <t>Scharfenberg, Andre</t>
  </si>
  <si>
    <t>04:10:45</t>
  </si>
  <si>
    <t>Harvey, Keith</t>
  </si>
  <si>
    <t>05:40:14</t>
  </si>
  <si>
    <t>04:41:37</t>
  </si>
  <si>
    <t>Pallo, Rait</t>
  </si>
  <si>
    <t>02:55:30</t>
  </si>
  <si>
    <t>Matouek, Martin</t>
  </si>
  <si>
    <t>04:27:58</t>
  </si>
  <si>
    <t>Van Damme, Jasper</t>
  </si>
  <si>
    <t>04:23:04</t>
  </si>
  <si>
    <t>Körtvélyes Zsolt</t>
  </si>
  <si>
    <t>03:44:37</t>
  </si>
  <si>
    <t>BRENIAUX-EMATCHOUA, Matthieu</t>
  </si>
  <si>
    <t>04:06:53</t>
  </si>
  <si>
    <t>Blendinger, Philipp</t>
  </si>
  <si>
    <t>Izsák Péter</t>
  </si>
  <si>
    <t>05:12:39</t>
  </si>
  <si>
    <t>Fülöp Dávid</t>
  </si>
  <si>
    <t>03:05:40</t>
  </si>
  <si>
    <t>Bernabeu Calatayud, Francisco Javier</t>
  </si>
  <si>
    <t>03:46:36</t>
  </si>
  <si>
    <t>Göndör Ferenc</t>
  </si>
  <si>
    <t>03:29:42</t>
  </si>
  <si>
    <t>ROSAS MENDOZA, JOSE</t>
  </si>
  <si>
    <t>04:36:57</t>
  </si>
  <si>
    <t>Chrapek, Dawid</t>
  </si>
  <si>
    <t>03:54:40</t>
  </si>
  <si>
    <t>Szabó Mihály</t>
  </si>
  <si>
    <t>04:10:52</t>
  </si>
  <si>
    <t>Tainha, Paulo</t>
  </si>
  <si>
    <t>04:11:38</t>
  </si>
  <si>
    <t>Turcanu, Vasile prof</t>
  </si>
  <si>
    <t>Schjerpen, Jon</t>
  </si>
  <si>
    <t>03:04:26</t>
  </si>
  <si>
    <t>Tankó Péter</t>
  </si>
  <si>
    <t>L?we, Per Kristian Lie</t>
  </si>
  <si>
    <t>03:17:35</t>
  </si>
  <si>
    <t>05:10:14</t>
  </si>
  <si>
    <t>Yusri, Yusuf</t>
  </si>
  <si>
    <t>04:25:13</t>
  </si>
  <si>
    <t>04:23:48</t>
  </si>
  <si>
    <t>Kobolák István</t>
  </si>
  <si>
    <t>Reményi Lajos</t>
  </si>
  <si>
    <t>03:55:52</t>
  </si>
  <si>
    <t>Gosztonyi Botond</t>
  </si>
  <si>
    <t>05:08:07</t>
  </si>
  <si>
    <t>Senese, Adriano</t>
  </si>
  <si>
    <t>03:56:07</t>
  </si>
  <si>
    <t>04:45:49</t>
  </si>
  <si>
    <t>03:49:19</t>
  </si>
  <si>
    <t>Baksai Károly</t>
  </si>
  <si>
    <t>03:28:54</t>
  </si>
  <si>
    <t>Bajkán Csaba</t>
  </si>
  <si>
    <t>Sultangareev, Reshat</t>
  </si>
  <si>
    <t>Klánicza Viktor</t>
  </si>
  <si>
    <t>04:54:29</t>
  </si>
  <si>
    <t>03:28:55</t>
  </si>
  <si>
    <t>Villax Richárd</t>
  </si>
  <si>
    <t>04:35:58</t>
  </si>
  <si>
    <t>Vlha, Martin</t>
  </si>
  <si>
    <t>04:46:06</t>
  </si>
  <si>
    <t>László László</t>
  </si>
  <si>
    <t>Bernas, Tomá</t>
  </si>
  <si>
    <t>Korobeynikov, Yaroslav</t>
  </si>
  <si>
    <t>02:56:33</t>
  </si>
  <si>
    <t>Ji, Jiang Jie</t>
  </si>
  <si>
    <t>03:33:53</t>
  </si>
  <si>
    <t>Pym, Brett</t>
  </si>
  <si>
    <t>BOTELLA, JEAN-YVES</t>
  </si>
  <si>
    <t>03:43:38</t>
  </si>
  <si>
    <t>03:50:56</t>
  </si>
  <si>
    <t>Walters, Alex</t>
  </si>
  <si>
    <t>02:53:31</t>
  </si>
  <si>
    <t>Simon István Krisztián</t>
  </si>
  <si>
    <t>Demjén István</t>
  </si>
  <si>
    <t>Kobyłecki, Mateusz</t>
  </si>
  <si>
    <t>03:00:04</t>
  </si>
  <si>
    <t>Bognár László</t>
  </si>
  <si>
    <t>03:38:47</t>
  </si>
  <si>
    <t>Lloyd, Zachary</t>
  </si>
  <si>
    <t>04:42:11</t>
  </si>
  <si>
    <t>Alon, Inbar</t>
  </si>
  <si>
    <t>03:30:10</t>
  </si>
  <si>
    <t>Gárdonyi Gábor</t>
  </si>
  <si>
    <t>AVELLANA REVUELTA, XAVIER prof</t>
  </si>
  <si>
    <t>04:34:55</t>
  </si>
  <si>
    <t>Kósa Ádám</t>
  </si>
  <si>
    <t>Morócz József</t>
  </si>
  <si>
    <t>04:37:00</t>
  </si>
  <si>
    <t>04:01:44</t>
  </si>
  <si>
    <t>Nunes, Jorge</t>
  </si>
  <si>
    <t>05:22:55</t>
  </si>
  <si>
    <t>Bartolák Csaba dr.</t>
  </si>
  <si>
    <t>Karvalics Norbert</t>
  </si>
  <si>
    <t>04:15:02</t>
  </si>
  <si>
    <t>Czermann Tamás</t>
  </si>
  <si>
    <t>Strapko, Peter</t>
  </si>
  <si>
    <t>04:09:38</t>
  </si>
  <si>
    <t>de Bruin, Robin prof</t>
  </si>
  <si>
    <t>04:23:24</t>
  </si>
  <si>
    <t>Anastasiadis, Anastasios</t>
  </si>
  <si>
    <t>03:20:52</t>
  </si>
  <si>
    <t>Cannon, Benjamin</t>
  </si>
  <si>
    <t>02:57:56</t>
  </si>
  <si>
    <t>Nielsen, Thomas</t>
  </si>
  <si>
    <t>03:39:12</t>
  </si>
  <si>
    <t>Knights, William</t>
  </si>
  <si>
    <t>Russell, steven</t>
  </si>
  <si>
    <t>Ridgway, Timothy</t>
  </si>
  <si>
    <t>03:59:24</t>
  </si>
  <si>
    <t>04:14:10</t>
  </si>
  <si>
    <t>Hunt, James</t>
  </si>
  <si>
    <t>04:39:19</t>
  </si>
  <si>
    <t>Gyávol, Dávid</t>
  </si>
  <si>
    <t>04:42:25</t>
  </si>
  <si>
    <t>Tarján Zoltán</t>
  </si>
  <si>
    <t>04:23:42</t>
  </si>
  <si>
    <t>Harrell, John</t>
  </si>
  <si>
    <t>04:33:35</t>
  </si>
  <si>
    <t>Ameloot, Frederik</t>
  </si>
  <si>
    <t>03:30:47</t>
  </si>
  <si>
    <t>Menuisier, Yannick</t>
  </si>
  <si>
    <t>04:40:39</t>
  </si>
  <si>
    <t>Gazsó Tamás</t>
  </si>
  <si>
    <t>04:39:15</t>
  </si>
  <si>
    <t>Michelsen, Ketil</t>
  </si>
  <si>
    <t>04:15:15</t>
  </si>
  <si>
    <t>imek, Miroslav</t>
  </si>
  <si>
    <t>04:46:40</t>
  </si>
  <si>
    <t>DICEMBRINO, Matteo</t>
  </si>
  <si>
    <t>04:18:28</t>
  </si>
  <si>
    <t>Toldi Péter</t>
  </si>
  <si>
    <t>Akakpo, JeanPierre</t>
  </si>
  <si>
    <t>03:43:19</t>
  </si>
  <si>
    <t>Williams, Luke</t>
  </si>
  <si>
    <t>PANTELIDES, CHRISIS</t>
  </si>
  <si>
    <t>03:46:32</t>
  </si>
  <si>
    <t>Amalfitano, Marco</t>
  </si>
  <si>
    <t>04:55:09</t>
  </si>
  <si>
    <t>Godwyn, Baptiste prof</t>
  </si>
  <si>
    <t>Tanucci, Lorenzo</t>
  </si>
  <si>
    <t>04:39:37</t>
  </si>
  <si>
    <t>Sasvári Csaba</t>
  </si>
  <si>
    <t>05:10:17</t>
  </si>
  <si>
    <t>Halász Máté</t>
  </si>
  <si>
    <t>Posner, Kyle</t>
  </si>
  <si>
    <t>03:48:28</t>
  </si>
  <si>
    <t>Polencsik Ádám</t>
  </si>
  <si>
    <t>04:42:06</t>
  </si>
  <si>
    <t>Platzer, Patrick</t>
  </si>
  <si>
    <t>04:17:31</t>
  </si>
  <si>
    <t>05:45:07</t>
  </si>
  <si>
    <t>Morrow, Liam</t>
  </si>
  <si>
    <t>03:45:38</t>
  </si>
  <si>
    <t>Sári Csaba</t>
  </si>
  <si>
    <t>Szmodics Zsolt</t>
  </si>
  <si>
    <t>Varsányi Péter</t>
  </si>
  <si>
    <t>Mansfield-Osborne, Raphael</t>
  </si>
  <si>
    <t>Tobias, Feuer</t>
  </si>
  <si>
    <t>Csapo, Huba</t>
  </si>
  <si>
    <t>Boorsma, Luuk</t>
  </si>
  <si>
    <t>Latham, Jody</t>
  </si>
  <si>
    <t>Pinke Attila</t>
  </si>
  <si>
    <t>04:37:16</t>
  </si>
  <si>
    <t>Luff, Brendan</t>
  </si>
  <si>
    <t>Buscicchio, Gabriele</t>
  </si>
  <si>
    <t>02:57:27</t>
  </si>
  <si>
    <t>Mickey, Price</t>
  </si>
  <si>
    <t>03:45:32</t>
  </si>
  <si>
    <t>Ulics István</t>
  </si>
  <si>
    <t>04:41:01</t>
  </si>
  <si>
    <t>04:19:51</t>
  </si>
  <si>
    <t>Menczer Péter</t>
  </si>
  <si>
    <t>04:29:36</t>
  </si>
  <si>
    <t>Georgescu, Sergiu</t>
  </si>
  <si>
    <t>West, Jordan prof</t>
  </si>
  <si>
    <t>03:34:54</t>
  </si>
  <si>
    <t>Gaston, Oliver</t>
  </si>
  <si>
    <t>03:17:16</t>
  </si>
  <si>
    <t>Szabados Attila</t>
  </si>
  <si>
    <t>04:10:23</t>
  </si>
  <si>
    <t>Pizzati, Valentino</t>
  </si>
  <si>
    <t>Schütz, Johann</t>
  </si>
  <si>
    <t>04:09:04</t>
  </si>
  <si>
    <t>Eperjesi Dávid</t>
  </si>
  <si>
    <t>Ádám Szilamér</t>
  </si>
  <si>
    <t>04:09:16</t>
  </si>
  <si>
    <t>05:23:23</t>
  </si>
  <si>
    <t>Péczy Tamás</t>
  </si>
  <si>
    <t>04:18:56</t>
  </si>
  <si>
    <t>Déchance, OLIVIER claude prof</t>
  </si>
  <si>
    <t>03:06:05</t>
  </si>
  <si>
    <t>Váradi Patrik</t>
  </si>
  <si>
    <t>04:55:51</t>
  </si>
  <si>
    <t>Goldsmith, Ian</t>
  </si>
  <si>
    <t>05:12:17</t>
  </si>
  <si>
    <t>03:31:10</t>
  </si>
  <si>
    <t>Murphy-Jameson, Edward</t>
  </si>
  <si>
    <t>04:14:24</t>
  </si>
  <si>
    <t>Riegler Péter</t>
  </si>
  <si>
    <t>Kelemen, Sven</t>
  </si>
  <si>
    <t>LARYIONAU, ARTUR</t>
  </si>
  <si>
    <t>03:31:03</t>
  </si>
  <si>
    <t>03:04:54</t>
  </si>
  <si>
    <t>Pap Zsolt</t>
  </si>
  <si>
    <t>05:08:02</t>
  </si>
  <si>
    <t>Ladislav, Szőcs dr</t>
  </si>
  <si>
    <t>04:44:42</t>
  </si>
  <si>
    <t>Surányi Balázs</t>
  </si>
  <si>
    <t>05:26:20</t>
  </si>
  <si>
    <t>Clothier, William</t>
  </si>
  <si>
    <t>04:45:54</t>
  </si>
  <si>
    <t>PSAROGARAKIS, EFTYCHIOS</t>
  </si>
  <si>
    <t>Kveták Vilmos Roland</t>
  </si>
  <si>
    <t>Támis Norbert</t>
  </si>
  <si>
    <t>Papageorgiou, Dimitrios</t>
  </si>
  <si>
    <t>Langley, Robert</t>
  </si>
  <si>
    <t>04:23:29</t>
  </si>
  <si>
    <t>Gómez Gragera, Aser</t>
  </si>
  <si>
    <t>02:48:33</t>
  </si>
  <si>
    <t>Buzár Dávid</t>
  </si>
  <si>
    <t>03:06:40</t>
  </si>
  <si>
    <t>Harrison, George</t>
  </si>
  <si>
    <t>04:50:36</t>
  </si>
  <si>
    <t>bert, dimitri</t>
  </si>
  <si>
    <t>van Exter, Robert-John</t>
  </si>
  <si>
    <t>04:00:29</t>
  </si>
  <si>
    <t>Kiss Tamás</t>
  </si>
  <si>
    <t>04:30:34</t>
  </si>
  <si>
    <t>Bruno, Coër</t>
  </si>
  <si>
    <t>Filip, Pavloň</t>
  </si>
  <si>
    <t>03:43:34</t>
  </si>
  <si>
    <t>Várady Zoltán</t>
  </si>
  <si>
    <t>Chehaia, Nicolae</t>
  </si>
  <si>
    <t>04:49:20</t>
  </si>
  <si>
    <t>Dunn, Jonathan</t>
  </si>
  <si>
    <t>05:39:28</t>
  </si>
  <si>
    <t>Rácz Máté</t>
  </si>
  <si>
    <t>Castro, Joseph</t>
  </si>
  <si>
    <t>PASCUCCI, MORENO</t>
  </si>
  <si>
    <t>05:07:25</t>
  </si>
  <si>
    <t>Boulbes, Guillaume</t>
  </si>
  <si>
    <t>04:16:40</t>
  </si>
  <si>
    <t>Francis, CASSU</t>
  </si>
  <si>
    <t>03:21:16</t>
  </si>
  <si>
    <t>Szalánczi Máté</t>
  </si>
  <si>
    <t>03:27:04</t>
  </si>
  <si>
    <t>Carlsson, Patrik</t>
  </si>
  <si>
    <t>04:42:19</t>
  </si>
  <si>
    <t>Keeton, Henry</t>
  </si>
  <si>
    <t>Philippe, Roscamp</t>
  </si>
  <si>
    <t>Meza, Alejandro</t>
  </si>
  <si>
    <t>Ágota András</t>
  </si>
  <si>
    <t>03:51:08</t>
  </si>
  <si>
    <t>Metz, Thomas</t>
  </si>
  <si>
    <t>Parkhomenko, Bohdan prof</t>
  </si>
  <si>
    <t>03:31:20</t>
  </si>
  <si>
    <t>Forsman, Sebastian</t>
  </si>
  <si>
    <t>03:13:39</t>
  </si>
  <si>
    <t>Arnaud, Ghera</t>
  </si>
  <si>
    <t>Pugliese, Donato</t>
  </si>
  <si>
    <t>04:16:36</t>
  </si>
  <si>
    <t>Domonkos Szabolcs</t>
  </si>
  <si>
    <t>05:09:24</t>
  </si>
  <si>
    <t>Ungureanu, Nicolae</t>
  </si>
  <si>
    <t>04:17:22</t>
  </si>
  <si>
    <t>PUNTA BENITEZ, JOSE MIGUEL</t>
  </si>
  <si>
    <t>Keresztes Balázs</t>
  </si>
  <si>
    <t>05:08:59</t>
  </si>
  <si>
    <t>03:44:34</t>
  </si>
  <si>
    <t>fee, kevin prof</t>
  </si>
  <si>
    <t>05:34:20</t>
  </si>
  <si>
    <t>Simó Szilveszter</t>
  </si>
  <si>
    <t>Cuénoud, Thierry</t>
  </si>
  <si>
    <t>Matthew, Lang</t>
  </si>
  <si>
    <t>03:35:59</t>
  </si>
  <si>
    <t>Farkas Arnold Péter Dr.</t>
  </si>
  <si>
    <t>Bernaert, Rene</t>
  </si>
  <si>
    <t>St leger, Michael prof</t>
  </si>
  <si>
    <t>Szerencsés Tamás</t>
  </si>
  <si>
    <t>05:07:22</t>
  </si>
  <si>
    <t>Szabari Péter</t>
  </si>
  <si>
    <t>04:23:22</t>
  </si>
  <si>
    <t>Gergely, Alexander</t>
  </si>
  <si>
    <t>Wróbel, Tomasz</t>
  </si>
  <si>
    <t>03:25:58</t>
  </si>
  <si>
    <t>Szeles Csaba</t>
  </si>
  <si>
    <t>05:16:24</t>
  </si>
  <si>
    <t>03:40:48</t>
  </si>
  <si>
    <t>Mckay, Alex</t>
  </si>
  <si>
    <t>Halycsik Renátó</t>
  </si>
  <si>
    <t>04:41:52</t>
  </si>
  <si>
    <t>Török, Raimond</t>
  </si>
  <si>
    <t>04:57:54</t>
  </si>
  <si>
    <t>Jellemezze ezen bűncselekmények típus szerinti alakulását! Mely bűncselekmények súlya nőtt, és melyeké csökkent ebben a 15 évben?</t>
  </si>
  <si>
    <t>A Központi Statisztikai Hivatal honlapján megtalálható a regisztrált bűncselekmények száma 2013 és 2025 között. Ezek a következő kategóriákba szedve jelennek meg a lenti táblázatban:
- Személy elleni erőszakos bűncselekmények (emberölés, emberölés kísérlete, gondatlan emberölés, testi sértés)
- Közlekedési bűncselekmények (közúti baleset okozása, ittas/bódult járművezetés)
- Család-, ifjúság- és nemi szabadság elleni bűncselekmények (kiskorú veszélyeztetése, tartási kötelezettség elmulasztása, kapcsolati erőszak, szexuális erőszak, szexuális kényszerítés)
- Közrend, közbiztonság és igazságszolgáltatás elleni bűncselekmények (garázdaság, hivatalos személy és közfeladatot ellátó személy elleni erőszak, kábítószeres bűncselekmények)
- Vagyon elleni bűncselekmények (rablás, lopás, rongálás, orgazdaság, sikkasztás, csalás)
- Egyéb bűncselekmények (pl. okirat-hamisítás, gazdasági bűncselekmények, kiberbűnözés, korrupció, környezet elleni bűncselekmények, stb.)</t>
  </si>
  <si>
    <t>Közlekedési</t>
  </si>
  <si>
    <t>Egyéb</t>
  </si>
  <si>
    <t>Személyi</t>
  </si>
  <si>
    <t>Családi, stb.</t>
  </si>
  <si>
    <t>Vagyoni</t>
  </si>
  <si>
    <t>Közrendi</t>
  </si>
  <si>
    <t>&lt;11</t>
  </si>
  <si>
    <t>11-20</t>
  </si>
  <si>
    <t>21-30</t>
  </si>
  <si>
    <t>31-40</t>
  </si>
  <si>
    <t>41-50</t>
  </si>
  <si>
    <t>51-60</t>
  </si>
  <si>
    <t>61-70</t>
  </si>
  <si>
    <t>81-90</t>
  </si>
  <si>
    <r>
      <t xml:space="preserve">Néhány sokaság nagyságának alakulása </t>
    </r>
    <r>
      <rPr>
        <sz val="10"/>
        <color theme="0" tint="-0.499984740745262"/>
        <rFont val="Arial"/>
        <family val="2"/>
        <charset val="238"/>
      </rPr>
      <t>(frissített adatokkal)</t>
    </r>
    <r>
      <rPr>
        <sz val="10"/>
        <rFont val="Arial"/>
        <family val="2"/>
        <charset val="238"/>
      </rPr>
      <t>:</t>
    </r>
  </si>
  <si>
    <t>Népesség száma
évközepi átlag, fő</t>
  </si>
  <si>
    <t>Személygépkocsik 
száma (évközepi)</t>
  </si>
  <si>
    <t>2015=100%</t>
  </si>
  <si>
    <r>
      <rPr>
        <b/>
        <sz val="10"/>
        <color rgb="FF008080"/>
        <rFont val="Arial"/>
        <family val="2"/>
        <charset val="238"/>
      </rPr>
      <t>Néhány értelmezés:</t>
    </r>
    <r>
      <rPr>
        <sz val="10"/>
        <rFont val="Arial"/>
        <family val="2"/>
        <charset val="238"/>
      </rPr>
      <t xml:space="preserve">
2023-ról 2024-re a házasságkötések száma csökkent ugyan, de 2024-ben még így is magasabb szinten volt, mint 2015-ben. A népességszám a vizsgált években folyamatosan csökkent, a 10 év alatt összességében közel 3%-kal. Bár 2025-ben a házasságkötések száma az előző évihez képest lényegében stagnált, mivel a népesség csökkent, az ezer főre jutó házasságkötések száma kb. 0,6%-kal nőtt.
A diagramok alapján a mindegyik évben több házasság köttetett, mint 2015-ben (bázisviszonyszám), de az előző évekhez képest többször is (2016, 2018-2021, 2025) növekedés volt megfigyelhető (láncviszonyszám). A házasságkötések száma 2021-ben érte el csúcspontját (bázisviszonyszám), a legnagyobb mértékű változás (növekedés) 2019-ben következett be (láncviszonyszám).
A személygépkocsiállomány folyamatos növekedését látjuk, és mivel a népesség folyamatosan csökken, az ezer főre jutó személygépkocsik számának növekedése még jelentősebb (2025-ben az előző évhez képest 3%, 2015-höz képest 41,1%).</t>
    </r>
  </si>
  <si>
    <t>2025/2026</t>
  </si>
  <si>
    <t>gazdaságinformatika</t>
  </si>
  <si>
    <t>nemzetközi tanulmányok</t>
  </si>
  <si>
    <t>politológia</t>
  </si>
  <si>
    <t>kommunikáció</t>
  </si>
  <si>
    <t>szociológia</t>
  </si>
  <si>
    <t>Céljegy</t>
  </si>
  <si>
    <t>&lt;401</t>
  </si>
  <si>
    <t>401-410</t>
  </si>
  <si>
    <t>411-420</t>
  </si>
  <si>
    <t>421-430</t>
  </si>
  <si>
    <t>431-440</t>
  </si>
  <si>
    <t>441-450</t>
  </si>
  <si>
    <t>451-460</t>
  </si>
  <si>
    <t>461-470</t>
  </si>
  <si>
    <t>471-480</t>
  </si>
  <si>
    <t>481-490</t>
  </si>
  <si>
    <t>491-500</t>
  </si>
  <si>
    <t>&lt;5</t>
  </si>
  <si>
    <t>105-115</t>
  </si>
  <si>
    <t>115-125</t>
  </si>
  <si>
    <t>95-105</t>
  </si>
  <si>
    <t xml:space="preserve">A pedagógusok száma minden évben több volt, mint az 1990/1991-es tanévben, de nagyobb hullámzások figyelhetők meg benne: 1990-től 2006-ig nőtt a számuk, majd egy hosszabb, 2013-ig tartó csökkenés következett be, azóta pedig jellemzően (2 év kivételével) kis mértékű növekedés van. A tanulók számában hasonló tendencia mutatkozik.
Az egy pedagógusra jutó hallgatók száma a 2000/2001-es tanév óta alacsonyabb, mint az 1990/1991-es tanévben, évente is jellemzően inkább csökkent, bár az utóbbi időben volt egy növekedési időszak.
</t>
  </si>
  <si>
    <t xml:space="preserve">Az irányadó szám szerint 12 osztályközre van szükség 16,9 hosszúságú osztályközhosszal, ezt kerekíthetjük 15-re (vagy 20-ra).
</t>
  </si>
  <si>
    <t>Bázisviszonyszám bűncselekmények (2013 = 100%)</t>
  </si>
  <si>
    <t>Bázisviszonyszám megoszlás (2013 = 100%)</t>
  </si>
  <si>
    <t>-kal (tehát csökkent)</t>
  </si>
  <si>
    <t>A lenti táblázat a hallgatói kérdőív alapján készült (csak azokat a rekordokat tartalmazza, amelyekben minden szempontból releváns információt kaptunk).
A táblázatban a következő kérdésekre adott válaszok láthatók:
   Év: a kérdőívezés éve
   Nem: a hallgató neme
   Szak: a hallgató szakja
   Hozzáállás: a felsoroltak közül leginkább milyen érzelemmel gondol a Statisztika tárgyra (érdektelenség, félelem, várakozás)
   Jegy: milyen jegyet céloz meg Statisztikából
   Alkalmazás: hány alkalmazáson van fent a felsoroltakból (Facebook, Instagram, Tinder, Twitter, Viber, Messenger, Snapchat, WhatsApp, Spotify, Netflix, HBO Max, LinkedIn)
   Felvételi: felvételi pontszáma
   Utazás: hány perc alatt ér be az egyetemre
Elemezze az egyes ismérvekre adott értékeket táblázattal és grafikusan! Biztosítson szűrési lehetőségeket is!</t>
  </si>
  <si>
    <t>Hallgatói hozzáállás</t>
  </si>
  <si>
    <t>Megcélzott jegy</t>
  </si>
  <si>
    <t>Alkalmazások száma</t>
  </si>
  <si>
    <t>Felvételi pontszám</t>
  </si>
  <si>
    <t>Utazás ideje</t>
  </si>
  <si>
    <r>
      <t>f</t>
    </r>
    <r>
      <rPr>
        <b/>
        <vertAlign val="subscript"/>
        <sz val="10"/>
        <color indexed="9"/>
        <rFont val="Arial"/>
        <family val="2"/>
        <charset val="238"/>
      </rPr>
      <t>i</t>
    </r>
    <r>
      <rPr>
        <b/>
        <sz val="10"/>
        <color indexed="9"/>
        <rFont val="Arial"/>
        <family val="2"/>
        <charset val="238"/>
      </rPr>
      <t xml:space="preserve"> </t>
    </r>
  </si>
  <si>
    <r>
      <t>g</t>
    </r>
    <r>
      <rPr>
        <b/>
        <vertAlign val="subscript"/>
        <sz val="10"/>
        <color indexed="9"/>
        <rFont val="Arial"/>
        <family val="2"/>
        <charset val="238"/>
      </rPr>
      <t>i</t>
    </r>
    <r>
      <rPr>
        <b/>
        <sz val="10"/>
        <color indexed="9"/>
        <rFont val="Arial"/>
        <family val="2"/>
        <charset val="238"/>
      </rPr>
      <t xml:space="preserve"> </t>
    </r>
  </si>
  <si>
    <r>
      <t>f'</t>
    </r>
    <r>
      <rPr>
        <b/>
        <vertAlign val="subscript"/>
        <sz val="10"/>
        <color indexed="9"/>
        <rFont val="Arial"/>
        <family val="2"/>
        <charset val="238"/>
      </rPr>
      <t>i</t>
    </r>
    <r>
      <rPr>
        <b/>
        <sz val="10"/>
        <color indexed="9"/>
        <rFont val="Arial"/>
        <family val="2"/>
        <charset val="238"/>
      </rPr>
      <t xml:space="preserve"> </t>
    </r>
  </si>
  <si>
    <r>
      <t>g'</t>
    </r>
    <r>
      <rPr>
        <b/>
        <vertAlign val="subscript"/>
        <sz val="10"/>
        <color indexed="9"/>
        <rFont val="Arial"/>
        <family val="2"/>
        <charset val="238"/>
      </rPr>
      <t>i</t>
    </r>
    <r>
      <rPr>
        <b/>
        <sz val="10"/>
        <color indexed="9"/>
        <rFont val="Arial"/>
        <family val="2"/>
        <charset val="238"/>
      </rPr>
      <t xml:space="preserve"> </t>
    </r>
  </si>
  <si>
    <t>d)</t>
  </si>
  <si>
    <t>Relatív</t>
  </si>
  <si>
    <t>Kumulált</t>
  </si>
  <si>
    <t>Kum. rel.</t>
  </si>
  <si>
    <t>a) Töltse ki az üres mezőket!
b) Készítsen egyenletes osztályközzel gyakorisági sort az adatokból! A táblázatban 15 perces időközökkel számoljon, 150 perctől indítva! Készítsen hisztogramot a táblázat alapján!
c) Készítsen hisztogramot az Excel beépített lehetőségével is!
d) Adja meg a többi gyakorisági sort is! A választ kimutatáskészítővel és képletek segítségével is adja meg!</t>
  </si>
  <si>
    <t>Kum. rel. gyak</t>
  </si>
  <si>
    <t>Relatív gyak.</t>
  </si>
  <si>
    <t>Kumulált gyak.</t>
  </si>
  <si>
    <t>Készítse el a gyakorisági sort az indulás száma, az eredmények és az életkor alapján! Az eredmények esetében az irányadó szám szerint dolgozzon, az életkornál a tizes számrendszerhez igazodjon! A gyakoriságokból készítsen megfelelő oszlopdiagramot a táblázatból, illetve az adatokból (a beépített hisztogram készítővel)! Adja meg a gyakorisági sorokat!</t>
  </si>
  <si>
    <t>Kumulált megoszlás</t>
  </si>
  <si>
    <r>
      <t xml:space="preserve">Sorrendi skála </t>
    </r>
    <r>
      <rPr>
        <sz val="10"/>
        <rFont val="Symbol"/>
        <family val="1"/>
        <charset val="2"/>
      </rPr>
      <t>®</t>
    </r>
    <r>
      <rPr>
        <sz val="10"/>
        <rFont val="Arial"/>
        <family val="2"/>
        <charset val="238"/>
      </rPr>
      <t xml:space="preserve"> darabszám, megoszlás + kumulált értékek (van sorrend)
a sorrend miatt az ábra is inkább oszlopdiagram</t>
    </r>
  </si>
  <si>
    <r>
      <t xml:space="preserve">Mennyiségi ismérv  </t>
    </r>
    <r>
      <rPr>
        <sz val="10"/>
        <rFont val="Symbol"/>
        <family val="1"/>
        <charset val="2"/>
      </rPr>
      <t>®</t>
    </r>
    <r>
      <rPr>
        <sz val="10"/>
        <rFont val="Arial CE"/>
        <charset val="238"/>
      </rPr>
      <t xml:space="preserve"> gyakoriság, relatív-, kumulált-, kumulált relatív gyakoriság</t>
    </r>
  </si>
  <si>
    <t>Kum. gyakoriság</t>
  </si>
  <si>
    <r>
      <t xml:space="preserve">Túl sokféle érték </t>
    </r>
    <r>
      <rPr>
        <sz val="10"/>
        <rFont val="Symbol"/>
        <family val="1"/>
        <charset val="2"/>
      </rPr>
      <t>®</t>
    </r>
    <r>
      <rPr>
        <sz val="10"/>
        <rFont val="Arial"/>
        <family val="2"/>
        <charset val="238"/>
      </rPr>
      <t xml:space="preserve"> osztályközös gyakorisági sor, hisztogram (több lokális max.)</t>
    </r>
    <r>
      <rPr>
        <sz val="10"/>
        <rFont val="Symbol"/>
        <family val="1"/>
        <charset val="2"/>
      </rPr>
      <t>®</t>
    </r>
  </si>
  <si>
    <t>k (irányadó)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</si>
</sst>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#,##0.0"/>
    <numFmt numFmtId="166" formatCode="0.0%"/>
    <numFmt numFmtId="167" formatCode="#,##0.000"/>
    <numFmt numFmtId="168" formatCode="h:mm:ss;@"/>
    <numFmt numFmtId="169" formatCode="yyyy/mm/"/>
  </numFmts>
  <fonts count="35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0"/>
      <name val="Arial"/>
      <family val="2"/>
      <charset val="238"/>
    </font>
    <font>
      <b/>
      <sz val="10"/>
      <color indexed="9"/>
      <name val="Arial"/>
      <family val="2"/>
      <charset val="238"/>
    </font>
    <font>
      <b/>
      <sz val="10"/>
      <color indexed="9"/>
      <name val="Arial CE"/>
      <charset val="238"/>
    </font>
    <font>
      <sz val="10"/>
      <name val="Arial"/>
      <family val="2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sz val="10"/>
      <name val="Symbol"/>
      <family val="1"/>
      <charset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8"/>
      <name val="Arial CE"/>
      <charset val="238"/>
    </font>
    <font>
      <sz val="10"/>
      <color theme="1"/>
      <name val="Arial"/>
      <family val="2"/>
      <charset val="238"/>
    </font>
    <font>
      <b/>
      <sz val="10"/>
      <color theme="0"/>
      <name val="Arial"/>
      <family val="2"/>
      <charset val="238"/>
    </font>
    <font>
      <sz val="9"/>
      <color indexed="81"/>
      <name val="Tahoma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theme="4"/>
      <name val="Arial"/>
      <family val="2"/>
    </font>
    <font>
      <sz val="8"/>
      <color indexed="81"/>
      <name val="Arial"/>
      <family val="2"/>
      <charset val="238"/>
    </font>
    <font>
      <sz val="10"/>
      <color theme="4"/>
      <name val="Arial CE"/>
      <charset val="238"/>
    </font>
    <font>
      <sz val="10"/>
      <color theme="4"/>
      <name val="Arial"/>
      <family val="2"/>
      <charset val="238"/>
    </font>
    <font>
      <b/>
      <sz val="10"/>
      <name val="Arial"/>
      <family val="2"/>
      <charset val="238"/>
    </font>
    <font>
      <sz val="10"/>
      <color indexed="21"/>
      <name val="Arial"/>
      <family val="2"/>
      <charset val="238"/>
    </font>
    <font>
      <b/>
      <sz val="10"/>
      <color rgb="FF008080"/>
      <name val="Arial"/>
      <family val="2"/>
      <charset val="238"/>
    </font>
    <font>
      <sz val="10"/>
      <color theme="0" tint="-0.499984740745262"/>
      <name val="Arial"/>
      <family val="2"/>
      <charset val="238"/>
    </font>
    <font>
      <sz val="8"/>
      <color indexed="81"/>
      <name val="Tahoma"/>
      <family val="2"/>
      <charset val="238"/>
    </font>
    <font>
      <sz val="9"/>
      <color indexed="81"/>
      <name val="Tahoma"/>
      <family val="2"/>
      <charset val="238"/>
    </font>
    <font>
      <b/>
      <sz val="10"/>
      <color theme="1"/>
      <name val="Arial"/>
      <family val="2"/>
      <charset val="238"/>
    </font>
    <font>
      <b/>
      <vertAlign val="subscript"/>
      <sz val="10"/>
      <color indexed="9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10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thin">
        <color theme="4"/>
      </right>
      <top style="medium">
        <color theme="4"/>
      </top>
      <bottom style="medium">
        <color theme="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21"/>
      </right>
      <top style="medium">
        <color indexed="21"/>
      </top>
      <bottom style="medium">
        <color indexed="21"/>
      </bottom>
      <diagonal/>
    </border>
    <border>
      <left/>
      <right/>
      <top style="medium">
        <color indexed="21"/>
      </top>
      <bottom style="medium">
        <color indexed="21"/>
      </bottom>
      <diagonal/>
    </border>
    <border>
      <left style="thin">
        <color indexed="21"/>
      </left>
      <right/>
      <top style="medium">
        <color indexed="21"/>
      </top>
      <bottom style="medium">
        <color indexed="21"/>
      </bottom>
      <diagonal/>
    </border>
    <border>
      <left/>
      <right/>
      <top style="medium">
        <color indexed="21"/>
      </top>
      <bottom style="medium">
        <color indexed="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theme="0"/>
      </right>
      <top style="medium">
        <color auto="1"/>
      </top>
      <bottom style="medium">
        <color auto="1"/>
      </bottom>
      <diagonal/>
    </border>
    <border>
      <left style="thin">
        <color theme="0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medium">
        <color indexed="64"/>
      </bottom>
      <diagonal/>
    </border>
    <border>
      <left style="thin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thin">
        <color theme="4"/>
      </right>
      <top style="medium">
        <color theme="4"/>
      </top>
      <bottom/>
      <diagonal/>
    </border>
    <border>
      <left style="thin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thin">
        <color theme="4"/>
      </right>
      <top/>
      <bottom style="medium">
        <color theme="4"/>
      </bottom>
      <diagonal/>
    </border>
    <border>
      <left style="thin">
        <color theme="0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 style="medium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 style="thin">
        <color indexed="64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auto="1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medium">
        <color indexed="64"/>
      </bottom>
      <diagonal/>
    </border>
    <border>
      <left/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/>
      <bottom style="medium">
        <color indexed="64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9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theme="0"/>
      </right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21"/>
      </right>
      <top style="medium">
        <color indexed="21"/>
      </top>
      <bottom style="medium">
        <color indexed="21"/>
      </bottom>
      <diagonal/>
    </border>
    <border>
      <left/>
      <right/>
      <top style="medium">
        <color indexed="21"/>
      </top>
      <bottom style="medium">
        <color indexed="21"/>
      </bottom>
      <diagonal/>
    </border>
    <border>
      <left style="thin">
        <color indexed="21"/>
      </left>
      <right/>
      <top style="medium">
        <color indexed="21"/>
      </top>
      <bottom style="medium">
        <color indexed="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1"/>
      </left>
      <right/>
      <top style="medium">
        <color indexed="21"/>
      </top>
      <bottom/>
      <diagonal/>
    </border>
    <border>
      <left/>
      <right/>
      <top style="medium">
        <color indexed="21"/>
      </top>
      <bottom/>
      <diagonal/>
    </border>
    <border>
      <left/>
      <right style="thin">
        <color indexed="21"/>
      </right>
      <top style="medium">
        <color indexed="21"/>
      </top>
      <bottom/>
      <diagonal/>
    </border>
    <border>
      <left style="thin">
        <color indexed="21"/>
      </left>
      <right/>
      <top/>
      <bottom/>
      <diagonal/>
    </border>
    <border>
      <left/>
      <right style="thin">
        <color indexed="21"/>
      </right>
      <top/>
      <bottom/>
      <diagonal/>
    </border>
    <border>
      <left style="thin">
        <color indexed="21"/>
      </left>
      <right/>
      <top/>
      <bottom style="medium">
        <color indexed="21"/>
      </bottom>
      <diagonal/>
    </border>
    <border>
      <left/>
      <right/>
      <top/>
      <bottom style="medium">
        <color indexed="21"/>
      </bottom>
      <diagonal/>
    </border>
    <border>
      <left/>
      <right style="thin">
        <color indexed="21"/>
      </right>
      <top/>
      <bottom style="medium">
        <color indexed="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theme="0"/>
      </bottom>
      <diagonal/>
    </border>
    <border>
      <left style="thin">
        <color auto="1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</borders>
  <cellStyleXfs count="15">
    <xf numFmtId="0" fontId="0" fillId="0" borderId="0"/>
    <xf numFmtId="0" fontId="6" fillId="0" borderId="0"/>
    <xf numFmtId="0" fontId="7" fillId="0" borderId="0"/>
    <xf numFmtId="9" fontId="7" fillId="0" borderId="0" applyFont="0" applyFill="0" applyBorder="0" applyAlignment="0" applyProtection="0"/>
    <xf numFmtId="0" fontId="5" fillId="0" borderId="0"/>
    <xf numFmtId="9" fontId="7" fillId="0" borderId="0" applyFont="0" applyFill="0" applyBorder="0" applyAlignment="0" applyProtection="0"/>
    <xf numFmtId="0" fontId="4" fillId="0" borderId="0"/>
    <xf numFmtId="0" fontId="4" fillId="0" borderId="0"/>
    <xf numFmtId="0" fontId="3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1" fillId="0" borderId="0"/>
    <xf numFmtId="0" fontId="1" fillId="0" borderId="0"/>
  </cellStyleXfs>
  <cellXfs count="421">
    <xf numFmtId="0" fontId="0" fillId="0" borderId="0" xfId="0"/>
    <xf numFmtId="0" fontId="7" fillId="0" borderId="0" xfId="2" applyAlignment="1">
      <alignment vertical="center"/>
    </xf>
    <xf numFmtId="1" fontId="7" fillId="0" borderId="10" xfId="2" applyNumberFormat="1" applyBorder="1" applyAlignment="1">
      <alignment horizontal="left" vertical="center"/>
    </xf>
    <xf numFmtId="2" fontId="7" fillId="0" borderId="11" xfId="2" applyNumberFormat="1" applyBorder="1" applyAlignment="1">
      <alignment vertical="center"/>
    </xf>
    <xf numFmtId="0" fontId="10" fillId="3" borderId="12" xfId="2" applyFont="1" applyFill="1" applyBorder="1" applyAlignment="1">
      <alignment horizontal="right" vertical="center" wrapText="1" indent="1"/>
    </xf>
    <xf numFmtId="165" fontId="13" fillId="0" borderId="0" xfId="2" applyNumberFormat="1" applyFont="1" applyAlignment="1">
      <alignment vertical="center"/>
    </xf>
    <xf numFmtId="3" fontId="13" fillId="0" borderId="0" xfId="2" applyNumberFormat="1" applyFont="1" applyAlignment="1">
      <alignment vertical="center"/>
    </xf>
    <xf numFmtId="0" fontId="13" fillId="0" borderId="0" xfId="2" applyFont="1" applyAlignment="1">
      <alignment horizontal="center" vertical="center"/>
    </xf>
    <xf numFmtId="0" fontId="8" fillId="0" borderId="1" xfId="2" applyFont="1" applyBorder="1" applyAlignment="1">
      <alignment vertical="center"/>
    </xf>
    <xf numFmtId="0" fontId="8" fillId="0" borderId="1" xfId="2" applyFont="1" applyBorder="1" applyAlignment="1">
      <alignment horizontal="left" vertical="center" wrapText="1"/>
    </xf>
    <xf numFmtId="0" fontId="7" fillId="0" borderId="0" xfId="2" applyAlignment="1">
      <alignment horizontal="left" vertical="center"/>
    </xf>
    <xf numFmtId="0" fontId="12" fillId="0" borderId="0" xfId="2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6" fillId="0" borderId="0" xfId="4" applyFont="1"/>
    <xf numFmtId="0" fontId="11" fillId="0" borderId="0" xfId="4" applyFont="1" applyAlignment="1">
      <alignment vertical="center"/>
    </xf>
    <xf numFmtId="0" fontId="11" fillId="0" borderId="1" xfId="4" applyFont="1" applyBorder="1" applyAlignment="1">
      <alignment horizontal="left" vertical="center" wrapText="1"/>
    </xf>
    <xf numFmtId="0" fontId="11" fillId="0" borderId="1" xfId="4" applyFont="1" applyBorder="1" applyAlignment="1">
      <alignment vertical="center"/>
    </xf>
    <xf numFmtId="0" fontId="11" fillId="0" borderId="0" xfId="0" applyFont="1"/>
    <xf numFmtId="1" fontId="11" fillId="0" borderId="8" xfId="2" applyNumberFormat="1" applyFont="1" applyBorder="1" applyAlignment="1">
      <alignment horizontal="center" vertical="center"/>
    </xf>
    <xf numFmtId="0" fontId="11" fillId="0" borderId="0" xfId="4" applyFont="1" applyAlignment="1">
      <alignment horizontal="center" vertical="center"/>
    </xf>
    <xf numFmtId="0" fontId="11" fillId="0" borderId="1" xfId="4" applyFont="1" applyBorder="1" applyAlignment="1">
      <alignment horizontal="center" vertical="center" wrapText="1"/>
    </xf>
    <xf numFmtId="0" fontId="11" fillId="0" borderId="17" xfId="2" applyFont="1" applyBorder="1" applyAlignment="1">
      <alignment horizontal="center" vertical="center"/>
    </xf>
    <xf numFmtId="0" fontId="16" fillId="0" borderId="0" xfId="4" applyFont="1" applyAlignment="1">
      <alignment horizontal="center"/>
    </xf>
    <xf numFmtId="0" fontId="0" fillId="0" borderId="0" xfId="0" pivotButton="1"/>
    <xf numFmtId="0" fontId="9" fillId="4" borderId="11" xfId="2" applyFont="1" applyFill="1" applyBorder="1" applyAlignment="1">
      <alignment horizontal="center" vertical="center"/>
    </xf>
    <xf numFmtId="0" fontId="8" fillId="0" borderId="0" xfId="0" pivotButton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/>
    </xf>
    <xf numFmtId="0" fontId="8" fillId="0" borderId="0" xfId="2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right" vertical="center"/>
    </xf>
    <xf numFmtId="2" fontId="11" fillId="0" borderId="0" xfId="0" applyNumberFormat="1" applyFont="1" applyAlignment="1">
      <alignment horizontal="center" vertical="center"/>
    </xf>
    <xf numFmtId="10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0" fontId="0" fillId="0" borderId="0" xfId="0" pivotButton="1" applyAlignment="1">
      <alignment horizontal="center"/>
    </xf>
    <xf numFmtId="0" fontId="11" fillId="0" borderId="34" xfId="2" applyFont="1" applyBorder="1" applyAlignment="1">
      <alignment horizontal="center" vertical="center"/>
    </xf>
    <xf numFmtId="1" fontId="11" fillId="0" borderId="34" xfId="2" applyNumberFormat="1" applyFont="1" applyBorder="1" applyAlignment="1">
      <alignment horizontal="center" vertical="center"/>
    </xf>
    <xf numFmtId="2" fontId="11" fillId="0" borderId="0" xfId="0" applyNumberFormat="1" applyFont="1" applyAlignment="1">
      <alignment horizontal="right" vertical="center"/>
    </xf>
    <xf numFmtId="10" fontId="11" fillId="0" borderId="3" xfId="5" applyNumberFormat="1" applyFont="1" applyBorder="1" applyAlignment="1">
      <alignment horizontal="right" vertical="center" indent="3"/>
    </xf>
    <xf numFmtId="167" fontId="11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0" fontId="11" fillId="0" borderId="34" xfId="5" applyNumberFormat="1" applyFont="1" applyBorder="1" applyAlignment="1">
      <alignment horizontal="right" vertical="center" indent="3"/>
    </xf>
    <xf numFmtId="10" fontId="11" fillId="0" borderId="2" xfId="5" applyNumberFormat="1" applyFont="1" applyBorder="1" applyAlignment="1">
      <alignment horizontal="right" vertical="center" indent="3"/>
    </xf>
    <xf numFmtId="167" fontId="11" fillId="0" borderId="2" xfId="0" applyNumberFormat="1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6" fontId="11" fillId="0" borderId="0" xfId="0" applyNumberFormat="1" applyFont="1" applyAlignment="1">
      <alignment horizontal="center" vertical="center"/>
    </xf>
    <xf numFmtId="16" fontId="21" fillId="3" borderId="38" xfId="0" applyNumberFormat="1" applyFont="1" applyFill="1" applyBorder="1" applyAlignment="1">
      <alignment horizontal="center" vertical="center"/>
    </xf>
    <xf numFmtId="16" fontId="21" fillId="3" borderId="39" xfId="0" applyNumberFormat="1" applyFont="1" applyFill="1" applyBorder="1" applyAlignment="1">
      <alignment horizontal="center" vertical="center"/>
    </xf>
    <xf numFmtId="10" fontId="11" fillId="0" borderId="3" xfId="5" applyNumberFormat="1" applyFont="1" applyBorder="1" applyAlignment="1">
      <alignment horizontal="center" vertical="center"/>
    </xf>
    <xf numFmtId="10" fontId="11" fillId="0" borderId="34" xfId="5" applyNumberFormat="1" applyFont="1" applyBorder="1" applyAlignment="1">
      <alignment horizontal="center" vertical="center"/>
    </xf>
    <xf numFmtId="4" fontId="11" fillId="0" borderId="46" xfId="0" applyNumberFormat="1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4" fontId="11" fillId="0" borderId="1" xfId="0" applyNumberFormat="1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3" fontId="23" fillId="0" borderId="3" xfId="0" applyNumberFormat="1" applyFont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center"/>
    </xf>
    <xf numFmtId="3" fontId="23" fillId="0" borderId="34" xfId="0" applyNumberFormat="1" applyFont="1" applyBorder="1" applyAlignment="1">
      <alignment horizontal="center" vertical="center"/>
    </xf>
    <xf numFmtId="16" fontId="21" fillId="3" borderId="5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3" fontId="11" fillId="0" borderId="3" xfId="0" applyNumberFormat="1" applyFont="1" applyBorder="1" applyAlignment="1">
      <alignment horizontal="center" vertical="center"/>
    </xf>
    <xf numFmtId="3" fontId="11" fillId="0" borderId="34" xfId="0" applyNumberFormat="1" applyFont="1" applyBorder="1" applyAlignment="1">
      <alignment horizontal="center" vertical="center"/>
    </xf>
    <xf numFmtId="3" fontId="11" fillId="0" borderId="2" xfId="0" applyNumberFormat="1" applyFont="1" applyBorder="1" applyAlignment="1">
      <alignment horizontal="center" vertical="center"/>
    </xf>
    <xf numFmtId="0" fontId="18" fillId="0" borderId="0" xfId="9" applyFont="1"/>
    <xf numFmtId="0" fontId="18" fillId="0" borderId="3" xfId="9" applyFont="1" applyBorder="1" applyAlignment="1">
      <alignment horizontal="center"/>
    </xf>
    <xf numFmtId="0" fontId="18" fillId="0" borderId="34" xfId="9" applyFont="1" applyBorder="1" applyAlignment="1">
      <alignment horizontal="center"/>
    </xf>
    <xf numFmtId="0" fontId="8" fillId="0" borderId="0" xfId="0" applyFont="1"/>
    <xf numFmtId="0" fontId="8" fillId="0" borderId="0" xfId="0" pivotButton="1" applyFont="1"/>
    <xf numFmtId="0" fontId="19" fillId="5" borderId="9" xfId="9" applyFont="1" applyFill="1" applyBorder="1" applyAlignment="1">
      <alignment horizontal="center"/>
    </xf>
    <xf numFmtId="0" fontId="19" fillId="5" borderId="37" xfId="9" applyFont="1" applyFill="1" applyBorder="1" applyAlignment="1">
      <alignment horizontal="center"/>
    </xf>
    <xf numFmtId="0" fontId="8" fillId="0" borderId="34" xfId="2" applyFont="1" applyBorder="1" applyAlignment="1">
      <alignment horizontal="center"/>
    </xf>
    <xf numFmtId="1" fontId="19" fillId="5" borderId="36" xfId="2" applyNumberFormat="1" applyFont="1" applyFill="1" applyBorder="1" applyAlignment="1">
      <alignment horizontal="center"/>
    </xf>
    <xf numFmtId="0" fontId="18" fillId="0" borderId="2" xfId="9" applyFont="1" applyBorder="1" applyAlignment="1">
      <alignment horizontal="center"/>
    </xf>
    <xf numFmtId="0" fontId="9" fillId="4" borderId="30" xfId="2" applyFont="1" applyFill="1" applyBorder="1" applyAlignment="1">
      <alignment horizontal="center" vertical="center" wrapText="1"/>
    </xf>
    <xf numFmtId="0" fontId="9" fillId="4" borderId="29" xfId="2" applyFont="1" applyFill="1" applyBorder="1" applyAlignment="1">
      <alignment horizontal="center" vertical="center" wrapText="1"/>
    </xf>
    <xf numFmtId="0" fontId="8" fillId="0" borderId="0" xfId="9" applyFont="1" applyAlignment="1">
      <alignment vertical="center"/>
    </xf>
    <xf numFmtId="0" fontId="8" fillId="0" borderId="1" xfId="9" applyFont="1" applyBorder="1" applyAlignment="1">
      <alignment vertical="center"/>
    </xf>
    <xf numFmtId="0" fontId="8" fillId="0" borderId="1" xfId="9" applyFont="1" applyBorder="1" applyAlignment="1">
      <alignment horizontal="left" vertical="center" wrapText="1"/>
    </xf>
    <xf numFmtId="0" fontId="11" fillId="0" borderId="0" xfId="11"/>
    <xf numFmtId="0" fontId="11" fillId="0" borderId="0" xfId="11" applyAlignment="1">
      <alignment horizontal="center"/>
    </xf>
    <xf numFmtId="166" fontId="11" fillId="0" borderId="3" xfId="5" applyNumberFormat="1" applyFont="1" applyFill="1" applyBorder="1" applyAlignment="1">
      <alignment horizontal="center" vertical="center"/>
    </xf>
    <xf numFmtId="2" fontId="11" fillId="0" borderId="7" xfId="5" applyNumberFormat="1" applyFont="1" applyFill="1" applyBorder="1" applyAlignment="1">
      <alignment horizontal="right" vertical="center" indent="2"/>
    </xf>
    <xf numFmtId="166" fontId="11" fillId="0" borderId="2" xfId="5" applyNumberFormat="1" applyFont="1" applyFill="1" applyBorder="1" applyAlignment="1">
      <alignment horizontal="center" vertical="center"/>
    </xf>
    <xf numFmtId="2" fontId="11" fillId="0" borderId="2" xfId="5" applyNumberFormat="1" applyFont="1" applyFill="1" applyBorder="1" applyAlignment="1">
      <alignment horizontal="right" vertical="center" indent="2"/>
    </xf>
    <xf numFmtId="0" fontId="21" fillId="4" borderId="60" xfId="0" applyFont="1" applyFill="1" applyBorder="1" applyAlignment="1">
      <alignment horizontal="center" vertical="center" wrapText="1"/>
    </xf>
    <xf numFmtId="0" fontId="21" fillId="4" borderId="6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/>
    </xf>
    <xf numFmtId="9" fontId="7" fillId="0" borderId="3" xfId="5" applyFont="1" applyFill="1" applyBorder="1" applyAlignment="1">
      <alignment horizontal="right" vertical="center" indent="2"/>
    </xf>
    <xf numFmtId="9" fontId="7" fillId="0" borderId="34" xfId="5" applyFont="1" applyFill="1" applyBorder="1" applyAlignment="1">
      <alignment horizontal="right" vertical="center" indent="2"/>
    </xf>
    <xf numFmtId="0" fontId="7" fillId="0" borderId="33" xfId="0" applyFont="1" applyBorder="1" applyAlignment="1">
      <alignment horizontal="center" vertical="center"/>
    </xf>
    <xf numFmtId="9" fontId="7" fillId="0" borderId="2" xfId="5" applyFont="1" applyFill="1" applyBorder="1" applyAlignment="1">
      <alignment horizontal="right" vertical="center" indent="2"/>
    </xf>
    <xf numFmtId="0" fontId="10" fillId="4" borderId="58" xfId="0" applyFont="1" applyFill="1" applyBorder="1" applyAlignment="1">
      <alignment horizontal="center" vertical="center" wrapText="1"/>
    </xf>
    <xf numFmtId="0" fontId="10" fillId="4" borderId="59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/>
    </xf>
    <xf numFmtId="166" fontId="7" fillId="0" borderId="3" xfId="5" applyNumberFormat="1" applyFont="1" applyFill="1" applyBorder="1" applyAlignment="1">
      <alignment horizontal="right" vertical="center" indent="2"/>
    </xf>
    <xf numFmtId="165" fontId="7" fillId="0" borderId="3" xfId="0" applyNumberFormat="1" applyFont="1" applyBorder="1" applyAlignment="1">
      <alignment horizontal="right" vertical="center" indent="2"/>
    </xf>
    <xf numFmtId="165" fontId="25" fillId="0" borderId="3" xfId="0" applyNumberFormat="1" applyFont="1" applyBorder="1" applyAlignment="1">
      <alignment horizontal="right" vertical="center" indent="2"/>
    </xf>
    <xf numFmtId="0" fontId="0" fillId="0" borderId="3" xfId="0" applyBorder="1" applyAlignment="1">
      <alignment horizontal="center" vertical="center"/>
    </xf>
    <xf numFmtId="166" fontId="7" fillId="0" borderId="34" xfId="5" applyNumberFormat="1" applyFont="1" applyFill="1" applyBorder="1" applyAlignment="1">
      <alignment horizontal="right" vertical="center" indent="2"/>
    </xf>
    <xf numFmtId="166" fontId="7" fillId="0" borderId="2" xfId="5" applyNumberFormat="1" applyFont="1" applyFill="1" applyBorder="1" applyAlignment="1">
      <alignment horizontal="right" vertical="center" indent="2"/>
    </xf>
    <xf numFmtId="165" fontId="7" fillId="0" borderId="33" xfId="0" applyNumberFormat="1" applyFont="1" applyBorder="1" applyAlignment="1">
      <alignment horizontal="right" vertical="center" indent="2"/>
    </xf>
    <xf numFmtId="165" fontId="25" fillId="0" borderId="33" xfId="0" applyNumberFormat="1" applyFont="1" applyBorder="1" applyAlignment="1">
      <alignment horizontal="right" vertical="center" indent="2"/>
    </xf>
    <xf numFmtId="0" fontId="0" fillId="0" borderId="33" xfId="0" applyBorder="1" applyAlignment="1">
      <alignment horizontal="center" vertical="center"/>
    </xf>
    <xf numFmtId="165" fontId="7" fillId="0" borderId="34" xfId="0" applyNumberFormat="1" applyFont="1" applyBorder="1" applyAlignment="1">
      <alignment horizontal="right" vertical="center" indent="2"/>
    </xf>
    <xf numFmtId="0" fontId="0" fillId="0" borderId="34" xfId="0" applyBorder="1" applyAlignment="1">
      <alignment horizontal="center" vertical="center"/>
    </xf>
    <xf numFmtId="165" fontId="25" fillId="0" borderId="34" xfId="0" applyNumberFormat="1" applyFont="1" applyBorder="1" applyAlignment="1">
      <alignment horizontal="right" vertical="center" indent="2"/>
    </xf>
    <xf numFmtId="165" fontId="7" fillId="0" borderId="2" xfId="0" applyNumberFormat="1" applyFont="1" applyBorder="1" applyAlignment="1">
      <alignment horizontal="right" vertical="center" indent="2"/>
    </xf>
    <xf numFmtId="165" fontId="25" fillId="0" borderId="2" xfId="0" applyNumberFormat="1" applyFont="1" applyBorder="1" applyAlignment="1">
      <alignment horizontal="right" vertical="center" indent="2"/>
    </xf>
    <xf numFmtId="0" fontId="8" fillId="0" borderId="1" xfId="0" applyFont="1" applyBorder="1" applyAlignment="1">
      <alignment horizontal="center" vertical="center"/>
    </xf>
    <xf numFmtId="9" fontId="11" fillId="0" borderId="3" xfId="5" applyFont="1" applyFill="1" applyBorder="1" applyAlignment="1">
      <alignment horizontal="right" vertical="center" indent="2"/>
    </xf>
    <xf numFmtId="169" fontId="11" fillId="0" borderId="3" xfId="0" applyNumberFormat="1" applyFont="1" applyBorder="1" applyAlignment="1">
      <alignment horizontal="center" vertical="center"/>
    </xf>
    <xf numFmtId="0" fontId="11" fillId="0" borderId="77" xfId="11" applyBorder="1"/>
    <xf numFmtId="9" fontId="11" fillId="0" borderId="33" xfId="5" applyFont="1" applyFill="1" applyBorder="1" applyAlignment="1">
      <alignment horizontal="right" vertical="center" indent="2"/>
    </xf>
    <xf numFmtId="9" fontId="11" fillId="0" borderId="34" xfId="5" applyFont="1" applyFill="1" applyBorder="1" applyAlignment="1">
      <alignment horizontal="right" vertical="center" indent="2"/>
    </xf>
    <xf numFmtId="169" fontId="11" fillId="0" borderId="33" xfId="0" applyNumberFormat="1" applyFont="1" applyBorder="1" applyAlignment="1">
      <alignment horizontal="center" vertical="center"/>
    </xf>
    <xf numFmtId="169" fontId="11" fillId="0" borderId="34" xfId="0" applyNumberFormat="1" applyFont="1" applyBorder="1" applyAlignment="1">
      <alignment horizontal="center" vertical="center"/>
    </xf>
    <xf numFmtId="9" fontId="11" fillId="0" borderId="2" xfId="5" applyFont="1" applyFill="1" applyBorder="1" applyAlignment="1">
      <alignment horizontal="right" vertical="center" indent="2"/>
    </xf>
    <xf numFmtId="0" fontId="21" fillId="4" borderId="58" xfId="0" applyFont="1" applyFill="1" applyBorder="1" applyAlignment="1">
      <alignment horizontal="center" vertical="center" wrapText="1"/>
    </xf>
    <xf numFmtId="0" fontId="21" fillId="4" borderId="59" xfId="0" applyFont="1" applyFill="1" applyBorder="1" applyAlignment="1">
      <alignment horizontal="center" vertical="center" wrapText="1"/>
    </xf>
    <xf numFmtId="0" fontId="21" fillId="4" borderId="11" xfId="0" applyFont="1" applyFill="1" applyBorder="1" applyAlignment="1">
      <alignment horizontal="center" vertical="center"/>
    </xf>
    <xf numFmtId="9" fontId="11" fillId="0" borderId="3" xfId="5" applyFont="1" applyFill="1" applyBorder="1" applyAlignment="1">
      <alignment horizontal="center" vertical="center"/>
    </xf>
    <xf numFmtId="9" fontId="11" fillId="0" borderId="3" xfId="5" applyFont="1" applyFill="1" applyBorder="1" applyAlignment="1">
      <alignment horizontal="right" vertical="center" indent="1"/>
    </xf>
    <xf numFmtId="9" fontId="11" fillId="0" borderId="2" xfId="5" applyFont="1" applyFill="1" applyBorder="1" applyAlignment="1">
      <alignment horizontal="center" vertical="center"/>
    </xf>
    <xf numFmtId="9" fontId="11" fillId="0" borderId="2" xfId="5" applyFont="1" applyFill="1" applyBorder="1" applyAlignment="1">
      <alignment horizontal="right" vertical="center" indent="1"/>
    </xf>
    <xf numFmtId="9" fontId="11" fillId="0" borderId="33" xfId="5" applyFont="1" applyFill="1" applyBorder="1" applyAlignment="1">
      <alignment horizontal="center" vertical="center"/>
    </xf>
    <xf numFmtId="9" fontId="11" fillId="0" borderId="34" xfId="5" applyFont="1" applyFill="1" applyBorder="1" applyAlignment="1">
      <alignment horizontal="center" vertical="center"/>
    </xf>
    <xf numFmtId="164" fontId="11" fillId="0" borderId="3" xfId="0" applyNumberFormat="1" applyFont="1" applyBorder="1" applyAlignment="1">
      <alignment horizontal="right" vertical="center" indent="2"/>
    </xf>
    <xf numFmtId="164" fontId="11" fillId="0" borderId="3" xfId="5" applyNumberFormat="1" applyFont="1" applyFill="1" applyBorder="1" applyAlignment="1">
      <alignment horizontal="right" vertical="center" indent="2"/>
    </xf>
    <xf numFmtId="166" fontId="11" fillId="0" borderId="3" xfId="5" applyNumberFormat="1" applyFont="1" applyFill="1" applyBorder="1" applyAlignment="1">
      <alignment horizontal="right" vertical="center" indent="2"/>
    </xf>
    <xf numFmtId="3" fontId="11" fillId="0" borderId="3" xfId="0" applyNumberFormat="1" applyFont="1" applyBorder="1" applyAlignment="1">
      <alignment vertical="center"/>
    </xf>
    <xf numFmtId="3" fontId="23" fillId="0" borderId="3" xfId="0" applyNumberFormat="1" applyFont="1" applyBorder="1" applyAlignment="1">
      <alignment vertical="center"/>
    </xf>
    <xf numFmtId="164" fontId="11" fillId="0" borderId="2" xfId="5" applyNumberFormat="1" applyFont="1" applyFill="1" applyBorder="1" applyAlignment="1">
      <alignment horizontal="right" vertical="center" indent="2"/>
    </xf>
    <xf numFmtId="166" fontId="11" fillId="0" borderId="2" xfId="5" applyNumberFormat="1" applyFont="1" applyFill="1" applyBorder="1" applyAlignment="1">
      <alignment horizontal="right" vertical="center" indent="2"/>
    </xf>
    <xf numFmtId="3" fontId="11" fillId="0" borderId="34" xfId="0" applyNumberFormat="1" applyFont="1" applyBorder="1" applyAlignment="1">
      <alignment vertical="center"/>
    </xf>
    <xf numFmtId="3" fontId="23" fillId="0" borderId="33" xfId="0" applyNumberFormat="1" applyFont="1" applyBorder="1" applyAlignment="1">
      <alignment vertical="center"/>
    </xf>
    <xf numFmtId="3" fontId="23" fillId="0" borderId="34" xfId="0" applyNumberFormat="1" applyFont="1" applyBorder="1" applyAlignment="1">
      <alignment vertical="center"/>
    </xf>
    <xf numFmtId="3" fontId="11" fillId="0" borderId="2" xfId="0" applyNumberFormat="1" applyFont="1" applyBorder="1" applyAlignment="1">
      <alignment vertical="center"/>
    </xf>
    <xf numFmtId="3" fontId="23" fillId="0" borderId="2" xfId="0" applyNumberFormat="1" applyFont="1" applyBorder="1" applyAlignment="1">
      <alignment vertical="center"/>
    </xf>
    <xf numFmtId="3" fontId="11" fillId="0" borderId="33" xfId="0" applyNumberFormat="1" applyFont="1" applyBorder="1" applyAlignment="1">
      <alignment vertical="center"/>
    </xf>
    <xf numFmtId="0" fontId="11" fillId="0" borderId="0" xfId="0" applyFont="1" applyAlignment="1">
      <alignment vertical="center" wrapText="1"/>
    </xf>
    <xf numFmtId="166" fontId="7" fillId="0" borderId="33" xfId="5" applyNumberFormat="1" applyFont="1" applyFill="1" applyBorder="1" applyAlignment="1">
      <alignment horizontal="right" vertical="center" indent="2"/>
    </xf>
    <xf numFmtId="0" fontId="0" fillId="0" borderId="0" xfId="0" applyAlignment="1">
      <alignment horizontal="left" vertical="center" wrapText="1"/>
    </xf>
    <xf numFmtId="3" fontId="25" fillId="0" borderId="34" xfId="0" applyNumberFormat="1" applyFont="1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3" xfId="0" applyNumberFormat="1" applyFont="1" applyBorder="1" applyAlignment="1">
      <alignment horizontal="center" vertical="center"/>
    </xf>
    <xf numFmtId="0" fontId="10" fillId="5" borderId="58" xfId="0" applyFont="1" applyFill="1" applyBorder="1" applyAlignment="1">
      <alignment horizontal="center" vertical="center" wrapText="1"/>
    </xf>
    <xf numFmtId="3" fontId="7" fillId="0" borderId="34" xfId="0" applyNumberFormat="1" applyFont="1" applyBorder="1" applyAlignment="1">
      <alignment horizontal="right" vertical="center" indent="1"/>
    </xf>
    <xf numFmtId="3" fontId="7" fillId="0" borderId="33" xfId="0" applyNumberFormat="1" applyFont="1" applyBorder="1" applyAlignment="1">
      <alignment horizontal="right" vertical="center" indent="1"/>
    </xf>
    <xf numFmtId="3" fontId="7" fillId="0" borderId="3" xfId="0" applyNumberFormat="1" applyFont="1" applyBorder="1" applyAlignment="1">
      <alignment horizontal="right" vertical="center" indent="1"/>
    </xf>
    <xf numFmtId="3" fontId="11" fillId="0" borderId="2" xfId="0" applyNumberFormat="1" applyFont="1" applyBorder="1" applyAlignment="1">
      <alignment horizontal="right" vertical="center" indent="2"/>
    </xf>
    <xf numFmtId="3" fontId="11" fillId="0" borderId="0" xfId="11" applyNumberFormat="1"/>
    <xf numFmtId="0" fontId="11" fillId="0" borderId="78" xfId="0" applyFont="1" applyBorder="1" applyAlignment="1">
      <alignment horizontal="center" vertical="center"/>
    </xf>
    <xf numFmtId="3" fontId="11" fillId="0" borderId="78" xfId="0" applyNumberFormat="1" applyFont="1" applyBorder="1" applyAlignment="1">
      <alignment horizontal="right" vertical="center" indent="2"/>
    </xf>
    <xf numFmtId="3" fontId="11" fillId="0" borderId="87" xfId="0" applyNumberFormat="1" applyFont="1" applyBorder="1" applyAlignment="1">
      <alignment horizontal="right" vertical="center" indent="2"/>
    </xf>
    <xf numFmtId="0" fontId="11" fillId="0" borderId="87" xfId="0" applyFont="1" applyBorder="1" applyAlignment="1">
      <alignment horizontal="center" vertical="center"/>
    </xf>
    <xf numFmtId="2" fontId="11" fillId="0" borderId="78" xfId="5" applyNumberFormat="1" applyFont="1" applyFill="1" applyBorder="1" applyAlignment="1">
      <alignment horizontal="right" vertical="center" indent="2"/>
    </xf>
    <xf numFmtId="3" fontId="11" fillId="0" borderId="3" xfId="0" applyNumberFormat="1" applyFont="1" applyBorder="1" applyAlignment="1">
      <alignment horizontal="right" vertical="center" indent="2"/>
    </xf>
    <xf numFmtId="0" fontId="8" fillId="0" borderId="0" xfId="14" applyFont="1" applyAlignment="1">
      <alignment horizontal="right" vertical="center"/>
    </xf>
    <xf numFmtId="0" fontId="8" fillId="0" borderId="0" xfId="14" applyFont="1" applyAlignment="1">
      <alignment horizontal="left" vertical="center"/>
    </xf>
    <xf numFmtId="0" fontId="8" fillId="0" borderId="0" xfId="14" applyFont="1" applyAlignment="1">
      <alignment vertical="center"/>
    </xf>
    <xf numFmtId="0" fontId="8" fillId="0" borderId="0" xfId="14" applyFont="1" applyAlignment="1">
      <alignment horizontal="center" vertical="center"/>
    </xf>
    <xf numFmtId="0" fontId="8" fillId="0" borderId="1" xfId="14" applyFont="1" applyBorder="1" applyAlignment="1">
      <alignment horizontal="right" vertical="center"/>
    </xf>
    <xf numFmtId="0" fontId="8" fillId="0" borderId="1" xfId="14" applyFont="1" applyBorder="1" applyAlignment="1">
      <alignment horizontal="left" vertical="center" wrapText="1"/>
    </xf>
    <xf numFmtId="0" fontId="8" fillId="0" borderId="1" xfId="14" applyFont="1" applyBorder="1" applyAlignment="1">
      <alignment horizontal="right" vertical="center" wrapText="1"/>
    </xf>
    <xf numFmtId="0" fontId="8" fillId="0" borderId="1" xfId="14" applyFont="1" applyBorder="1" applyAlignment="1">
      <alignment horizontal="center" vertical="center" wrapText="1"/>
    </xf>
    <xf numFmtId="0" fontId="8" fillId="0" borderId="1" xfId="14" applyFont="1" applyBorder="1" applyAlignment="1">
      <alignment vertical="center"/>
    </xf>
    <xf numFmtId="0" fontId="19" fillId="4" borderId="92" xfId="0" applyFont="1" applyFill="1" applyBorder="1" applyAlignment="1">
      <alignment horizontal="center" vertical="center" wrapText="1"/>
    </xf>
    <xf numFmtId="14" fontId="26" fillId="0" borderId="92" xfId="14" applyNumberFormat="1" applyFont="1" applyBorder="1" applyAlignment="1">
      <alignment horizontal="center" vertical="center"/>
    </xf>
    <xf numFmtId="0" fontId="18" fillId="0" borderId="0" xfId="14" applyFont="1" applyAlignment="1">
      <alignment horizontal="right" vertical="center"/>
    </xf>
    <xf numFmtId="0" fontId="19" fillId="4" borderId="72" xfId="0" applyFont="1" applyFill="1" applyBorder="1" applyAlignment="1">
      <alignment horizontal="center" vertical="center" wrapText="1"/>
    </xf>
    <xf numFmtId="0" fontId="19" fillId="4" borderId="71" xfId="0" applyFont="1" applyFill="1" applyBorder="1" applyAlignment="1">
      <alignment horizontal="center" vertical="center" wrapText="1"/>
    </xf>
    <xf numFmtId="0" fontId="19" fillId="4" borderId="28" xfId="0" applyFont="1" applyFill="1" applyBorder="1" applyAlignment="1">
      <alignment horizontal="center" vertical="center" wrapText="1"/>
    </xf>
    <xf numFmtId="0" fontId="18" fillId="0" borderId="0" xfId="14" applyFont="1" applyAlignment="1">
      <alignment vertical="center"/>
    </xf>
    <xf numFmtId="0" fontId="19" fillId="5" borderId="93" xfId="0" applyFont="1" applyFill="1" applyBorder="1" applyAlignment="1">
      <alignment horizontal="left" vertical="center" wrapText="1"/>
    </xf>
    <xf numFmtId="2" fontId="8" fillId="0" borderId="94" xfId="0" applyNumberFormat="1" applyFont="1" applyBorder="1" applyAlignment="1">
      <alignment horizontal="center" vertical="center"/>
    </xf>
    <xf numFmtId="1" fontId="26" fillId="0" borderId="2" xfId="0" applyNumberFormat="1" applyFont="1" applyBorder="1" applyAlignment="1">
      <alignment horizontal="left" vertical="center"/>
    </xf>
    <xf numFmtId="1" fontId="26" fillId="0" borderId="2" xfId="0" applyNumberFormat="1" applyFont="1" applyBorder="1" applyAlignment="1">
      <alignment horizontal="center" vertical="center"/>
    </xf>
    <xf numFmtId="168" fontId="26" fillId="0" borderId="2" xfId="0" applyNumberFormat="1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0" fontId="19" fillId="5" borderId="21" xfId="0" applyFont="1" applyFill="1" applyBorder="1" applyAlignment="1">
      <alignment horizontal="left" vertical="center" wrapText="1"/>
    </xf>
    <xf numFmtId="2" fontId="8" fillId="0" borderId="3" xfId="0" applyNumberFormat="1" applyFont="1" applyBorder="1" applyAlignment="1">
      <alignment horizontal="center" vertical="center"/>
    </xf>
    <xf numFmtId="0" fontId="8" fillId="0" borderId="0" xfId="2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0" xfId="2" applyFont="1" applyAlignment="1">
      <alignment horizontal="center" vertical="center"/>
    </xf>
    <xf numFmtId="0" fontId="18" fillId="0" borderId="0" xfId="14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8" fillId="0" borderId="0" xfId="14" applyFont="1" applyAlignment="1">
      <alignment horizontal="left" vertical="center"/>
    </xf>
    <xf numFmtId="3" fontId="8" fillId="0" borderId="0" xfId="0" applyNumberFormat="1" applyFont="1" applyAlignment="1">
      <alignment vertical="center"/>
    </xf>
    <xf numFmtId="0" fontId="8" fillId="0" borderId="2" xfId="0" applyFont="1" applyBorder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3" fontId="8" fillId="0" borderId="34" xfId="0" applyNumberFormat="1" applyFont="1" applyBorder="1" applyAlignment="1">
      <alignment horizontal="center" vertical="center"/>
    </xf>
    <xf numFmtId="4" fontId="8" fillId="0" borderId="34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8" fillId="0" borderId="0" xfId="0" applyNumberFormat="1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0" fontId="27" fillId="0" borderId="0" xfId="0" applyFont="1" applyAlignment="1">
      <alignment vertical="center"/>
    </xf>
    <xf numFmtId="16" fontId="9" fillId="3" borderId="39" xfId="0" applyNumberFormat="1" applyFont="1" applyFill="1" applyBorder="1" applyAlignment="1">
      <alignment horizontal="center" vertical="center"/>
    </xf>
    <xf numFmtId="16" fontId="9" fillId="3" borderId="38" xfId="0" applyNumberFormat="1" applyFont="1" applyFill="1" applyBorder="1" applyAlignment="1">
      <alignment horizontal="center" vertical="center"/>
    </xf>
    <xf numFmtId="3" fontId="28" fillId="0" borderId="2" xfId="0" applyNumberFormat="1" applyFont="1" applyBorder="1" applyAlignment="1">
      <alignment horizontal="center" vertical="center"/>
    </xf>
    <xf numFmtId="3" fontId="28" fillId="0" borderId="34" xfId="0" applyNumberFormat="1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3" fontId="8" fillId="0" borderId="73" xfId="0" applyNumberFormat="1" applyFont="1" applyBorder="1" applyAlignment="1">
      <alignment horizontal="center" vertical="center"/>
    </xf>
    <xf numFmtId="4" fontId="8" fillId="0" borderId="73" xfId="0" applyNumberFormat="1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4" fontId="8" fillId="0" borderId="46" xfId="0" applyNumberFormat="1" applyFont="1" applyBorder="1" applyAlignment="1">
      <alignment horizontal="center" vertical="center"/>
    </xf>
    <xf numFmtId="16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right" vertical="center"/>
    </xf>
    <xf numFmtId="2" fontId="8" fillId="0" borderId="0" xfId="0" applyNumberFormat="1" applyFont="1" applyAlignment="1">
      <alignment vertical="center"/>
    </xf>
    <xf numFmtId="2" fontId="8" fillId="0" borderId="0" xfId="0" applyNumberFormat="1" applyFont="1" applyAlignment="1">
      <alignment horizontal="center" vertical="center"/>
    </xf>
    <xf numFmtId="166" fontId="8" fillId="0" borderId="2" xfId="5" applyNumberFormat="1" applyFont="1" applyBorder="1" applyAlignment="1">
      <alignment horizontal="right" vertical="center" indent="3"/>
    </xf>
    <xf numFmtId="166" fontId="8" fillId="0" borderId="34" xfId="5" applyNumberFormat="1" applyFont="1" applyBorder="1" applyAlignment="1">
      <alignment horizontal="right" vertical="center" indent="3"/>
    </xf>
    <xf numFmtId="166" fontId="8" fillId="0" borderId="2" xfId="0" applyNumberFormat="1" applyFont="1" applyBorder="1" applyAlignment="1">
      <alignment horizontal="right" vertical="center" indent="3"/>
    </xf>
    <xf numFmtId="166" fontId="8" fillId="0" borderId="34" xfId="5" applyNumberFormat="1" applyFont="1" applyBorder="1" applyAlignment="1">
      <alignment horizontal="center" vertical="center"/>
    </xf>
    <xf numFmtId="0" fontId="11" fillId="0" borderId="78" xfId="2" applyFont="1" applyBorder="1" applyAlignment="1">
      <alignment horizontal="center" vertical="center"/>
    </xf>
    <xf numFmtId="1" fontId="11" fillId="0" borderId="78" xfId="2" applyNumberFormat="1" applyFont="1" applyBorder="1" applyAlignment="1">
      <alignment horizontal="center" vertical="center"/>
    </xf>
    <xf numFmtId="0" fontId="11" fillId="0" borderId="0" xfId="4" applyFont="1" applyAlignment="1">
      <alignment horizontal="left" vertical="center"/>
    </xf>
    <xf numFmtId="1" fontId="11" fillId="0" borderId="8" xfId="2" applyNumberFormat="1" applyFont="1" applyBorder="1" applyAlignment="1">
      <alignment horizontal="left" vertical="center"/>
    </xf>
    <xf numFmtId="1" fontId="11" fillId="0" borderId="34" xfId="2" applyNumberFormat="1" applyFont="1" applyBorder="1" applyAlignment="1">
      <alignment horizontal="left" vertical="center"/>
    </xf>
    <xf numFmtId="1" fontId="11" fillId="0" borderId="78" xfId="2" applyNumberFormat="1" applyFont="1" applyBorder="1" applyAlignment="1">
      <alignment horizontal="left" vertical="center"/>
    </xf>
    <xf numFmtId="0" fontId="16" fillId="0" borderId="0" xfId="4" applyFont="1" applyAlignment="1">
      <alignment horizontal="left"/>
    </xf>
    <xf numFmtId="1" fontId="11" fillId="0" borderId="17" xfId="2" applyNumberFormat="1" applyFont="1" applyBorder="1" applyAlignment="1">
      <alignment horizontal="left" vertical="center"/>
    </xf>
    <xf numFmtId="0" fontId="8" fillId="0" borderId="0" xfId="4" applyFont="1" applyAlignment="1">
      <alignment vertical="center"/>
    </xf>
    <xf numFmtId="0" fontId="18" fillId="0" borderId="0" xfId="4" applyFont="1"/>
    <xf numFmtId="0" fontId="18" fillId="0" borderId="0" xfId="4" pivotButton="1" applyFont="1"/>
    <xf numFmtId="1" fontId="8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left"/>
    </xf>
    <xf numFmtId="0" fontId="18" fillId="0" borderId="0" xfId="4" applyFont="1" applyAlignment="1">
      <alignment horizontal="center"/>
    </xf>
    <xf numFmtId="1" fontId="19" fillId="5" borderId="78" xfId="2" applyNumberFormat="1" applyFont="1" applyFill="1" applyBorder="1" applyAlignment="1">
      <alignment horizontal="left"/>
    </xf>
    <xf numFmtId="0" fontId="9" fillId="4" borderId="91" xfId="0" applyFont="1" applyFill="1" applyBorder="1" applyAlignment="1">
      <alignment horizontal="center" vertical="center"/>
    </xf>
    <xf numFmtId="0" fontId="9" fillId="4" borderId="89" xfId="0" applyFont="1" applyFill="1" applyBorder="1" applyAlignment="1">
      <alignment horizontal="center" vertical="center" wrapText="1"/>
    </xf>
    <xf numFmtId="0" fontId="9" fillId="4" borderId="90" xfId="0" applyFont="1" applyFill="1" applyBorder="1" applyAlignment="1">
      <alignment horizontal="center" vertical="center" wrapText="1"/>
    </xf>
    <xf numFmtId="0" fontId="8" fillId="0" borderId="0" xfId="11" applyFont="1"/>
    <xf numFmtId="0" fontId="8" fillId="0" borderId="78" xfId="0" applyFont="1" applyBorder="1" applyAlignment="1">
      <alignment horizontal="center" vertical="center"/>
    </xf>
    <xf numFmtId="3" fontId="26" fillId="0" borderId="78" xfId="0" applyNumberFormat="1" applyFont="1" applyBorder="1" applyAlignment="1">
      <alignment horizontal="center" vertical="center"/>
    </xf>
    <xf numFmtId="3" fontId="8" fillId="0" borderId="78" xfId="0" applyNumberFormat="1" applyFont="1" applyBorder="1" applyAlignment="1">
      <alignment horizontal="right" vertical="center" indent="2"/>
    </xf>
    <xf numFmtId="10" fontId="8" fillId="0" borderId="2" xfId="5" applyNumberFormat="1" applyFont="1" applyFill="1" applyBorder="1" applyAlignment="1">
      <alignment horizontal="right" vertical="center" indent="2"/>
    </xf>
    <xf numFmtId="166" fontId="8" fillId="0" borderId="2" xfId="5" applyNumberFormat="1" applyFont="1" applyFill="1" applyBorder="1" applyAlignment="1">
      <alignment horizontal="right" vertical="center" indent="2"/>
    </xf>
    <xf numFmtId="166" fontId="8" fillId="0" borderId="78" xfId="5" applyNumberFormat="1" applyFont="1" applyFill="1" applyBorder="1" applyAlignment="1">
      <alignment horizontal="right" vertical="center" indent="2"/>
    </xf>
    <xf numFmtId="3" fontId="26" fillId="0" borderId="87" xfId="0" applyNumberFormat="1" applyFont="1" applyBorder="1" applyAlignment="1">
      <alignment horizontal="center" vertical="center"/>
    </xf>
    <xf numFmtId="0" fontId="8" fillId="0" borderId="87" xfId="0" applyFont="1" applyBorder="1" applyAlignment="1">
      <alignment horizontal="center" vertical="center"/>
    </xf>
    <xf numFmtId="3" fontId="8" fillId="0" borderId="87" xfId="0" applyNumberFormat="1" applyFont="1" applyBorder="1" applyAlignment="1">
      <alignment horizontal="right" vertical="center" indent="2"/>
    </xf>
    <xf numFmtId="3" fontId="26" fillId="0" borderId="3" xfId="0" applyNumberFormat="1" applyFont="1" applyBorder="1" applyAlignment="1">
      <alignment horizontal="center" vertical="center"/>
    </xf>
    <xf numFmtId="3" fontId="8" fillId="0" borderId="3" xfId="0" applyNumberFormat="1" applyFont="1" applyBorder="1" applyAlignment="1">
      <alignment horizontal="right" vertical="center" indent="2"/>
    </xf>
    <xf numFmtId="166" fontId="8" fillId="0" borderId="3" xfId="5" applyNumberFormat="1" applyFont="1" applyFill="1" applyBorder="1" applyAlignment="1">
      <alignment horizontal="right" vertical="center" indent="2"/>
    </xf>
    <xf numFmtId="0" fontId="8" fillId="0" borderId="0" xfId="11" applyFont="1" applyAlignment="1">
      <alignment horizontal="center"/>
    </xf>
    <xf numFmtId="9" fontId="8" fillId="0" borderId="2" xfId="5" applyFont="1" applyFill="1" applyBorder="1" applyAlignment="1">
      <alignment horizontal="right" vertical="center" indent="2"/>
    </xf>
    <xf numFmtId="166" fontId="8" fillId="0" borderId="87" xfId="5" applyNumberFormat="1" applyFont="1" applyFill="1" applyBorder="1" applyAlignment="1">
      <alignment horizontal="right" vertical="center" indent="2"/>
    </xf>
    <xf numFmtId="9" fontId="8" fillId="0" borderId="3" xfId="5" applyFont="1" applyFill="1" applyBorder="1" applyAlignment="1">
      <alignment horizontal="right" vertical="center" indent="2"/>
    </xf>
    <xf numFmtId="9" fontId="8" fillId="0" borderId="78" xfId="5" applyFont="1" applyFill="1" applyBorder="1" applyAlignment="1">
      <alignment horizontal="right" vertical="center" indent="2"/>
    </xf>
    <xf numFmtId="166" fontId="7" fillId="0" borderId="11" xfId="5" applyNumberFormat="1" applyBorder="1" applyAlignment="1">
      <alignment vertical="center"/>
    </xf>
    <xf numFmtId="1" fontId="7" fillId="0" borderId="10" xfId="2" quotePrefix="1" applyNumberFormat="1" applyBorder="1" applyAlignment="1">
      <alignment horizontal="left" vertical="center"/>
    </xf>
    <xf numFmtId="0" fontId="15" fillId="4" borderId="19" xfId="2" applyFont="1" applyFill="1" applyBorder="1" applyAlignment="1">
      <alignment horizontal="center" vertical="center" wrapText="1"/>
    </xf>
    <xf numFmtId="0" fontId="15" fillId="4" borderId="18" xfId="2" applyFont="1" applyFill="1" applyBorder="1" applyAlignment="1">
      <alignment horizontal="center" vertical="center" wrapText="1"/>
    </xf>
    <xf numFmtId="0" fontId="15" fillId="4" borderId="20" xfId="2" applyFont="1" applyFill="1" applyBorder="1" applyAlignment="1">
      <alignment horizontal="center" vertical="center" wrapText="1"/>
    </xf>
    <xf numFmtId="10" fontId="8" fillId="0" borderId="3" xfId="5" applyNumberFormat="1" applyFont="1" applyFill="1" applyBorder="1" applyAlignment="1">
      <alignment horizontal="right" vertical="center" indent="2"/>
    </xf>
    <xf numFmtId="0" fontId="7" fillId="0" borderId="15" xfId="2" applyBorder="1" applyAlignment="1">
      <alignment horizontal="left" vertical="center" wrapText="1"/>
    </xf>
    <xf numFmtId="0" fontId="7" fillId="0" borderId="14" xfId="2" applyBorder="1" applyAlignment="1">
      <alignment horizontal="left" vertical="center" wrapText="1"/>
    </xf>
    <xf numFmtId="0" fontId="7" fillId="0" borderId="13" xfId="2" applyBorder="1" applyAlignment="1">
      <alignment horizontal="left" vertical="center" wrapText="1"/>
    </xf>
    <xf numFmtId="0" fontId="21" fillId="3" borderId="43" xfId="0" applyFont="1" applyFill="1" applyBorder="1" applyAlignment="1">
      <alignment horizontal="center" vertical="center"/>
    </xf>
    <xf numFmtId="0" fontId="21" fillId="3" borderId="42" xfId="0" applyFont="1" applyFill="1" applyBorder="1" applyAlignment="1">
      <alignment horizontal="center" vertical="center"/>
    </xf>
    <xf numFmtId="0" fontId="21" fillId="4" borderId="50" xfId="0" applyFont="1" applyFill="1" applyBorder="1" applyAlignment="1">
      <alignment horizontal="center" vertical="center"/>
    </xf>
    <xf numFmtId="0" fontId="21" fillId="4" borderId="41" xfId="0" applyFont="1" applyFill="1" applyBorder="1" applyAlignment="1">
      <alignment horizontal="center" vertical="center"/>
    </xf>
    <xf numFmtId="0" fontId="21" fillId="3" borderId="49" xfId="0" applyFont="1" applyFill="1" applyBorder="1" applyAlignment="1">
      <alignment horizontal="center" vertical="center" wrapText="1"/>
    </xf>
    <xf numFmtId="0" fontId="21" fillId="3" borderId="40" xfId="0" applyFont="1" applyFill="1" applyBorder="1" applyAlignment="1">
      <alignment horizontal="center" vertical="center" wrapText="1"/>
    </xf>
    <xf numFmtId="0" fontId="21" fillId="3" borderId="48" xfId="0" applyFont="1" applyFill="1" applyBorder="1" applyAlignment="1">
      <alignment horizontal="center" vertical="center" wrapText="1"/>
    </xf>
    <xf numFmtId="0" fontId="21" fillId="3" borderId="47" xfId="0" applyFont="1" applyFill="1" applyBorder="1" applyAlignment="1">
      <alignment horizontal="center" vertical="center" wrapText="1"/>
    </xf>
    <xf numFmtId="0" fontId="21" fillId="4" borderId="45" xfId="0" applyFont="1" applyFill="1" applyBorder="1" applyAlignment="1">
      <alignment horizontal="center" vertical="center"/>
    </xf>
    <xf numFmtId="0" fontId="21" fillId="3" borderId="44" xfId="0" applyFont="1" applyFill="1" applyBorder="1" applyAlignment="1">
      <alignment horizontal="center" vertical="center" wrapText="1"/>
    </xf>
    <xf numFmtId="0" fontId="21" fillId="4" borderId="44" xfId="0" applyFont="1" applyFill="1" applyBorder="1" applyAlignment="1">
      <alignment horizontal="center" vertical="center" wrapText="1"/>
    </xf>
    <xf numFmtId="0" fontId="21" fillId="4" borderId="40" xfId="0" applyFont="1" applyFill="1" applyBorder="1" applyAlignment="1">
      <alignment horizontal="center" vertical="center" wrapText="1"/>
    </xf>
    <xf numFmtId="0" fontId="21" fillId="3" borderId="52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21" fillId="4" borderId="55" xfId="0" applyFont="1" applyFill="1" applyBorder="1" applyAlignment="1">
      <alignment horizontal="center" vertical="center"/>
    </xf>
    <xf numFmtId="0" fontId="21" fillId="4" borderId="53" xfId="0" applyFont="1" applyFill="1" applyBorder="1" applyAlignment="1">
      <alignment horizontal="center" vertical="center"/>
    </xf>
    <xf numFmtId="0" fontId="21" fillId="4" borderId="54" xfId="0" applyFont="1" applyFill="1" applyBorder="1" applyAlignment="1">
      <alignment horizontal="center" vertical="center" wrapText="1"/>
    </xf>
    <xf numFmtId="0" fontId="21" fillId="4" borderId="47" xfId="0" applyFont="1" applyFill="1" applyBorder="1" applyAlignment="1">
      <alignment horizontal="center" vertical="center" wrapText="1"/>
    </xf>
    <xf numFmtId="0" fontId="9" fillId="4" borderId="88" xfId="0" applyFont="1" applyFill="1" applyBorder="1" applyAlignment="1">
      <alignment horizontal="center" vertical="center"/>
    </xf>
    <xf numFmtId="0" fontId="9" fillId="4" borderId="70" xfId="0" applyFont="1" applyFill="1" applyBorder="1" applyAlignment="1">
      <alignment horizontal="center" vertical="center"/>
    </xf>
    <xf numFmtId="0" fontId="9" fillId="4" borderId="56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18" fillId="0" borderId="4" xfId="9" applyFont="1" applyBorder="1" applyAlignment="1">
      <alignment horizontal="left" vertical="center" wrapText="1"/>
    </xf>
    <xf numFmtId="0" fontId="18" fillId="0" borderId="5" xfId="9" applyFont="1" applyBorder="1" applyAlignment="1">
      <alignment horizontal="left" vertical="center" wrapText="1"/>
    </xf>
    <xf numFmtId="0" fontId="18" fillId="0" borderId="6" xfId="9" applyFont="1" applyBorder="1" applyAlignment="1">
      <alignment horizontal="left" vertical="center" wrapText="1"/>
    </xf>
    <xf numFmtId="0" fontId="7" fillId="0" borderId="16" xfId="2" applyBorder="1" applyAlignment="1">
      <alignment horizontal="left" vertical="center" wrapText="1"/>
    </xf>
    <xf numFmtId="0" fontId="8" fillId="0" borderId="79" xfId="0" applyFont="1" applyBorder="1" applyAlignment="1">
      <alignment horizontal="left" vertical="top" wrapText="1"/>
    </xf>
    <xf numFmtId="0" fontId="8" fillId="0" borderId="80" xfId="0" applyFont="1" applyBorder="1" applyAlignment="1">
      <alignment horizontal="left" vertical="top" wrapText="1"/>
    </xf>
    <xf numFmtId="0" fontId="8" fillId="0" borderId="81" xfId="0" applyFont="1" applyBorder="1" applyAlignment="1">
      <alignment horizontal="left" vertical="top" wrapText="1"/>
    </xf>
    <xf numFmtId="0" fontId="8" fillId="0" borderId="82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83" xfId="0" applyFont="1" applyBorder="1" applyAlignment="1">
      <alignment horizontal="left" vertical="top" wrapText="1"/>
    </xf>
    <xf numFmtId="0" fontId="8" fillId="0" borderId="84" xfId="0" applyFont="1" applyBorder="1" applyAlignment="1">
      <alignment horizontal="left" vertical="top" wrapText="1"/>
    </xf>
    <xf numFmtId="0" fontId="8" fillId="0" borderId="85" xfId="0" applyFont="1" applyBorder="1" applyAlignment="1">
      <alignment horizontal="left" vertical="top" wrapText="1"/>
    </xf>
    <xf numFmtId="0" fontId="8" fillId="0" borderId="86" xfId="0" applyFont="1" applyBorder="1" applyAlignment="1">
      <alignment horizontal="left" vertical="top" wrapText="1"/>
    </xf>
    <xf numFmtId="0" fontId="9" fillId="2" borderId="45" xfId="0" applyFont="1" applyFill="1" applyBorder="1" applyAlignment="1">
      <alignment horizontal="center" vertical="center"/>
    </xf>
    <xf numFmtId="0" fontId="9" fillId="2" borderId="41" xfId="0" applyFont="1" applyFill="1" applyBorder="1" applyAlignment="1">
      <alignment horizontal="center" vertical="center"/>
    </xf>
    <xf numFmtId="0" fontId="9" fillId="3" borderId="44" xfId="0" applyFont="1" applyFill="1" applyBorder="1" applyAlignment="1">
      <alignment horizontal="center" vertical="center" wrapText="1"/>
    </xf>
    <xf numFmtId="0" fontId="9" fillId="3" borderId="40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/>
    </xf>
    <xf numFmtId="0" fontId="9" fillId="3" borderId="42" xfId="0" applyFont="1" applyFill="1" applyBorder="1" applyAlignment="1">
      <alignment horizontal="center" vertical="center"/>
    </xf>
    <xf numFmtId="0" fontId="9" fillId="2" borderId="43" xfId="0" applyFont="1" applyFill="1" applyBorder="1" applyAlignment="1">
      <alignment horizontal="center" vertical="center" wrapText="1"/>
    </xf>
    <xf numFmtId="0" fontId="9" fillId="2" borderId="39" xfId="0" applyFont="1" applyFill="1" applyBorder="1" applyAlignment="1">
      <alignment horizontal="center" vertical="center"/>
    </xf>
    <xf numFmtId="0" fontId="9" fillId="2" borderId="50" xfId="0" applyFont="1" applyFill="1" applyBorder="1" applyAlignment="1">
      <alignment horizontal="center" vertical="center"/>
    </xf>
    <xf numFmtId="0" fontId="9" fillId="3" borderId="49" xfId="0" applyFont="1" applyFill="1" applyBorder="1" applyAlignment="1">
      <alignment horizontal="center" vertical="center" wrapText="1"/>
    </xf>
    <xf numFmtId="0" fontId="9" fillId="3" borderId="48" xfId="0" applyFont="1" applyFill="1" applyBorder="1" applyAlignment="1">
      <alignment horizontal="center" vertical="center" wrapText="1"/>
    </xf>
    <xf numFmtId="0" fontId="9" fillId="3" borderId="47" xfId="0" applyFont="1" applyFill="1" applyBorder="1" applyAlignment="1">
      <alignment horizontal="center" vertical="center" wrapText="1"/>
    </xf>
    <xf numFmtId="0" fontId="8" fillId="0" borderId="76" xfId="0" applyFont="1" applyBorder="1" applyAlignment="1">
      <alignment horizontal="left" vertical="center" wrapText="1"/>
    </xf>
    <xf numFmtId="0" fontId="8" fillId="0" borderId="75" xfId="0" applyFont="1" applyBorder="1" applyAlignment="1">
      <alignment horizontal="left" vertical="center" wrapText="1"/>
    </xf>
    <xf numFmtId="0" fontId="8" fillId="0" borderId="74" xfId="0" applyFont="1" applyBorder="1" applyAlignment="1">
      <alignment horizontal="left"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9" fillId="2" borderId="40" xfId="0" applyFont="1" applyFill="1" applyBorder="1" applyAlignment="1">
      <alignment horizontal="center" vertical="center" wrapText="1"/>
    </xf>
    <xf numFmtId="0" fontId="9" fillId="2" borderId="55" xfId="0" applyFont="1" applyFill="1" applyBorder="1" applyAlignment="1">
      <alignment horizontal="center" vertical="center"/>
    </xf>
    <xf numFmtId="0" fontId="9" fillId="2" borderId="53" xfId="0" applyFont="1" applyFill="1" applyBorder="1" applyAlignment="1">
      <alignment horizontal="center" vertical="center"/>
    </xf>
    <xf numFmtId="0" fontId="9" fillId="2" borderId="54" xfId="0" applyFont="1" applyFill="1" applyBorder="1" applyAlignment="1">
      <alignment horizontal="center" vertical="center" wrapText="1"/>
    </xf>
    <xf numFmtId="0" fontId="9" fillId="2" borderId="47" xfId="0" applyFont="1" applyFill="1" applyBorder="1" applyAlignment="1">
      <alignment horizontal="center" vertical="center" wrapText="1"/>
    </xf>
    <xf numFmtId="0" fontId="8" fillId="0" borderId="22" xfId="0" applyFont="1" applyBorder="1" applyAlignment="1">
      <alignment horizontal="left" vertical="top" wrapText="1"/>
    </xf>
    <xf numFmtId="0" fontId="8" fillId="0" borderId="23" xfId="0" applyFont="1" applyBorder="1" applyAlignment="1">
      <alignment horizontal="left" vertical="top" wrapText="1"/>
    </xf>
    <xf numFmtId="0" fontId="8" fillId="0" borderId="24" xfId="0" applyFont="1" applyBorder="1" applyAlignment="1">
      <alignment horizontal="left" vertical="top" wrapText="1"/>
    </xf>
    <xf numFmtId="0" fontId="8" fillId="0" borderId="95" xfId="0" applyFont="1" applyBorder="1" applyAlignment="1">
      <alignment horizontal="left" vertical="top" wrapText="1"/>
    </xf>
    <xf numFmtId="0" fontId="8" fillId="0" borderId="96" xfId="0" applyFont="1" applyBorder="1" applyAlignment="1">
      <alignment horizontal="left" vertical="top" wrapText="1"/>
    </xf>
    <xf numFmtId="0" fontId="8" fillId="0" borderId="25" xfId="0" applyFont="1" applyBorder="1" applyAlignment="1">
      <alignment horizontal="left" vertical="top" wrapText="1"/>
    </xf>
    <xf numFmtId="0" fontId="8" fillId="0" borderId="26" xfId="0" applyFont="1" applyBorder="1" applyAlignment="1">
      <alignment horizontal="left" vertical="top" wrapText="1"/>
    </xf>
    <xf numFmtId="0" fontId="8" fillId="0" borderId="27" xfId="0" applyFont="1" applyBorder="1" applyAlignment="1">
      <alignment horizontal="left" vertical="top" wrapText="1"/>
    </xf>
    <xf numFmtId="0" fontId="21" fillId="4" borderId="66" xfId="0" applyFont="1" applyFill="1" applyBorder="1" applyAlignment="1">
      <alignment horizontal="center" vertical="center" wrapText="1"/>
    </xf>
    <xf numFmtId="0" fontId="21" fillId="4" borderId="65" xfId="0" applyFont="1" applyFill="1" applyBorder="1" applyAlignment="1">
      <alignment horizontal="center" vertical="center" wrapText="1"/>
    </xf>
    <xf numFmtId="0" fontId="21" fillId="4" borderId="88" xfId="0" applyFont="1" applyFill="1" applyBorder="1" applyAlignment="1">
      <alignment horizontal="center" vertical="center"/>
    </xf>
    <xf numFmtId="0" fontId="21" fillId="4" borderId="70" xfId="0" applyFont="1" applyFill="1" applyBorder="1" applyAlignment="1">
      <alignment horizontal="center" vertical="center"/>
    </xf>
    <xf numFmtId="0" fontId="21" fillId="4" borderId="56" xfId="0" applyFont="1" applyFill="1" applyBorder="1" applyAlignment="1">
      <alignment horizontal="center" vertical="center"/>
    </xf>
    <xf numFmtId="0" fontId="21" fillId="4" borderId="67" xfId="0" applyFont="1" applyFill="1" applyBorder="1" applyAlignment="1">
      <alignment horizontal="center" vertical="center" wrapText="1"/>
    </xf>
    <xf numFmtId="0" fontId="21" fillId="4" borderId="62" xfId="0" applyFont="1" applyFill="1" applyBorder="1" applyAlignment="1">
      <alignment horizontal="center" vertical="center" wrapText="1"/>
    </xf>
    <xf numFmtId="0" fontId="21" fillId="4" borderId="69" xfId="0" applyFont="1" applyFill="1" applyBorder="1" applyAlignment="1">
      <alignment horizontal="center" vertical="center" wrapText="1"/>
    </xf>
    <xf numFmtId="0" fontId="21" fillId="4" borderId="64" xfId="0" applyFont="1" applyFill="1" applyBorder="1" applyAlignment="1">
      <alignment horizontal="center" vertical="center" wrapText="1"/>
    </xf>
    <xf numFmtId="0" fontId="21" fillId="4" borderId="68" xfId="0" applyFont="1" applyFill="1" applyBorder="1" applyAlignment="1">
      <alignment horizontal="center" vertical="center" wrapText="1"/>
    </xf>
    <xf numFmtId="0" fontId="21" fillId="4" borderId="63" xfId="0" applyFont="1" applyFill="1" applyBorder="1" applyAlignment="1">
      <alignment horizontal="center" vertical="center" wrapText="1"/>
    </xf>
    <xf numFmtId="0" fontId="16" fillId="0" borderId="4" xfId="4" applyFont="1" applyBorder="1" applyAlignment="1">
      <alignment horizontal="left" vertical="center" wrapText="1"/>
    </xf>
    <xf numFmtId="0" fontId="16" fillId="0" borderId="5" xfId="4" applyFont="1" applyBorder="1" applyAlignment="1">
      <alignment horizontal="left" vertical="center" wrapText="1"/>
    </xf>
    <xf numFmtId="0" fontId="16" fillId="0" borderId="6" xfId="4" applyFont="1" applyBorder="1" applyAlignment="1">
      <alignment horizontal="left" vertical="center" wrapText="1"/>
    </xf>
    <xf numFmtId="0" fontId="19" fillId="4" borderId="97" xfId="4" applyFont="1" applyFill="1" applyBorder="1" applyAlignment="1">
      <alignment horizontal="center" vertical="center" wrapText="1"/>
    </xf>
    <xf numFmtId="0" fontId="19" fillId="4" borderId="98" xfId="4" applyFont="1" applyFill="1" applyBorder="1" applyAlignment="1">
      <alignment horizontal="center" vertical="center" wrapText="1"/>
    </xf>
    <xf numFmtId="0" fontId="19" fillId="4" borderId="99" xfId="4" applyFont="1" applyFill="1" applyBorder="1" applyAlignment="1">
      <alignment horizontal="center" vertical="center" wrapText="1"/>
    </xf>
    <xf numFmtId="0" fontId="8" fillId="0" borderId="22" xfId="0" applyFont="1" applyBorder="1" applyAlignment="1">
      <alignment horizontal="left" wrapText="1"/>
    </xf>
    <xf numFmtId="0" fontId="8" fillId="0" borderId="23" xfId="0" applyFont="1" applyBorder="1" applyAlignment="1">
      <alignment horizontal="left" wrapText="1"/>
    </xf>
    <xf numFmtId="0" fontId="8" fillId="0" borderId="24" xfId="0" applyFont="1" applyBorder="1" applyAlignment="1">
      <alignment horizontal="left" wrapText="1"/>
    </xf>
    <xf numFmtId="0" fontId="8" fillId="0" borderId="25" xfId="0" applyFont="1" applyBorder="1" applyAlignment="1">
      <alignment horizontal="left" wrapText="1"/>
    </xf>
    <xf numFmtId="0" fontId="8" fillId="0" borderId="26" xfId="0" applyFont="1" applyBorder="1" applyAlignment="1">
      <alignment horizontal="left" wrapText="1"/>
    </xf>
    <xf numFmtId="0" fontId="8" fillId="0" borderId="27" xfId="0" applyFont="1" applyBorder="1" applyAlignment="1">
      <alignment horizontal="left" wrapText="1"/>
    </xf>
    <xf numFmtId="0" fontId="8" fillId="0" borderId="4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8" fillId="0" borderId="4" xfId="14" applyFont="1" applyBorder="1" applyAlignment="1">
      <alignment horizontal="left" vertical="center" wrapText="1"/>
    </xf>
    <xf numFmtId="0" fontId="18" fillId="0" borderId="5" xfId="14" applyFont="1" applyBorder="1" applyAlignment="1">
      <alignment horizontal="left" vertical="center" wrapText="1"/>
    </xf>
    <xf numFmtId="0" fontId="18" fillId="0" borderId="6" xfId="14" applyFont="1" applyBorder="1" applyAlignment="1">
      <alignment horizontal="left" vertical="center" wrapText="1"/>
    </xf>
    <xf numFmtId="0" fontId="10" fillId="4" borderId="57" xfId="0" applyFont="1" applyFill="1" applyBorder="1" applyAlignment="1">
      <alignment horizontal="center" vertical="center"/>
    </xf>
    <xf numFmtId="0" fontId="10" fillId="4" borderId="70" xfId="0" applyFont="1" applyFill="1" applyBorder="1" applyAlignment="1">
      <alignment horizontal="center" vertical="center"/>
    </xf>
    <xf numFmtId="0" fontId="10" fillId="4" borderId="56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21" fillId="4" borderId="57" xfId="0" applyFont="1" applyFill="1" applyBorder="1" applyAlignment="1">
      <alignment horizontal="center" vertical="center"/>
    </xf>
    <xf numFmtId="0" fontId="9" fillId="5" borderId="91" xfId="2" applyFont="1" applyFill="1" applyBorder="1" applyAlignment="1">
      <alignment horizontal="center" vertical="center" wrapText="1"/>
    </xf>
    <xf numFmtId="0" fontId="9" fillId="3" borderId="89" xfId="2" applyFont="1" applyFill="1" applyBorder="1" applyAlignment="1">
      <alignment horizontal="center" vertical="center" wrapText="1"/>
    </xf>
    <xf numFmtId="0" fontId="9" fillId="3" borderId="90" xfId="2" applyFont="1" applyFill="1" applyBorder="1" applyAlignment="1">
      <alignment horizontal="center" vertical="center" wrapText="1"/>
    </xf>
    <xf numFmtId="3" fontId="26" fillId="6" borderId="2" xfId="2" applyNumberFormat="1" applyFont="1" applyFill="1" applyBorder="1" applyAlignment="1">
      <alignment horizontal="right" vertical="center" indent="1"/>
    </xf>
    <xf numFmtId="166" fontId="8" fillId="6" borderId="2" xfId="3" applyNumberFormat="1" applyFont="1" applyFill="1" applyBorder="1" applyAlignment="1">
      <alignment horizontal="right" vertical="center" indent="1"/>
    </xf>
    <xf numFmtId="3" fontId="8" fillId="6" borderId="2" xfId="2" applyNumberFormat="1" applyFont="1" applyFill="1" applyBorder="1" applyAlignment="1">
      <alignment horizontal="right" vertical="center" indent="1"/>
    </xf>
    <xf numFmtId="3" fontId="8" fillId="6" borderId="78" xfId="2" applyNumberFormat="1" applyFont="1" applyFill="1" applyBorder="1" applyAlignment="1">
      <alignment horizontal="right" vertical="center" indent="1"/>
    </xf>
    <xf numFmtId="166" fontId="8" fillId="6" borderId="78" xfId="3" applyNumberFormat="1" applyFont="1" applyFill="1" applyBorder="1" applyAlignment="1">
      <alignment horizontal="right" vertical="center" indent="1"/>
    </xf>
    <xf numFmtId="0" fontId="11" fillId="0" borderId="0" xfId="0" pivotButton="1" applyFont="1"/>
    <xf numFmtId="0" fontId="11" fillId="0" borderId="0" xfId="0" applyNumberFormat="1" applyFont="1"/>
    <xf numFmtId="0" fontId="11" fillId="0" borderId="0" xfId="0" applyFont="1" applyAlignment="1">
      <alignment horizontal="center"/>
    </xf>
    <xf numFmtId="10" fontId="11" fillId="0" borderId="0" xfId="0" applyNumberFormat="1" applyFont="1"/>
    <xf numFmtId="2" fontId="11" fillId="0" borderId="0" xfId="0" applyNumberFormat="1" applyFont="1" applyAlignment="1">
      <alignment horizontal="center"/>
    </xf>
    <xf numFmtId="166" fontId="11" fillId="0" borderId="0" xfId="0" applyNumberFormat="1" applyFont="1"/>
    <xf numFmtId="0" fontId="8" fillId="7" borderId="0" xfId="0" applyFont="1" applyFill="1" applyAlignment="1">
      <alignment horizontal="center"/>
    </xf>
    <xf numFmtId="0" fontId="19" fillId="4" borderId="35" xfId="2" applyFont="1" applyFill="1" applyBorder="1" applyAlignment="1">
      <alignment horizontal="center"/>
    </xf>
    <xf numFmtId="0" fontId="19" fillId="4" borderId="31" xfId="2" applyFont="1" applyFill="1" applyBorder="1" applyAlignment="1">
      <alignment horizontal="center"/>
    </xf>
    <xf numFmtId="0" fontId="19" fillId="4" borderId="32" xfId="2" applyFont="1" applyFill="1" applyBorder="1" applyAlignment="1">
      <alignment horizontal="center"/>
    </xf>
    <xf numFmtId="0" fontId="33" fillId="0" borderId="0" xfId="9" applyFont="1"/>
    <xf numFmtId="0" fontId="11" fillId="0" borderId="0" xfId="0" pivotButton="1" applyFont="1" applyAlignment="1">
      <alignment horizontal="left"/>
    </xf>
    <xf numFmtId="0" fontId="11" fillId="0" borderId="0" xfId="0" applyNumberFormat="1" applyFont="1" applyAlignment="1">
      <alignment horizontal="center"/>
    </xf>
    <xf numFmtId="166" fontId="11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8" fillId="0" borderId="0" xfId="0" applyNumberFormat="1" applyFont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8" fillId="0" borderId="0" xfId="0" pivotButton="1" applyFont="1" applyAlignment="1">
      <alignment horizontal="center"/>
    </xf>
    <xf numFmtId="3" fontId="8" fillId="6" borderId="77" xfId="2" applyNumberFormat="1" applyFont="1" applyFill="1" applyBorder="1" applyAlignment="1">
      <alignment horizontal="right" vertical="center" indent="1"/>
    </xf>
    <xf numFmtId="166" fontId="8" fillId="6" borderId="77" xfId="3" applyNumberFormat="1" applyFont="1" applyFill="1" applyBorder="1" applyAlignment="1">
      <alignment horizontal="right" vertical="center" indent="1"/>
    </xf>
    <xf numFmtId="3" fontId="8" fillId="6" borderId="87" xfId="2" applyNumberFormat="1" applyFont="1" applyFill="1" applyBorder="1" applyAlignment="1">
      <alignment horizontal="right" vertical="center" indent="1"/>
    </xf>
    <xf numFmtId="166" fontId="8" fillId="6" borderId="87" xfId="3" applyNumberFormat="1" applyFont="1" applyFill="1" applyBorder="1" applyAlignment="1">
      <alignment horizontal="right" vertical="center" indent="1"/>
    </xf>
    <xf numFmtId="3" fontId="8" fillId="6" borderId="92" xfId="2" applyNumberFormat="1" applyFont="1" applyFill="1" applyBorder="1" applyAlignment="1">
      <alignment horizontal="right" vertical="center" indent="1"/>
    </xf>
    <xf numFmtId="166" fontId="8" fillId="6" borderId="92" xfId="3" applyNumberFormat="1" applyFont="1" applyFill="1" applyBorder="1" applyAlignment="1">
      <alignment horizontal="right" vertical="center" indent="1"/>
    </xf>
    <xf numFmtId="3" fontId="18" fillId="0" borderId="0" xfId="9" applyNumberFormat="1" applyFont="1"/>
  </cellXfs>
  <cellStyles count="15">
    <cellStyle name="Normál" xfId="0" builtinId="0"/>
    <cellStyle name="Normál 2" xfId="1" xr:uid="{00000000-0005-0000-0000-000001000000}"/>
    <cellStyle name="Normál 2 2" xfId="2" xr:uid="{00000000-0005-0000-0000-000002000000}"/>
    <cellStyle name="Normál 2 2 2" xfId="4" xr:uid="{00000000-0005-0000-0000-000003000000}"/>
    <cellStyle name="Normál 2 2 2 2" xfId="6" xr:uid="{6C9E9BBD-5BAF-428F-8855-D2BF71F145D5}"/>
    <cellStyle name="Normál 2 2 2 3" xfId="7" xr:uid="{C045319F-E389-4870-8789-CF7DB0605AC4}"/>
    <cellStyle name="Normál 2 2 2 3 2" xfId="10" xr:uid="{71A900BF-08CB-4C0D-A079-BB8D0AB7C1E1}"/>
    <cellStyle name="Normál 2 2 2 3 2 3" xfId="13" xr:uid="{AF85AA56-6153-4B8D-A152-8880078BE607}"/>
    <cellStyle name="Normál 2 2 2 4" xfId="8" xr:uid="{B81BB560-EF49-4911-9992-089FA46DDC36}"/>
    <cellStyle name="Normál 2 2 2 4 2" xfId="12" xr:uid="{12A31991-11DE-4771-9B85-F7A1F4F2FB07}"/>
    <cellStyle name="Normál 2 2 2 4 3" xfId="14" xr:uid="{4EE538DA-6BD6-4172-BD41-57EA9BD65DD8}"/>
    <cellStyle name="Normál 2 2 2 5" xfId="9" xr:uid="{FAE807DA-83C2-4F41-BCFD-53E3A0CDDC94}"/>
    <cellStyle name="Normál_Munkafüzet1" xfId="11" xr:uid="{A6B92480-B5F4-4847-9FA7-D2756173E89B}"/>
    <cellStyle name="Százalék" xfId="5" builtinId="5"/>
    <cellStyle name="Százalék 2" xfId="3" xr:uid="{00000000-0005-0000-0000-000005000000}"/>
  </cellStyles>
  <dxfs count="292"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alignment horizontal="center" readingOrder="0"/>
    </dxf>
    <dxf>
      <alignment horizontal="center" readingOrder="0"/>
    </dxf>
    <dxf>
      <alignment horizontal="center" readingOrder="0"/>
    </dxf>
    <dxf>
      <numFmt numFmtId="14" formatCode="0.00%"/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numFmt numFmtId="14" formatCode="0.00%"/>
    </dxf>
    <dxf>
      <alignment horizontal="center"/>
    </dxf>
    <dxf>
      <alignment horizontal="center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4" formatCode="0.00%"/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numFmt numFmtId="14" formatCode="0.00%"/>
    </dxf>
    <dxf>
      <alignment horizontal="center"/>
    </dxf>
    <dxf>
      <alignment horizontal="center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4" formatCode="0.00%"/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numFmt numFmtId="14" formatCode="0.00%"/>
    </dxf>
    <dxf>
      <alignment horizontal="center"/>
    </dxf>
    <dxf>
      <alignment horizontal="center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4" formatCode="0.00%"/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4" formatCode="0.00%"/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numFmt numFmtId="14" formatCode="0.00%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4" formatCode="0.00%"/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numFmt numFmtId="14" formatCode="0.00%"/>
    </dxf>
    <dxf>
      <numFmt numFmtId="14" formatCode="0.00%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4" formatCode="0.00%"/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alignment horizontal="center" readingOrder="0"/>
    </dxf>
    <dxf>
      <alignment horizontal="center" readingOrder="0"/>
    </dxf>
    <dxf>
      <alignment horizontal="center" readingOrder="0"/>
    </dxf>
    <dxf>
      <numFmt numFmtId="14" formatCode="0.00%"/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alignment horizontal="center" readingOrder="0"/>
    </dxf>
    <dxf>
      <alignment horizontal="center" readingOrder="0"/>
    </dxf>
    <dxf>
      <alignment horizontal="center" readingOrder="0"/>
    </dxf>
    <dxf>
      <numFmt numFmtId="14" formatCode="0.00%"/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alignment horizontal="center" readingOrder="0"/>
    </dxf>
    <dxf>
      <alignment horizontal="center" readingOrder="0"/>
    </dxf>
    <dxf>
      <alignment horizontal="center" readingOrder="0"/>
    </dxf>
    <dxf>
      <numFmt numFmtId="14" formatCode="0.00%"/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alignment horizontal="center" readingOrder="0"/>
    </dxf>
    <dxf>
      <alignment horizontal="center" readingOrder="0"/>
    </dxf>
    <dxf>
      <alignment horizontal="center" readingOrder="0"/>
    </dxf>
    <dxf>
      <numFmt numFmtId="14" formatCode="0.00%"/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alignment horizontal="center" readingOrder="0"/>
    </dxf>
    <dxf>
      <alignment horizontal="center" readingOrder="0"/>
    </dxf>
    <dxf>
      <alignment horizontal="center" readingOrder="0"/>
    </dxf>
    <dxf>
      <numFmt numFmtId="14" formatCode="0.00%"/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numFmt numFmtId="14" formatCode="0.00%"/>
    </dxf>
    <dxf>
      <alignment horizontal="center"/>
    </dxf>
    <dxf>
      <numFmt numFmtId="166" formatCode="0.0%"/>
    </dxf>
    <dxf>
      <numFmt numFmtId="166" formatCode="0.0%"/>
    </dxf>
    <dxf>
      <alignment horizontal="left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alignment horizontal="center"/>
    </dxf>
    <dxf>
      <alignment horizontal="center"/>
    </dxf>
    <dxf>
      <numFmt numFmtId="166" formatCode="0.0%"/>
    </dxf>
    <dxf>
      <numFmt numFmtId="166" formatCode="0.0%"/>
    </dxf>
    <dxf>
      <alignment horizontal="center"/>
    </dxf>
    <dxf>
      <alignment horizontal="center"/>
    </dxf>
    <dxf>
      <numFmt numFmtId="14" formatCode="0.00%"/>
    </dxf>
    <dxf>
      <numFmt numFmtId="14" formatCode="0.00%"/>
    </dxf>
    <dxf>
      <alignment horizontal="center"/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alignment horizontal="center" readingOrder="0"/>
    </dxf>
    <dxf>
      <alignment horizontal="center" readingOrder="0"/>
    </dxf>
    <dxf>
      <alignment horizontal="center" readingOrder="0"/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numFmt numFmtId="14" formatCode="0.00%"/>
    </dxf>
    <dxf>
      <alignment horizontal="center" readingOrder="0"/>
    </dxf>
    <dxf>
      <alignment horizontal="center" readingOrder="0"/>
    </dxf>
    <dxf>
      <alignment horizontal="center" readingOrder="0"/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font>
        <name val="Arial"/>
        <family val="2"/>
        <charset val="23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horizontal="center"/>
    </dxf>
    <dxf>
      <font>
        <sz val="10"/>
        <charset val="238"/>
      </font>
    </dxf>
    <dxf>
      <font>
        <name val="Arial"/>
        <family val="2"/>
        <scheme val="none"/>
      </font>
    </dxf>
    <dxf>
      <alignment horizontal="center" readingOrder="0"/>
    </dxf>
    <dxf>
      <font>
        <sz val="10"/>
        <charset val="238"/>
      </font>
    </dxf>
    <dxf>
      <font>
        <sz val="10"/>
        <charset val="238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colors>
    <mruColors>
      <color rgb="FF008080"/>
      <color rgb="FF66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6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5.xml"/><Relationship Id="rId27" Type="http://schemas.openxmlformats.org/officeDocument/2006/relationships/sharedStrings" Target="sharedStrings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A látogatók számának alakulása</a:t>
            </a:r>
          </a:p>
        </c:rich>
      </c:tx>
      <c:layout>
        <c:manualLayout>
          <c:xMode val="edge"/>
          <c:yMode val="edge"/>
          <c:x val="0.22036662230601456"/>
          <c:y val="1.79033036487567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8.050506371930273E-2"/>
          <c:y val="0.12091503267973855"/>
          <c:w val="0.89121212228354718"/>
          <c:h val="0.77777777777777912"/>
        </c:manualLayout>
      </c:layout>
      <c:lineChart>
        <c:grouping val="standard"/>
        <c:varyColors val="0"/>
        <c:ser>
          <c:idx val="1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'E2.1'!$B$21:$B$29</c:f>
              <c:numCache>
                <c:formatCode>General</c:formatCode>
                <c:ptCount val="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</c:numCache>
            </c:numRef>
          </c:cat>
          <c:val>
            <c:numRef>
              <c:f>'E2.1'!$C$21:$C$29</c:f>
              <c:numCache>
                <c:formatCode>#,##0</c:formatCode>
                <c:ptCount val="9"/>
                <c:pt idx="0">
                  <c:v>206</c:v>
                </c:pt>
                <c:pt idx="1">
                  <c:v>260</c:v>
                </c:pt>
                <c:pt idx="2">
                  <c:v>266</c:v>
                </c:pt>
                <c:pt idx="3">
                  <c:v>297</c:v>
                </c:pt>
                <c:pt idx="4">
                  <c:v>325</c:v>
                </c:pt>
                <c:pt idx="5">
                  <c:v>361</c:v>
                </c:pt>
                <c:pt idx="6">
                  <c:v>355</c:v>
                </c:pt>
                <c:pt idx="7">
                  <c:v>353</c:v>
                </c:pt>
                <c:pt idx="8">
                  <c:v>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01-4296-8547-5D47C494E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571760"/>
        <c:axId val="418335760"/>
      </c:lineChart>
      <c:catAx>
        <c:axId val="238571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Év</a:t>
                </a:r>
              </a:p>
            </c:rich>
          </c:tx>
          <c:layout>
            <c:manualLayout>
              <c:xMode val="edge"/>
              <c:yMode val="edge"/>
              <c:x val="0.95748158230583325"/>
              <c:y val="0.835267789259340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183357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8335760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ezer fő</a:t>
                </a:r>
              </a:p>
            </c:rich>
          </c:tx>
          <c:layout>
            <c:manualLayout>
              <c:xMode val="edge"/>
              <c:yMode val="edge"/>
              <c:x val="1.0101010101010102E-2"/>
              <c:y val="2.941176470588235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38571760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 alignWithMargins="0"/>
    <c:pageMargins b="1" l="0.75000000000000133" r="0.75000000000000133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A látogatók számának alakulása, 1996</a:t>
            </a:r>
            <a:r>
              <a:rPr lang="hu-HU" baseline="0"/>
              <a:t> = 100%</a:t>
            </a:r>
            <a:endParaRPr lang="hu-HU"/>
          </a:p>
        </c:rich>
      </c:tx>
      <c:layout>
        <c:manualLayout>
          <c:xMode val="edge"/>
          <c:yMode val="edge"/>
          <c:x val="0.14487297319542375"/>
          <c:y val="1.7903358594920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8.050506371930273E-2"/>
          <c:y val="0.12091503267973855"/>
          <c:w val="0.89121212228354718"/>
          <c:h val="0.77777777777777912"/>
        </c:manualLayout>
      </c:layout>
      <c:lineChart>
        <c:grouping val="standard"/>
        <c:varyColors val="0"/>
        <c:ser>
          <c:idx val="1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'E2.1'!$B$21:$B$29</c:f>
              <c:numCache>
                <c:formatCode>General</c:formatCode>
                <c:ptCount val="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</c:numCache>
            </c:numRef>
          </c:cat>
          <c:val>
            <c:numRef>
              <c:f>'E2.1'!$D$21:$D$29</c:f>
              <c:numCache>
                <c:formatCode>0.00%</c:formatCode>
                <c:ptCount val="9"/>
                <c:pt idx="0">
                  <c:v>1</c:v>
                </c:pt>
                <c:pt idx="1">
                  <c:v>1.2621359223300972</c:v>
                </c:pt>
                <c:pt idx="2">
                  <c:v>1.2912621359223302</c:v>
                </c:pt>
                <c:pt idx="3">
                  <c:v>1.441747572815534</c:v>
                </c:pt>
                <c:pt idx="4">
                  <c:v>1.5776699029126213</c:v>
                </c:pt>
                <c:pt idx="5">
                  <c:v>1.7524271844660195</c:v>
                </c:pt>
                <c:pt idx="6">
                  <c:v>1.7233009708737863</c:v>
                </c:pt>
                <c:pt idx="7">
                  <c:v>1.7135922330097086</c:v>
                </c:pt>
                <c:pt idx="8">
                  <c:v>1.7912621359223302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6E-4492-BB32-4E32A6833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571760"/>
        <c:axId val="418335760"/>
      </c:lineChart>
      <c:catAx>
        <c:axId val="238571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Év</a:t>
                </a:r>
              </a:p>
            </c:rich>
          </c:tx>
          <c:layout>
            <c:manualLayout>
              <c:xMode val="edge"/>
              <c:yMode val="edge"/>
              <c:x val="0.95748158230583325"/>
              <c:y val="0.835267789259340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accent2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18335760"/>
        <c:crossesAt val="1"/>
        <c:auto val="1"/>
        <c:lblAlgn val="ctr"/>
        <c:lblOffset val="100"/>
        <c:tickLblSkip val="1"/>
        <c:tickMarkSkip val="1"/>
        <c:noMultiLvlLbl val="0"/>
      </c:catAx>
      <c:valAx>
        <c:axId val="41833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38571760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 alignWithMargins="0"/>
    <c:pageMargins b="1" l="0.75000000000000133" r="0.75000000000000133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A látogatók számának alakulása, előző</a:t>
            </a:r>
            <a:r>
              <a:rPr lang="hu-HU" baseline="0"/>
              <a:t> = 100%</a:t>
            </a:r>
            <a:endParaRPr lang="hu-HU"/>
          </a:p>
        </c:rich>
      </c:tx>
      <c:layout>
        <c:manualLayout>
          <c:xMode val="edge"/>
          <c:yMode val="edge"/>
          <c:x val="0.14487297319542375"/>
          <c:y val="1.7903358594920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8.050506371930273E-2"/>
          <c:y val="0.12091503267973855"/>
          <c:w val="0.89121212228354718"/>
          <c:h val="0.77777777777777912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 w="19050">
              <a:solidFill>
                <a:schemeClr val="accent1"/>
              </a:solidFill>
            </a:ln>
            <a:effectLst/>
          </c:spPr>
          <c:invertIfNegative val="0"/>
          <c:cat>
            <c:numRef>
              <c:f>'E2.1'!$B$21:$B$29</c:f>
              <c:numCache>
                <c:formatCode>General</c:formatCode>
                <c:ptCount val="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</c:numCache>
            </c:numRef>
          </c:cat>
          <c:val>
            <c:numRef>
              <c:f>'E2.1'!$E$21:$E$29</c:f>
              <c:numCache>
                <c:formatCode>0.00%</c:formatCode>
                <c:ptCount val="9"/>
                <c:pt idx="1">
                  <c:v>1.2621359223300972</c:v>
                </c:pt>
                <c:pt idx="2">
                  <c:v>1.023076923076923</c:v>
                </c:pt>
                <c:pt idx="3">
                  <c:v>1.1165413533834587</c:v>
                </c:pt>
                <c:pt idx="4">
                  <c:v>1.0942760942760943</c:v>
                </c:pt>
                <c:pt idx="5">
                  <c:v>1.1107692307692307</c:v>
                </c:pt>
                <c:pt idx="6">
                  <c:v>0.9833795013850416</c:v>
                </c:pt>
                <c:pt idx="7">
                  <c:v>0.9943661971830986</c:v>
                </c:pt>
                <c:pt idx="8">
                  <c:v>1.0453257790368271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39-48C4-B87D-7650FE3FE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571760"/>
        <c:axId val="418335760"/>
      </c:barChart>
      <c:catAx>
        <c:axId val="238571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Év</a:t>
                </a:r>
              </a:p>
            </c:rich>
          </c:tx>
          <c:layout>
            <c:manualLayout>
              <c:xMode val="edge"/>
              <c:yMode val="edge"/>
              <c:x val="0.95748158230583325"/>
              <c:y val="0.835267789259340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accent2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18335760"/>
        <c:crossesAt val="1"/>
        <c:auto val="1"/>
        <c:lblAlgn val="ctr"/>
        <c:lblOffset val="100"/>
        <c:tickLblSkip val="1"/>
        <c:tickMarkSkip val="1"/>
        <c:noMultiLvlLbl val="0"/>
      </c:catAx>
      <c:valAx>
        <c:axId val="418335760"/>
        <c:scaling>
          <c:orientation val="minMax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3857176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 alignWithMargins="0"/>
    <c:pageMargins b="1" l="0.75000000000000133" r="0.75000000000000133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j-ea"/>
                <a:cs typeface="+mj-cs"/>
              </a:defRPr>
            </a:pPr>
            <a:r>
              <a:rPr lang="hu-HU" sz="16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Bűncselekmények </a:t>
            </a:r>
            <a:r>
              <a:rPr lang="hu-HU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megoszlása típusok szerint</a:t>
            </a:r>
          </a:p>
        </c:rich>
      </c:tx>
      <c:layout>
        <c:manualLayout>
          <c:xMode val="edge"/>
          <c:yMode val="edge"/>
          <c:x val="0.17764747690120827"/>
          <c:y val="1.78872882366976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j-ea"/>
              <a:cs typeface="+mj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8.7912087912087933E-2"/>
          <c:y val="0.11847659667541556"/>
          <c:w val="0.8887362637362618"/>
          <c:h val="0.80050679034438887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'E2.2'!$C$9</c:f>
              <c:strCache>
                <c:ptCount val="1"/>
                <c:pt idx="0">
                  <c:v>Személyi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'E2.2'!$B$10:$B$22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'E2.2'!$C$10:$C$22</c:f>
              <c:numCache>
                <c:formatCode>#,##0</c:formatCode>
                <c:ptCount val="13"/>
                <c:pt idx="0">
                  <c:v>13648</c:v>
                </c:pt>
                <c:pt idx="1">
                  <c:v>13744</c:v>
                </c:pt>
                <c:pt idx="2">
                  <c:v>12806</c:v>
                </c:pt>
                <c:pt idx="3">
                  <c:v>11821</c:v>
                </c:pt>
                <c:pt idx="4">
                  <c:v>10901</c:v>
                </c:pt>
                <c:pt idx="5">
                  <c:v>8796</c:v>
                </c:pt>
                <c:pt idx="6">
                  <c:v>7230</c:v>
                </c:pt>
                <c:pt idx="7">
                  <c:v>7633</c:v>
                </c:pt>
                <c:pt idx="8">
                  <c:v>6970</c:v>
                </c:pt>
                <c:pt idx="9">
                  <c:v>7103</c:v>
                </c:pt>
                <c:pt idx="10">
                  <c:v>6773</c:v>
                </c:pt>
                <c:pt idx="11">
                  <c:v>6572</c:v>
                </c:pt>
                <c:pt idx="12">
                  <c:v>6249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7F-4AEA-8E5F-99F219485955}"/>
            </c:ext>
          </c:extLst>
        </c:ser>
        <c:ser>
          <c:idx val="1"/>
          <c:order val="1"/>
          <c:tx>
            <c:strRef>
              <c:f>'E2.2'!$D$9</c:f>
              <c:strCache>
                <c:ptCount val="1"/>
                <c:pt idx="0">
                  <c:v>Közlekedési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'E2.2'!$B$10:$B$22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'E2.2'!$D$10:$D$22</c:f>
              <c:numCache>
                <c:formatCode>#,##0</c:formatCode>
                <c:ptCount val="13"/>
                <c:pt idx="0">
                  <c:v>11493</c:v>
                </c:pt>
                <c:pt idx="1">
                  <c:v>15417</c:v>
                </c:pt>
                <c:pt idx="2">
                  <c:v>15790</c:v>
                </c:pt>
                <c:pt idx="3">
                  <c:v>18053</c:v>
                </c:pt>
                <c:pt idx="4">
                  <c:v>18962</c:v>
                </c:pt>
                <c:pt idx="5">
                  <c:v>19379</c:v>
                </c:pt>
                <c:pt idx="6">
                  <c:v>17000</c:v>
                </c:pt>
                <c:pt idx="7">
                  <c:v>17309</c:v>
                </c:pt>
                <c:pt idx="8">
                  <c:v>14790</c:v>
                </c:pt>
                <c:pt idx="9">
                  <c:v>15451</c:v>
                </c:pt>
                <c:pt idx="10">
                  <c:v>14194</c:v>
                </c:pt>
                <c:pt idx="11">
                  <c:v>13553</c:v>
                </c:pt>
                <c:pt idx="12">
                  <c:v>12775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7F-4AEA-8E5F-99F219485955}"/>
            </c:ext>
          </c:extLst>
        </c:ser>
        <c:ser>
          <c:idx val="2"/>
          <c:order val="2"/>
          <c:tx>
            <c:strRef>
              <c:f>'E2.2'!$E$9</c:f>
              <c:strCache>
                <c:ptCount val="1"/>
                <c:pt idx="0">
                  <c:v>Családi, stb.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'E2.2'!$B$10:$B$22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'E2.2'!$E$10:$E$22</c:f>
              <c:numCache>
                <c:formatCode>#,##0</c:formatCode>
                <c:ptCount val="13"/>
                <c:pt idx="0">
                  <c:v>4255</c:v>
                </c:pt>
                <c:pt idx="1">
                  <c:v>4441</c:v>
                </c:pt>
                <c:pt idx="2">
                  <c:v>4511</c:v>
                </c:pt>
                <c:pt idx="3">
                  <c:v>4361</c:v>
                </c:pt>
                <c:pt idx="4">
                  <c:v>3994</c:v>
                </c:pt>
                <c:pt idx="5">
                  <c:v>3331</c:v>
                </c:pt>
                <c:pt idx="6">
                  <c:v>2657</c:v>
                </c:pt>
                <c:pt idx="7">
                  <c:v>3222</c:v>
                </c:pt>
                <c:pt idx="8">
                  <c:v>3308</c:v>
                </c:pt>
                <c:pt idx="9">
                  <c:v>3541</c:v>
                </c:pt>
                <c:pt idx="10">
                  <c:v>3588</c:v>
                </c:pt>
                <c:pt idx="11">
                  <c:v>3588</c:v>
                </c:pt>
                <c:pt idx="12">
                  <c:v>3995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7F-4AEA-8E5F-99F219485955}"/>
            </c:ext>
          </c:extLst>
        </c:ser>
        <c:ser>
          <c:idx val="3"/>
          <c:order val="3"/>
          <c:tx>
            <c:strRef>
              <c:f>'E2.2'!$F$9</c:f>
              <c:strCache>
                <c:ptCount val="1"/>
                <c:pt idx="0">
                  <c:v>Közrendi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'E2.2'!$B$10:$B$22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'E2.2'!$F$10:$F$22</c:f>
              <c:numCache>
                <c:formatCode>#,##0</c:formatCode>
                <c:ptCount val="13"/>
                <c:pt idx="0">
                  <c:v>19727</c:v>
                </c:pt>
                <c:pt idx="1">
                  <c:v>21241</c:v>
                </c:pt>
                <c:pt idx="2">
                  <c:v>20283</c:v>
                </c:pt>
                <c:pt idx="3">
                  <c:v>18930</c:v>
                </c:pt>
                <c:pt idx="4">
                  <c:v>18426</c:v>
                </c:pt>
                <c:pt idx="5">
                  <c:v>18782</c:v>
                </c:pt>
                <c:pt idx="6">
                  <c:v>16232</c:v>
                </c:pt>
                <c:pt idx="7">
                  <c:v>16367</c:v>
                </c:pt>
                <c:pt idx="8">
                  <c:v>16487</c:v>
                </c:pt>
                <c:pt idx="9">
                  <c:v>17623</c:v>
                </c:pt>
                <c:pt idx="10">
                  <c:v>16494</c:v>
                </c:pt>
                <c:pt idx="11">
                  <c:v>16352</c:v>
                </c:pt>
                <c:pt idx="12">
                  <c:v>16153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7F-4AEA-8E5F-99F219485955}"/>
            </c:ext>
          </c:extLst>
        </c:ser>
        <c:ser>
          <c:idx val="4"/>
          <c:order val="4"/>
          <c:tx>
            <c:strRef>
              <c:f>'E2.2'!$G$9</c:f>
              <c:strCache>
                <c:ptCount val="1"/>
                <c:pt idx="0">
                  <c:v>Vagyoni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'E2.2'!$B$10:$B$22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'E2.2'!$G$10:$G$22</c:f>
              <c:numCache>
                <c:formatCode>#,##0</c:formatCode>
                <c:ptCount val="13"/>
                <c:pt idx="0">
                  <c:v>221876</c:v>
                </c:pt>
                <c:pt idx="1">
                  <c:v>191207</c:v>
                </c:pt>
                <c:pt idx="2">
                  <c:v>156097</c:v>
                </c:pt>
                <c:pt idx="3">
                  <c:v>147012</c:v>
                </c:pt>
                <c:pt idx="4">
                  <c:v>110903</c:v>
                </c:pt>
                <c:pt idx="5">
                  <c:v>91442</c:v>
                </c:pt>
                <c:pt idx="6">
                  <c:v>77319</c:v>
                </c:pt>
                <c:pt idx="7">
                  <c:v>68876</c:v>
                </c:pt>
                <c:pt idx="8">
                  <c:v>60908</c:v>
                </c:pt>
                <c:pt idx="9">
                  <c:v>72423</c:v>
                </c:pt>
                <c:pt idx="10">
                  <c:v>77207</c:v>
                </c:pt>
                <c:pt idx="11">
                  <c:v>94685</c:v>
                </c:pt>
                <c:pt idx="12">
                  <c:v>85675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7F-4AEA-8E5F-99F219485955}"/>
            </c:ext>
          </c:extLst>
        </c:ser>
        <c:ser>
          <c:idx val="5"/>
          <c:order val="5"/>
          <c:tx>
            <c:strRef>
              <c:f>'E2.2'!$H$9</c:f>
              <c:strCache>
                <c:ptCount val="1"/>
                <c:pt idx="0">
                  <c:v>Egyéb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'E2.2'!$B$10:$B$22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'E2.2'!$H$10:$H$22</c:f>
              <c:numCache>
                <c:formatCode>#,##0</c:formatCode>
                <c:ptCount val="13"/>
                <c:pt idx="0">
                  <c:v>106830</c:v>
                </c:pt>
                <c:pt idx="1">
                  <c:v>83525</c:v>
                </c:pt>
                <c:pt idx="2">
                  <c:v>70626</c:v>
                </c:pt>
                <c:pt idx="3">
                  <c:v>90602</c:v>
                </c:pt>
                <c:pt idx="4">
                  <c:v>63266</c:v>
                </c:pt>
                <c:pt idx="5">
                  <c:v>58100</c:v>
                </c:pt>
                <c:pt idx="6">
                  <c:v>45210</c:v>
                </c:pt>
                <c:pt idx="7">
                  <c:v>49009</c:v>
                </c:pt>
                <c:pt idx="8">
                  <c:v>51549</c:v>
                </c:pt>
                <c:pt idx="9">
                  <c:v>51633</c:v>
                </c:pt>
                <c:pt idx="10">
                  <c:v>59916</c:v>
                </c:pt>
                <c:pt idx="11">
                  <c:v>98720</c:v>
                </c:pt>
                <c:pt idx="12">
                  <c:v>61990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7F-4AEA-8E5F-99F219485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8833040"/>
        <c:axId val="408833600"/>
      </c:barChart>
      <c:catAx>
        <c:axId val="40883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Év</a:t>
                </a:r>
              </a:p>
            </c:rich>
          </c:tx>
          <c:layout>
            <c:manualLayout>
              <c:xMode val="edge"/>
              <c:yMode val="edge"/>
              <c:x val="0.96291208791208793"/>
              <c:y val="0.92361329833770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088336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883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0883304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 alignWithMargins="0"/>
    <c:pageMargins b="1" l="0.75000000000000122" r="0.75000000000000122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sz="1600"/>
              <a:t>Bűncselekmények száma (2013 = 100)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'E2.2'!$I$26</c:f>
              <c:strCache>
                <c:ptCount val="1"/>
                <c:pt idx="0">
                  <c:v>Összesen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xVal>
            <c:numRef>
              <c:f>'E2.2'!$B$27:$B$39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xVal>
          <c:yVal>
            <c:numRef>
              <c:f>'E2.2'!$I$27:$I$39</c:f>
              <c:numCache>
                <c:formatCode>0.0%</c:formatCode>
                <c:ptCount val="13"/>
                <c:pt idx="0">
                  <c:v>1</c:v>
                </c:pt>
                <c:pt idx="1">
                  <c:v>0.87228614002630822</c:v>
                </c:pt>
                <c:pt idx="2">
                  <c:v>0.74137506649833651</c:v>
                </c:pt>
                <c:pt idx="3">
                  <c:v>0.76960476829465185</c:v>
                </c:pt>
                <c:pt idx="4">
                  <c:v>0.5993504998292879</c:v>
                </c:pt>
                <c:pt idx="5">
                  <c:v>0.52889005343687223</c:v>
                </c:pt>
                <c:pt idx="6">
                  <c:v>0.43842055533058605</c:v>
                </c:pt>
                <c:pt idx="7">
                  <c:v>0.42986642105291017</c:v>
                </c:pt>
                <c:pt idx="8">
                  <c:v>0.40762355457098315</c:v>
                </c:pt>
                <c:pt idx="9">
                  <c:v>0.44404743945012159</c:v>
                </c:pt>
                <c:pt idx="10">
                  <c:v>0.47156782565658012</c:v>
                </c:pt>
                <c:pt idx="11">
                  <c:v>0.61792504016367189</c:v>
                </c:pt>
                <c:pt idx="12">
                  <c:v>0.49450148082862883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29-478A-8E75-6EC7EB30B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343263"/>
        <c:axId val="530344095"/>
      </c:scatterChart>
      <c:valAx>
        <c:axId val="530343263"/>
        <c:scaling>
          <c:orientation val="minMax"/>
          <c:max val="2025"/>
          <c:min val="201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accent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30344095"/>
        <c:crossesAt val="1"/>
        <c:crossBetween val="midCat"/>
        <c:majorUnit val="1"/>
      </c:valAx>
      <c:valAx>
        <c:axId val="530344095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30343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Bűncselekmények száma </a:t>
            </a:r>
            <a:r>
              <a:rPr lang="hu-HU" sz="1600"/>
              <a:t>(előző év = 100)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'E2.2'!$I$43</c:f>
              <c:strCache>
                <c:ptCount val="1"/>
                <c:pt idx="0">
                  <c:v>Összesen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xVal>
            <c:numRef>
              <c:f>'E2.2'!$B$44:$B$56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xVal>
          <c:yVal>
            <c:numRef>
              <c:f>'E2.2'!$I$44:$I$56</c:f>
              <c:numCache>
                <c:formatCode>0.0%</c:formatCode>
                <c:ptCount val="13"/>
                <c:pt idx="1">
                  <c:v>0.87228614002630822</c:v>
                </c:pt>
                <c:pt idx="2">
                  <c:v>0.84992186907380718</c:v>
                </c:pt>
                <c:pt idx="3">
                  <c:v>1.0380774901557586</c:v>
                </c:pt>
                <c:pt idx="4">
                  <c:v>0.77877700934386596</c:v>
                </c:pt>
                <c:pt idx="5">
                  <c:v>0.88243866249801284</c:v>
                </c:pt>
                <c:pt idx="6">
                  <c:v>0.82894460291247563</c:v>
                </c:pt>
                <c:pt idx="7">
                  <c:v>0.98048874722302715</c:v>
                </c:pt>
                <c:pt idx="8">
                  <c:v>0.9482563294256724</c:v>
                </c:pt>
                <c:pt idx="9">
                  <c:v>1.0893566735059605</c:v>
                </c:pt>
                <c:pt idx="10">
                  <c:v>1.0619762299283559</c:v>
                </c:pt>
                <c:pt idx="11">
                  <c:v>1.3103630200031431</c:v>
                </c:pt>
                <c:pt idx="12">
                  <c:v>1.1279158215010141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1E-42F8-9F42-48196B0A7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343263"/>
        <c:axId val="530344095"/>
      </c:scatterChart>
      <c:valAx>
        <c:axId val="530343263"/>
        <c:scaling>
          <c:orientation val="minMax"/>
          <c:max val="2025"/>
          <c:min val="201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accent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30344095"/>
        <c:crossesAt val="1"/>
        <c:crossBetween val="midCat"/>
        <c:majorUnit val="1"/>
      </c:valAx>
      <c:valAx>
        <c:axId val="530344095"/>
        <c:scaling>
          <c:orientation val="minMax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30343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Bűncselekmények számának alakulása típusok</a:t>
            </a:r>
            <a:r>
              <a:rPr lang="hu-HU" sz="1600" baseline="0"/>
              <a:t> szerint</a:t>
            </a:r>
            <a:endParaRPr lang="hu-HU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'E2.2'!$C$9</c:f>
              <c:strCache>
                <c:ptCount val="1"/>
                <c:pt idx="0">
                  <c:v>Személyi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'E2.2'!$B$10:$B$22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'E2.2'!$C$10:$C$22</c:f>
              <c:numCache>
                <c:formatCode>#,##0</c:formatCode>
                <c:ptCount val="13"/>
                <c:pt idx="0">
                  <c:v>13648</c:v>
                </c:pt>
                <c:pt idx="1">
                  <c:v>13744</c:v>
                </c:pt>
                <c:pt idx="2">
                  <c:v>12806</c:v>
                </c:pt>
                <c:pt idx="3">
                  <c:v>11821</c:v>
                </c:pt>
                <c:pt idx="4">
                  <c:v>10901</c:v>
                </c:pt>
                <c:pt idx="5">
                  <c:v>8796</c:v>
                </c:pt>
                <c:pt idx="6">
                  <c:v>7230</c:v>
                </c:pt>
                <c:pt idx="7">
                  <c:v>7633</c:v>
                </c:pt>
                <c:pt idx="8">
                  <c:v>6970</c:v>
                </c:pt>
                <c:pt idx="9">
                  <c:v>7103</c:v>
                </c:pt>
                <c:pt idx="10">
                  <c:v>6773</c:v>
                </c:pt>
                <c:pt idx="11">
                  <c:v>6572</c:v>
                </c:pt>
                <c:pt idx="12">
                  <c:v>6249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32-4DDD-859C-C73B6AE8C148}"/>
            </c:ext>
          </c:extLst>
        </c:ser>
        <c:ser>
          <c:idx val="1"/>
          <c:order val="1"/>
          <c:tx>
            <c:strRef>
              <c:f>'E2.2'!$D$9</c:f>
              <c:strCache>
                <c:ptCount val="1"/>
                <c:pt idx="0">
                  <c:v>Közlekedési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'E2.2'!$B$10:$B$22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'E2.2'!$D$10:$D$22</c:f>
              <c:numCache>
                <c:formatCode>#,##0</c:formatCode>
                <c:ptCount val="13"/>
                <c:pt idx="0">
                  <c:v>11493</c:v>
                </c:pt>
                <c:pt idx="1">
                  <c:v>15417</c:v>
                </c:pt>
                <c:pt idx="2">
                  <c:v>15790</c:v>
                </c:pt>
                <c:pt idx="3">
                  <c:v>18053</c:v>
                </c:pt>
                <c:pt idx="4">
                  <c:v>18962</c:v>
                </c:pt>
                <c:pt idx="5">
                  <c:v>19379</c:v>
                </c:pt>
                <c:pt idx="6">
                  <c:v>17000</c:v>
                </c:pt>
                <c:pt idx="7">
                  <c:v>17309</c:v>
                </c:pt>
                <c:pt idx="8">
                  <c:v>14790</c:v>
                </c:pt>
                <c:pt idx="9">
                  <c:v>15451</c:v>
                </c:pt>
                <c:pt idx="10">
                  <c:v>14194</c:v>
                </c:pt>
                <c:pt idx="11">
                  <c:v>13553</c:v>
                </c:pt>
                <c:pt idx="12">
                  <c:v>12775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32-4DDD-859C-C73B6AE8C148}"/>
            </c:ext>
          </c:extLst>
        </c:ser>
        <c:ser>
          <c:idx val="2"/>
          <c:order val="2"/>
          <c:tx>
            <c:strRef>
              <c:f>'E2.2'!$E$9</c:f>
              <c:strCache>
                <c:ptCount val="1"/>
                <c:pt idx="0">
                  <c:v>Családi, stb.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'E2.2'!$B$10:$B$22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'E2.2'!$E$10:$E$22</c:f>
              <c:numCache>
                <c:formatCode>#,##0</c:formatCode>
                <c:ptCount val="13"/>
                <c:pt idx="0">
                  <c:v>4255</c:v>
                </c:pt>
                <c:pt idx="1">
                  <c:v>4441</c:v>
                </c:pt>
                <c:pt idx="2">
                  <c:v>4511</c:v>
                </c:pt>
                <c:pt idx="3">
                  <c:v>4361</c:v>
                </c:pt>
                <c:pt idx="4">
                  <c:v>3994</c:v>
                </c:pt>
                <c:pt idx="5">
                  <c:v>3331</c:v>
                </c:pt>
                <c:pt idx="6">
                  <c:v>2657</c:v>
                </c:pt>
                <c:pt idx="7">
                  <c:v>3222</c:v>
                </c:pt>
                <c:pt idx="8">
                  <c:v>3308</c:v>
                </c:pt>
                <c:pt idx="9">
                  <c:v>3541</c:v>
                </c:pt>
                <c:pt idx="10">
                  <c:v>3588</c:v>
                </c:pt>
                <c:pt idx="11">
                  <c:v>3588</c:v>
                </c:pt>
                <c:pt idx="12">
                  <c:v>3995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32-4DDD-859C-C73B6AE8C148}"/>
            </c:ext>
          </c:extLst>
        </c:ser>
        <c:ser>
          <c:idx val="3"/>
          <c:order val="3"/>
          <c:tx>
            <c:strRef>
              <c:f>'E2.2'!$F$9</c:f>
              <c:strCache>
                <c:ptCount val="1"/>
                <c:pt idx="0">
                  <c:v>Közrendi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'E2.2'!$B$10:$B$22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'E2.2'!$F$10:$F$22</c:f>
              <c:numCache>
                <c:formatCode>#,##0</c:formatCode>
                <c:ptCount val="13"/>
                <c:pt idx="0">
                  <c:v>19727</c:v>
                </c:pt>
                <c:pt idx="1">
                  <c:v>21241</c:v>
                </c:pt>
                <c:pt idx="2">
                  <c:v>20283</c:v>
                </c:pt>
                <c:pt idx="3">
                  <c:v>18930</c:v>
                </c:pt>
                <c:pt idx="4">
                  <c:v>18426</c:v>
                </c:pt>
                <c:pt idx="5">
                  <c:v>18782</c:v>
                </c:pt>
                <c:pt idx="6">
                  <c:v>16232</c:v>
                </c:pt>
                <c:pt idx="7">
                  <c:v>16367</c:v>
                </c:pt>
                <c:pt idx="8">
                  <c:v>16487</c:v>
                </c:pt>
                <c:pt idx="9">
                  <c:v>17623</c:v>
                </c:pt>
                <c:pt idx="10">
                  <c:v>16494</c:v>
                </c:pt>
                <c:pt idx="11">
                  <c:v>16352</c:v>
                </c:pt>
                <c:pt idx="12">
                  <c:v>16153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32-4DDD-859C-C73B6AE8C148}"/>
            </c:ext>
          </c:extLst>
        </c:ser>
        <c:ser>
          <c:idx val="4"/>
          <c:order val="4"/>
          <c:tx>
            <c:strRef>
              <c:f>'E2.2'!$G$9</c:f>
              <c:strCache>
                <c:ptCount val="1"/>
                <c:pt idx="0">
                  <c:v>Vagyoni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'E2.2'!$B$10:$B$22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'E2.2'!$G$10:$G$22</c:f>
              <c:numCache>
                <c:formatCode>#,##0</c:formatCode>
                <c:ptCount val="13"/>
                <c:pt idx="0">
                  <c:v>221876</c:v>
                </c:pt>
                <c:pt idx="1">
                  <c:v>191207</c:v>
                </c:pt>
                <c:pt idx="2">
                  <c:v>156097</c:v>
                </c:pt>
                <c:pt idx="3">
                  <c:v>147012</c:v>
                </c:pt>
                <c:pt idx="4">
                  <c:v>110903</c:v>
                </c:pt>
                <c:pt idx="5">
                  <c:v>91442</c:v>
                </c:pt>
                <c:pt idx="6">
                  <c:v>77319</c:v>
                </c:pt>
                <c:pt idx="7">
                  <c:v>68876</c:v>
                </c:pt>
                <c:pt idx="8">
                  <c:v>60908</c:v>
                </c:pt>
                <c:pt idx="9">
                  <c:v>72423</c:v>
                </c:pt>
                <c:pt idx="10">
                  <c:v>77207</c:v>
                </c:pt>
                <c:pt idx="11">
                  <c:v>94685</c:v>
                </c:pt>
                <c:pt idx="12">
                  <c:v>85675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32-4DDD-859C-C73B6AE8C148}"/>
            </c:ext>
          </c:extLst>
        </c:ser>
        <c:ser>
          <c:idx val="5"/>
          <c:order val="5"/>
          <c:tx>
            <c:strRef>
              <c:f>'E2.2'!$H$9</c:f>
              <c:strCache>
                <c:ptCount val="1"/>
                <c:pt idx="0">
                  <c:v>Egyéb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'E2.2'!$B$10:$B$22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'E2.2'!$H$10:$H$22</c:f>
              <c:numCache>
                <c:formatCode>#,##0</c:formatCode>
                <c:ptCount val="13"/>
                <c:pt idx="0">
                  <c:v>106830</c:v>
                </c:pt>
                <c:pt idx="1">
                  <c:v>83525</c:v>
                </c:pt>
                <c:pt idx="2">
                  <c:v>70626</c:v>
                </c:pt>
                <c:pt idx="3">
                  <c:v>90602</c:v>
                </c:pt>
                <c:pt idx="4">
                  <c:v>63266</c:v>
                </c:pt>
                <c:pt idx="5">
                  <c:v>58100</c:v>
                </c:pt>
                <c:pt idx="6">
                  <c:v>45210</c:v>
                </c:pt>
                <c:pt idx="7">
                  <c:v>49009</c:v>
                </c:pt>
                <c:pt idx="8">
                  <c:v>51549</c:v>
                </c:pt>
                <c:pt idx="9">
                  <c:v>51633</c:v>
                </c:pt>
                <c:pt idx="10">
                  <c:v>59916</c:v>
                </c:pt>
                <c:pt idx="11">
                  <c:v>98720</c:v>
                </c:pt>
                <c:pt idx="12">
                  <c:v>61990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532-4DDD-859C-C73B6AE8C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518103711"/>
        <c:axId val="518108511"/>
      </c:barChart>
      <c:catAx>
        <c:axId val="51810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18108511"/>
        <c:crosses val="autoZero"/>
        <c:auto val="1"/>
        <c:lblAlgn val="ctr"/>
        <c:lblOffset val="100"/>
        <c:noMultiLvlLbl val="0"/>
      </c:catAx>
      <c:valAx>
        <c:axId val="51810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regisztrált eset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18103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[Gy02_megoldás.xlsx]E2.3!Kimutatás2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'E2.3'!$H$36</c:f>
              <c:strCache>
                <c:ptCount val="1"/>
                <c:pt idx="0">
                  <c:v>Összeg</c:v>
                </c:pt>
              </c:strCache>
            </c:strRef>
          </c:tx>
          <c:spPr>
            <a:solidFill>
              <a:schemeClr val="accent1"/>
            </a:solidFill>
            <a:ln w="0">
              <a:solidFill>
                <a:schemeClr val="accent1"/>
              </a:solidFill>
            </a:ln>
            <a:effectLst/>
          </c:spPr>
          <c:invertIfNegative val="0"/>
          <c:cat>
            <c:strRef>
              <c:f>'E2.3'!$G$37:$G$48</c:f>
              <c:strCache>
                <c:ptCount val="11"/>
                <c:pt idx="0">
                  <c:v>67-88</c:v>
                </c:pt>
                <c:pt idx="1">
                  <c:v>89-110</c:v>
                </c:pt>
                <c:pt idx="2">
                  <c:v>111-132</c:v>
                </c:pt>
                <c:pt idx="3">
                  <c:v>133-154</c:v>
                </c:pt>
                <c:pt idx="4">
                  <c:v>155-176</c:v>
                </c:pt>
                <c:pt idx="5">
                  <c:v>177-198</c:v>
                </c:pt>
                <c:pt idx="6">
                  <c:v>199-220</c:v>
                </c:pt>
                <c:pt idx="7">
                  <c:v>221-242</c:v>
                </c:pt>
                <c:pt idx="8">
                  <c:v>243-264</c:v>
                </c:pt>
                <c:pt idx="9">
                  <c:v>265-286</c:v>
                </c:pt>
                <c:pt idx="10">
                  <c:v>287-308</c:v>
                </c:pt>
              </c:strCache>
            </c:strRef>
          </c:cat>
          <c:val>
            <c:numRef>
              <c:f>'E2.3'!$H$37:$H$48</c:f>
              <c:numCache>
                <c:formatCode>General</c:formatCode>
                <c:ptCount val="11"/>
                <c:pt idx="0">
                  <c:v>6</c:v>
                </c:pt>
                <c:pt idx="1">
                  <c:v>32</c:v>
                </c:pt>
                <c:pt idx="2">
                  <c:v>78</c:v>
                </c:pt>
                <c:pt idx="3">
                  <c:v>135</c:v>
                </c:pt>
                <c:pt idx="4">
                  <c:v>139</c:v>
                </c:pt>
                <c:pt idx="5">
                  <c:v>97</c:v>
                </c:pt>
                <c:pt idx="6">
                  <c:v>52</c:v>
                </c:pt>
                <c:pt idx="7">
                  <c:v>20</c:v>
                </c:pt>
                <c:pt idx="8">
                  <c:v>16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66-47F4-B200-CB1594B9F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"/>
        <c:overlap val="-27"/>
        <c:axId val="192464944"/>
        <c:axId val="192465504"/>
      </c:barChart>
      <c:catAx>
        <c:axId val="19246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92465504"/>
        <c:crosses val="autoZero"/>
        <c:auto val="1"/>
        <c:lblAlgn val="ctr"/>
        <c:lblOffset val="100"/>
        <c:noMultiLvlLbl val="0"/>
      </c:catAx>
      <c:valAx>
        <c:axId val="19246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9246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[Gy02_megoldás.xlsx]E2.3!Kimutatás1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'E2.3'!$H$7</c:f>
              <c:strCache>
                <c:ptCount val="1"/>
                <c:pt idx="0">
                  <c:v>Összeg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'E2.3'!$G$8:$G$32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28</c:v>
                </c:pt>
              </c:strCache>
            </c:strRef>
          </c:cat>
          <c:val>
            <c:numRef>
              <c:f>'E2.3'!$H$8:$H$32</c:f>
              <c:numCache>
                <c:formatCode>General</c:formatCode>
                <c:ptCount val="24"/>
                <c:pt idx="0">
                  <c:v>210</c:v>
                </c:pt>
                <c:pt idx="1">
                  <c:v>96</c:v>
                </c:pt>
                <c:pt idx="2">
                  <c:v>68</c:v>
                </c:pt>
                <c:pt idx="3">
                  <c:v>47</c:v>
                </c:pt>
                <c:pt idx="4">
                  <c:v>42</c:v>
                </c:pt>
                <c:pt idx="5">
                  <c:v>29</c:v>
                </c:pt>
                <c:pt idx="6">
                  <c:v>15</c:v>
                </c:pt>
                <c:pt idx="7">
                  <c:v>11</c:v>
                </c:pt>
                <c:pt idx="8">
                  <c:v>13</c:v>
                </c:pt>
                <c:pt idx="9">
                  <c:v>14</c:v>
                </c:pt>
                <c:pt idx="10">
                  <c:v>10</c:v>
                </c:pt>
                <c:pt idx="11">
                  <c:v>4</c:v>
                </c:pt>
                <c:pt idx="12">
                  <c:v>4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0-46EA-B590-6C808E2D2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4094688"/>
        <c:axId val="2080210256"/>
      </c:barChart>
      <c:catAx>
        <c:axId val="203409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080210256"/>
        <c:crosses val="autoZero"/>
        <c:auto val="1"/>
        <c:lblAlgn val="ctr"/>
        <c:lblOffset val="100"/>
        <c:noMultiLvlLbl val="0"/>
      </c:catAx>
      <c:valAx>
        <c:axId val="208021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03409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[Gy02_megoldás.xlsx]E2.3!Kimutatás4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'E2.3'!$H$58</c:f>
              <c:strCache>
                <c:ptCount val="1"/>
                <c:pt idx="0">
                  <c:v>Összeg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'E2.3'!$G$59:$G$67</c:f>
              <c:strCache>
                <c:ptCount val="8"/>
                <c:pt idx="0">
                  <c:v>&lt;11</c:v>
                </c:pt>
                <c:pt idx="1">
                  <c:v>11-20</c:v>
                </c:pt>
                <c:pt idx="2">
                  <c:v>21-30</c:v>
                </c:pt>
                <c:pt idx="3">
                  <c:v>31-40</c:v>
                </c:pt>
                <c:pt idx="4">
                  <c:v>41-50</c:v>
                </c:pt>
                <c:pt idx="5">
                  <c:v>51-60</c:v>
                </c:pt>
                <c:pt idx="6">
                  <c:v>61-70</c:v>
                </c:pt>
                <c:pt idx="7">
                  <c:v>81-90</c:v>
                </c:pt>
              </c:strCache>
            </c:strRef>
          </c:cat>
          <c:val>
            <c:numRef>
              <c:f>'E2.3'!$H$59:$H$67</c:f>
              <c:numCache>
                <c:formatCode>General</c:formatCode>
                <c:ptCount val="8"/>
                <c:pt idx="0">
                  <c:v>6</c:v>
                </c:pt>
                <c:pt idx="1">
                  <c:v>86</c:v>
                </c:pt>
                <c:pt idx="2">
                  <c:v>144</c:v>
                </c:pt>
                <c:pt idx="3">
                  <c:v>192</c:v>
                </c:pt>
                <c:pt idx="4">
                  <c:v>94</c:v>
                </c:pt>
                <c:pt idx="5">
                  <c:v>46</c:v>
                </c:pt>
                <c:pt idx="6">
                  <c:v>10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F-4FB7-83BB-4CEBE7063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-27"/>
        <c:axId val="2078385872"/>
        <c:axId val="2080214000"/>
      </c:barChart>
      <c:catAx>
        <c:axId val="207838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080214000"/>
        <c:crosses val="autoZero"/>
        <c:auto val="1"/>
        <c:lblAlgn val="ctr"/>
        <c:lblOffset val="100"/>
        <c:noMultiLvlLbl val="0"/>
      </c:catAx>
      <c:valAx>
        <c:axId val="208021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07838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u-HU"/>
              <a:t>Bázisviszonyszámok (2015=100%), házasságkötések</a:t>
            </a:r>
          </a:p>
        </c:rich>
      </c:tx>
      <c:layout>
        <c:manualLayout>
          <c:xMode val="edge"/>
          <c:yMode val="edge"/>
          <c:x val="0.19556451612903225"/>
          <c:y val="3.24675324675324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532258064516125E-2"/>
          <c:y val="0.1387234962163594"/>
          <c:w val="0.90524193548387255"/>
          <c:h val="0.76062713276378302"/>
        </c:manualLayout>
      </c:layout>
      <c:lineChart>
        <c:grouping val="standard"/>
        <c:varyColors val="0"/>
        <c:ser>
          <c:idx val="1"/>
          <c:order val="0"/>
          <c:spPr>
            <a:ln w="25400">
              <a:solidFill>
                <a:srgbClr val="008080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008080"/>
              </a:solidFill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'Gy1.8v'!$B$23:$B$33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'Gy1.8v'!$G$23:$G$33</c:f>
              <c:numCache>
                <c:formatCode>0.0%</c:formatCode>
                <c:ptCount val="11"/>
                <c:pt idx="0">
                  <c:v>1</c:v>
                </c:pt>
                <c:pt idx="1">
                  <c:v>1.1228515074668921</c:v>
                </c:pt>
                <c:pt idx="2">
                  <c:v>1.0961267529314866</c:v>
                </c:pt>
                <c:pt idx="3">
                  <c:v>1.1016754448707111</c:v>
                </c:pt>
                <c:pt idx="4">
                  <c:v>1.4146563495675921</c:v>
                </c:pt>
                <c:pt idx="5">
                  <c:v>1.4542558033682293</c:v>
                </c:pt>
                <c:pt idx="6">
                  <c:v>1.561219845243514</c:v>
                </c:pt>
                <c:pt idx="7">
                  <c:v>1.3864577237358302</c:v>
                </c:pt>
                <c:pt idx="8">
                  <c:v>1.0867416607061577</c:v>
                </c:pt>
                <c:pt idx="9">
                  <c:v>1.0091900210243405</c:v>
                </c:pt>
                <c:pt idx="10">
                  <c:v>1.0096451871599801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76-4B33-8654-7ACA1FBA5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713040"/>
        <c:axId val="224713600"/>
      </c:lineChart>
      <c:catAx>
        <c:axId val="224713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hu-HU"/>
                  <a:t>Év</a:t>
                </a:r>
              </a:p>
            </c:rich>
          </c:tx>
          <c:layout>
            <c:manualLayout>
              <c:xMode val="edge"/>
              <c:yMode val="edge"/>
              <c:x val="0.95756731013462026"/>
              <c:y val="0.9188311688311687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15875">
            <a:solidFill>
              <a:schemeClr val="accent2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24713600"/>
        <c:crossesAt val="1"/>
        <c:auto val="1"/>
        <c:lblAlgn val="ctr"/>
        <c:lblOffset val="100"/>
        <c:tickLblSkip val="1"/>
        <c:tickMarkSkip val="1"/>
        <c:noMultiLvlLbl val="0"/>
      </c:catAx>
      <c:valAx>
        <c:axId val="224713600"/>
        <c:scaling>
          <c:orientation val="minMax"/>
          <c:max val="2"/>
          <c:min val="0"/>
        </c:scaling>
        <c:delete val="0"/>
        <c:axPos val="l"/>
        <c:majorGridlines>
          <c:spPr>
            <a:ln w="3175">
              <a:solidFill>
                <a:srgbClr val="D9D9D9"/>
              </a:solidFill>
              <a:prstDash val="sys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hu-HU"/>
                  <a:t>%</a:t>
                </a:r>
              </a:p>
            </c:rich>
          </c:tx>
          <c:layout>
            <c:manualLayout>
              <c:xMode val="edge"/>
              <c:yMode val="edge"/>
              <c:x val="1.1695265686128857E-2"/>
              <c:y val="4.0734698999278479E-2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noFill/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24713040"/>
        <c:crosses val="autoZero"/>
        <c:crossBetween val="between"/>
        <c:majorUnit val="0.25"/>
        <c:minorUnit val="1.0000000000000005E-3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D9D9D9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000000000000222" r="0.75000000000000222" t="1" header="0.5" footer="0.5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u-HU"/>
              <a:t>Láncviszonyszámok (előző év=100%), házasságkötések</a:t>
            </a:r>
          </a:p>
        </c:rich>
      </c:tx>
      <c:layout>
        <c:manualLayout>
          <c:xMode val="edge"/>
          <c:yMode val="edge"/>
          <c:x val="0.17943548387096775"/>
          <c:y val="1.60771704180064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677419354838704E-2"/>
          <c:y val="0.11740098128437462"/>
          <c:w val="0.8870967741935486"/>
          <c:h val="0.78292050805207136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00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'Gy1.8v'!$B$23:$B$33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'Gy1.8v'!$H$23:$H$33</c:f>
              <c:numCache>
                <c:formatCode>0.0%</c:formatCode>
                <c:ptCount val="11"/>
                <c:pt idx="1">
                  <c:v>1.1228515074668921</c:v>
                </c:pt>
                <c:pt idx="2">
                  <c:v>0.97619920857060127</c:v>
                </c:pt>
                <c:pt idx="3">
                  <c:v>1.0050620896939018</c:v>
                </c:pt>
                <c:pt idx="4">
                  <c:v>1.2840953804989377</c:v>
                </c:pt>
                <c:pt idx="5">
                  <c:v>1.0279922779922781</c:v>
                </c:pt>
                <c:pt idx="6">
                  <c:v>1.0735524256651017</c:v>
                </c:pt>
                <c:pt idx="7">
                  <c:v>0.88806053033458277</c:v>
                </c:pt>
                <c:pt idx="8">
                  <c:v>0.78382603529945127</c:v>
                </c:pt>
                <c:pt idx="9">
                  <c:v>0.92863838528889686</c:v>
                </c:pt>
                <c:pt idx="10">
                  <c:v>1.0004510212409528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2D-44AD-ADAD-FFE81B6D1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4715840"/>
        <c:axId val="224716400"/>
      </c:barChart>
      <c:catAx>
        <c:axId val="224715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hu-HU"/>
                  <a:t>Év</a:t>
                </a:r>
              </a:p>
            </c:rich>
          </c:tx>
          <c:layout>
            <c:manualLayout>
              <c:xMode val="edge"/>
              <c:yMode val="edge"/>
              <c:x val="0.95756731013462026"/>
              <c:y val="0.919614147909967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19050">
            <a:solidFill>
              <a:schemeClr val="accent2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24716400"/>
        <c:crossesAt val="1"/>
        <c:auto val="1"/>
        <c:lblAlgn val="ctr"/>
        <c:lblOffset val="100"/>
        <c:tickLblSkip val="1"/>
        <c:tickMarkSkip val="1"/>
        <c:noMultiLvlLbl val="0"/>
      </c:catAx>
      <c:valAx>
        <c:axId val="224716400"/>
        <c:scaling>
          <c:orientation val="minMax"/>
          <c:max val="1.3"/>
          <c:min val="0.70000000000000007"/>
        </c:scaling>
        <c:delete val="0"/>
        <c:axPos val="l"/>
        <c:majorGridlines>
          <c:spPr>
            <a:ln w="3175">
              <a:solidFill>
                <a:srgbClr val="D9D9D9"/>
              </a:solidFill>
              <a:prstDash val="sys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hu-HU"/>
                  <a:t>%</a:t>
                </a:r>
              </a:p>
            </c:rich>
          </c:tx>
          <c:layout>
            <c:manualLayout>
              <c:xMode val="edge"/>
              <c:yMode val="edge"/>
              <c:x val="3.0241935483870969E-2"/>
              <c:y val="3.215434083601286E-2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noFill/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24715840"/>
        <c:crosses val="autoZero"/>
        <c:crossBetween val="between"/>
        <c:majorUnit val="0.1"/>
        <c:minorUnit val="5.0000000000000018E-3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D9D9D9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000000000000222" r="0.75000000000000222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u-HU"/>
              <a:t>A házasságkötések számának alakulása</a:t>
            </a:r>
          </a:p>
        </c:rich>
      </c:tx>
      <c:layout>
        <c:manualLayout>
          <c:xMode val="edge"/>
          <c:yMode val="edge"/>
          <c:x val="0.25858585858585859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969696969697067E-2"/>
          <c:y val="0.12091503267973855"/>
          <c:w val="0.87474747474747616"/>
          <c:h val="0.77777777777777912"/>
        </c:manualLayout>
      </c:layout>
      <c:lineChart>
        <c:grouping val="standard"/>
        <c:varyColors val="0"/>
        <c:ser>
          <c:idx val="1"/>
          <c:order val="0"/>
          <c:spPr>
            <a:ln w="25400">
              <a:solidFill>
                <a:srgbClr val="008080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008080"/>
              </a:solidFill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'Gy1.8v'!$B$23:$B$33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'Gy1.8v'!$F$23:$F$33</c:f>
              <c:numCache>
                <c:formatCode>#,##0</c:formatCode>
                <c:ptCount val="11"/>
                <c:pt idx="0">
                  <c:v>46137</c:v>
                </c:pt>
                <c:pt idx="1">
                  <c:v>51805</c:v>
                </c:pt>
                <c:pt idx="2">
                  <c:v>50572</c:v>
                </c:pt>
                <c:pt idx="3">
                  <c:v>50828</c:v>
                </c:pt>
                <c:pt idx="4">
                  <c:v>65268</c:v>
                </c:pt>
                <c:pt idx="5">
                  <c:v>67095</c:v>
                </c:pt>
                <c:pt idx="6">
                  <c:v>72030</c:v>
                </c:pt>
                <c:pt idx="7">
                  <c:v>63967</c:v>
                </c:pt>
                <c:pt idx="8">
                  <c:v>50139</c:v>
                </c:pt>
                <c:pt idx="9">
                  <c:v>46561</c:v>
                </c:pt>
                <c:pt idx="10">
                  <c:v>46582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66-4C6A-B342-8C7639C1A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718640"/>
        <c:axId val="224719200"/>
      </c:lineChart>
      <c:catAx>
        <c:axId val="224718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hu-HU"/>
                  <a:t>Év</a:t>
                </a:r>
              </a:p>
            </c:rich>
          </c:tx>
          <c:layout>
            <c:manualLayout>
              <c:xMode val="edge"/>
              <c:yMode val="edge"/>
              <c:x val="0.95748158752883161"/>
              <c:y val="0.915032679738562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noFill/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24719200"/>
        <c:crossesAt val="10000"/>
        <c:auto val="1"/>
        <c:lblAlgn val="ctr"/>
        <c:lblOffset val="100"/>
        <c:tickLblSkip val="1"/>
        <c:tickMarkSkip val="1"/>
        <c:noMultiLvlLbl val="0"/>
      </c:catAx>
      <c:valAx>
        <c:axId val="224719200"/>
        <c:scaling>
          <c:orientation val="minMax"/>
          <c:max val="75000"/>
          <c:min val="0"/>
        </c:scaling>
        <c:delete val="0"/>
        <c:axPos val="l"/>
        <c:majorGridlines>
          <c:spPr>
            <a:ln w="3175">
              <a:solidFill>
                <a:srgbClr val="D9D9D9"/>
              </a:solidFill>
              <a:prstDash val="sys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hu-HU"/>
                  <a:t>fő</a:t>
                </a:r>
              </a:p>
            </c:rich>
          </c:tx>
          <c:layout>
            <c:manualLayout>
              <c:xMode val="edge"/>
              <c:yMode val="edge"/>
              <c:x val="2.5855344293070105E-2"/>
              <c:y val="4.2780748663101602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noFill/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224718640"/>
        <c:crosses val="autoZero"/>
        <c:crossBetween val="between"/>
        <c:majorUnit val="10000"/>
        <c:minorUnit val="3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>
      <a:solidFill>
        <a:srgbClr val="D9D9D9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000000000000133" r="0.75000000000000133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Pedagógusok száma, 1990</a:t>
            </a:r>
            <a:r>
              <a:rPr lang="hu-HU" baseline="0"/>
              <a:t> = 100</a:t>
            </a:r>
            <a:r>
              <a:rPr lang="hu-HU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'E2.4'!$B$11:$B$46</c:f>
              <c:strCache>
                <c:ptCount val="36"/>
                <c:pt idx="0">
                  <c:v>1990/1991</c:v>
                </c:pt>
                <c:pt idx="1">
                  <c:v>1991/1992</c:v>
                </c:pt>
                <c:pt idx="2">
                  <c:v>1992/1993</c:v>
                </c:pt>
                <c:pt idx="3">
                  <c:v>1993/1994</c:v>
                </c:pt>
                <c:pt idx="4">
                  <c:v>1994/1995</c:v>
                </c:pt>
                <c:pt idx="5">
                  <c:v>1995/1996</c:v>
                </c:pt>
                <c:pt idx="6">
                  <c:v>1996/1997</c:v>
                </c:pt>
                <c:pt idx="7">
                  <c:v>1997/1998</c:v>
                </c:pt>
                <c:pt idx="8">
                  <c:v>1998/1999</c:v>
                </c:pt>
                <c:pt idx="9">
                  <c:v>1999/2000</c:v>
                </c:pt>
                <c:pt idx="10">
                  <c:v>2000/2001</c:v>
                </c:pt>
                <c:pt idx="11">
                  <c:v>2001/2002</c:v>
                </c:pt>
                <c:pt idx="12">
                  <c:v>2002/2003</c:v>
                </c:pt>
                <c:pt idx="13">
                  <c:v>2003/2004</c:v>
                </c:pt>
                <c:pt idx="14">
                  <c:v>2004/2005</c:v>
                </c:pt>
                <c:pt idx="15">
                  <c:v>2005/2006</c:v>
                </c:pt>
                <c:pt idx="16">
                  <c:v>2006/2007</c:v>
                </c:pt>
                <c:pt idx="17">
                  <c:v>2007/2008</c:v>
                </c:pt>
                <c:pt idx="18">
                  <c:v>2008/2009</c:v>
                </c:pt>
                <c:pt idx="19">
                  <c:v>2009/2010</c:v>
                </c:pt>
                <c:pt idx="20">
                  <c:v>2010/2011</c:v>
                </c:pt>
                <c:pt idx="21">
                  <c:v>2011/2012</c:v>
                </c:pt>
                <c:pt idx="22">
                  <c:v>2012/2013</c:v>
                </c:pt>
                <c:pt idx="23">
                  <c:v>2013/2014</c:v>
                </c:pt>
                <c:pt idx="24">
                  <c:v>2014/2015</c:v>
                </c:pt>
                <c:pt idx="25">
                  <c:v>2015/2016</c:v>
                </c:pt>
                <c:pt idx="26">
                  <c:v>2016/2017</c:v>
                </c:pt>
                <c:pt idx="27">
                  <c:v>2017/2018</c:v>
                </c:pt>
                <c:pt idx="28">
                  <c:v>2018/2019</c:v>
                </c:pt>
                <c:pt idx="29">
                  <c:v>2019/2020</c:v>
                </c:pt>
                <c:pt idx="30">
                  <c:v>2020/2021</c:v>
                </c:pt>
                <c:pt idx="31">
                  <c:v>2021/2022</c:v>
                </c:pt>
                <c:pt idx="32">
                  <c:v>2022/2023</c:v>
                </c:pt>
                <c:pt idx="33">
                  <c:v>2023/2024</c:v>
                </c:pt>
                <c:pt idx="34">
                  <c:v>2024/2025</c:v>
                </c:pt>
                <c:pt idx="35">
                  <c:v>2025/2026</c:v>
                </c:pt>
              </c:strCache>
            </c:strRef>
          </c:cat>
          <c:val>
            <c:numRef>
              <c:f>'E2.4'!$G$11:$G$46</c:f>
              <c:numCache>
                <c:formatCode>0.0%</c:formatCode>
                <c:ptCount val="36"/>
                <c:pt idx="0">
                  <c:v>1</c:v>
                </c:pt>
                <c:pt idx="1">
                  <c:v>1.0474331446418115</c:v>
                </c:pt>
                <c:pt idx="2">
                  <c:v>1.1018934218231504</c:v>
                </c:pt>
                <c:pt idx="3">
                  <c:v>1.167187195002928</c:v>
                </c:pt>
                <c:pt idx="4">
                  <c:v>1.2276010150302556</c:v>
                </c:pt>
                <c:pt idx="5">
                  <c:v>1.2601991020886198</c:v>
                </c:pt>
                <c:pt idx="6">
                  <c:v>1.2817684950224477</c:v>
                </c:pt>
                <c:pt idx="7">
                  <c:v>1.3340815928167089</c:v>
                </c:pt>
                <c:pt idx="8">
                  <c:v>1.368436463009955</c:v>
                </c:pt>
                <c:pt idx="9">
                  <c:v>1.406890493851259</c:v>
                </c:pt>
                <c:pt idx="10">
                  <c:v>1.517665430411868</c:v>
                </c:pt>
                <c:pt idx="11">
                  <c:v>1.6440562170603161</c:v>
                </c:pt>
                <c:pt idx="12">
                  <c:v>1.6716767519031817</c:v>
                </c:pt>
                <c:pt idx="13">
                  <c:v>1.7250634393909818</c:v>
                </c:pt>
                <c:pt idx="14">
                  <c:v>1.7388249072808901</c:v>
                </c:pt>
                <c:pt idx="15">
                  <c:v>1.7775717353113409</c:v>
                </c:pt>
                <c:pt idx="16">
                  <c:v>1.8821003318368144</c:v>
                </c:pt>
                <c:pt idx="17">
                  <c:v>1.8238336911965645</c:v>
                </c:pt>
                <c:pt idx="18">
                  <c:v>1.7993363263712667</c:v>
                </c:pt>
                <c:pt idx="19">
                  <c:v>1.7922115947686903</c:v>
                </c:pt>
                <c:pt idx="20">
                  <c:v>1.7852820612922116</c:v>
                </c:pt>
                <c:pt idx="21">
                  <c:v>1.7749365606090182</c:v>
                </c:pt>
                <c:pt idx="22">
                  <c:v>1.742240874487605</c:v>
                </c:pt>
                <c:pt idx="23">
                  <c:v>1.7255514347062268</c:v>
                </c:pt>
                <c:pt idx="24">
                  <c:v>1.7454616435682218</c:v>
                </c:pt>
                <c:pt idx="25">
                  <c:v>1.7506343939098186</c:v>
                </c:pt>
                <c:pt idx="26">
                  <c:v>1.7821588912746438</c:v>
                </c:pt>
                <c:pt idx="27">
                  <c:v>1.7820612922115948</c:v>
                </c:pt>
                <c:pt idx="28">
                  <c:v>1.8118290064415381</c:v>
                </c:pt>
                <c:pt idx="29">
                  <c:v>1.8068514542260394</c:v>
                </c:pt>
                <c:pt idx="30">
                  <c:v>1.8128049970720281</c:v>
                </c:pt>
                <c:pt idx="31">
                  <c:v>1.8179777474136247</c:v>
                </c:pt>
                <c:pt idx="32">
                  <c:v>1.8271520593402304</c:v>
                </c:pt>
                <c:pt idx="33">
                  <c:v>1.8172945539722818</c:v>
                </c:pt>
                <c:pt idx="34">
                  <c:v>1.8374975600234238</c:v>
                </c:pt>
                <c:pt idx="35">
                  <c:v>1.8407183291040405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9E-4CCF-AAD8-5D1A668E1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9903696"/>
        <c:axId val="1499905136"/>
      </c:lineChart>
      <c:catAx>
        <c:axId val="149990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accent2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99905136"/>
        <c:crossesAt val="1"/>
        <c:auto val="1"/>
        <c:lblAlgn val="ctr"/>
        <c:lblOffset val="100"/>
        <c:noMultiLvlLbl val="0"/>
      </c:catAx>
      <c:valAx>
        <c:axId val="149990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9990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Pedagógusok száma, előző</a:t>
            </a:r>
            <a:r>
              <a:rPr lang="hu-HU" baseline="0"/>
              <a:t> = 100</a:t>
            </a:r>
            <a:r>
              <a:rPr lang="hu-HU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'E2.4'!$B$11:$B$46</c:f>
              <c:strCache>
                <c:ptCount val="36"/>
                <c:pt idx="0">
                  <c:v>1990/1991</c:v>
                </c:pt>
                <c:pt idx="1">
                  <c:v>1991/1992</c:v>
                </c:pt>
                <c:pt idx="2">
                  <c:v>1992/1993</c:v>
                </c:pt>
                <c:pt idx="3">
                  <c:v>1993/1994</c:v>
                </c:pt>
                <c:pt idx="4">
                  <c:v>1994/1995</c:v>
                </c:pt>
                <c:pt idx="5">
                  <c:v>1995/1996</c:v>
                </c:pt>
                <c:pt idx="6">
                  <c:v>1996/1997</c:v>
                </c:pt>
                <c:pt idx="7">
                  <c:v>1997/1998</c:v>
                </c:pt>
                <c:pt idx="8">
                  <c:v>1998/1999</c:v>
                </c:pt>
                <c:pt idx="9">
                  <c:v>1999/2000</c:v>
                </c:pt>
                <c:pt idx="10">
                  <c:v>2000/2001</c:v>
                </c:pt>
                <c:pt idx="11">
                  <c:v>2001/2002</c:v>
                </c:pt>
                <c:pt idx="12">
                  <c:v>2002/2003</c:v>
                </c:pt>
                <c:pt idx="13">
                  <c:v>2003/2004</c:v>
                </c:pt>
                <c:pt idx="14">
                  <c:v>2004/2005</c:v>
                </c:pt>
                <c:pt idx="15">
                  <c:v>2005/2006</c:v>
                </c:pt>
                <c:pt idx="16">
                  <c:v>2006/2007</c:v>
                </c:pt>
                <c:pt idx="17">
                  <c:v>2007/2008</c:v>
                </c:pt>
                <c:pt idx="18">
                  <c:v>2008/2009</c:v>
                </c:pt>
                <c:pt idx="19">
                  <c:v>2009/2010</c:v>
                </c:pt>
                <c:pt idx="20">
                  <c:v>2010/2011</c:v>
                </c:pt>
                <c:pt idx="21">
                  <c:v>2011/2012</c:v>
                </c:pt>
                <c:pt idx="22">
                  <c:v>2012/2013</c:v>
                </c:pt>
                <c:pt idx="23">
                  <c:v>2013/2014</c:v>
                </c:pt>
                <c:pt idx="24">
                  <c:v>2014/2015</c:v>
                </c:pt>
                <c:pt idx="25">
                  <c:v>2015/2016</c:v>
                </c:pt>
                <c:pt idx="26">
                  <c:v>2016/2017</c:v>
                </c:pt>
                <c:pt idx="27">
                  <c:v>2017/2018</c:v>
                </c:pt>
                <c:pt idx="28">
                  <c:v>2018/2019</c:v>
                </c:pt>
                <c:pt idx="29">
                  <c:v>2019/2020</c:v>
                </c:pt>
                <c:pt idx="30">
                  <c:v>2020/2021</c:v>
                </c:pt>
                <c:pt idx="31">
                  <c:v>2021/2022</c:v>
                </c:pt>
                <c:pt idx="32">
                  <c:v>2022/2023</c:v>
                </c:pt>
                <c:pt idx="33">
                  <c:v>2023/2024</c:v>
                </c:pt>
                <c:pt idx="34">
                  <c:v>2024/2025</c:v>
                </c:pt>
                <c:pt idx="35">
                  <c:v>2025/2026</c:v>
                </c:pt>
              </c:strCache>
            </c:strRef>
          </c:cat>
          <c:val>
            <c:numRef>
              <c:f>'E2.4'!$H$11:$H$46</c:f>
              <c:numCache>
                <c:formatCode>0.0%</c:formatCode>
                <c:ptCount val="36"/>
                <c:pt idx="1">
                  <c:v>1.0474331446418115</c:v>
                </c:pt>
                <c:pt idx="2">
                  <c:v>1.0519940365262765</c:v>
                </c:pt>
                <c:pt idx="3">
                  <c:v>1.0592559787422497</c:v>
                </c:pt>
                <c:pt idx="4">
                  <c:v>1.0517601806171084</c:v>
                </c:pt>
                <c:pt idx="5">
                  <c:v>1.026554301160757</c:v>
                </c:pt>
                <c:pt idx="6">
                  <c:v>1.0171158612143743</c:v>
                </c:pt>
                <c:pt idx="7">
                  <c:v>1.0408132186096093</c:v>
                </c:pt>
                <c:pt idx="8">
                  <c:v>1.0257517009291097</c:v>
                </c:pt>
                <c:pt idx="9">
                  <c:v>1.0281007060837315</c:v>
                </c:pt>
                <c:pt idx="10">
                  <c:v>1.0787374262920568</c:v>
                </c:pt>
                <c:pt idx="11">
                  <c:v>1.0832797427652734</c:v>
                </c:pt>
                <c:pt idx="12">
                  <c:v>1.0168002374591867</c:v>
                </c:pt>
                <c:pt idx="13">
                  <c:v>1.0319360112097151</c:v>
                </c:pt>
                <c:pt idx="14">
                  <c:v>1.0079773691654881</c:v>
                </c:pt>
                <c:pt idx="15">
                  <c:v>1.0222833408172429</c:v>
                </c:pt>
                <c:pt idx="16">
                  <c:v>1.0588041508812387</c:v>
                </c:pt>
                <c:pt idx="17">
                  <c:v>0.96904169259489736</c:v>
                </c:pt>
                <c:pt idx="18">
                  <c:v>0.98656820249371224</c:v>
                </c:pt>
                <c:pt idx="19">
                  <c:v>0.99604035582555872</c:v>
                </c:pt>
                <c:pt idx="20">
                  <c:v>0.99613352937973099</c:v>
                </c:pt>
                <c:pt idx="21">
                  <c:v>0.99420511699103431</c:v>
                </c:pt>
                <c:pt idx="22">
                  <c:v>0.9815792367755416</c:v>
                </c:pt>
                <c:pt idx="23">
                  <c:v>0.99042070472242449</c:v>
                </c:pt>
                <c:pt idx="24">
                  <c:v>1.0115384615384615</c:v>
                </c:pt>
                <c:pt idx="25">
                  <c:v>1.0029635428315813</c:v>
                </c:pt>
                <c:pt idx="26">
                  <c:v>1.0180074705915148</c:v>
                </c:pt>
                <c:pt idx="27">
                  <c:v>0.99994523548740422</c:v>
                </c:pt>
                <c:pt idx="28">
                  <c:v>1.0167040911331398</c:v>
                </c:pt>
                <c:pt idx="29">
                  <c:v>0.99725274725274726</c:v>
                </c:pt>
                <c:pt idx="30">
                  <c:v>1.0032949819046075</c:v>
                </c:pt>
                <c:pt idx="31">
                  <c:v>1.0028534510606224</c:v>
                </c:pt>
                <c:pt idx="32">
                  <c:v>1.0050464379663928</c:v>
                </c:pt>
                <c:pt idx="33">
                  <c:v>0.99460498904973027</c:v>
                </c:pt>
                <c:pt idx="34">
                  <c:v>1.0111170784103114</c:v>
                </c:pt>
                <c:pt idx="35">
                  <c:v>1.0017528018271631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2E-4F0E-B862-6E5EB32DB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9903696"/>
        <c:axId val="1499905136"/>
      </c:barChart>
      <c:catAx>
        <c:axId val="149990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accent2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99905136"/>
        <c:crossesAt val="1"/>
        <c:auto val="1"/>
        <c:lblAlgn val="ctr"/>
        <c:lblOffset val="100"/>
        <c:noMultiLvlLbl val="0"/>
      </c:catAx>
      <c:valAx>
        <c:axId val="149990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9990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Tanulók száma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'E2.4'!$B$11:$B$46</c:f>
              <c:strCache>
                <c:ptCount val="36"/>
                <c:pt idx="0">
                  <c:v>1990/1991</c:v>
                </c:pt>
                <c:pt idx="1">
                  <c:v>1991/1992</c:v>
                </c:pt>
                <c:pt idx="2">
                  <c:v>1992/1993</c:v>
                </c:pt>
                <c:pt idx="3">
                  <c:v>1993/1994</c:v>
                </c:pt>
                <c:pt idx="4">
                  <c:v>1994/1995</c:v>
                </c:pt>
                <c:pt idx="5">
                  <c:v>1995/1996</c:v>
                </c:pt>
                <c:pt idx="6">
                  <c:v>1996/1997</c:v>
                </c:pt>
                <c:pt idx="7">
                  <c:v>1997/1998</c:v>
                </c:pt>
                <c:pt idx="8">
                  <c:v>1998/1999</c:v>
                </c:pt>
                <c:pt idx="9">
                  <c:v>1999/2000</c:v>
                </c:pt>
                <c:pt idx="10">
                  <c:v>2000/2001</c:v>
                </c:pt>
                <c:pt idx="11">
                  <c:v>2001/2002</c:v>
                </c:pt>
                <c:pt idx="12">
                  <c:v>2002/2003</c:v>
                </c:pt>
                <c:pt idx="13">
                  <c:v>2003/2004</c:v>
                </c:pt>
                <c:pt idx="14">
                  <c:v>2004/2005</c:v>
                </c:pt>
                <c:pt idx="15">
                  <c:v>2005/2006</c:v>
                </c:pt>
                <c:pt idx="16">
                  <c:v>2006/2007</c:v>
                </c:pt>
                <c:pt idx="17">
                  <c:v>2007/2008</c:v>
                </c:pt>
                <c:pt idx="18">
                  <c:v>2008/2009</c:v>
                </c:pt>
                <c:pt idx="19">
                  <c:v>2009/2010</c:v>
                </c:pt>
                <c:pt idx="20">
                  <c:v>2010/2011</c:v>
                </c:pt>
                <c:pt idx="21">
                  <c:v>2011/2012</c:v>
                </c:pt>
                <c:pt idx="22">
                  <c:v>2012/2013</c:v>
                </c:pt>
                <c:pt idx="23">
                  <c:v>2013/2014</c:v>
                </c:pt>
                <c:pt idx="24">
                  <c:v>2014/2015</c:v>
                </c:pt>
                <c:pt idx="25">
                  <c:v>2015/2016</c:v>
                </c:pt>
                <c:pt idx="26">
                  <c:v>2016/2017</c:v>
                </c:pt>
                <c:pt idx="27">
                  <c:v>2017/2018</c:v>
                </c:pt>
                <c:pt idx="28">
                  <c:v>2018/2019</c:v>
                </c:pt>
                <c:pt idx="29">
                  <c:v>2019/2020</c:v>
                </c:pt>
                <c:pt idx="30">
                  <c:v>2020/2021</c:v>
                </c:pt>
                <c:pt idx="31">
                  <c:v>2021/2022</c:v>
                </c:pt>
                <c:pt idx="32">
                  <c:v>2022/2023</c:v>
                </c:pt>
                <c:pt idx="33">
                  <c:v>2023/2024</c:v>
                </c:pt>
                <c:pt idx="34">
                  <c:v>2024/2025</c:v>
                </c:pt>
                <c:pt idx="35">
                  <c:v>2025/2026</c:v>
                </c:pt>
              </c:strCache>
            </c:strRef>
          </c:cat>
          <c:val>
            <c:numRef>
              <c:f>'E2.4'!$D$11:$D$46</c:f>
              <c:numCache>
                <c:formatCode>#,##0</c:formatCode>
                <c:ptCount val="36"/>
                <c:pt idx="0">
                  <c:v>142247</c:v>
                </c:pt>
                <c:pt idx="1">
                  <c:v>154051</c:v>
                </c:pt>
                <c:pt idx="2">
                  <c:v>165314</c:v>
                </c:pt>
                <c:pt idx="3">
                  <c:v>172751</c:v>
                </c:pt>
                <c:pt idx="4">
                  <c:v>182448</c:v>
                </c:pt>
                <c:pt idx="5">
                  <c:v>186671</c:v>
                </c:pt>
                <c:pt idx="6">
                  <c:v>189963</c:v>
                </c:pt>
                <c:pt idx="7">
                  <c:v>194841</c:v>
                </c:pt>
                <c:pt idx="8">
                  <c:v>201802</c:v>
                </c:pt>
                <c:pt idx="9">
                  <c:v>208570</c:v>
                </c:pt>
                <c:pt idx="10">
                  <c:v>215500</c:v>
                </c:pt>
                <c:pt idx="11">
                  <c:v>223474</c:v>
                </c:pt>
                <c:pt idx="12">
                  <c:v>232399</c:v>
                </c:pt>
                <c:pt idx="13">
                  <c:v>239086</c:v>
                </c:pt>
                <c:pt idx="14">
                  <c:v>238850</c:v>
                </c:pt>
                <c:pt idx="15">
                  <c:v>243878</c:v>
                </c:pt>
                <c:pt idx="16">
                  <c:v>246267</c:v>
                </c:pt>
                <c:pt idx="17">
                  <c:v>243152</c:v>
                </c:pt>
                <c:pt idx="18">
                  <c:v>242777</c:v>
                </c:pt>
                <c:pt idx="19">
                  <c:v>239992</c:v>
                </c:pt>
                <c:pt idx="20">
                  <c:v>241872</c:v>
                </c:pt>
                <c:pt idx="21">
                  <c:v>236707</c:v>
                </c:pt>
                <c:pt idx="22">
                  <c:v>228315</c:v>
                </c:pt>
                <c:pt idx="23">
                  <c:v>220472</c:v>
                </c:pt>
                <c:pt idx="24">
                  <c:v>216368</c:v>
                </c:pt>
                <c:pt idx="25">
                  <c:v>213069</c:v>
                </c:pt>
                <c:pt idx="26">
                  <c:v>214464</c:v>
                </c:pt>
                <c:pt idx="27">
                  <c:v>216062</c:v>
                </c:pt>
                <c:pt idx="28">
                  <c:v>215645</c:v>
                </c:pt>
                <c:pt idx="29">
                  <c:v>217155</c:v>
                </c:pt>
                <c:pt idx="30">
                  <c:v>221750</c:v>
                </c:pt>
                <c:pt idx="31">
                  <c:v>225508</c:v>
                </c:pt>
                <c:pt idx="32">
                  <c:v>227210</c:v>
                </c:pt>
                <c:pt idx="33">
                  <c:v>226588</c:v>
                </c:pt>
                <c:pt idx="34">
                  <c:v>226204</c:v>
                </c:pt>
                <c:pt idx="35">
                  <c:v>222799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19-4966-A1DA-74A91DC89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9903696"/>
        <c:axId val="1499905136"/>
      </c:lineChart>
      <c:catAx>
        <c:axId val="149990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99905136"/>
        <c:crosses val="autoZero"/>
        <c:auto val="1"/>
        <c:lblAlgn val="ctr"/>
        <c:lblOffset val="100"/>
        <c:noMultiLvlLbl val="0"/>
      </c:catAx>
      <c:valAx>
        <c:axId val="149990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9990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Tanulók száma, 1990</a:t>
            </a:r>
            <a:r>
              <a:rPr lang="hu-HU" baseline="0"/>
              <a:t> = 100</a:t>
            </a:r>
            <a:r>
              <a:rPr lang="hu-HU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'E2.4'!$B$11:$B$46</c:f>
              <c:strCache>
                <c:ptCount val="36"/>
                <c:pt idx="0">
                  <c:v>1990/1991</c:v>
                </c:pt>
                <c:pt idx="1">
                  <c:v>1991/1992</c:v>
                </c:pt>
                <c:pt idx="2">
                  <c:v>1992/1993</c:v>
                </c:pt>
                <c:pt idx="3">
                  <c:v>1993/1994</c:v>
                </c:pt>
                <c:pt idx="4">
                  <c:v>1994/1995</c:v>
                </c:pt>
                <c:pt idx="5">
                  <c:v>1995/1996</c:v>
                </c:pt>
                <c:pt idx="6">
                  <c:v>1996/1997</c:v>
                </c:pt>
                <c:pt idx="7">
                  <c:v>1997/1998</c:v>
                </c:pt>
                <c:pt idx="8">
                  <c:v>1998/1999</c:v>
                </c:pt>
                <c:pt idx="9">
                  <c:v>1999/2000</c:v>
                </c:pt>
                <c:pt idx="10">
                  <c:v>2000/2001</c:v>
                </c:pt>
                <c:pt idx="11">
                  <c:v>2001/2002</c:v>
                </c:pt>
                <c:pt idx="12">
                  <c:v>2002/2003</c:v>
                </c:pt>
                <c:pt idx="13">
                  <c:v>2003/2004</c:v>
                </c:pt>
                <c:pt idx="14">
                  <c:v>2004/2005</c:v>
                </c:pt>
                <c:pt idx="15">
                  <c:v>2005/2006</c:v>
                </c:pt>
                <c:pt idx="16">
                  <c:v>2006/2007</c:v>
                </c:pt>
                <c:pt idx="17">
                  <c:v>2007/2008</c:v>
                </c:pt>
                <c:pt idx="18">
                  <c:v>2008/2009</c:v>
                </c:pt>
                <c:pt idx="19">
                  <c:v>2009/2010</c:v>
                </c:pt>
                <c:pt idx="20">
                  <c:v>2010/2011</c:v>
                </c:pt>
                <c:pt idx="21">
                  <c:v>2011/2012</c:v>
                </c:pt>
                <c:pt idx="22">
                  <c:v>2012/2013</c:v>
                </c:pt>
                <c:pt idx="23">
                  <c:v>2013/2014</c:v>
                </c:pt>
                <c:pt idx="24">
                  <c:v>2014/2015</c:v>
                </c:pt>
                <c:pt idx="25">
                  <c:v>2015/2016</c:v>
                </c:pt>
                <c:pt idx="26">
                  <c:v>2016/2017</c:v>
                </c:pt>
                <c:pt idx="27">
                  <c:v>2017/2018</c:v>
                </c:pt>
                <c:pt idx="28">
                  <c:v>2018/2019</c:v>
                </c:pt>
                <c:pt idx="29">
                  <c:v>2019/2020</c:v>
                </c:pt>
                <c:pt idx="30">
                  <c:v>2020/2021</c:v>
                </c:pt>
                <c:pt idx="31">
                  <c:v>2021/2022</c:v>
                </c:pt>
                <c:pt idx="32">
                  <c:v>2022/2023</c:v>
                </c:pt>
                <c:pt idx="33">
                  <c:v>2023/2024</c:v>
                </c:pt>
                <c:pt idx="34">
                  <c:v>2024/2025</c:v>
                </c:pt>
                <c:pt idx="35">
                  <c:v>2025/2026</c:v>
                </c:pt>
              </c:strCache>
            </c:strRef>
          </c:cat>
          <c:val>
            <c:numRef>
              <c:f>'E2.4'!$I$11:$I$46</c:f>
              <c:numCache>
                <c:formatCode>0.0%</c:formatCode>
                <c:ptCount val="36"/>
                <c:pt idx="0">
                  <c:v>1</c:v>
                </c:pt>
                <c:pt idx="1">
                  <c:v>1.0829824179068803</c:v>
                </c:pt>
                <c:pt idx="2">
                  <c:v>1.1621615921601158</c:v>
                </c:pt>
                <c:pt idx="3">
                  <c:v>1.2144438898535646</c:v>
                </c:pt>
                <c:pt idx="4">
                  <c:v>1.2826140445844201</c:v>
                </c:pt>
                <c:pt idx="5">
                  <c:v>1.3123018411636098</c:v>
                </c:pt>
                <c:pt idx="6">
                  <c:v>1.3354446842464165</c:v>
                </c:pt>
                <c:pt idx="7">
                  <c:v>1.3697371473563591</c:v>
                </c:pt>
                <c:pt idx="8">
                  <c:v>1.4186731530366194</c:v>
                </c:pt>
                <c:pt idx="9">
                  <c:v>1.4662523638459861</c:v>
                </c:pt>
                <c:pt idx="10">
                  <c:v>1.5149704387438752</c:v>
                </c:pt>
                <c:pt idx="11">
                  <c:v>1.5710278599900174</c:v>
                </c:pt>
                <c:pt idx="12">
                  <c:v>1.6337708352372986</c:v>
                </c:pt>
                <c:pt idx="13">
                  <c:v>1.6807806140024042</c:v>
                </c:pt>
                <c:pt idx="14">
                  <c:v>1.6791215280462857</c:v>
                </c:pt>
                <c:pt idx="15">
                  <c:v>1.7144684949418969</c:v>
                </c:pt>
                <c:pt idx="16">
                  <c:v>1.7312632252349787</c:v>
                </c:pt>
                <c:pt idx="17">
                  <c:v>1.7093646966192608</c:v>
                </c:pt>
                <c:pt idx="18">
                  <c:v>1.7067284371550895</c:v>
                </c:pt>
                <c:pt idx="19">
                  <c:v>1.6871498168678425</c:v>
                </c:pt>
                <c:pt idx="20">
                  <c:v>1.7003662643148889</c:v>
                </c:pt>
                <c:pt idx="21">
                  <c:v>1.6640561839617005</c:v>
                </c:pt>
                <c:pt idx="22">
                  <c:v>1.6050602121661617</c:v>
                </c:pt>
                <c:pt idx="23">
                  <c:v>1.5499237242261699</c:v>
                </c:pt>
                <c:pt idx="24">
                  <c:v>1.5210725006502774</c:v>
                </c:pt>
                <c:pt idx="25">
                  <c:v>1.4978804473908061</c:v>
                </c:pt>
                <c:pt idx="26">
                  <c:v>1.507687332597524</c:v>
                </c:pt>
                <c:pt idx="27">
                  <c:v>1.5189213129275134</c:v>
                </c:pt>
                <c:pt idx="28">
                  <c:v>1.5159897924033547</c:v>
                </c:pt>
                <c:pt idx="29">
                  <c:v>1.5266051305124186</c:v>
                </c:pt>
                <c:pt idx="30">
                  <c:v>1.5589080964800663</c:v>
                </c:pt>
                <c:pt idx="31">
                  <c:v>1.5853269313236835</c:v>
                </c:pt>
                <c:pt idx="32">
                  <c:v>1.5972920342784032</c:v>
                </c:pt>
                <c:pt idx="33">
                  <c:v>1.5929193585804973</c:v>
                </c:pt>
                <c:pt idx="34">
                  <c:v>1.5902198288891858</c:v>
                </c:pt>
                <c:pt idx="35">
                  <c:v>1.5662825929545088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E6-48D8-9048-E7AD28DC5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9903696"/>
        <c:axId val="1499905136"/>
      </c:lineChart>
      <c:catAx>
        <c:axId val="149990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accent2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99905136"/>
        <c:crossesAt val="1"/>
        <c:auto val="1"/>
        <c:lblAlgn val="ctr"/>
        <c:lblOffset val="100"/>
        <c:noMultiLvlLbl val="0"/>
      </c:catAx>
      <c:valAx>
        <c:axId val="149990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9990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Tanulók száma, előző</a:t>
            </a:r>
            <a:r>
              <a:rPr lang="hu-HU" baseline="0"/>
              <a:t> = 100</a:t>
            </a:r>
            <a:r>
              <a:rPr lang="hu-HU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'E2.4'!$B$11:$B$46</c:f>
              <c:strCache>
                <c:ptCount val="36"/>
                <c:pt idx="0">
                  <c:v>1990/1991</c:v>
                </c:pt>
                <c:pt idx="1">
                  <c:v>1991/1992</c:v>
                </c:pt>
                <c:pt idx="2">
                  <c:v>1992/1993</c:v>
                </c:pt>
                <c:pt idx="3">
                  <c:v>1993/1994</c:v>
                </c:pt>
                <c:pt idx="4">
                  <c:v>1994/1995</c:v>
                </c:pt>
                <c:pt idx="5">
                  <c:v>1995/1996</c:v>
                </c:pt>
                <c:pt idx="6">
                  <c:v>1996/1997</c:v>
                </c:pt>
                <c:pt idx="7">
                  <c:v>1997/1998</c:v>
                </c:pt>
                <c:pt idx="8">
                  <c:v>1998/1999</c:v>
                </c:pt>
                <c:pt idx="9">
                  <c:v>1999/2000</c:v>
                </c:pt>
                <c:pt idx="10">
                  <c:v>2000/2001</c:v>
                </c:pt>
                <c:pt idx="11">
                  <c:v>2001/2002</c:v>
                </c:pt>
                <c:pt idx="12">
                  <c:v>2002/2003</c:v>
                </c:pt>
                <c:pt idx="13">
                  <c:v>2003/2004</c:v>
                </c:pt>
                <c:pt idx="14">
                  <c:v>2004/2005</c:v>
                </c:pt>
                <c:pt idx="15">
                  <c:v>2005/2006</c:v>
                </c:pt>
                <c:pt idx="16">
                  <c:v>2006/2007</c:v>
                </c:pt>
                <c:pt idx="17">
                  <c:v>2007/2008</c:v>
                </c:pt>
                <c:pt idx="18">
                  <c:v>2008/2009</c:v>
                </c:pt>
                <c:pt idx="19">
                  <c:v>2009/2010</c:v>
                </c:pt>
                <c:pt idx="20">
                  <c:v>2010/2011</c:v>
                </c:pt>
                <c:pt idx="21">
                  <c:v>2011/2012</c:v>
                </c:pt>
                <c:pt idx="22">
                  <c:v>2012/2013</c:v>
                </c:pt>
                <c:pt idx="23">
                  <c:v>2013/2014</c:v>
                </c:pt>
                <c:pt idx="24">
                  <c:v>2014/2015</c:v>
                </c:pt>
                <c:pt idx="25">
                  <c:v>2015/2016</c:v>
                </c:pt>
                <c:pt idx="26">
                  <c:v>2016/2017</c:v>
                </c:pt>
                <c:pt idx="27">
                  <c:v>2017/2018</c:v>
                </c:pt>
                <c:pt idx="28">
                  <c:v>2018/2019</c:v>
                </c:pt>
                <c:pt idx="29">
                  <c:v>2019/2020</c:v>
                </c:pt>
                <c:pt idx="30">
                  <c:v>2020/2021</c:v>
                </c:pt>
                <c:pt idx="31">
                  <c:v>2021/2022</c:v>
                </c:pt>
                <c:pt idx="32">
                  <c:v>2022/2023</c:v>
                </c:pt>
                <c:pt idx="33">
                  <c:v>2023/2024</c:v>
                </c:pt>
                <c:pt idx="34">
                  <c:v>2024/2025</c:v>
                </c:pt>
                <c:pt idx="35">
                  <c:v>2025/2026</c:v>
                </c:pt>
              </c:strCache>
            </c:strRef>
          </c:cat>
          <c:val>
            <c:numRef>
              <c:f>'E2.4'!$J$11:$J$46</c:f>
              <c:numCache>
                <c:formatCode>0.0%</c:formatCode>
                <c:ptCount val="36"/>
                <c:pt idx="1">
                  <c:v>1.0829824179068803</c:v>
                </c:pt>
                <c:pt idx="2">
                  <c:v>1.0731121511707162</c:v>
                </c:pt>
                <c:pt idx="3">
                  <c:v>1.0449871154288204</c:v>
                </c:pt>
                <c:pt idx="4">
                  <c:v>1.0561328154395633</c:v>
                </c:pt>
                <c:pt idx="5">
                  <c:v>1.0231463211435587</c:v>
                </c:pt>
                <c:pt idx="6">
                  <c:v>1.0176353048947078</c:v>
                </c:pt>
                <c:pt idx="7">
                  <c:v>1.0256786847965129</c:v>
                </c:pt>
                <c:pt idx="8">
                  <c:v>1.0357265667903572</c:v>
                </c:pt>
                <c:pt idx="9">
                  <c:v>1.0335378242039226</c:v>
                </c:pt>
                <c:pt idx="10">
                  <c:v>1.0332262549743492</c:v>
                </c:pt>
                <c:pt idx="11">
                  <c:v>1.0370023201856149</c:v>
                </c:pt>
                <c:pt idx="12">
                  <c:v>1.0399375318829036</c:v>
                </c:pt>
                <c:pt idx="13">
                  <c:v>1.0287737899044316</c:v>
                </c:pt>
                <c:pt idx="14">
                  <c:v>0.99901290748935534</c:v>
                </c:pt>
                <c:pt idx="15">
                  <c:v>1.0210508687460749</c:v>
                </c:pt>
                <c:pt idx="16">
                  <c:v>1.0097958815473311</c:v>
                </c:pt>
                <c:pt idx="17">
                  <c:v>0.98735112702879391</c:v>
                </c:pt>
                <c:pt idx="18">
                  <c:v>0.9984577548200303</c:v>
                </c:pt>
                <c:pt idx="19">
                  <c:v>0.988528567368408</c:v>
                </c:pt>
                <c:pt idx="20">
                  <c:v>1.0078335944531485</c:v>
                </c:pt>
                <c:pt idx="21">
                  <c:v>0.97864572997287824</c:v>
                </c:pt>
                <c:pt idx="22">
                  <c:v>0.96454688707980751</c:v>
                </c:pt>
                <c:pt idx="23">
                  <c:v>0.96564833672776651</c:v>
                </c:pt>
                <c:pt idx="24">
                  <c:v>0.98138539134221126</c:v>
                </c:pt>
                <c:pt idx="25">
                  <c:v>0.98475282851438295</c:v>
                </c:pt>
                <c:pt idx="26">
                  <c:v>1.0065471748588486</c:v>
                </c:pt>
                <c:pt idx="27">
                  <c:v>1.0074511339898538</c:v>
                </c:pt>
                <c:pt idx="28">
                  <c:v>0.99806999842637767</c:v>
                </c:pt>
                <c:pt idx="29">
                  <c:v>1.0070022490667532</c:v>
                </c:pt>
                <c:pt idx="30">
                  <c:v>1.0211600009210011</c:v>
                </c:pt>
                <c:pt idx="31">
                  <c:v>1.0169470124013529</c:v>
                </c:pt>
                <c:pt idx="32">
                  <c:v>1.0075474040832255</c:v>
                </c:pt>
                <c:pt idx="33">
                  <c:v>0.99726244443466394</c:v>
                </c:pt>
                <c:pt idx="34">
                  <c:v>0.99830529419033665</c:v>
                </c:pt>
                <c:pt idx="35">
                  <c:v>0.9849472157875192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68-4402-86C9-69E2D0C0B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9903696"/>
        <c:axId val="1499905136"/>
      </c:barChart>
      <c:catAx>
        <c:axId val="149990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accent2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99905136"/>
        <c:crossesAt val="1"/>
        <c:auto val="1"/>
        <c:lblAlgn val="ctr"/>
        <c:lblOffset val="100"/>
        <c:noMultiLvlLbl val="0"/>
      </c:catAx>
      <c:valAx>
        <c:axId val="149990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9990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Pedagógusok száma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'E2.4'!$B$11:$B$46</c:f>
              <c:strCache>
                <c:ptCount val="36"/>
                <c:pt idx="0">
                  <c:v>1990/1991</c:v>
                </c:pt>
                <c:pt idx="1">
                  <c:v>1991/1992</c:v>
                </c:pt>
                <c:pt idx="2">
                  <c:v>1992/1993</c:v>
                </c:pt>
                <c:pt idx="3">
                  <c:v>1993/1994</c:v>
                </c:pt>
                <c:pt idx="4">
                  <c:v>1994/1995</c:v>
                </c:pt>
                <c:pt idx="5">
                  <c:v>1995/1996</c:v>
                </c:pt>
                <c:pt idx="6">
                  <c:v>1996/1997</c:v>
                </c:pt>
                <c:pt idx="7">
                  <c:v>1997/1998</c:v>
                </c:pt>
                <c:pt idx="8">
                  <c:v>1998/1999</c:v>
                </c:pt>
                <c:pt idx="9">
                  <c:v>1999/2000</c:v>
                </c:pt>
                <c:pt idx="10">
                  <c:v>2000/2001</c:v>
                </c:pt>
                <c:pt idx="11">
                  <c:v>2001/2002</c:v>
                </c:pt>
                <c:pt idx="12">
                  <c:v>2002/2003</c:v>
                </c:pt>
                <c:pt idx="13">
                  <c:v>2003/2004</c:v>
                </c:pt>
                <c:pt idx="14">
                  <c:v>2004/2005</c:v>
                </c:pt>
                <c:pt idx="15">
                  <c:v>2005/2006</c:v>
                </c:pt>
                <c:pt idx="16">
                  <c:v>2006/2007</c:v>
                </c:pt>
                <c:pt idx="17">
                  <c:v>2007/2008</c:v>
                </c:pt>
                <c:pt idx="18">
                  <c:v>2008/2009</c:v>
                </c:pt>
                <c:pt idx="19">
                  <c:v>2009/2010</c:v>
                </c:pt>
                <c:pt idx="20">
                  <c:v>2010/2011</c:v>
                </c:pt>
                <c:pt idx="21">
                  <c:v>2011/2012</c:v>
                </c:pt>
                <c:pt idx="22">
                  <c:v>2012/2013</c:v>
                </c:pt>
                <c:pt idx="23">
                  <c:v>2013/2014</c:v>
                </c:pt>
                <c:pt idx="24">
                  <c:v>2014/2015</c:v>
                </c:pt>
                <c:pt idx="25">
                  <c:v>2015/2016</c:v>
                </c:pt>
                <c:pt idx="26">
                  <c:v>2016/2017</c:v>
                </c:pt>
                <c:pt idx="27">
                  <c:v>2017/2018</c:v>
                </c:pt>
                <c:pt idx="28">
                  <c:v>2018/2019</c:v>
                </c:pt>
                <c:pt idx="29">
                  <c:v>2019/2020</c:v>
                </c:pt>
                <c:pt idx="30">
                  <c:v>2020/2021</c:v>
                </c:pt>
                <c:pt idx="31">
                  <c:v>2021/2022</c:v>
                </c:pt>
                <c:pt idx="32">
                  <c:v>2022/2023</c:v>
                </c:pt>
                <c:pt idx="33">
                  <c:v>2023/2024</c:v>
                </c:pt>
                <c:pt idx="34">
                  <c:v>2024/2025</c:v>
                </c:pt>
                <c:pt idx="35">
                  <c:v>2025/2026</c:v>
                </c:pt>
              </c:strCache>
            </c:strRef>
          </c:cat>
          <c:val>
            <c:numRef>
              <c:f>'E2.4'!$C$11:$C$46</c:f>
              <c:numCache>
                <c:formatCode>#,##0</c:formatCode>
                <c:ptCount val="36"/>
                <c:pt idx="0">
                  <c:v>10246</c:v>
                </c:pt>
                <c:pt idx="1">
                  <c:v>10732</c:v>
                </c:pt>
                <c:pt idx="2">
                  <c:v>11290</c:v>
                </c:pt>
                <c:pt idx="3">
                  <c:v>11959</c:v>
                </c:pt>
                <c:pt idx="4">
                  <c:v>12578</c:v>
                </c:pt>
                <c:pt idx="5">
                  <c:v>12912</c:v>
                </c:pt>
                <c:pt idx="6">
                  <c:v>13133</c:v>
                </c:pt>
                <c:pt idx="7">
                  <c:v>13669</c:v>
                </c:pt>
                <c:pt idx="8">
                  <c:v>14021</c:v>
                </c:pt>
                <c:pt idx="9">
                  <c:v>14415</c:v>
                </c:pt>
                <c:pt idx="10">
                  <c:v>15550</c:v>
                </c:pt>
                <c:pt idx="11">
                  <c:v>16845</c:v>
                </c:pt>
                <c:pt idx="12">
                  <c:v>17128</c:v>
                </c:pt>
                <c:pt idx="13">
                  <c:v>17675</c:v>
                </c:pt>
                <c:pt idx="14">
                  <c:v>17816</c:v>
                </c:pt>
                <c:pt idx="15">
                  <c:v>18213</c:v>
                </c:pt>
                <c:pt idx="16">
                  <c:v>19284</c:v>
                </c:pt>
                <c:pt idx="17">
                  <c:v>18687</c:v>
                </c:pt>
                <c:pt idx="18">
                  <c:v>18436</c:v>
                </c:pt>
                <c:pt idx="19">
                  <c:v>18363</c:v>
                </c:pt>
                <c:pt idx="20">
                  <c:v>18292</c:v>
                </c:pt>
                <c:pt idx="21">
                  <c:v>18186</c:v>
                </c:pt>
                <c:pt idx="22">
                  <c:v>17851</c:v>
                </c:pt>
                <c:pt idx="23">
                  <c:v>17680</c:v>
                </c:pt>
                <c:pt idx="24">
                  <c:v>17884</c:v>
                </c:pt>
                <c:pt idx="25">
                  <c:v>17937</c:v>
                </c:pt>
                <c:pt idx="26">
                  <c:v>18260</c:v>
                </c:pt>
                <c:pt idx="27">
                  <c:v>18259</c:v>
                </c:pt>
                <c:pt idx="28">
                  <c:v>18564</c:v>
                </c:pt>
                <c:pt idx="29">
                  <c:v>18513</c:v>
                </c:pt>
                <c:pt idx="30">
                  <c:v>18574</c:v>
                </c:pt>
                <c:pt idx="31">
                  <c:v>18627</c:v>
                </c:pt>
                <c:pt idx="32">
                  <c:v>18721</c:v>
                </c:pt>
                <c:pt idx="33">
                  <c:v>18620</c:v>
                </c:pt>
                <c:pt idx="34">
                  <c:v>18827</c:v>
                </c:pt>
                <c:pt idx="35">
                  <c:v>18860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3F-49B4-AD66-C103B9516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9903696"/>
        <c:axId val="1499905136"/>
      </c:lineChart>
      <c:catAx>
        <c:axId val="149990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99905136"/>
        <c:crosses val="autoZero"/>
        <c:auto val="1"/>
        <c:lblAlgn val="ctr"/>
        <c:lblOffset val="100"/>
        <c:noMultiLvlLbl val="0"/>
      </c:catAx>
      <c:valAx>
        <c:axId val="149990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9990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Egy pegagógusra</a:t>
            </a:r>
            <a:r>
              <a:rPr lang="hu-HU" baseline="0"/>
              <a:t> jutó tanulók s</a:t>
            </a:r>
            <a:r>
              <a:rPr lang="hu-HU"/>
              <a:t>záma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'E2.4'!$B$11:$B$46</c:f>
              <c:strCache>
                <c:ptCount val="36"/>
                <c:pt idx="0">
                  <c:v>1990/1991</c:v>
                </c:pt>
                <c:pt idx="1">
                  <c:v>1991/1992</c:v>
                </c:pt>
                <c:pt idx="2">
                  <c:v>1992/1993</c:v>
                </c:pt>
                <c:pt idx="3">
                  <c:v>1993/1994</c:v>
                </c:pt>
                <c:pt idx="4">
                  <c:v>1994/1995</c:v>
                </c:pt>
                <c:pt idx="5">
                  <c:v>1995/1996</c:v>
                </c:pt>
                <c:pt idx="6">
                  <c:v>1996/1997</c:v>
                </c:pt>
                <c:pt idx="7">
                  <c:v>1997/1998</c:v>
                </c:pt>
                <c:pt idx="8">
                  <c:v>1998/1999</c:v>
                </c:pt>
                <c:pt idx="9">
                  <c:v>1999/2000</c:v>
                </c:pt>
                <c:pt idx="10">
                  <c:v>2000/2001</c:v>
                </c:pt>
                <c:pt idx="11">
                  <c:v>2001/2002</c:v>
                </c:pt>
                <c:pt idx="12">
                  <c:v>2002/2003</c:v>
                </c:pt>
                <c:pt idx="13">
                  <c:v>2003/2004</c:v>
                </c:pt>
                <c:pt idx="14">
                  <c:v>2004/2005</c:v>
                </c:pt>
                <c:pt idx="15">
                  <c:v>2005/2006</c:v>
                </c:pt>
                <c:pt idx="16">
                  <c:v>2006/2007</c:v>
                </c:pt>
                <c:pt idx="17">
                  <c:v>2007/2008</c:v>
                </c:pt>
                <c:pt idx="18">
                  <c:v>2008/2009</c:v>
                </c:pt>
                <c:pt idx="19">
                  <c:v>2009/2010</c:v>
                </c:pt>
                <c:pt idx="20">
                  <c:v>2010/2011</c:v>
                </c:pt>
                <c:pt idx="21">
                  <c:v>2011/2012</c:v>
                </c:pt>
                <c:pt idx="22">
                  <c:v>2012/2013</c:v>
                </c:pt>
                <c:pt idx="23">
                  <c:v>2013/2014</c:v>
                </c:pt>
                <c:pt idx="24">
                  <c:v>2014/2015</c:v>
                </c:pt>
                <c:pt idx="25">
                  <c:v>2015/2016</c:v>
                </c:pt>
                <c:pt idx="26">
                  <c:v>2016/2017</c:v>
                </c:pt>
                <c:pt idx="27">
                  <c:v>2017/2018</c:v>
                </c:pt>
                <c:pt idx="28">
                  <c:v>2018/2019</c:v>
                </c:pt>
                <c:pt idx="29">
                  <c:v>2019/2020</c:v>
                </c:pt>
                <c:pt idx="30">
                  <c:v>2020/2021</c:v>
                </c:pt>
                <c:pt idx="31">
                  <c:v>2021/2022</c:v>
                </c:pt>
                <c:pt idx="32">
                  <c:v>2022/2023</c:v>
                </c:pt>
                <c:pt idx="33">
                  <c:v>2023/2024</c:v>
                </c:pt>
                <c:pt idx="34">
                  <c:v>2024/2025</c:v>
                </c:pt>
                <c:pt idx="35">
                  <c:v>2025/2026</c:v>
                </c:pt>
              </c:strCache>
            </c:strRef>
          </c:cat>
          <c:val>
            <c:numRef>
              <c:f>'E2.4'!$K$11:$K$46</c:f>
              <c:numCache>
                <c:formatCode>0.00</c:formatCode>
                <c:ptCount val="36"/>
                <c:pt idx="0">
                  <c:v>13.883173921530354</c:v>
                </c:pt>
                <c:pt idx="1">
                  <c:v>14.354360790160268</c:v>
                </c:pt>
                <c:pt idx="2">
                  <c:v>14.642515500442871</c:v>
                </c:pt>
                <c:pt idx="3">
                  <c:v>14.44527134375784</c:v>
                </c:pt>
                <c:pt idx="4">
                  <c:v>14.50532676101129</c:v>
                </c:pt>
                <c:pt idx="5">
                  <c:v>14.457171623296158</c:v>
                </c:pt>
                <c:pt idx="6">
                  <c:v>14.464554937942587</c:v>
                </c:pt>
                <c:pt idx="7">
                  <c:v>14.254224888433683</c:v>
                </c:pt>
                <c:pt idx="8">
                  <c:v>14.392839312459882</c:v>
                </c:pt>
                <c:pt idx="9">
                  <c:v>14.468955948664586</c:v>
                </c:pt>
                <c:pt idx="10">
                  <c:v>13.858520900321544</c:v>
                </c:pt>
                <c:pt idx="11">
                  <c:v>13.266488572276639</c:v>
                </c:pt>
                <c:pt idx="12">
                  <c:v>13.568367585240543</c:v>
                </c:pt>
                <c:pt idx="13">
                  <c:v>13.526789250353607</c:v>
                </c:pt>
                <c:pt idx="14">
                  <c:v>13.40648854961832</c:v>
                </c:pt>
                <c:pt idx="15">
                  <c:v>13.390325591610388</c:v>
                </c:pt>
                <c:pt idx="16">
                  <c:v>12.770535158680772</c:v>
                </c:pt>
                <c:pt idx="17">
                  <c:v>13.011826403382031</c:v>
                </c:pt>
                <c:pt idx="18">
                  <c:v>13.168637448470385</c:v>
                </c:pt>
                <c:pt idx="19">
                  <c:v>13.069324184501443</c:v>
                </c:pt>
                <c:pt idx="20">
                  <c:v>13.22282965230702</c:v>
                </c:pt>
                <c:pt idx="21">
                  <c:v>13.015891344990653</c:v>
                </c:pt>
                <c:pt idx="22">
                  <c:v>12.790039773682146</c:v>
                </c:pt>
                <c:pt idx="23">
                  <c:v>12.470135746606335</c:v>
                </c:pt>
                <c:pt idx="24">
                  <c:v>12.098411988369492</c:v>
                </c:pt>
                <c:pt idx="25">
                  <c:v>11.878742264592741</c:v>
                </c:pt>
                <c:pt idx="26">
                  <c:v>11.745016429353779</c:v>
                </c:pt>
                <c:pt idx="27">
                  <c:v>11.833178158716249</c:v>
                </c:pt>
                <c:pt idx="28">
                  <c:v>11.616300366300367</c:v>
                </c:pt>
                <c:pt idx="29">
                  <c:v>11.729865499918976</c:v>
                </c:pt>
                <c:pt idx="30">
                  <c:v>11.938731560245504</c:v>
                </c:pt>
                <c:pt idx="31">
                  <c:v>12.106512052397058</c:v>
                </c:pt>
                <c:pt idx="32">
                  <c:v>12.136638000106831</c:v>
                </c:pt>
                <c:pt idx="33">
                  <c:v>12.169065520945221</c:v>
                </c:pt>
                <c:pt idx="34">
                  <c:v>12.014872257927445</c:v>
                </c:pt>
                <c:pt idx="35">
                  <c:v>11.813308589607635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53-4843-9511-B3BE6C554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9903696"/>
        <c:axId val="1499905136"/>
      </c:lineChart>
      <c:catAx>
        <c:axId val="149990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99905136"/>
        <c:crosses val="autoZero"/>
        <c:auto val="1"/>
        <c:lblAlgn val="ctr"/>
        <c:lblOffset val="100"/>
        <c:noMultiLvlLbl val="0"/>
      </c:catAx>
      <c:valAx>
        <c:axId val="149990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9990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Egy pedagógusra jutó tanulók száma, 1990</a:t>
            </a:r>
            <a:r>
              <a:rPr lang="hu-HU" baseline="0"/>
              <a:t> = 100</a:t>
            </a:r>
            <a:r>
              <a:rPr lang="hu-HU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'E2.4'!$B$11:$B$46</c:f>
              <c:strCache>
                <c:ptCount val="36"/>
                <c:pt idx="0">
                  <c:v>1990/1991</c:v>
                </c:pt>
                <c:pt idx="1">
                  <c:v>1991/1992</c:v>
                </c:pt>
                <c:pt idx="2">
                  <c:v>1992/1993</c:v>
                </c:pt>
                <c:pt idx="3">
                  <c:v>1993/1994</c:v>
                </c:pt>
                <c:pt idx="4">
                  <c:v>1994/1995</c:v>
                </c:pt>
                <c:pt idx="5">
                  <c:v>1995/1996</c:v>
                </c:pt>
                <c:pt idx="6">
                  <c:v>1996/1997</c:v>
                </c:pt>
                <c:pt idx="7">
                  <c:v>1997/1998</c:v>
                </c:pt>
                <c:pt idx="8">
                  <c:v>1998/1999</c:v>
                </c:pt>
                <c:pt idx="9">
                  <c:v>1999/2000</c:v>
                </c:pt>
                <c:pt idx="10">
                  <c:v>2000/2001</c:v>
                </c:pt>
                <c:pt idx="11">
                  <c:v>2001/2002</c:v>
                </c:pt>
                <c:pt idx="12">
                  <c:v>2002/2003</c:v>
                </c:pt>
                <c:pt idx="13">
                  <c:v>2003/2004</c:v>
                </c:pt>
                <c:pt idx="14">
                  <c:v>2004/2005</c:v>
                </c:pt>
                <c:pt idx="15">
                  <c:v>2005/2006</c:v>
                </c:pt>
                <c:pt idx="16">
                  <c:v>2006/2007</c:v>
                </c:pt>
                <c:pt idx="17">
                  <c:v>2007/2008</c:v>
                </c:pt>
                <c:pt idx="18">
                  <c:v>2008/2009</c:v>
                </c:pt>
                <c:pt idx="19">
                  <c:v>2009/2010</c:v>
                </c:pt>
                <c:pt idx="20">
                  <c:v>2010/2011</c:v>
                </c:pt>
                <c:pt idx="21">
                  <c:v>2011/2012</c:v>
                </c:pt>
                <c:pt idx="22">
                  <c:v>2012/2013</c:v>
                </c:pt>
                <c:pt idx="23">
                  <c:v>2013/2014</c:v>
                </c:pt>
                <c:pt idx="24">
                  <c:v>2014/2015</c:v>
                </c:pt>
                <c:pt idx="25">
                  <c:v>2015/2016</c:v>
                </c:pt>
                <c:pt idx="26">
                  <c:v>2016/2017</c:v>
                </c:pt>
                <c:pt idx="27">
                  <c:v>2017/2018</c:v>
                </c:pt>
                <c:pt idx="28">
                  <c:v>2018/2019</c:v>
                </c:pt>
                <c:pt idx="29">
                  <c:v>2019/2020</c:v>
                </c:pt>
                <c:pt idx="30">
                  <c:v>2020/2021</c:v>
                </c:pt>
                <c:pt idx="31">
                  <c:v>2021/2022</c:v>
                </c:pt>
                <c:pt idx="32">
                  <c:v>2022/2023</c:v>
                </c:pt>
                <c:pt idx="33">
                  <c:v>2023/2024</c:v>
                </c:pt>
                <c:pt idx="34">
                  <c:v>2024/2025</c:v>
                </c:pt>
                <c:pt idx="35">
                  <c:v>2025/2026</c:v>
                </c:pt>
              </c:strCache>
            </c:strRef>
          </c:cat>
          <c:val>
            <c:numRef>
              <c:f>'E2.4'!$L$11:$L$46</c:f>
              <c:numCache>
                <c:formatCode>0.0%</c:formatCode>
                <c:ptCount val="36"/>
                <c:pt idx="0">
                  <c:v>1</c:v>
                </c:pt>
                <c:pt idx="1">
                  <c:v>1.0339394198540715</c:v>
                </c:pt>
                <c:pt idx="2">
                  <c:v>1.0546950994926969</c:v>
                </c:pt>
                <c:pt idx="3">
                  <c:v>1.0404876741733944</c:v>
                </c:pt>
                <c:pt idx="4">
                  <c:v>1.0448134441733159</c:v>
                </c:pt>
                <c:pt idx="5">
                  <c:v>1.0413448470076165</c:v>
                </c:pt>
                <c:pt idx="6">
                  <c:v>1.0418766644931685</c:v>
                </c:pt>
                <c:pt idx="7">
                  <c:v>1.0267266670431821</c:v>
                </c:pt>
                <c:pt idx="8">
                  <c:v>1.0367110139086515</c:v>
                </c:pt>
                <c:pt idx="9">
                  <c:v>1.0421936677048891</c:v>
                </c:pt>
                <c:pt idx="10">
                  <c:v>0.99822425179226648</c:v>
                </c:pt>
                <c:pt idx="11">
                  <c:v>0.9555803771717255</c:v>
                </c:pt>
                <c:pt idx="12">
                  <c:v>0.97732461337233545</c:v>
                </c:pt>
                <c:pt idx="13">
                  <c:v>0.9743297409374051</c:v>
                </c:pt>
                <c:pt idx="14">
                  <c:v>0.96566452494175137</c:v>
                </c:pt>
                <c:pt idx="15">
                  <c:v>0.9645003129179528</c:v>
                </c:pt>
                <c:pt idx="16">
                  <c:v>0.91985703203472258</c:v>
                </c:pt>
                <c:pt idx="17">
                  <c:v>0.93723715318461753</c:v>
                </c:pt>
                <c:pt idx="18">
                  <c:v>0.94853219608868766</c:v>
                </c:pt>
                <c:pt idx="19">
                  <c:v>0.94137869757816883</c:v>
                </c:pt>
                <c:pt idx="20">
                  <c:v>0.95243564094524114</c:v>
                </c:pt>
                <c:pt idx="21">
                  <c:v>0.93752994945956136</c:v>
                </c:pt>
                <c:pt idx="22">
                  <c:v>0.92126194240403847</c:v>
                </c:pt>
                <c:pt idx="23">
                  <c:v>0.89821937095143312</c:v>
                </c:pt>
                <c:pt idx="24">
                  <c:v>0.87144424299165402</c:v>
                </c:pt>
                <c:pt idx="25">
                  <c:v>0.85562151217963978</c:v>
                </c:pt>
                <c:pt idx="26">
                  <c:v>0.8459892885977125</c:v>
                </c:pt>
                <c:pt idx="27">
                  <c:v>0.8523395461008435</c:v>
                </c:pt>
                <c:pt idx="28">
                  <c:v>0.83671791709571064</c:v>
                </c:pt>
                <c:pt idx="29">
                  <c:v>0.84489797262627564</c:v>
                </c:pt>
                <c:pt idx="30">
                  <c:v>0.85994251946456113</c:v>
                </c:pt>
                <c:pt idx="31">
                  <c:v>0.87202768767608629</c:v>
                </c:pt>
                <c:pt idx="32">
                  <c:v>0.87419764880169415</c:v>
                </c:pt>
                <c:pt idx="33">
                  <c:v>0.8765333914079364</c:v>
                </c:pt>
                <c:pt idx="34">
                  <c:v>0.86542690640030795</c:v>
                </c:pt>
                <c:pt idx="35">
                  <c:v>0.85090834821908246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56-4F3A-BB49-A15B4027A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9903696"/>
        <c:axId val="1499905136"/>
      </c:lineChart>
      <c:catAx>
        <c:axId val="149990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accent2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99905136"/>
        <c:crossesAt val="1"/>
        <c:auto val="1"/>
        <c:lblAlgn val="ctr"/>
        <c:lblOffset val="100"/>
        <c:noMultiLvlLbl val="0"/>
      </c:catAx>
      <c:valAx>
        <c:axId val="149990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9990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Egy pedagógusra jutó tanulók száma, előző</a:t>
            </a:r>
            <a:r>
              <a:rPr lang="hu-HU" baseline="0"/>
              <a:t> = 100</a:t>
            </a:r>
            <a:r>
              <a:rPr lang="hu-HU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'E2.4'!$B$11:$B$46</c:f>
              <c:strCache>
                <c:ptCount val="36"/>
                <c:pt idx="0">
                  <c:v>1990/1991</c:v>
                </c:pt>
                <c:pt idx="1">
                  <c:v>1991/1992</c:v>
                </c:pt>
                <c:pt idx="2">
                  <c:v>1992/1993</c:v>
                </c:pt>
                <c:pt idx="3">
                  <c:v>1993/1994</c:v>
                </c:pt>
                <c:pt idx="4">
                  <c:v>1994/1995</c:v>
                </c:pt>
                <c:pt idx="5">
                  <c:v>1995/1996</c:v>
                </c:pt>
                <c:pt idx="6">
                  <c:v>1996/1997</c:v>
                </c:pt>
                <c:pt idx="7">
                  <c:v>1997/1998</c:v>
                </c:pt>
                <c:pt idx="8">
                  <c:v>1998/1999</c:v>
                </c:pt>
                <c:pt idx="9">
                  <c:v>1999/2000</c:v>
                </c:pt>
                <c:pt idx="10">
                  <c:v>2000/2001</c:v>
                </c:pt>
                <c:pt idx="11">
                  <c:v>2001/2002</c:v>
                </c:pt>
                <c:pt idx="12">
                  <c:v>2002/2003</c:v>
                </c:pt>
                <c:pt idx="13">
                  <c:v>2003/2004</c:v>
                </c:pt>
                <c:pt idx="14">
                  <c:v>2004/2005</c:v>
                </c:pt>
                <c:pt idx="15">
                  <c:v>2005/2006</c:v>
                </c:pt>
                <c:pt idx="16">
                  <c:v>2006/2007</c:v>
                </c:pt>
                <c:pt idx="17">
                  <c:v>2007/2008</c:v>
                </c:pt>
                <c:pt idx="18">
                  <c:v>2008/2009</c:v>
                </c:pt>
                <c:pt idx="19">
                  <c:v>2009/2010</c:v>
                </c:pt>
                <c:pt idx="20">
                  <c:v>2010/2011</c:v>
                </c:pt>
                <c:pt idx="21">
                  <c:v>2011/2012</c:v>
                </c:pt>
                <c:pt idx="22">
                  <c:v>2012/2013</c:v>
                </c:pt>
                <c:pt idx="23">
                  <c:v>2013/2014</c:v>
                </c:pt>
                <c:pt idx="24">
                  <c:v>2014/2015</c:v>
                </c:pt>
                <c:pt idx="25">
                  <c:v>2015/2016</c:v>
                </c:pt>
                <c:pt idx="26">
                  <c:v>2016/2017</c:v>
                </c:pt>
                <c:pt idx="27">
                  <c:v>2017/2018</c:v>
                </c:pt>
                <c:pt idx="28">
                  <c:v>2018/2019</c:v>
                </c:pt>
                <c:pt idx="29">
                  <c:v>2019/2020</c:v>
                </c:pt>
                <c:pt idx="30">
                  <c:v>2020/2021</c:v>
                </c:pt>
                <c:pt idx="31">
                  <c:v>2021/2022</c:v>
                </c:pt>
                <c:pt idx="32">
                  <c:v>2022/2023</c:v>
                </c:pt>
                <c:pt idx="33">
                  <c:v>2023/2024</c:v>
                </c:pt>
                <c:pt idx="34">
                  <c:v>2024/2025</c:v>
                </c:pt>
                <c:pt idx="35">
                  <c:v>2025/2026</c:v>
                </c:pt>
              </c:strCache>
            </c:strRef>
          </c:cat>
          <c:val>
            <c:numRef>
              <c:f>'E2.4'!$M$11:$M$46</c:f>
              <c:numCache>
                <c:formatCode>0.0%</c:formatCode>
                <c:ptCount val="36"/>
                <c:pt idx="1">
                  <c:v>1.0339394198540715</c:v>
                </c:pt>
                <c:pt idx="2">
                  <c:v>1.0200743672598873</c:v>
                </c:pt>
                <c:pt idx="3">
                  <c:v>0.98652935305555489</c:v>
                </c:pt>
                <c:pt idx="4">
                  <c:v>1.0041574447322099</c:v>
                </c:pt>
                <c:pt idx="5">
                  <c:v>0.99668017559972744</c:v>
                </c:pt>
                <c:pt idx="6">
                  <c:v>1.0005107025660906</c:v>
                </c:pt>
                <c:pt idx="7">
                  <c:v>0.98545893389659855</c:v>
                </c:pt>
                <c:pt idx="8">
                  <c:v>1.0097244448653728</c:v>
                </c:pt>
                <c:pt idx="9">
                  <c:v>1.0052885073300868</c:v>
                </c:pt>
                <c:pt idx="10">
                  <c:v>0.9578107051739706</c:v>
                </c:pt>
                <c:pt idx="11">
                  <c:v>0.95728026588817505</c:v>
                </c:pt>
                <c:pt idx="12">
                  <c:v>1.0227550049373839</c:v>
                </c:pt>
                <c:pt idx="13">
                  <c:v>0.99693564206410767</c:v>
                </c:pt>
                <c:pt idx="14">
                  <c:v>0.9911064851748066</c:v>
                </c:pt>
                <c:pt idx="15">
                  <c:v>0.99879439288310945</c:v>
                </c:pt>
                <c:pt idx="16">
                  <c:v>0.95371356516394634</c:v>
                </c:pt>
                <c:pt idx="17">
                  <c:v>1.0188943722172239</c:v>
                </c:pt>
                <c:pt idx="18">
                  <c:v>1.0120514246214962</c:v>
                </c:pt>
                <c:pt idx="19">
                  <c:v>0.99245834928954801</c:v>
                </c:pt>
                <c:pt idx="20">
                  <c:v>1.0117454786214282</c:v>
                </c:pt>
                <c:pt idx="21">
                  <c:v>0.98434992261431253</c:v>
                </c:pt>
                <c:pt idx="22">
                  <c:v>0.98264801346890251</c:v>
                </c:pt>
                <c:pt idx="23">
                  <c:v>0.97498803500720366</c:v>
                </c:pt>
                <c:pt idx="24">
                  <c:v>0.97019088117480956</c:v>
                </c:pt>
                <c:pt idx="25">
                  <c:v>0.98184309445008777</c:v>
                </c:pt>
                <c:pt idx="26">
                  <c:v>0.98874242472306495</c:v>
                </c:pt>
                <c:pt idx="27">
                  <c:v>1.0075063095818353</c:v>
                </c:pt>
                <c:pt idx="28">
                  <c:v>0.98167205889179221</c:v>
                </c:pt>
                <c:pt idx="29">
                  <c:v>1.009776359945725</c:v>
                </c:pt>
                <c:pt idx="30">
                  <c:v>1.0178063474238448</c:v>
                </c:pt>
                <c:pt idx="31">
                  <c:v>1.0140534604790212</c:v>
                </c:pt>
                <c:pt idx="32">
                  <c:v>1.0024884085176133</c:v>
                </c:pt>
                <c:pt idx="33">
                  <c:v>1.0026718701536705</c:v>
                </c:pt>
                <c:pt idx="34">
                  <c:v>0.98732907939788961</c:v>
                </c:pt>
                <c:pt idx="35">
                  <c:v>0.9832238192805739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A-4F0A-9A24-4341CFFC6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9903696"/>
        <c:axId val="1499905136"/>
      </c:barChart>
      <c:catAx>
        <c:axId val="149990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accent2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99905136"/>
        <c:crossesAt val="1"/>
        <c:auto val="1"/>
        <c:lblAlgn val="ctr"/>
        <c:lblOffset val="100"/>
        <c:noMultiLvlLbl val="0"/>
      </c:catAx>
      <c:valAx>
        <c:axId val="149990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9990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[Gy02_megoldás.xlsx]E2.5a!Kimutatás2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6433637619196972"/>
          <c:y val="0.19580089722827199"/>
          <c:w val="0.5723052224105788"/>
          <c:h val="0.79009915427238242"/>
        </c:manualLayout>
      </c:layout>
      <c:pieChart>
        <c:varyColors val="1"/>
        <c:ser>
          <c:idx val="0"/>
          <c:order val="0"/>
          <c:tx>
            <c:strRef>
              <c:f>'E2.5a'!$C$8</c:f>
              <c:strCache>
                <c:ptCount val="1"/>
                <c:pt idx="0">
                  <c:v>Darabszám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360-4634-B0B7-5227C978CD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360-4634-B0B7-5227C978CD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360-4634-B0B7-5227C978CD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'E2.5a'!$B$9:$B$12</c:f>
              <c:strCache>
                <c:ptCount val="3"/>
                <c:pt idx="0">
                  <c:v>érdektelenséggel</c:v>
                </c:pt>
                <c:pt idx="1">
                  <c:v>félelemmel</c:v>
                </c:pt>
                <c:pt idx="2">
                  <c:v>várakozással</c:v>
                </c:pt>
              </c:strCache>
            </c:strRef>
          </c:cat>
          <c:val>
            <c:numRef>
              <c:f>'E2.5a'!$C$9:$C$12</c:f>
              <c:numCache>
                <c:formatCode>General</c:formatCode>
                <c:ptCount val="3"/>
                <c:pt idx="0">
                  <c:v>70</c:v>
                </c:pt>
                <c:pt idx="1">
                  <c:v>313</c:v>
                </c:pt>
                <c:pt idx="2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72-43B2-8816-B15A9D1E6A51}"/>
            </c:ext>
          </c:extLst>
        </c:ser>
        <c:ser>
          <c:idx val="1"/>
          <c:order val="1"/>
          <c:tx>
            <c:strRef>
              <c:f>'E2.5a'!$D$8</c:f>
              <c:strCache>
                <c:ptCount val="1"/>
                <c:pt idx="0">
                  <c:v>Megoszlás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360-4634-B0B7-5227C978CD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360-4634-B0B7-5227C978CD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360-4634-B0B7-5227C978CD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'E2.5a'!$B$9:$B$12</c:f>
              <c:strCache>
                <c:ptCount val="3"/>
                <c:pt idx="0">
                  <c:v>érdektelenséggel</c:v>
                </c:pt>
                <c:pt idx="1">
                  <c:v>félelemmel</c:v>
                </c:pt>
                <c:pt idx="2">
                  <c:v>várakozással</c:v>
                </c:pt>
              </c:strCache>
            </c:strRef>
          </c:cat>
          <c:val>
            <c:numRef>
              <c:f>'E2.5a'!$D$9:$D$12</c:f>
              <c:numCache>
                <c:formatCode>0.00%</c:formatCode>
                <c:ptCount val="3"/>
                <c:pt idx="0">
                  <c:v>0.10401188707280833</c:v>
                </c:pt>
                <c:pt idx="1">
                  <c:v>0.46508172362555722</c:v>
                </c:pt>
                <c:pt idx="2">
                  <c:v>0.4309063893016345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72-43B2-8816-B15A9D1E6A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122308610794738"/>
          <c:y val="2.5820939049285511E-2"/>
          <c:w val="0.28877691389205279"/>
          <c:h val="0.374254760708102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[Gy02_megoldás.xlsx]E2.5c!Kimutatás3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'E2.5c'!$C$28</c:f>
              <c:strCache>
                <c:ptCount val="1"/>
                <c:pt idx="0">
                  <c:v>Összeg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'E2.5c'!$B$29:$B$42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6</c:v>
                </c:pt>
              </c:strCache>
            </c:strRef>
          </c:cat>
          <c:val>
            <c:numRef>
              <c:f>'E2.5c'!$C$29:$C$42</c:f>
              <c:numCache>
                <c:formatCode>General</c:formatCode>
                <c:ptCount val="13"/>
                <c:pt idx="0">
                  <c:v>4</c:v>
                </c:pt>
                <c:pt idx="1">
                  <c:v>10</c:v>
                </c:pt>
                <c:pt idx="2">
                  <c:v>29</c:v>
                </c:pt>
                <c:pt idx="3">
                  <c:v>62</c:v>
                </c:pt>
                <c:pt idx="4">
                  <c:v>82</c:v>
                </c:pt>
                <c:pt idx="5">
                  <c:v>131</c:v>
                </c:pt>
                <c:pt idx="6">
                  <c:v>137</c:v>
                </c:pt>
                <c:pt idx="7">
                  <c:v>95</c:v>
                </c:pt>
                <c:pt idx="8">
                  <c:v>71</c:v>
                </c:pt>
                <c:pt idx="9">
                  <c:v>37</c:v>
                </c:pt>
                <c:pt idx="10">
                  <c:v>9</c:v>
                </c:pt>
                <c:pt idx="11">
                  <c:v>5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AE-4EA7-88FA-A81566ACC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7240175"/>
        <c:axId val="887898303"/>
      </c:barChart>
      <c:catAx>
        <c:axId val="97724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887898303"/>
        <c:crosses val="autoZero"/>
        <c:auto val="1"/>
        <c:lblAlgn val="ctr"/>
        <c:lblOffset val="100"/>
        <c:noMultiLvlLbl val="0"/>
      </c:catAx>
      <c:valAx>
        <c:axId val="88789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977240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[Gy02_megoldás.xlsx]E2.5d!Kimutatás4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635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'E2.5d'!$C$7</c:f>
              <c:strCache>
                <c:ptCount val="1"/>
                <c:pt idx="0">
                  <c:v>Összeg</c:v>
                </c:pt>
              </c:strCache>
            </c:strRef>
          </c:tx>
          <c:spPr>
            <a:solidFill>
              <a:schemeClr val="accent1"/>
            </a:solidFill>
            <a:ln w="6350">
              <a:solidFill>
                <a:schemeClr val="bg1"/>
              </a:solidFill>
            </a:ln>
            <a:effectLst/>
          </c:spPr>
          <c:invertIfNegative val="0"/>
          <c:cat>
            <c:strRef>
              <c:f>'E2.5d'!$B$8:$B$19</c:f>
              <c:strCache>
                <c:ptCount val="11"/>
                <c:pt idx="0">
                  <c:v>&lt;401</c:v>
                </c:pt>
                <c:pt idx="1">
                  <c:v>401-410</c:v>
                </c:pt>
                <c:pt idx="2">
                  <c:v>411-420</c:v>
                </c:pt>
                <c:pt idx="3">
                  <c:v>421-430</c:v>
                </c:pt>
                <c:pt idx="4">
                  <c:v>431-440</c:v>
                </c:pt>
                <c:pt idx="5">
                  <c:v>441-450</c:v>
                </c:pt>
                <c:pt idx="6">
                  <c:v>451-460</c:v>
                </c:pt>
                <c:pt idx="7">
                  <c:v>461-470</c:v>
                </c:pt>
                <c:pt idx="8">
                  <c:v>471-480</c:v>
                </c:pt>
                <c:pt idx="9">
                  <c:v>481-490</c:v>
                </c:pt>
                <c:pt idx="10">
                  <c:v>491-500</c:v>
                </c:pt>
              </c:strCache>
            </c:strRef>
          </c:cat>
          <c:val>
            <c:numRef>
              <c:f>'E2.5d'!$C$8:$C$19</c:f>
              <c:numCache>
                <c:formatCode>General</c:formatCode>
                <c:ptCount val="11"/>
                <c:pt idx="0">
                  <c:v>24</c:v>
                </c:pt>
                <c:pt idx="1">
                  <c:v>40</c:v>
                </c:pt>
                <c:pt idx="2">
                  <c:v>67</c:v>
                </c:pt>
                <c:pt idx="3">
                  <c:v>74</c:v>
                </c:pt>
                <c:pt idx="4">
                  <c:v>62</c:v>
                </c:pt>
                <c:pt idx="5">
                  <c:v>67</c:v>
                </c:pt>
                <c:pt idx="6">
                  <c:v>110</c:v>
                </c:pt>
                <c:pt idx="7">
                  <c:v>110</c:v>
                </c:pt>
                <c:pt idx="8">
                  <c:v>81</c:v>
                </c:pt>
                <c:pt idx="9">
                  <c:v>27</c:v>
                </c:pt>
                <c:pt idx="1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25-4127-8327-C3B2365F4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616126960"/>
        <c:axId val="616122368"/>
      </c:barChart>
      <c:catAx>
        <c:axId val="61612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16122368"/>
        <c:crosses val="autoZero"/>
        <c:auto val="1"/>
        <c:lblAlgn val="ctr"/>
        <c:lblOffset val="100"/>
        <c:noMultiLvlLbl val="0"/>
      </c:catAx>
      <c:valAx>
        <c:axId val="61612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1612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[Gy02_megoldás.xlsx]E2.5e!Kimutatás4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6350">
            <a:solidFill>
              <a:schemeClr val="bg1"/>
            </a:solidFill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6350">
            <a:solidFill>
              <a:schemeClr val="bg1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635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'E2.5e'!$C$4</c:f>
              <c:strCache>
                <c:ptCount val="1"/>
                <c:pt idx="0">
                  <c:v>Összeg</c:v>
                </c:pt>
              </c:strCache>
            </c:strRef>
          </c:tx>
          <c:spPr>
            <a:solidFill>
              <a:schemeClr val="accent1"/>
            </a:solidFill>
            <a:ln w="6350">
              <a:solidFill>
                <a:schemeClr val="bg1"/>
              </a:solidFill>
            </a:ln>
            <a:effectLst/>
          </c:spPr>
          <c:invertIfNegative val="0"/>
          <c:cat>
            <c:strRef>
              <c:f>'E2.5e'!$B$5:$B$18</c:f>
              <c:strCache>
                <c:ptCount val="13"/>
                <c:pt idx="0">
                  <c:v>&lt;5</c:v>
                </c:pt>
                <c:pt idx="1">
                  <c:v>15-25</c:v>
                </c:pt>
                <c:pt idx="2">
                  <c:v>25-35</c:v>
                </c:pt>
                <c:pt idx="3">
                  <c:v>35-45</c:v>
                </c:pt>
                <c:pt idx="4">
                  <c:v>45-55</c:v>
                </c:pt>
                <c:pt idx="5">
                  <c:v>5-15</c:v>
                </c:pt>
                <c:pt idx="6">
                  <c:v>55-65</c:v>
                </c:pt>
                <c:pt idx="7">
                  <c:v>65-75</c:v>
                </c:pt>
                <c:pt idx="8">
                  <c:v>75-85</c:v>
                </c:pt>
                <c:pt idx="9">
                  <c:v>85-95</c:v>
                </c:pt>
                <c:pt idx="10">
                  <c:v>95-105</c:v>
                </c:pt>
                <c:pt idx="11">
                  <c:v>105-115</c:v>
                </c:pt>
                <c:pt idx="12">
                  <c:v>115-125</c:v>
                </c:pt>
              </c:strCache>
            </c:strRef>
          </c:cat>
          <c:val>
            <c:numRef>
              <c:f>'E2.5e'!$C$5:$C$18</c:f>
              <c:numCache>
                <c:formatCode>General</c:formatCode>
                <c:ptCount val="13"/>
                <c:pt idx="0">
                  <c:v>9</c:v>
                </c:pt>
                <c:pt idx="1">
                  <c:v>118</c:v>
                </c:pt>
                <c:pt idx="2">
                  <c:v>130</c:v>
                </c:pt>
                <c:pt idx="3">
                  <c:v>125</c:v>
                </c:pt>
                <c:pt idx="4">
                  <c:v>123</c:v>
                </c:pt>
                <c:pt idx="5">
                  <c:v>50</c:v>
                </c:pt>
                <c:pt idx="6">
                  <c:v>55</c:v>
                </c:pt>
                <c:pt idx="7">
                  <c:v>24</c:v>
                </c:pt>
                <c:pt idx="8">
                  <c:v>16</c:v>
                </c:pt>
                <c:pt idx="9">
                  <c:v>18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01-4045-83F7-AC10E3177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616126960"/>
        <c:axId val="616122368"/>
      </c:barChart>
      <c:catAx>
        <c:axId val="61612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16122368"/>
        <c:crosses val="autoZero"/>
        <c:auto val="1"/>
        <c:lblAlgn val="ctr"/>
        <c:lblOffset val="100"/>
        <c:noMultiLvlLbl val="0"/>
      </c:catAx>
      <c:valAx>
        <c:axId val="61612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1612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[Gy02_megoldás.xlsx]E2.6!Kimutatás3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Hisztogram oszlopdiagramként kimutatásból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>
        <c:manualLayout>
          <c:xMode val="edge"/>
          <c:yMode val="edge"/>
          <c:x val="0.18694449304947994"/>
          <c:y val="3.61125793531863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270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270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247594050743664E-2"/>
          <c:y val="0.17532188684747738"/>
          <c:w val="0.89019685039370078"/>
          <c:h val="0.606831437736949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'E2.6'!$J$12</c:f>
              <c:strCache>
                <c:ptCount val="1"/>
                <c:pt idx="0">
                  <c:v>Összeg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chemeClr val="bg1"/>
              </a:solidFill>
            </a:ln>
            <a:effectLst/>
          </c:spPr>
          <c:invertIfNegative val="0"/>
          <c:cat>
            <c:strRef>
              <c:f>'E2.6'!$I$13:$I$28</c:f>
              <c:strCache>
                <c:ptCount val="15"/>
                <c:pt idx="0">
                  <c:v>&lt;150</c:v>
                </c:pt>
                <c:pt idx="1">
                  <c:v>150-165</c:v>
                </c:pt>
                <c:pt idx="2">
                  <c:v>165-180</c:v>
                </c:pt>
                <c:pt idx="3">
                  <c:v>180-195</c:v>
                </c:pt>
                <c:pt idx="4">
                  <c:v>195-210</c:v>
                </c:pt>
                <c:pt idx="5">
                  <c:v>210-225</c:v>
                </c:pt>
                <c:pt idx="6">
                  <c:v>225-240</c:v>
                </c:pt>
                <c:pt idx="7">
                  <c:v>240-255</c:v>
                </c:pt>
                <c:pt idx="8">
                  <c:v>255-270</c:v>
                </c:pt>
                <c:pt idx="9">
                  <c:v>270-285</c:v>
                </c:pt>
                <c:pt idx="10">
                  <c:v>285-300</c:v>
                </c:pt>
                <c:pt idx="11">
                  <c:v>300-315</c:v>
                </c:pt>
                <c:pt idx="12">
                  <c:v>315-330</c:v>
                </c:pt>
                <c:pt idx="13">
                  <c:v>330-345</c:v>
                </c:pt>
                <c:pt idx="14">
                  <c:v>345-360</c:v>
                </c:pt>
              </c:strCache>
            </c:strRef>
          </c:cat>
          <c:val>
            <c:numRef>
              <c:f>'E2.6'!$J$13:$J$28</c:f>
              <c:numCache>
                <c:formatCode>General</c:formatCode>
                <c:ptCount val="15"/>
                <c:pt idx="0">
                  <c:v>2</c:v>
                </c:pt>
                <c:pt idx="1">
                  <c:v>14</c:v>
                </c:pt>
                <c:pt idx="2">
                  <c:v>96</c:v>
                </c:pt>
                <c:pt idx="3">
                  <c:v>176</c:v>
                </c:pt>
                <c:pt idx="4">
                  <c:v>361</c:v>
                </c:pt>
                <c:pt idx="5">
                  <c:v>457</c:v>
                </c:pt>
                <c:pt idx="6">
                  <c:v>644</c:v>
                </c:pt>
                <c:pt idx="7">
                  <c:v>479</c:v>
                </c:pt>
                <c:pt idx="8">
                  <c:v>480</c:v>
                </c:pt>
                <c:pt idx="9">
                  <c:v>352</c:v>
                </c:pt>
                <c:pt idx="10">
                  <c:v>266</c:v>
                </c:pt>
                <c:pt idx="11">
                  <c:v>187</c:v>
                </c:pt>
                <c:pt idx="12">
                  <c:v>102</c:v>
                </c:pt>
                <c:pt idx="13">
                  <c:v>44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8-4E0B-9612-7E8A30215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502084472"/>
        <c:axId val="1502085192"/>
      </c:barChart>
      <c:catAx>
        <c:axId val="1502084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502085192"/>
        <c:crosses val="autoZero"/>
        <c:auto val="1"/>
        <c:lblAlgn val="ctr"/>
        <c:lblOffset val="100"/>
        <c:noMultiLvlLbl val="0"/>
      </c:catAx>
      <c:valAx>
        <c:axId val="1502085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50208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j-ea"/>
                <a:cs typeface="+mj-cs"/>
              </a:defRPr>
            </a:pPr>
            <a:r>
              <a:rPr lang="hu-HU" sz="1600">
                <a:latin typeface="+mn-lt"/>
              </a:rPr>
              <a:t>Munkanélküliek száma végzettség szerinti bontásban</a:t>
            </a:r>
          </a:p>
        </c:rich>
      </c:tx>
      <c:layout>
        <c:manualLayout>
          <c:xMode val="edge"/>
          <c:yMode val="edge"/>
          <c:x val="0.12681096765889341"/>
          <c:y val="1.78872882366976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j-ea"/>
              <a:cs typeface="+mj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5.2197802197802214E-2"/>
          <c:y val="0.11216346536228425"/>
          <c:w val="0.92307692307692257"/>
          <c:h val="0.8068199216575200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'E2.7'!$C$9</c:f>
              <c:strCache>
                <c:ptCount val="1"/>
                <c:pt idx="0">
                  <c:v>8 általános alatt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'E2.7'!$B$10:$B$23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'E2.7'!$C$10:$C$23</c:f>
              <c:numCache>
                <c:formatCode>#\ ##0.0</c:formatCode>
                <c:ptCount val="14"/>
                <c:pt idx="0">
                  <c:v>7.4029999999999996</c:v>
                </c:pt>
                <c:pt idx="1">
                  <c:v>10.223000000000001</c:v>
                </c:pt>
                <c:pt idx="2">
                  <c:v>10.699</c:v>
                </c:pt>
                <c:pt idx="3">
                  <c:v>9.5</c:v>
                </c:pt>
                <c:pt idx="4">
                  <c:v>8.3439999999999994</c:v>
                </c:pt>
                <c:pt idx="5">
                  <c:v>7.81</c:v>
                </c:pt>
                <c:pt idx="6">
                  <c:v>8.173</c:v>
                </c:pt>
                <c:pt idx="7">
                  <c:v>5.9020000000000001</c:v>
                </c:pt>
                <c:pt idx="8">
                  <c:v>6.6657500000000001</c:v>
                </c:pt>
                <c:pt idx="9">
                  <c:v>5.4</c:v>
                </c:pt>
                <c:pt idx="10">
                  <c:v>4.5999999999999996</c:v>
                </c:pt>
                <c:pt idx="11">
                  <c:v>4.5</c:v>
                </c:pt>
                <c:pt idx="12">
                  <c:v>3.8</c:v>
                </c:pt>
                <c:pt idx="13">
                  <c:v>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6-48D2-B0A1-7B55E9F42E20}"/>
            </c:ext>
          </c:extLst>
        </c:ser>
        <c:ser>
          <c:idx val="1"/>
          <c:order val="1"/>
          <c:tx>
            <c:strRef>
              <c:f>'E2.7'!$D$27</c:f>
              <c:strCache>
                <c:ptCount val="1"/>
                <c:pt idx="0">
                  <c:v>8 általános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'E2.7'!$B$10:$B$23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'E2.7'!$D$10:$D$23</c:f>
              <c:numCache>
                <c:formatCode>#\ ##0.0</c:formatCode>
                <c:ptCount val="14"/>
                <c:pt idx="0">
                  <c:v>124.04600000000001</c:v>
                </c:pt>
                <c:pt idx="1">
                  <c:v>132.44999999999999</c:v>
                </c:pt>
                <c:pt idx="2">
                  <c:v>129.364</c:v>
                </c:pt>
                <c:pt idx="3">
                  <c:v>127.122</c:v>
                </c:pt>
                <c:pt idx="4">
                  <c:v>119.017</c:v>
                </c:pt>
                <c:pt idx="5">
                  <c:v>96.997</c:v>
                </c:pt>
                <c:pt idx="6">
                  <c:v>94.757999999999996</c:v>
                </c:pt>
                <c:pt idx="7">
                  <c:v>73.316999999999993</c:v>
                </c:pt>
                <c:pt idx="8">
                  <c:v>59.245249999999999</c:v>
                </c:pt>
                <c:pt idx="9">
                  <c:v>53.5</c:v>
                </c:pt>
                <c:pt idx="10">
                  <c:v>49.5</c:v>
                </c:pt>
                <c:pt idx="11">
                  <c:v>53.5</c:v>
                </c:pt>
                <c:pt idx="12">
                  <c:v>54.9</c:v>
                </c:pt>
                <c:pt idx="13">
                  <c:v>56.5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86-48D2-B0A1-7B55E9F42E20}"/>
            </c:ext>
          </c:extLst>
        </c:ser>
        <c:ser>
          <c:idx val="2"/>
          <c:order val="2"/>
          <c:tx>
            <c:strRef>
              <c:f>'E2.7'!$E$9</c:f>
              <c:strCache>
                <c:ptCount val="1"/>
                <c:pt idx="0">
                  <c:v>Szakiskola, szakmunkás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'E2.7'!$B$10:$B$23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'E2.7'!$E$10:$E$23</c:f>
              <c:numCache>
                <c:formatCode>#\ ##0.0</c:formatCode>
                <c:ptCount val="14"/>
                <c:pt idx="0">
                  <c:v>142.93799999999999</c:v>
                </c:pt>
                <c:pt idx="1">
                  <c:v>156.625</c:v>
                </c:pt>
                <c:pt idx="2">
                  <c:v>155.18199999999999</c:v>
                </c:pt>
                <c:pt idx="3">
                  <c:v>153.315</c:v>
                </c:pt>
                <c:pt idx="4">
                  <c:v>145.76300000000001</c:v>
                </c:pt>
                <c:pt idx="5">
                  <c:v>104.529</c:v>
                </c:pt>
                <c:pt idx="6">
                  <c:v>91.56</c:v>
                </c:pt>
                <c:pt idx="7">
                  <c:v>69.069000000000003</c:v>
                </c:pt>
                <c:pt idx="8">
                  <c:v>53.62</c:v>
                </c:pt>
                <c:pt idx="9">
                  <c:v>46.3</c:v>
                </c:pt>
                <c:pt idx="10">
                  <c:v>42.3</c:v>
                </c:pt>
                <c:pt idx="11">
                  <c:v>54.3</c:v>
                </c:pt>
                <c:pt idx="12">
                  <c:v>50.3</c:v>
                </c:pt>
                <c:pt idx="13">
                  <c:v>45.5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86-48D2-B0A1-7B55E9F42E20}"/>
            </c:ext>
          </c:extLst>
        </c:ser>
        <c:ser>
          <c:idx val="3"/>
          <c:order val="3"/>
          <c:tx>
            <c:strRef>
              <c:f>'E2.7'!$F$9</c:f>
              <c:strCache>
                <c:ptCount val="1"/>
                <c:pt idx="0">
                  <c:v>Gimnázium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'E2.7'!$B$10:$B$23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'E2.7'!$F$10:$F$23</c:f>
              <c:numCache>
                <c:formatCode>#\ ##0.0</c:formatCode>
                <c:ptCount val="14"/>
                <c:pt idx="0">
                  <c:v>32.795000000000002</c:v>
                </c:pt>
                <c:pt idx="1">
                  <c:v>37.823999999999998</c:v>
                </c:pt>
                <c:pt idx="2">
                  <c:v>39.624000000000002</c:v>
                </c:pt>
                <c:pt idx="3">
                  <c:v>45.71</c:v>
                </c:pt>
                <c:pt idx="4">
                  <c:v>42.378</c:v>
                </c:pt>
                <c:pt idx="5">
                  <c:v>35.374000000000002</c:v>
                </c:pt>
                <c:pt idx="6">
                  <c:v>32.593000000000004</c:v>
                </c:pt>
                <c:pt idx="7">
                  <c:v>28.256</c:v>
                </c:pt>
                <c:pt idx="8">
                  <c:v>25.622500000000002</c:v>
                </c:pt>
                <c:pt idx="9">
                  <c:v>21.6</c:v>
                </c:pt>
                <c:pt idx="10">
                  <c:v>19.600000000000001</c:v>
                </c:pt>
                <c:pt idx="11">
                  <c:v>26.3</c:v>
                </c:pt>
                <c:pt idx="12">
                  <c:v>30.1</c:v>
                </c:pt>
                <c:pt idx="13">
                  <c:v>19.899999999999999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86-48D2-B0A1-7B55E9F42E20}"/>
            </c:ext>
          </c:extLst>
        </c:ser>
        <c:ser>
          <c:idx val="4"/>
          <c:order val="4"/>
          <c:tx>
            <c:strRef>
              <c:f>'E2.7'!$G$9</c:f>
              <c:strCache>
                <c:ptCount val="1"/>
                <c:pt idx="0">
                  <c:v>Egyéb érettségi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'E2.7'!$B$10:$B$23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'E2.7'!$G$10:$G$23</c:f>
              <c:numCache>
                <c:formatCode>#\ ##0.0</c:formatCode>
                <c:ptCount val="14"/>
                <c:pt idx="0">
                  <c:v>74.494</c:v>
                </c:pt>
                <c:pt idx="1">
                  <c:v>88.790999999999997</c:v>
                </c:pt>
                <c:pt idx="2">
                  <c:v>88.150999999999996</c:v>
                </c:pt>
                <c:pt idx="3">
                  <c:v>90.218999999999994</c:v>
                </c:pt>
                <c:pt idx="4">
                  <c:v>83.438999999999993</c:v>
                </c:pt>
                <c:pt idx="5">
                  <c:v>63.212000000000003</c:v>
                </c:pt>
                <c:pt idx="6">
                  <c:v>52.625999999999998</c:v>
                </c:pt>
                <c:pt idx="7">
                  <c:v>37.088999999999999</c:v>
                </c:pt>
                <c:pt idx="8">
                  <c:v>27.67475</c:v>
                </c:pt>
                <c:pt idx="9">
                  <c:v>27.3</c:v>
                </c:pt>
                <c:pt idx="10">
                  <c:v>23.8</c:v>
                </c:pt>
                <c:pt idx="11">
                  <c:v>35</c:v>
                </c:pt>
                <c:pt idx="12">
                  <c:v>30.6</c:v>
                </c:pt>
                <c:pt idx="13">
                  <c:v>29.1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86-48D2-B0A1-7B55E9F42E20}"/>
            </c:ext>
          </c:extLst>
        </c:ser>
        <c:ser>
          <c:idx val="5"/>
          <c:order val="5"/>
          <c:tx>
            <c:strRef>
              <c:f>'E2.7'!$H$9</c:f>
              <c:strCache>
                <c:ptCount val="1"/>
                <c:pt idx="0">
                  <c:v>Főiskola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'E2.7'!$B$10:$B$23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'E2.7'!$H$10:$H$23</c:f>
              <c:numCache>
                <c:formatCode>#\ ##0.0</c:formatCode>
                <c:ptCount val="14"/>
                <c:pt idx="0">
                  <c:v>27.065999999999999</c:v>
                </c:pt>
                <c:pt idx="1">
                  <c:v>29.645</c:v>
                </c:pt>
                <c:pt idx="2">
                  <c:v>30.120999999999999</c:v>
                </c:pt>
                <c:pt idx="3">
                  <c:v>32.296999999999997</c:v>
                </c:pt>
                <c:pt idx="4">
                  <c:v>29.923999999999999</c:v>
                </c:pt>
                <c:pt idx="5">
                  <c:v>24.798999999999999</c:v>
                </c:pt>
                <c:pt idx="6">
                  <c:v>18.814</c:v>
                </c:pt>
                <c:pt idx="7">
                  <c:v>12.106999999999999</c:v>
                </c:pt>
                <c:pt idx="8">
                  <c:v>12.5815</c:v>
                </c:pt>
                <c:pt idx="9">
                  <c:v>10.1</c:v>
                </c:pt>
                <c:pt idx="10">
                  <c:v>9.5</c:v>
                </c:pt>
                <c:pt idx="11">
                  <c:v>13.7</c:v>
                </c:pt>
                <c:pt idx="12">
                  <c:v>13.3</c:v>
                </c:pt>
                <c:pt idx="13">
                  <c:v>12.4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086-48D2-B0A1-7B55E9F42E20}"/>
            </c:ext>
          </c:extLst>
        </c:ser>
        <c:ser>
          <c:idx val="6"/>
          <c:order val="6"/>
          <c:tx>
            <c:strRef>
              <c:f>'E2.7'!$I$9</c:f>
              <c:strCache>
                <c:ptCount val="1"/>
                <c:pt idx="0">
                  <c:v>Egyetem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'E2.7'!$B$10:$B$23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'E2.7'!$I$10:$I$23</c:f>
              <c:numCache>
                <c:formatCode>#\ ##0.0</c:formatCode>
                <c:ptCount val="14"/>
                <c:pt idx="0">
                  <c:v>9.08</c:v>
                </c:pt>
                <c:pt idx="1">
                  <c:v>13.865</c:v>
                </c:pt>
                <c:pt idx="2">
                  <c:v>12.836</c:v>
                </c:pt>
                <c:pt idx="3">
                  <c:v>15.010999999999999</c:v>
                </c:pt>
                <c:pt idx="4">
                  <c:v>12.164999999999999</c:v>
                </c:pt>
                <c:pt idx="5">
                  <c:v>10.603999999999999</c:v>
                </c:pt>
                <c:pt idx="6">
                  <c:v>9.3219999999999992</c:v>
                </c:pt>
                <c:pt idx="7">
                  <c:v>8.8379999999999992</c:v>
                </c:pt>
                <c:pt idx="8">
                  <c:v>6.2967499999999994</c:v>
                </c:pt>
                <c:pt idx="9">
                  <c:v>7.7</c:v>
                </c:pt>
                <c:pt idx="10">
                  <c:v>9.5</c:v>
                </c:pt>
                <c:pt idx="11">
                  <c:v>10.4</c:v>
                </c:pt>
                <c:pt idx="12">
                  <c:v>12.6</c:v>
                </c:pt>
                <c:pt idx="13">
                  <c:v>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86-48D2-B0A1-7B55E9F42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6701904"/>
        <c:axId val="406702464"/>
      </c:barChart>
      <c:catAx>
        <c:axId val="406701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Év</a:t>
                </a:r>
              </a:p>
            </c:rich>
          </c:tx>
          <c:layout>
            <c:manualLayout>
              <c:xMode val="edge"/>
              <c:yMode val="edge"/>
              <c:x val="0.96153846153846156"/>
              <c:y val="0.92361329833770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067024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670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ezer fő</a:t>
                </a:r>
              </a:p>
            </c:rich>
          </c:tx>
          <c:layout>
            <c:manualLayout>
              <c:xMode val="edge"/>
              <c:yMode val="edge"/>
              <c:x val="6.868131868131868E-3"/>
              <c:y val="1.157407407407407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0670190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8755785191030225"/>
          <c:y val="1.7203282828282832E-2"/>
          <c:w val="0.20491272546155612"/>
          <c:h val="0.31210580211564465"/>
        </c:manualLayout>
      </c:layout>
      <c:overlay val="0"/>
      <c:spPr>
        <a:solidFill>
          <a:schemeClr val="bg1"/>
        </a:solidFill>
        <a:ln w="158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 alignWithMargins="0"/>
    <c:pageMargins b="1" l="0.75000000000000122" r="0.75000000000000122" t="1" header="0.5" footer="0.5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j-ea"/>
                <a:cs typeface="+mj-cs"/>
              </a:defRPr>
            </a:pPr>
            <a:r>
              <a:rPr lang="hu-HU" sz="1600" b="0" i="0" baseline="0">
                <a:effectLst/>
              </a:rPr>
              <a:t>Munkanélküliek száma végzettség szerinti bontásban</a:t>
            </a:r>
            <a:endParaRPr lang="hu-HU" sz="1600">
              <a:effectLst/>
            </a:endParaRPr>
          </a:p>
        </c:rich>
      </c:tx>
      <c:layout>
        <c:manualLayout>
          <c:xMode val="edge"/>
          <c:yMode val="edge"/>
          <c:x val="0.17764747690120827"/>
          <c:y val="1.78872882366976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j-ea"/>
              <a:cs typeface="+mj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8.7912087912087933E-2"/>
          <c:y val="0.11847659667541556"/>
          <c:w val="0.8887362637362618"/>
          <c:h val="0.80050679034438887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'E2.7'!$C$9</c:f>
              <c:strCache>
                <c:ptCount val="1"/>
                <c:pt idx="0">
                  <c:v>8 általános alatt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'E2.7'!$B$10:$B$23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'E2.7'!$C$10:$C$23</c:f>
              <c:numCache>
                <c:formatCode>#\ ##0.0</c:formatCode>
                <c:ptCount val="14"/>
                <c:pt idx="0">
                  <c:v>7.4029999999999996</c:v>
                </c:pt>
                <c:pt idx="1">
                  <c:v>10.223000000000001</c:v>
                </c:pt>
                <c:pt idx="2">
                  <c:v>10.699</c:v>
                </c:pt>
                <c:pt idx="3">
                  <c:v>9.5</c:v>
                </c:pt>
                <c:pt idx="4">
                  <c:v>8.3439999999999994</c:v>
                </c:pt>
                <c:pt idx="5">
                  <c:v>7.81</c:v>
                </c:pt>
                <c:pt idx="6">
                  <c:v>8.173</c:v>
                </c:pt>
                <c:pt idx="7">
                  <c:v>5.9020000000000001</c:v>
                </c:pt>
                <c:pt idx="8">
                  <c:v>6.6657500000000001</c:v>
                </c:pt>
                <c:pt idx="9">
                  <c:v>5.4</c:v>
                </c:pt>
                <c:pt idx="10">
                  <c:v>4.5999999999999996</c:v>
                </c:pt>
                <c:pt idx="11">
                  <c:v>4.5</c:v>
                </c:pt>
                <c:pt idx="12">
                  <c:v>3.8</c:v>
                </c:pt>
                <c:pt idx="13">
                  <c:v>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0E-4028-A81B-CF6D87A8E3AE}"/>
            </c:ext>
          </c:extLst>
        </c:ser>
        <c:ser>
          <c:idx val="1"/>
          <c:order val="1"/>
          <c:tx>
            <c:strRef>
              <c:f>'E2.7'!$D$9</c:f>
              <c:strCache>
                <c:ptCount val="1"/>
                <c:pt idx="0">
                  <c:v>8 általános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'E2.7'!$B$10:$B$23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'E2.7'!$D$10:$D$23</c:f>
              <c:numCache>
                <c:formatCode>#\ ##0.0</c:formatCode>
                <c:ptCount val="14"/>
                <c:pt idx="0">
                  <c:v>124.04600000000001</c:v>
                </c:pt>
                <c:pt idx="1">
                  <c:v>132.44999999999999</c:v>
                </c:pt>
                <c:pt idx="2">
                  <c:v>129.364</c:v>
                </c:pt>
                <c:pt idx="3">
                  <c:v>127.122</c:v>
                </c:pt>
                <c:pt idx="4">
                  <c:v>119.017</c:v>
                </c:pt>
                <c:pt idx="5">
                  <c:v>96.997</c:v>
                </c:pt>
                <c:pt idx="6">
                  <c:v>94.757999999999996</c:v>
                </c:pt>
                <c:pt idx="7">
                  <c:v>73.316999999999993</c:v>
                </c:pt>
                <c:pt idx="8">
                  <c:v>59.245249999999999</c:v>
                </c:pt>
                <c:pt idx="9">
                  <c:v>53.5</c:v>
                </c:pt>
                <c:pt idx="10">
                  <c:v>49.5</c:v>
                </c:pt>
                <c:pt idx="11">
                  <c:v>53.5</c:v>
                </c:pt>
                <c:pt idx="12">
                  <c:v>54.9</c:v>
                </c:pt>
                <c:pt idx="13">
                  <c:v>56.5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0E-4028-A81B-CF6D87A8E3AE}"/>
            </c:ext>
          </c:extLst>
        </c:ser>
        <c:ser>
          <c:idx val="2"/>
          <c:order val="2"/>
          <c:tx>
            <c:strRef>
              <c:f>'E2.7'!$E$9</c:f>
              <c:strCache>
                <c:ptCount val="1"/>
                <c:pt idx="0">
                  <c:v>Szakiskola, szakmunkás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'E2.7'!$B$10:$B$23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'E2.7'!$E$10:$E$23</c:f>
              <c:numCache>
                <c:formatCode>#\ ##0.0</c:formatCode>
                <c:ptCount val="14"/>
                <c:pt idx="0">
                  <c:v>142.93799999999999</c:v>
                </c:pt>
                <c:pt idx="1">
                  <c:v>156.625</c:v>
                </c:pt>
                <c:pt idx="2">
                  <c:v>155.18199999999999</c:v>
                </c:pt>
                <c:pt idx="3">
                  <c:v>153.315</c:v>
                </c:pt>
                <c:pt idx="4">
                  <c:v>145.76300000000001</c:v>
                </c:pt>
                <c:pt idx="5">
                  <c:v>104.529</c:v>
                </c:pt>
                <c:pt idx="6">
                  <c:v>91.56</c:v>
                </c:pt>
                <c:pt idx="7">
                  <c:v>69.069000000000003</c:v>
                </c:pt>
                <c:pt idx="8">
                  <c:v>53.62</c:v>
                </c:pt>
                <c:pt idx="9">
                  <c:v>46.3</c:v>
                </c:pt>
                <c:pt idx="10">
                  <c:v>42.3</c:v>
                </c:pt>
                <c:pt idx="11">
                  <c:v>54.3</c:v>
                </c:pt>
                <c:pt idx="12">
                  <c:v>50.3</c:v>
                </c:pt>
                <c:pt idx="13">
                  <c:v>45.5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0E-4028-A81B-CF6D87A8E3AE}"/>
            </c:ext>
          </c:extLst>
        </c:ser>
        <c:ser>
          <c:idx val="3"/>
          <c:order val="3"/>
          <c:tx>
            <c:strRef>
              <c:f>'E2.7'!$F$9</c:f>
              <c:strCache>
                <c:ptCount val="1"/>
                <c:pt idx="0">
                  <c:v>Gimnázium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'E2.7'!$B$10:$B$23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'E2.7'!$F$10:$F$23</c:f>
              <c:numCache>
                <c:formatCode>#\ ##0.0</c:formatCode>
                <c:ptCount val="14"/>
                <c:pt idx="0">
                  <c:v>32.795000000000002</c:v>
                </c:pt>
                <c:pt idx="1">
                  <c:v>37.823999999999998</c:v>
                </c:pt>
                <c:pt idx="2">
                  <c:v>39.624000000000002</c:v>
                </c:pt>
                <c:pt idx="3">
                  <c:v>45.71</c:v>
                </c:pt>
                <c:pt idx="4">
                  <c:v>42.378</c:v>
                </c:pt>
                <c:pt idx="5">
                  <c:v>35.374000000000002</c:v>
                </c:pt>
                <c:pt idx="6">
                  <c:v>32.593000000000004</c:v>
                </c:pt>
                <c:pt idx="7">
                  <c:v>28.256</c:v>
                </c:pt>
                <c:pt idx="8">
                  <c:v>25.622500000000002</c:v>
                </c:pt>
                <c:pt idx="9">
                  <c:v>21.6</c:v>
                </c:pt>
                <c:pt idx="10">
                  <c:v>19.600000000000001</c:v>
                </c:pt>
                <c:pt idx="11">
                  <c:v>26.3</c:v>
                </c:pt>
                <c:pt idx="12">
                  <c:v>30.1</c:v>
                </c:pt>
                <c:pt idx="13">
                  <c:v>19.899999999999999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0E-4028-A81B-CF6D87A8E3AE}"/>
            </c:ext>
          </c:extLst>
        </c:ser>
        <c:ser>
          <c:idx val="4"/>
          <c:order val="4"/>
          <c:tx>
            <c:strRef>
              <c:f>'E2.7'!$G$9</c:f>
              <c:strCache>
                <c:ptCount val="1"/>
                <c:pt idx="0">
                  <c:v>Egyéb érettségi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'E2.7'!$B$10:$B$23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'E2.7'!$G$10:$G$23</c:f>
              <c:numCache>
                <c:formatCode>#\ ##0.0</c:formatCode>
                <c:ptCount val="14"/>
                <c:pt idx="0">
                  <c:v>74.494</c:v>
                </c:pt>
                <c:pt idx="1">
                  <c:v>88.790999999999997</c:v>
                </c:pt>
                <c:pt idx="2">
                  <c:v>88.150999999999996</c:v>
                </c:pt>
                <c:pt idx="3">
                  <c:v>90.218999999999994</c:v>
                </c:pt>
                <c:pt idx="4">
                  <c:v>83.438999999999993</c:v>
                </c:pt>
                <c:pt idx="5">
                  <c:v>63.212000000000003</c:v>
                </c:pt>
                <c:pt idx="6">
                  <c:v>52.625999999999998</c:v>
                </c:pt>
                <c:pt idx="7">
                  <c:v>37.088999999999999</c:v>
                </c:pt>
                <c:pt idx="8">
                  <c:v>27.67475</c:v>
                </c:pt>
                <c:pt idx="9">
                  <c:v>27.3</c:v>
                </c:pt>
                <c:pt idx="10">
                  <c:v>23.8</c:v>
                </c:pt>
                <c:pt idx="11">
                  <c:v>35</c:v>
                </c:pt>
                <c:pt idx="12">
                  <c:v>30.6</c:v>
                </c:pt>
                <c:pt idx="13">
                  <c:v>29.1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0E-4028-A81B-CF6D87A8E3AE}"/>
            </c:ext>
          </c:extLst>
        </c:ser>
        <c:ser>
          <c:idx val="5"/>
          <c:order val="5"/>
          <c:tx>
            <c:strRef>
              <c:f>'E2.7'!$H$9</c:f>
              <c:strCache>
                <c:ptCount val="1"/>
                <c:pt idx="0">
                  <c:v>Főiskola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'E2.7'!$B$10:$B$23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'E2.7'!$H$10:$H$23</c:f>
              <c:numCache>
                <c:formatCode>#\ ##0.0</c:formatCode>
                <c:ptCount val="14"/>
                <c:pt idx="0">
                  <c:v>27.065999999999999</c:v>
                </c:pt>
                <c:pt idx="1">
                  <c:v>29.645</c:v>
                </c:pt>
                <c:pt idx="2">
                  <c:v>30.120999999999999</c:v>
                </c:pt>
                <c:pt idx="3">
                  <c:v>32.296999999999997</c:v>
                </c:pt>
                <c:pt idx="4">
                  <c:v>29.923999999999999</c:v>
                </c:pt>
                <c:pt idx="5">
                  <c:v>24.798999999999999</c:v>
                </c:pt>
                <c:pt idx="6">
                  <c:v>18.814</c:v>
                </c:pt>
                <c:pt idx="7">
                  <c:v>12.106999999999999</c:v>
                </c:pt>
                <c:pt idx="8">
                  <c:v>12.5815</c:v>
                </c:pt>
                <c:pt idx="9">
                  <c:v>10.1</c:v>
                </c:pt>
                <c:pt idx="10">
                  <c:v>9.5</c:v>
                </c:pt>
                <c:pt idx="11">
                  <c:v>13.7</c:v>
                </c:pt>
                <c:pt idx="12">
                  <c:v>13.3</c:v>
                </c:pt>
                <c:pt idx="13">
                  <c:v>12.4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C0E-4028-A81B-CF6D87A8E3AE}"/>
            </c:ext>
          </c:extLst>
        </c:ser>
        <c:ser>
          <c:idx val="6"/>
          <c:order val="6"/>
          <c:tx>
            <c:strRef>
              <c:f>'E2.7'!$I$9</c:f>
              <c:strCache>
                <c:ptCount val="1"/>
                <c:pt idx="0">
                  <c:v>Egyetem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'E2.7'!$B$10:$B$23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'E2.7'!$I$10:$I$23</c:f>
              <c:numCache>
                <c:formatCode>#\ ##0.0</c:formatCode>
                <c:ptCount val="14"/>
                <c:pt idx="0">
                  <c:v>9.08</c:v>
                </c:pt>
                <c:pt idx="1">
                  <c:v>13.865</c:v>
                </c:pt>
                <c:pt idx="2">
                  <c:v>12.836</c:v>
                </c:pt>
                <c:pt idx="3">
                  <c:v>15.010999999999999</c:v>
                </c:pt>
                <c:pt idx="4">
                  <c:v>12.164999999999999</c:v>
                </c:pt>
                <c:pt idx="5">
                  <c:v>10.603999999999999</c:v>
                </c:pt>
                <c:pt idx="6">
                  <c:v>9.3219999999999992</c:v>
                </c:pt>
                <c:pt idx="7">
                  <c:v>8.8379999999999992</c:v>
                </c:pt>
                <c:pt idx="8">
                  <c:v>6.2967499999999994</c:v>
                </c:pt>
                <c:pt idx="9">
                  <c:v>7.7</c:v>
                </c:pt>
                <c:pt idx="10">
                  <c:v>9.5</c:v>
                </c:pt>
                <c:pt idx="11">
                  <c:v>10.4</c:v>
                </c:pt>
                <c:pt idx="12">
                  <c:v>12.6</c:v>
                </c:pt>
                <c:pt idx="13">
                  <c:v>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0E-4028-A81B-CF6D87A8E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8833040"/>
        <c:axId val="408833600"/>
      </c:barChart>
      <c:catAx>
        <c:axId val="40883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Év</a:t>
                </a:r>
              </a:p>
            </c:rich>
          </c:tx>
          <c:layout>
            <c:manualLayout>
              <c:xMode val="edge"/>
              <c:yMode val="edge"/>
              <c:x val="0.96291208791208793"/>
              <c:y val="0.92361329833770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088336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883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0883304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 alignWithMargins="0"/>
    <c:pageMargins b="1" l="0.75000000000000122" r="0.75000000000000122" t="1" header="0.5" footer="0.5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sz="1600"/>
              <a:t>Munkanélküliek száma (2009 = 100)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'E2.7'!$J$27</c:f>
              <c:strCache>
                <c:ptCount val="1"/>
                <c:pt idx="0">
                  <c:v>Összesen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xVal>
            <c:numRef>
              <c:f>'E2.7'!$B$28:$B$41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xVal>
          <c:yVal>
            <c:numRef>
              <c:f>'E2.7'!$J$28:$J$41</c:f>
              <c:numCache>
                <c:formatCode>0%</c:formatCode>
                <c:ptCount val="14"/>
                <c:pt idx="0">
                  <c:v>1</c:v>
                </c:pt>
                <c:pt idx="1">
                  <c:v>1.1234999593128174</c:v>
                </c:pt>
                <c:pt idx="2">
                  <c:v>1.1152524280674547</c:v>
                </c:pt>
                <c:pt idx="3">
                  <c:v>1.1324774664809418</c:v>
                </c:pt>
                <c:pt idx="4">
                  <c:v>1.0555451843129371</c:v>
                </c:pt>
                <c:pt idx="5">
                  <c:v>0.82170158584277508</c:v>
                </c:pt>
                <c:pt idx="6">
                  <c:v>0.73678743579801931</c:v>
                </c:pt>
                <c:pt idx="7">
                  <c:v>0.56143046560497056</c:v>
                </c:pt>
                <c:pt idx="8">
                  <c:v>0.45882337454705591</c:v>
                </c:pt>
                <c:pt idx="9">
                  <c:v>0.4114192167956689</c:v>
                </c:pt>
                <c:pt idx="10">
                  <c:v>0.38006615257214799</c:v>
                </c:pt>
                <c:pt idx="11">
                  <c:v>0.47316799977023705</c:v>
                </c:pt>
                <c:pt idx="12">
                  <c:v>0.47316799977023705</c:v>
                </c:pt>
                <c:pt idx="13">
                  <c:v>0.42195001699288215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24-4B5F-B6FE-095740B70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343263"/>
        <c:axId val="530344095"/>
      </c:scatterChart>
      <c:valAx>
        <c:axId val="530343263"/>
        <c:scaling>
          <c:orientation val="minMax"/>
          <c:max val="2020"/>
          <c:min val="200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accent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30344095"/>
        <c:crossesAt val="1"/>
        <c:crossBetween val="midCat"/>
        <c:majorUnit val="1"/>
      </c:valAx>
      <c:valAx>
        <c:axId val="530344095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30343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sz="1600"/>
              <a:t>Munkanélküliek száma (előző év = 100)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'E2.7'!$J$45</c:f>
              <c:strCache>
                <c:ptCount val="1"/>
                <c:pt idx="0">
                  <c:v>Összesen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xVal>
            <c:numRef>
              <c:f>'E2.7'!$B$46:$B$59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xVal>
          <c:yVal>
            <c:numRef>
              <c:f>'E2.7'!$J$46:$J$59</c:f>
              <c:numCache>
                <c:formatCode>0%</c:formatCode>
                <c:ptCount val="14"/>
                <c:pt idx="1">
                  <c:v>1.1234999593128174</c:v>
                </c:pt>
                <c:pt idx="2">
                  <c:v>0.99265907294700095</c:v>
                </c:pt>
                <c:pt idx="3">
                  <c:v>1.0154449683138866</c:v>
                </c:pt>
                <c:pt idx="4">
                  <c:v>0.93206727334976136</c:v>
                </c:pt>
                <c:pt idx="5">
                  <c:v>0.77846178264517141</c:v>
                </c:pt>
                <c:pt idx="6">
                  <c:v>0.89666059855821745</c:v>
                </c:pt>
                <c:pt idx="7">
                  <c:v>0.76199788205791208</c:v>
                </c:pt>
                <c:pt idx="8">
                  <c:v>0.81723989461927382</c:v>
                </c:pt>
                <c:pt idx="9">
                  <c:v>0.89668321105439808</c:v>
                </c:pt>
                <c:pt idx="10">
                  <c:v>0.92379290285049465</c:v>
                </c:pt>
                <c:pt idx="11">
                  <c:v>1.244962216624685</c:v>
                </c:pt>
                <c:pt idx="12">
                  <c:v>1</c:v>
                </c:pt>
                <c:pt idx="13">
                  <c:v>1.1102015113350125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96-4417-AFC0-C722EB241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343263"/>
        <c:axId val="530344095"/>
      </c:scatterChart>
      <c:valAx>
        <c:axId val="530343263"/>
        <c:scaling>
          <c:orientation val="minMax"/>
          <c:max val="2020"/>
          <c:min val="200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accent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30344095"/>
        <c:crossesAt val="1"/>
        <c:crossBetween val="midCat"/>
        <c:majorUnit val="1"/>
      </c:valAx>
      <c:valAx>
        <c:axId val="530344095"/>
        <c:scaling>
          <c:orientation val="minMax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30343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j-ea"/>
                <a:cs typeface="+mj-cs"/>
              </a:defRPr>
            </a:pPr>
            <a:r>
              <a:rPr lang="hu-HU" sz="1600">
                <a:latin typeface="+mn-lt"/>
              </a:rPr>
              <a:t>Koronavírus</a:t>
            </a:r>
            <a:r>
              <a:rPr lang="hu-HU" sz="1600" baseline="0">
                <a:latin typeface="+mn-lt"/>
              </a:rPr>
              <a:t> esete</a:t>
            </a:r>
            <a:r>
              <a:rPr lang="hu-HU" sz="1600">
                <a:latin typeface="+mn-lt"/>
              </a:rPr>
              <a:t>k száma kontinensenként</a:t>
            </a:r>
          </a:p>
        </c:rich>
      </c:tx>
      <c:layout>
        <c:manualLayout>
          <c:xMode val="edge"/>
          <c:yMode val="edge"/>
          <c:x val="0.16281443501308132"/>
          <c:y val="2.23357937065378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j-ea"/>
              <a:cs typeface="+mj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5.2197802197802214E-2"/>
          <c:y val="0.17383745534010892"/>
          <c:w val="0.86991308884468121"/>
          <c:h val="0.6815309764683171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'E2.8'!$C$4</c:f>
              <c:strCache>
                <c:ptCount val="1"/>
                <c:pt idx="0">
                  <c:v>Afrika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'E2.8'!$B$5:$B$46</c:f>
              <c:numCache>
                <c:formatCode>yyyy/mm/</c:formatCode>
                <c:ptCount val="42"/>
                <c:pt idx="0">
                  <c:v>43891</c:v>
                </c:pt>
                <c:pt idx="1">
                  <c:v>43922</c:v>
                </c:pt>
                <c:pt idx="2">
                  <c:v>43952</c:v>
                </c:pt>
                <c:pt idx="3">
                  <c:v>43983</c:v>
                </c:pt>
                <c:pt idx="4">
                  <c:v>44013</c:v>
                </c:pt>
                <c:pt idx="5">
                  <c:v>44044</c:v>
                </c:pt>
                <c:pt idx="6">
                  <c:v>44075</c:v>
                </c:pt>
                <c:pt idx="7">
                  <c:v>44105</c:v>
                </c:pt>
                <c:pt idx="8">
                  <c:v>44136</c:v>
                </c:pt>
                <c:pt idx="9">
                  <c:v>44166</c:v>
                </c:pt>
                <c:pt idx="10">
                  <c:v>44197</c:v>
                </c:pt>
                <c:pt idx="11">
                  <c:v>44228</c:v>
                </c:pt>
                <c:pt idx="12">
                  <c:v>44256</c:v>
                </c:pt>
                <c:pt idx="13">
                  <c:v>44287</c:v>
                </c:pt>
                <c:pt idx="14">
                  <c:v>44317</c:v>
                </c:pt>
                <c:pt idx="15">
                  <c:v>44348</c:v>
                </c:pt>
                <c:pt idx="16">
                  <c:v>44378</c:v>
                </c:pt>
                <c:pt idx="17">
                  <c:v>44409</c:v>
                </c:pt>
                <c:pt idx="18">
                  <c:v>44440</c:v>
                </c:pt>
                <c:pt idx="19">
                  <c:v>44470</c:v>
                </c:pt>
                <c:pt idx="20">
                  <c:v>44501</c:v>
                </c:pt>
                <c:pt idx="21">
                  <c:v>44531</c:v>
                </c:pt>
                <c:pt idx="22">
                  <c:v>44562</c:v>
                </c:pt>
                <c:pt idx="23">
                  <c:v>44593</c:v>
                </c:pt>
                <c:pt idx="24">
                  <c:v>44621</c:v>
                </c:pt>
                <c:pt idx="25">
                  <c:v>44652</c:v>
                </c:pt>
                <c:pt idx="26">
                  <c:v>44682</c:v>
                </c:pt>
                <c:pt idx="27">
                  <c:v>44713</c:v>
                </c:pt>
                <c:pt idx="28">
                  <c:v>44743</c:v>
                </c:pt>
                <c:pt idx="29">
                  <c:v>44774</c:v>
                </c:pt>
                <c:pt idx="30">
                  <c:v>44805</c:v>
                </c:pt>
                <c:pt idx="31">
                  <c:v>44835</c:v>
                </c:pt>
                <c:pt idx="32">
                  <c:v>44866</c:v>
                </c:pt>
                <c:pt idx="33">
                  <c:v>44896</c:v>
                </c:pt>
                <c:pt idx="34">
                  <c:v>44927</c:v>
                </c:pt>
                <c:pt idx="35">
                  <c:v>44958</c:v>
                </c:pt>
                <c:pt idx="36">
                  <c:v>44986</c:v>
                </c:pt>
                <c:pt idx="37">
                  <c:v>45017</c:v>
                </c:pt>
                <c:pt idx="38">
                  <c:v>45047</c:v>
                </c:pt>
                <c:pt idx="39">
                  <c:v>45078</c:v>
                </c:pt>
                <c:pt idx="40">
                  <c:v>45108</c:v>
                </c:pt>
                <c:pt idx="41">
                  <c:v>45139</c:v>
                </c:pt>
              </c:numCache>
            </c:numRef>
          </c:cat>
          <c:val>
            <c:numRef>
              <c:f>'E2.8'!$C$5:$C$46</c:f>
              <c:numCache>
                <c:formatCode>#,##0</c:formatCode>
                <c:ptCount val="42"/>
                <c:pt idx="0">
                  <c:v>5658</c:v>
                </c:pt>
                <c:pt idx="1">
                  <c:v>31978</c:v>
                </c:pt>
                <c:pt idx="2">
                  <c:v>106939</c:v>
                </c:pt>
                <c:pt idx="3">
                  <c:v>256265</c:v>
                </c:pt>
                <c:pt idx="4">
                  <c:v>516509</c:v>
                </c:pt>
                <c:pt idx="5">
                  <c:v>335551</c:v>
                </c:pt>
                <c:pt idx="6">
                  <c:v>229879</c:v>
                </c:pt>
                <c:pt idx="7">
                  <c:v>302963</c:v>
                </c:pt>
                <c:pt idx="8">
                  <c:v>394177</c:v>
                </c:pt>
                <c:pt idx="9">
                  <c:v>567930</c:v>
                </c:pt>
                <c:pt idx="10">
                  <c:v>829867</c:v>
                </c:pt>
                <c:pt idx="11">
                  <c:v>345901</c:v>
                </c:pt>
                <c:pt idx="12">
                  <c:v>327340</c:v>
                </c:pt>
                <c:pt idx="13">
                  <c:v>347579</c:v>
                </c:pt>
                <c:pt idx="14">
                  <c:v>287495</c:v>
                </c:pt>
                <c:pt idx="15">
                  <c:v>643891</c:v>
                </c:pt>
                <c:pt idx="16">
                  <c:v>1220614</c:v>
                </c:pt>
                <c:pt idx="17">
                  <c:v>1122757</c:v>
                </c:pt>
                <c:pt idx="18">
                  <c:v>524685</c:v>
                </c:pt>
                <c:pt idx="19">
                  <c:v>204774</c:v>
                </c:pt>
                <c:pt idx="20">
                  <c:v>186801</c:v>
                </c:pt>
                <c:pt idx="21">
                  <c:v>1061679</c:v>
                </c:pt>
                <c:pt idx="22">
                  <c:v>1241829</c:v>
                </c:pt>
                <c:pt idx="23">
                  <c:v>606571</c:v>
                </c:pt>
                <c:pt idx="24">
                  <c:v>233678</c:v>
                </c:pt>
                <c:pt idx="25">
                  <c:v>160186</c:v>
                </c:pt>
                <c:pt idx="26">
                  <c:v>236726</c:v>
                </c:pt>
                <c:pt idx="27">
                  <c:v>187690</c:v>
                </c:pt>
                <c:pt idx="28">
                  <c:v>222430</c:v>
                </c:pt>
                <c:pt idx="29">
                  <c:v>88706</c:v>
                </c:pt>
                <c:pt idx="30">
                  <c:v>47056</c:v>
                </c:pt>
                <c:pt idx="31">
                  <c:v>33104</c:v>
                </c:pt>
                <c:pt idx="32">
                  <c:v>49455</c:v>
                </c:pt>
                <c:pt idx="33">
                  <c:v>42558</c:v>
                </c:pt>
                <c:pt idx="34">
                  <c:v>36624</c:v>
                </c:pt>
                <c:pt idx="35">
                  <c:v>17661</c:v>
                </c:pt>
                <c:pt idx="36">
                  <c:v>18819</c:v>
                </c:pt>
                <c:pt idx="37">
                  <c:v>9099</c:v>
                </c:pt>
                <c:pt idx="38">
                  <c:v>10947</c:v>
                </c:pt>
                <c:pt idx="39">
                  <c:v>8624</c:v>
                </c:pt>
                <c:pt idx="40">
                  <c:v>3947</c:v>
                </c:pt>
                <c:pt idx="41">
                  <c:v>1064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2B-4DBD-A829-5ADAD9CC908E}"/>
            </c:ext>
          </c:extLst>
        </c:ser>
        <c:ser>
          <c:idx val="3"/>
          <c:order val="1"/>
          <c:tx>
            <c:strRef>
              <c:f>'E2.8'!$D$4</c:f>
              <c:strCache>
                <c:ptCount val="1"/>
                <c:pt idx="0">
                  <c:v>Amerika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'E2.8'!$B$5:$B$46</c:f>
              <c:numCache>
                <c:formatCode>yyyy/mm/</c:formatCode>
                <c:ptCount val="42"/>
                <c:pt idx="0">
                  <c:v>43891</c:v>
                </c:pt>
                <c:pt idx="1">
                  <c:v>43922</c:v>
                </c:pt>
                <c:pt idx="2">
                  <c:v>43952</c:v>
                </c:pt>
                <c:pt idx="3">
                  <c:v>43983</c:v>
                </c:pt>
                <c:pt idx="4">
                  <c:v>44013</c:v>
                </c:pt>
                <c:pt idx="5">
                  <c:v>44044</c:v>
                </c:pt>
                <c:pt idx="6">
                  <c:v>44075</c:v>
                </c:pt>
                <c:pt idx="7">
                  <c:v>44105</c:v>
                </c:pt>
                <c:pt idx="8">
                  <c:v>44136</c:v>
                </c:pt>
                <c:pt idx="9">
                  <c:v>44166</c:v>
                </c:pt>
                <c:pt idx="10">
                  <c:v>44197</c:v>
                </c:pt>
                <c:pt idx="11">
                  <c:v>44228</c:v>
                </c:pt>
                <c:pt idx="12">
                  <c:v>44256</c:v>
                </c:pt>
                <c:pt idx="13">
                  <c:v>44287</c:v>
                </c:pt>
                <c:pt idx="14">
                  <c:v>44317</c:v>
                </c:pt>
                <c:pt idx="15">
                  <c:v>44348</c:v>
                </c:pt>
                <c:pt idx="16">
                  <c:v>44378</c:v>
                </c:pt>
                <c:pt idx="17">
                  <c:v>44409</c:v>
                </c:pt>
                <c:pt idx="18">
                  <c:v>44440</c:v>
                </c:pt>
                <c:pt idx="19">
                  <c:v>44470</c:v>
                </c:pt>
                <c:pt idx="20">
                  <c:v>44501</c:v>
                </c:pt>
                <c:pt idx="21">
                  <c:v>44531</c:v>
                </c:pt>
                <c:pt idx="22">
                  <c:v>44562</c:v>
                </c:pt>
                <c:pt idx="23">
                  <c:v>44593</c:v>
                </c:pt>
                <c:pt idx="24">
                  <c:v>44621</c:v>
                </c:pt>
                <c:pt idx="25">
                  <c:v>44652</c:v>
                </c:pt>
                <c:pt idx="26">
                  <c:v>44682</c:v>
                </c:pt>
                <c:pt idx="27">
                  <c:v>44713</c:v>
                </c:pt>
                <c:pt idx="28">
                  <c:v>44743</c:v>
                </c:pt>
                <c:pt idx="29">
                  <c:v>44774</c:v>
                </c:pt>
                <c:pt idx="30">
                  <c:v>44805</c:v>
                </c:pt>
                <c:pt idx="31">
                  <c:v>44835</c:v>
                </c:pt>
                <c:pt idx="32">
                  <c:v>44866</c:v>
                </c:pt>
                <c:pt idx="33">
                  <c:v>44896</c:v>
                </c:pt>
                <c:pt idx="34">
                  <c:v>44927</c:v>
                </c:pt>
                <c:pt idx="35">
                  <c:v>44958</c:v>
                </c:pt>
                <c:pt idx="36">
                  <c:v>44986</c:v>
                </c:pt>
                <c:pt idx="37">
                  <c:v>45017</c:v>
                </c:pt>
                <c:pt idx="38">
                  <c:v>45047</c:v>
                </c:pt>
                <c:pt idx="39">
                  <c:v>45078</c:v>
                </c:pt>
                <c:pt idx="40">
                  <c:v>45108</c:v>
                </c:pt>
                <c:pt idx="41">
                  <c:v>45139</c:v>
                </c:pt>
              </c:numCache>
            </c:numRef>
          </c:cat>
          <c:val>
            <c:numRef>
              <c:f>'E2.8'!$D$5:$D$46</c:f>
              <c:numCache>
                <c:formatCode>#,##0</c:formatCode>
                <c:ptCount val="42"/>
                <c:pt idx="0">
                  <c:v>197904</c:v>
                </c:pt>
                <c:pt idx="1">
                  <c:v>1088557</c:v>
                </c:pt>
                <c:pt idx="2">
                  <c:v>1571739</c:v>
                </c:pt>
                <c:pt idx="3">
                  <c:v>2418312</c:v>
                </c:pt>
                <c:pt idx="4">
                  <c:v>4090735</c:v>
                </c:pt>
                <c:pt idx="5">
                  <c:v>4134691</c:v>
                </c:pt>
                <c:pt idx="6">
                  <c:v>3293932</c:v>
                </c:pt>
                <c:pt idx="7">
                  <c:v>3815639</c:v>
                </c:pt>
                <c:pt idx="8">
                  <c:v>6324537</c:v>
                </c:pt>
                <c:pt idx="9">
                  <c:v>8875793</c:v>
                </c:pt>
                <c:pt idx="10">
                  <c:v>9909344</c:v>
                </c:pt>
                <c:pt idx="11">
                  <c:v>5014643</c:v>
                </c:pt>
                <c:pt idx="12">
                  <c:v>5269788</c:v>
                </c:pt>
                <c:pt idx="13">
                  <c:v>6121108</c:v>
                </c:pt>
                <c:pt idx="14">
                  <c:v>5446396</c:v>
                </c:pt>
                <c:pt idx="15">
                  <c:v>4796900</c:v>
                </c:pt>
                <c:pt idx="16">
                  <c:v>4869995</c:v>
                </c:pt>
                <c:pt idx="17">
                  <c:v>6751547</c:v>
                </c:pt>
                <c:pt idx="18">
                  <c:v>5999753</c:v>
                </c:pt>
                <c:pt idx="19">
                  <c:v>3784872</c:v>
                </c:pt>
                <c:pt idx="20">
                  <c:v>3290481</c:v>
                </c:pt>
                <c:pt idx="21">
                  <c:v>6921704</c:v>
                </c:pt>
                <c:pt idx="22">
                  <c:v>32245913</c:v>
                </c:pt>
                <c:pt idx="23">
                  <c:v>11284471</c:v>
                </c:pt>
                <c:pt idx="24">
                  <c:v>3318703</c:v>
                </c:pt>
                <c:pt idx="25">
                  <c:v>2366086</c:v>
                </c:pt>
                <c:pt idx="26">
                  <c:v>4132459</c:v>
                </c:pt>
                <c:pt idx="27">
                  <c:v>5661250</c:v>
                </c:pt>
                <c:pt idx="28">
                  <c:v>7975849</c:v>
                </c:pt>
                <c:pt idx="29">
                  <c:v>4820354</c:v>
                </c:pt>
                <c:pt idx="30">
                  <c:v>2580967</c:v>
                </c:pt>
                <c:pt idx="31">
                  <c:v>1744078</c:v>
                </c:pt>
                <c:pt idx="32">
                  <c:v>1932135</c:v>
                </c:pt>
                <c:pt idx="33">
                  <c:v>4230273</c:v>
                </c:pt>
                <c:pt idx="34">
                  <c:v>2637265</c:v>
                </c:pt>
                <c:pt idx="35">
                  <c:v>1560939</c:v>
                </c:pt>
                <c:pt idx="36">
                  <c:v>1190876</c:v>
                </c:pt>
                <c:pt idx="37">
                  <c:v>905231</c:v>
                </c:pt>
                <c:pt idx="38">
                  <c:v>402553</c:v>
                </c:pt>
                <c:pt idx="39">
                  <c:v>139391</c:v>
                </c:pt>
                <c:pt idx="40">
                  <c:v>112763</c:v>
                </c:pt>
                <c:pt idx="41">
                  <c:v>1122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2B-4DBD-A829-5ADAD9CC908E}"/>
            </c:ext>
          </c:extLst>
        </c:ser>
        <c:ser>
          <c:idx val="1"/>
          <c:order val="2"/>
          <c:tx>
            <c:strRef>
              <c:f>'E2.8'!$E$4</c:f>
              <c:strCache>
                <c:ptCount val="1"/>
                <c:pt idx="0">
                  <c:v>Ausztrália és Óceánia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'E2.8'!$B$5:$B$46</c:f>
              <c:numCache>
                <c:formatCode>yyyy/mm/</c:formatCode>
                <c:ptCount val="42"/>
                <c:pt idx="0">
                  <c:v>43891</c:v>
                </c:pt>
                <c:pt idx="1">
                  <c:v>43922</c:v>
                </c:pt>
                <c:pt idx="2">
                  <c:v>43952</c:v>
                </c:pt>
                <c:pt idx="3">
                  <c:v>43983</c:v>
                </c:pt>
                <c:pt idx="4">
                  <c:v>44013</c:v>
                </c:pt>
                <c:pt idx="5">
                  <c:v>44044</c:v>
                </c:pt>
                <c:pt idx="6">
                  <c:v>44075</c:v>
                </c:pt>
                <c:pt idx="7">
                  <c:v>44105</c:v>
                </c:pt>
                <c:pt idx="8">
                  <c:v>44136</c:v>
                </c:pt>
                <c:pt idx="9">
                  <c:v>44166</c:v>
                </c:pt>
                <c:pt idx="10">
                  <c:v>44197</c:v>
                </c:pt>
                <c:pt idx="11">
                  <c:v>44228</c:v>
                </c:pt>
                <c:pt idx="12">
                  <c:v>44256</c:v>
                </c:pt>
                <c:pt idx="13">
                  <c:v>44287</c:v>
                </c:pt>
                <c:pt idx="14">
                  <c:v>44317</c:v>
                </c:pt>
                <c:pt idx="15">
                  <c:v>44348</c:v>
                </c:pt>
                <c:pt idx="16">
                  <c:v>44378</c:v>
                </c:pt>
                <c:pt idx="17">
                  <c:v>44409</c:v>
                </c:pt>
                <c:pt idx="18">
                  <c:v>44440</c:v>
                </c:pt>
                <c:pt idx="19">
                  <c:v>44470</c:v>
                </c:pt>
                <c:pt idx="20">
                  <c:v>44501</c:v>
                </c:pt>
                <c:pt idx="21">
                  <c:v>44531</c:v>
                </c:pt>
                <c:pt idx="22">
                  <c:v>44562</c:v>
                </c:pt>
                <c:pt idx="23">
                  <c:v>44593</c:v>
                </c:pt>
                <c:pt idx="24">
                  <c:v>44621</c:v>
                </c:pt>
                <c:pt idx="25">
                  <c:v>44652</c:v>
                </c:pt>
                <c:pt idx="26">
                  <c:v>44682</c:v>
                </c:pt>
                <c:pt idx="27">
                  <c:v>44713</c:v>
                </c:pt>
                <c:pt idx="28">
                  <c:v>44743</c:v>
                </c:pt>
                <c:pt idx="29">
                  <c:v>44774</c:v>
                </c:pt>
                <c:pt idx="30">
                  <c:v>44805</c:v>
                </c:pt>
                <c:pt idx="31">
                  <c:v>44835</c:v>
                </c:pt>
                <c:pt idx="32">
                  <c:v>44866</c:v>
                </c:pt>
                <c:pt idx="33">
                  <c:v>44896</c:v>
                </c:pt>
                <c:pt idx="34">
                  <c:v>44927</c:v>
                </c:pt>
                <c:pt idx="35">
                  <c:v>44958</c:v>
                </c:pt>
                <c:pt idx="36">
                  <c:v>44986</c:v>
                </c:pt>
                <c:pt idx="37">
                  <c:v>45017</c:v>
                </c:pt>
                <c:pt idx="38">
                  <c:v>45047</c:v>
                </c:pt>
                <c:pt idx="39">
                  <c:v>45078</c:v>
                </c:pt>
                <c:pt idx="40">
                  <c:v>45108</c:v>
                </c:pt>
                <c:pt idx="41">
                  <c:v>45139</c:v>
                </c:pt>
              </c:numCache>
            </c:numRef>
          </c:cat>
          <c:val>
            <c:numRef>
              <c:f>'E2.8'!$E$5:$E$46</c:f>
              <c:numCache>
                <c:formatCode>#,##0</c:formatCode>
                <c:ptCount val="42"/>
                <c:pt idx="0">
                  <c:v>5050</c:v>
                </c:pt>
                <c:pt idx="1">
                  <c:v>3056</c:v>
                </c:pt>
                <c:pt idx="2">
                  <c:v>500</c:v>
                </c:pt>
                <c:pt idx="3">
                  <c:v>702</c:v>
                </c:pt>
                <c:pt idx="4">
                  <c:v>8743</c:v>
                </c:pt>
                <c:pt idx="5">
                  <c:v>11412</c:v>
                </c:pt>
                <c:pt idx="6">
                  <c:v>3888</c:v>
                </c:pt>
                <c:pt idx="7">
                  <c:v>8400</c:v>
                </c:pt>
                <c:pt idx="8">
                  <c:v>9459</c:v>
                </c:pt>
                <c:pt idx="9">
                  <c:v>3948</c:v>
                </c:pt>
                <c:pt idx="10">
                  <c:v>2144</c:v>
                </c:pt>
                <c:pt idx="11">
                  <c:v>1188</c:v>
                </c:pt>
                <c:pt idx="12">
                  <c:v>6045</c:v>
                </c:pt>
                <c:pt idx="13">
                  <c:v>6098</c:v>
                </c:pt>
                <c:pt idx="14">
                  <c:v>5721</c:v>
                </c:pt>
                <c:pt idx="15">
                  <c:v>6383</c:v>
                </c:pt>
                <c:pt idx="16">
                  <c:v>30229</c:v>
                </c:pt>
                <c:pt idx="17">
                  <c:v>62024</c:v>
                </c:pt>
                <c:pt idx="18">
                  <c:v>70994</c:v>
                </c:pt>
                <c:pt idx="19">
                  <c:v>88222</c:v>
                </c:pt>
                <c:pt idx="20">
                  <c:v>51404</c:v>
                </c:pt>
                <c:pt idx="21">
                  <c:v>163272</c:v>
                </c:pt>
                <c:pt idx="22">
                  <c:v>1994163</c:v>
                </c:pt>
                <c:pt idx="23">
                  <c:v>882688</c:v>
                </c:pt>
                <c:pt idx="24">
                  <c:v>1740940</c:v>
                </c:pt>
                <c:pt idx="25">
                  <c:v>1639149</c:v>
                </c:pt>
                <c:pt idx="26">
                  <c:v>1730560</c:v>
                </c:pt>
                <c:pt idx="27">
                  <c:v>967371</c:v>
                </c:pt>
                <c:pt idx="28">
                  <c:v>1425766</c:v>
                </c:pt>
                <c:pt idx="29">
                  <c:v>933992</c:v>
                </c:pt>
                <c:pt idx="30">
                  <c:v>242098</c:v>
                </c:pt>
                <c:pt idx="31">
                  <c:v>267892</c:v>
                </c:pt>
                <c:pt idx="32">
                  <c:v>380420</c:v>
                </c:pt>
                <c:pt idx="33">
                  <c:v>565082</c:v>
                </c:pt>
                <c:pt idx="34">
                  <c:v>267103</c:v>
                </c:pt>
                <c:pt idx="35">
                  <c:v>102645</c:v>
                </c:pt>
                <c:pt idx="36">
                  <c:v>132751</c:v>
                </c:pt>
                <c:pt idx="37">
                  <c:v>159795</c:v>
                </c:pt>
                <c:pt idx="38">
                  <c:v>258579</c:v>
                </c:pt>
                <c:pt idx="39">
                  <c:v>113797</c:v>
                </c:pt>
                <c:pt idx="40">
                  <c:v>63227</c:v>
                </c:pt>
                <c:pt idx="41">
                  <c:v>35527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2B-4DBD-A829-5ADAD9CC908E}"/>
            </c:ext>
          </c:extLst>
        </c:ser>
        <c:ser>
          <c:idx val="2"/>
          <c:order val="3"/>
          <c:tx>
            <c:strRef>
              <c:f>'E2.8'!$F$4</c:f>
              <c:strCache>
                <c:ptCount val="1"/>
                <c:pt idx="0">
                  <c:v>Ázsia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'E2.8'!$B$5:$B$46</c:f>
              <c:numCache>
                <c:formatCode>yyyy/mm/</c:formatCode>
                <c:ptCount val="42"/>
                <c:pt idx="0">
                  <c:v>43891</c:v>
                </c:pt>
                <c:pt idx="1">
                  <c:v>43922</c:v>
                </c:pt>
                <c:pt idx="2">
                  <c:v>43952</c:v>
                </c:pt>
                <c:pt idx="3">
                  <c:v>43983</c:v>
                </c:pt>
                <c:pt idx="4">
                  <c:v>44013</c:v>
                </c:pt>
                <c:pt idx="5">
                  <c:v>44044</c:v>
                </c:pt>
                <c:pt idx="6">
                  <c:v>44075</c:v>
                </c:pt>
                <c:pt idx="7">
                  <c:v>44105</c:v>
                </c:pt>
                <c:pt idx="8">
                  <c:v>44136</c:v>
                </c:pt>
                <c:pt idx="9">
                  <c:v>44166</c:v>
                </c:pt>
                <c:pt idx="10">
                  <c:v>44197</c:v>
                </c:pt>
                <c:pt idx="11">
                  <c:v>44228</c:v>
                </c:pt>
                <c:pt idx="12">
                  <c:v>44256</c:v>
                </c:pt>
                <c:pt idx="13">
                  <c:v>44287</c:v>
                </c:pt>
                <c:pt idx="14">
                  <c:v>44317</c:v>
                </c:pt>
                <c:pt idx="15">
                  <c:v>44348</c:v>
                </c:pt>
                <c:pt idx="16">
                  <c:v>44378</c:v>
                </c:pt>
                <c:pt idx="17">
                  <c:v>44409</c:v>
                </c:pt>
                <c:pt idx="18">
                  <c:v>44440</c:v>
                </c:pt>
                <c:pt idx="19">
                  <c:v>44470</c:v>
                </c:pt>
                <c:pt idx="20">
                  <c:v>44501</c:v>
                </c:pt>
                <c:pt idx="21">
                  <c:v>44531</c:v>
                </c:pt>
                <c:pt idx="22">
                  <c:v>44562</c:v>
                </c:pt>
                <c:pt idx="23">
                  <c:v>44593</c:v>
                </c:pt>
                <c:pt idx="24">
                  <c:v>44621</c:v>
                </c:pt>
                <c:pt idx="25">
                  <c:v>44652</c:v>
                </c:pt>
                <c:pt idx="26">
                  <c:v>44682</c:v>
                </c:pt>
                <c:pt idx="27">
                  <c:v>44713</c:v>
                </c:pt>
                <c:pt idx="28">
                  <c:v>44743</c:v>
                </c:pt>
                <c:pt idx="29">
                  <c:v>44774</c:v>
                </c:pt>
                <c:pt idx="30">
                  <c:v>44805</c:v>
                </c:pt>
                <c:pt idx="31">
                  <c:v>44835</c:v>
                </c:pt>
                <c:pt idx="32">
                  <c:v>44866</c:v>
                </c:pt>
                <c:pt idx="33">
                  <c:v>44896</c:v>
                </c:pt>
                <c:pt idx="34">
                  <c:v>44927</c:v>
                </c:pt>
                <c:pt idx="35">
                  <c:v>44958</c:v>
                </c:pt>
                <c:pt idx="36">
                  <c:v>44986</c:v>
                </c:pt>
                <c:pt idx="37">
                  <c:v>45017</c:v>
                </c:pt>
                <c:pt idx="38">
                  <c:v>45047</c:v>
                </c:pt>
                <c:pt idx="39">
                  <c:v>45078</c:v>
                </c:pt>
                <c:pt idx="40">
                  <c:v>45108</c:v>
                </c:pt>
                <c:pt idx="41">
                  <c:v>45139</c:v>
                </c:pt>
              </c:numCache>
            </c:numRef>
          </c:cat>
          <c:val>
            <c:numRef>
              <c:f>'E2.8'!$F$5:$F$46</c:f>
              <c:numCache>
                <c:formatCode>#,##0</c:formatCode>
                <c:ptCount val="42"/>
                <c:pt idx="0">
                  <c:v>86460</c:v>
                </c:pt>
                <c:pt idx="1">
                  <c:v>334418</c:v>
                </c:pt>
                <c:pt idx="2">
                  <c:v>601599</c:v>
                </c:pt>
                <c:pt idx="3">
                  <c:v>1150241</c:v>
                </c:pt>
                <c:pt idx="4">
                  <c:v>1925651</c:v>
                </c:pt>
                <c:pt idx="5">
                  <c:v>2995166</c:v>
                </c:pt>
                <c:pt idx="6">
                  <c:v>3712163</c:v>
                </c:pt>
                <c:pt idx="7">
                  <c:v>3274607</c:v>
                </c:pt>
                <c:pt idx="8">
                  <c:v>3177439</c:v>
                </c:pt>
                <c:pt idx="9">
                  <c:v>3161359</c:v>
                </c:pt>
                <c:pt idx="10">
                  <c:v>2424773</c:v>
                </c:pt>
                <c:pt idx="11">
                  <c:v>1899188</c:v>
                </c:pt>
                <c:pt idx="12">
                  <c:v>3377848</c:v>
                </c:pt>
                <c:pt idx="13">
                  <c:v>10688909</c:v>
                </c:pt>
                <c:pt idx="14">
                  <c:v>12053536</c:v>
                </c:pt>
                <c:pt idx="15">
                  <c:v>4620180</c:v>
                </c:pt>
                <c:pt idx="16">
                  <c:v>6158654</c:v>
                </c:pt>
                <c:pt idx="17">
                  <c:v>8087800</c:v>
                </c:pt>
                <c:pt idx="18">
                  <c:v>5839961</c:v>
                </c:pt>
                <c:pt idx="19">
                  <c:v>3699129</c:v>
                </c:pt>
                <c:pt idx="20">
                  <c:v>2799248</c:v>
                </c:pt>
                <c:pt idx="21">
                  <c:v>2495589</c:v>
                </c:pt>
                <c:pt idx="22">
                  <c:v>15514869</c:v>
                </c:pt>
                <c:pt idx="23">
                  <c:v>16744247</c:v>
                </c:pt>
                <c:pt idx="24">
                  <c:v>22469713</c:v>
                </c:pt>
                <c:pt idx="25">
                  <c:v>8101077</c:v>
                </c:pt>
                <c:pt idx="26">
                  <c:v>4468871</c:v>
                </c:pt>
                <c:pt idx="27">
                  <c:v>3599050</c:v>
                </c:pt>
                <c:pt idx="28">
                  <c:v>8812116</c:v>
                </c:pt>
                <c:pt idx="29">
                  <c:v>13134078</c:v>
                </c:pt>
                <c:pt idx="30">
                  <c:v>6058083</c:v>
                </c:pt>
                <c:pt idx="31">
                  <c:v>3881943</c:v>
                </c:pt>
                <c:pt idx="32">
                  <c:v>5312790</c:v>
                </c:pt>
                <c:pt idx="33">
                  <c:v>81822590</c:v>
                </c:pt>
                <c:pt idx="34">
                  <c:v>18160227</c:v>
                </c:pt>
                <c:pt idx="35">
                  <c:v>1680274</c:v>
                </c:pt>
                <c:pt idx="36">
                  <c:v>937078</c:v>
                </c:pt>
                <c:pt idx="37">
                  <c:v>1148105</c:v>
                </c:pt>
                <c:pt idx="38">
                  <c:v>980503</c:v>
                </c:pt>
                <c:pt idx="39">
                  <c:v>544193</c:v>
                </c:pt>
                <c:pt idx="40">
                  <c:v>1132850</c:v>
                </c:pt>
                <c:pt idx="41">
                  <c:v>1286479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2B-4DBD-A829-5ADAD9CC908E}"/>
            </c:ext>
          </c:extLst>
        </c:ser>
        <c:ser>
          <c:idx val="4"/>
          <c:order val="4"/>
          <c:tx>
            <c:strRef>
              <c:f>'E2.8'!$G$4</c:f>
              <c:strCache>
                <c:ptCount val="1"/>
                <c:pt idx="0">
                  <c:v>Európa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'E2.8'!$B$5:$B$46</c:f>
              <c:numCache>
                <c:formatCode>yyyy/mm/</c:formatCode>
                <c:ptCount val="42"/>
                <c:pt idx="0">
                  <c:v>43891</c:v>
                </c:pt>
                <c:pt idx="1">
                  <c:v>43922</c:v>
                </c:pt>
                <c:pt idx="2">
                  <c:v>43952</c:v>
                </c:pt>
                <c:pt idx="3">
                  <c:v>43983</c:v>
                </c:pt>
                <c:pt idx="4">
                  <c:v>44013</c:v>
                </c:pt>
                <c:pt idx="5">
                  <c:v>44044</c:v>
                </c:pt>
                <c:pt idx="6">
                  <c:v>44075</c:v>
                </c:pt>
                <c:pt idx="7">
                  <c:v>44105</c:v>
                </c:pt>
                <c:pt idx="8">
                  <c:v>44136</c:v>
                </c:pt>
                <c:pt idx="9">
                  <c:v>44166</c:v>
                </c:pt>
                <c:pt idx="10">
                  <c:v>44197</c:v>
                </c:pt>
                <c:pt idx="11">
                  <c:v>44228</c:v>
                </c:pt>
                <c:pt idx="12">
                  <c:v>44256</c:v>
                </c:pt>
                <c:pt idx="13">
                  <c:v>44287</c:v>
                </c:pt>
                <c:pt idx="14">
                  <c:v>44317</c:v>
                </c:pt>
                <c:pt idx="15">
                  <c:v>44348</c:v>
                </c:pt>
                <c:pt idx="16">
                  <c:v>44378</c:v>
                </c:pt>
                <c:pt idx="17">
                  <c:v>44409</c:v>
                </c:pt>
                <c:pt idx="18">
                  <c:v>44440</c:v>
                </c:pt>
                <c:pt idx="19">
                  <c:v>44470</c:v>
                </c:pt>
                <c:pt idx="20">
                  <c:v>44501</c:v>
                </c:pt>
                <c:pt idx="21">
                  <c:v>44531</c:v>
                </c:pt>
                <c:pt idx="22">
                  <c:v>44562</c:v>
                </c:pt>
                <c:pt idx="23">
                  <c:v>44593</c:v>
                </c:pt>
                <c:pt idx="24">
                  <c:v>44621</c:v>
                </c:pt>
                <c:pt idx="25">
                  <c:v>44652</c:v>
                </c:pt>
                <c:pt idx="26">
                  <c:v>44682</c:v>
                </c:pt>
                <c:pt idx="27">
                  <c:v>44713</c:v>
                </c:pt>
                <c:pt idx="28">
                  <c:v>44743</c:v>
                </c:pt>
                <c:pt idx="29">
                  <c:v>44774</c:v>
                </c:pt>
                <c:pt idx="30">
                  <c:v>44805</c:v>
                </c:pt>
                <c:pt idx="31">
                  <c:v>44835</c:v>
                </c:pt>
                <c:pt idx="32">
                  <c:v>44866</c:v>
                </c:pt>
                <c:pt idx="33">
                  <c:v>44896</c:v>
                </c:pt>
                <c:pt idx="34">
                  <c:v>44927</c:v>
                </c:pt>
                <c:pt idx="35">
                  <c:v>44958</c:v>
                </c:pt>
                <c:pt idx="36">
                  <c:v>44986</c:v>
                </c:pt>
                <c:pt idx="37">
                  <c:v>45017</c:v>
                </c:pt>
                <c:pt idx="38">
                  <c:v>45047</c:v>
                </c:pt>
                <c:pt idx="39">
                  <c:v>45078</c:v>
                </c:pt>
                <c:pt idx="40">
                  <c:v>45108</c:v>
                </c:pt>
                <c:pt idx="41">
                  <c:v>45139</c:v>
                </c:pt>
              </c:numCache>
            </c:numRef>
          </c:cat>
          <c:val>
            <c:numRef>
              <c:f>'E2.8'!$G$5:$G$46</c:f>
              <c:numCache>
                <c:formatCode>#,##0</c:formatCode>
                <c:ptCount val="42"/>
                <c:pt idx="0">
                  <c:v>402643</c:v>
                </c:pt>
                <c:pt idx="1">
                  <c:v>764880</c:v>
                </c:pt>
                <c:pt idx="2">
                  <c:v>609601</c:v>
                </c:pt>
                <c:pt idx="3">
                  <c:v>442883</c:v>
                </c:pt>
                <c:pt idx="4">
                  <c:v>432331</c:v>
                </c:pt>
                <c:pt idx="5">
                  <c:v>811092</c:v>
                </c:pt>
                <c:pt idx="6">
                  <c:v>1394366</c:v>
                </c:pt>
                <c:pt idx="7">
                  <c:v>4369577</c:v>
                </c:pt>
                <c:pt idx="8">
                  <c:v>7809250</c:v>
                </c:pt>
                <c:pt idx="9">
                  <c:v>6191987</c:v>
                </c:pt>
                <c:pt idx="10">
                  <c:v>6885587</c:v>
                </c:pt>
                <c:pt idx="11">
                  <c:v>3760889</c:v>
                </c:pt>
                <c:pt idx="12">
                  <c:v>5194670</c:v>
                </c:pt>
                <c:pt idx="13">
                  <c:v>4800600</c:v>
                </c:pt>
                <c:pt idx="14">
                  <c:v>2710776</c:v>
                </c:pt>
                <c:pt idx="15">
                  <c:v>1332915</c:v>
                </c:pt>
                <c:pt idx="16">
                  <c:v>3302008</c:v>
                </c:pt>
                <c:pt idx="17">
                  <c:v>4062937</c:v>
                </c:pt>
                <c:pt idx="18">
                  <c:v>3604533</c:v>
                </c:pt>
                <c:pt idx="19">
                  <c:v>5726081</c:v>
                </c:pt>
                <c:pt idx="20">
                  <c:v>8945907</c:v>
                </c:pt>
                <c:pt idx="21">
                  <c:v>12865929</c:v>
                </c:pt>
                <c:pt idx="22">
                  <c:v>40790506</c:v>
                </c:pt>
                <c:pt idx="23">
                  <c:v>29413626</c:v>
                </c:pt>
                <c:pt idx="24">
                  <c:v>21118512</c:v>
                </c:pt>
                <c:pt idx="25">
                  <c:v>12961374</c:v>
                </c:pt>
                <c:pt idx="26">
                  <c:v>6502402</c:v>
                </c:pt>
                <c:pt idx="27">
                  <c:v>6000973</c:v>
                </c:pt>
                <c:pt idx="28">
                  <c:v>12797144</c:v>
                </c:pt>
                <c:pt idx="29">
                  <c:v>5492482</c:v>
                </c:pt>
                <c:pt idx="30">
                  <c:v>5176218</c:v>
                </c:pt>
                <c:pt idx="31">
                  <c:v>7754791</c:v>
                </c:pt>
                <c:pt idx="32">
                  <c:v>3561762</c:v>
                </c:pt>
                <c:pt idx="33">
                  <c:v>4322229</c:v>
                </c:pt>
                <c:pt idx="34">
                  <c:v>1906811</c:v>
                </c:pt>
                <c:pt idx="35">
                  <c:v>1469839</c:v>
                </c:pt>
                <c:pt idx="36">
                  <c:v>1542561</c:v>
                </c:pt>
                <c:pt idx="37">
                  <c:v>1044282</c:v>
                </c:pt>
                <c:pt idx="38">
                  <c:v>478355</c:v>
                </c:pt>
                <c:pt idx="39">
                  <c:v>213466</c:v>
                </c:pt>
                <c:pt idx="40">
                  <c:v>81828</c:v>
                </c:pt>
                <c:pt idx="41">
                  <c:v>155013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2B-4DBD-A829-5ADAD9CC9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6701904"/>
        <c:axId val="406702464"/>
      </c:barChart>
      <c:dateAx>
        <c:axId val="406701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Hónap</a:t>
                </a:r>
              </a:p>
            </c:rich>
          </c:tx>
          <c:layout>
            <c:manualLayout>
              <c:xMode val="edge"/>
              <c:yMode val="edge"/>
              <c:x val="0.96153852823912778"/>
              <c:y val="0.958095981536790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yyyy/mm/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06702464"/>
        <c:crosses val="autoZero"/>
        <c:auto val="1"/>
        <c:lblOffset val="100"/>
        <c:baseTimeUnit val="months"/>
        <c:majorUnit val="1"/>
        <c:majorTimeUnit val="months"/>
        <c:minorUnit val="1"/>
      </c:dateAx>
      <c:valAx>
        <c:axId val="406702464"/>
        <c:scaling>
          <c:orientation val="minMax"/>
          <c:max val="1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fő</a:t>
                </a:r>
              </a:p>
            </c:rich>
          </c:tx>
          <c:layout>
            <c:manualLayout>
              <c:xMode val="edge"/>
              <c:yMode val="edge"/>
              <c:x val="6.868131868131868E-3"/>
              <c:y val="1.157407407407407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06701904"/>
        <c:crosses val="autoZero"/>
        <c:crossBetween val="between"/>
        <c:majorUnit val="1000000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7455697516260316"/>
          <c:y val="7.8877287916103003E-2"/>
          <c:w val="0.56867152397290854"/>
          <c:h val="8.0094118191173236E-2"/>
        </c:manualLayout>
      </c:layout>
      <c:overlay val="0"/>
      <c:spPr>
        <a:solidFill>
          <a:schemeClr val="bg1"/>
        </a:solidFill>
        <a:ln w="158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 alignWithMargins="0"/>
    <c:pageMargins b="1" l="0.75000000000000122" r="0.75000000000000122" t="1" header="0.5" footer="0.5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j-ea"/>
                <a:cs typeface="+mj-cs"/>
              </a:defRPr>
            </a:pPr>
            <a:r>
              <a:rPr lang="hu-HU" sz="1600" b="0" i="0" baseline="0">
                <a:effectLst/>
              </a:rPr>
              <a:t>Koronavírus esetek kontinensenkénti megoszlása</a:t>
            </a:r>
            <a:endParaRPr lang="hu-HU" sz="1600">
              <a:effectLst/>
            </a:endParaRPr>
          </a:p>
        </c:rich>
      </c:tx>
      <c:layout>
        <c:manualLayout>
          <c:xMode val="edge"/>
          <c:yMode val="edge"/>
          <c:x val="0.16344061187440245"/>
          <c:y val="2.49539242547659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j-ea"/>
              <a:cs typeface="+mj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8.7912087912087933E-2"/>
          <c:y val="0.16811085330634612"/>
          <c:w val="0.88191500789550015"/>
          <c:h val="0.68817663466047929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'E2.8'!$C$4</c:f>
              <c:strCache>
                <c:ptCount val="1"/>
                <c:pt idx="0">
                  <c:v>Afrika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'E2.8'!$B$5:$B$46</c:f>
              <c:numCache>
                <c:formatCode>yyyy/mm/</c:formatCode>
                <c:ptCount val="42"/>
                <c:pt idx="0">
                  <c:v>43891</c:v>
                </c:pt>
                <c:pt idx="1">
                  <c:v>43922</c:v>
                </c:pt>
                <c:pt idx="2">
                  <c:v>43952</c:v>
                </c:pt>
                <c:pt idx="3">
                  <c:v>43983</c:v>
                </c:pt>
                <c:pt idx="4">
                  <c:v>44013</c:v>
                </c:pt>
                <c:pt idx="5">
                  <c:v>44044</c:v>
                </c:pt>
                <c:pt idx="6">
                  <c:v>44075</c:v>
                </c:pt>
                <c:pt idx="7">
                  <c:v>44105</c:v>
                </c:pt>
                <c:pt idx="8">
                  <c:v>44136</c:v>
                </c:pt>
                <c:pt idx="9">
                  <c:v>44166</c:v>
                </c:pt>
                <c:pt idx="10">
                  <c:v>44197</c:v>
                </c:pt>
                <c:pt idx="11">
                  <c:v>44228</c:v>
                </c:pt>
                <c:pt idx="12">
                  <c:v>44256</c:v>
                </c:pt>
                <c:pt idx="13">
                  <c:v>44287</c:v>
                </c:pt>
                <c:pt idx="14">
                  <c:v>44317</c:v>
                </c:pt>
                <c:pt idx="15">
                  <c:v>44348</c:v>
                </c:pt>
                <c:pt idx="16">
                  <c:v>44378</c:v>
                </c:pt>
                <c:pt idx="17">
                  <c:v>44409</c:v>
                </c:pt>
                <c:pt idx="18">
                  <c:v>44440</c:v>
                </c:pt>
                <c:pt idx="19">
                  <c:v>44470</c:v>
                </c:pt>
                <c:pt idx="20">
                  <c:v>44501</c:v>
                </c:pt>
                <c:pt idx="21">
                  <c:v>44531</c:v>
                </c:pt>
                <c:pt idx="22">
                  <c:v>44562</c:v>
                </c:pt>
                <c:pt idx="23">
                  <c:v>44593</c:v>
                </c:pt>
                <c:pt idx="24">
                  <c:v>44621</c:v>
                </c:pt>
                <c:pt idx="25">
                  <c:v>44652</c:v>
                </c:pt>
                <c:pt idx="26">
                  <c:v>44682</c:v>
                </c:pt>
                <c:pt idx="27">
                  <c:v>44713</c:v>
                </c:pt>
                <c:pt idx="28">
                  <c:v>44743</c:v>
                </c:pt>
                <c:pt idx="29">
                  <c:v>44774</c:v>
                </c:pt>
                <c:pt idx="30">
                  <c:v>44805</c:v>
                </c:pt>
                <c:pt idx="31">
                  <c:v>44835</c:v>
                </c:pt>
                <c:pt idx="32">
                  <c:v>44866</c:v>
                </c:pt>
                <c:pt idx="33">
                  <c:v>44896</c:v>
                </c:pt>
                <c:pt idx="34">
                  <c:v>44927</c:v>
                </c:pt>
                <c:pt idx="35">
                  <c:v>44958</c:v>
                </c:pt>
                <c:pt idx="36">
                  <c:v>44986</c:v>
                </c:pt>
                <c:pt idx="37">
                  <c:v>45017</c:v>
                </c:pt>
                <c:pt idx="38">
                  <c:v>45047</c:v>
                </c:pt>
                <c:pt idx="39">
                  <c:v>45078</c:v>
                </c:pt>
                <c:pt idx="40">
                  <c:v>45108</c:v>
                </c:pt>
                <c:pt idx="41">
                  <c:v>45139</c:v>
                </c:pt>
              </c:numCache>
            </c:numRef>
          </c:cat>
          <c:val>
            <c:numRef>
              <c:f>'E2.8'!$C$5:$C$46</c:f>
              <c:numCache>
                <c:formatCode>#,##0</c:formatCode>
                <c:ptCount val="42"/>
                <c:pt idx="0">
                  <c:v>5658</c:v>
                </c:pt>
                <c:pt idx="1">
                  <c:v>31978</c:v>
                </c:pt>
                <c:pt idx="2">
                  <c:v>106939</c:v>
                </c:pt>
                <c:pt idx="3">
                  <c:v>256265</c:v>
                </c:pt>
                <c:pt idx="4">
                  <c:v>516509</c:v>
                </c:pt>
                <c:pt idx="5">
                  <c:v>335551</c:v>
                </c:pt>
                <c:pt idx="6">
                  <c:v>229879</c:v>
                </c:pt>
                <c:pt idx="7">
                  <c:v>302963</c:v>
                </c:pt>
                <c:pt idx="8">
                  <c:v>394177</c:v>
                </c:pt>
                <c:pt idx="9">
                  <c:v>567930</c:v>
                </c:pt>
                <c:pt idx="10">
                  <c:v>829867</c:v>
                </c:pt>
                <c:pt idx="11">
                  <c:v>345901</c:v>
                </c:pt>
                <c:pt idx="12">
                  <c:v>327340</c:v>
                </c:pt>
                <c:pt idx="13">
                  <c:v>347579</c:v>
                </c:pt>
                <c:pt idx="14">
                  <c:v>287495</c:v>
                </c:pt>
                <c:pt idx="15">
                  <c:v>643891</c:v>
                </c:pt>
                <c:pt idx="16">
                  <c:v>1220614</c:v>
                </c:pt>
                <c:pt idx="17">
                  <c:v>1122757</c:v>
                </c:pt>
                <c:pt idx="18">
                  <c:v>524685</c:v>
                </c:pt>
                <c:pt idx="19">
                  <c:v>204774</c:v>
                </c:pt>
                <c:pt idx="20">
                  <c:v>186801</c:v>
                </c:pt>
                <c:pt idx="21">
                  <c:v>1061679</c:v>
                </c:pt>
                <c:pt idx="22">
                  <c:v>1241829</c:v>
                </c:pt>
                <c:pt idx="23">
                  <c:v>606571</c:v>
                </c:pt>
                <c:pt idx="24">
                  <c:v>233678</c:v>
                </c:pt>
                <c:pt idx="25">
                  <c:v>160186</c:v>
                </c:pt>
                <c:pt idx="26">
                  <c:v>236726</c:v>
                </c:pt>
                <c:pt idx="27">
                  <c:v>187690</c:v>
                </c:pt>
                <c:pt idx="28">
                  <c:v>222430</c:v>
                </c:pt>
                <c:pt idx="29">
                  <c:v>88706</c:v>
                </c:pt>
                <c:pt idx="30">
                  <c:v>47056</c:v>
                </c:pt>
                <c:pt idx="31">
                  <c:v>33104</c:v>
                </c:pt>
                <c:pt idx="32">
                  <c:v>49455</c:v>
                </c:pt>
                <c:pt idx="33">
                  <c:v>42558</c:v>
                </c:pt>
                <c:pt idx="34">
                  <c:v>36624</c:v>
                </c:pt>
                <c:pt idx="35">
                  <c:v>17661</c:v>
                </c:pt>
                <c:pt idx="36">
                  <c:v>18819</c:v>
                </c:pt>
                <c:pt idx="37">
                  <c:v>9099</c:v>
                </c:pt>
                <c:pt idx="38">
                  <c:v>10947</c:v>
                </c:pt>
                <c:pt idx="39">
                  <c:v>8624</c:v>
                </c:pt>
                <c:pt idx="40">
                  <c:v>3947</c:v>
                </c:pt>
                <c:pt idx="41">
                  <c:v>1064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45-4398-8496-F1F13AED3DFC}"/>
            </c:ext>
          </c:extLst>
        </c:ser>
        <c:ser>
          <c:idx val="3"/>
          <c:order val="1"/>
          <c:tx>
            <c:strRef>
              <c:f>'E2.8'!$D$4</c:f>
              <c:strCache>
                <c:ptCount val="1"/>
                <c:pt idx="0">
                  <c:v>Amerika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'E2.8'!$B$5:$B$46</c:f>
              <c:numCache>
                <c:formatCode>yyyy/mm/</c:formatCode>
                <c:ptCount val="42"/>
                <c:pt idx="0">
                  <c:v>43891</c:v>
                </c:pt>
                <c:pt idx="1">
                  <c:v>43922</c:v>
                </c:pt>
                <c:pt idx="2">
                  <c:v>43952</c:v>
                </c:pt>
                <c:pt idx="3">
                  <c:v>43983</c:v>
                </c:pt>
                <c:pt idx="4">
                  <c:v>44013</c:v>
                </c:pt>
                <c:pt idx="5">
                  <c:v>44044</c:v>
                </c:pt>
                <c:pt idx="6">
                  <c:v>44075</c:v>
                </c:pt>
                <c:pt idx="7">
                  <c:v>44105</c:v>
                </c:pt>
                <c:pt idx="8">
                  <c:v>44136</c:v>
                </c:pt>
                <c:pt idx="9">
                  <c:v>44166</c:v>
                </c:pt>
                <c:pt idx="10">
                  <c:v>44197</c:v>
                </c:pt>
                <c:pt idx="11">
                  <c:v>44228</c:v>
                </c:pt>
                <c:pt idx="12">
                  <c:v>44256</c:v>
                </c:pt>
                <c:pt idx="13">
                  <c:v>44287</c:v>
                </c:pt>
                <c:pt idx="14">
                  <c:v>44317</c:v>
                </c:pt>
                <c:pt idx="15">
                  <c:v>44348</c:v>
                </c:pt>
                <c:pt idx="16">
                  <c:v>44378</c:v>
                </c:pt>
                <c:pt idx="17">
                  <c:v>44409</c:v>
                </c:pt>
                <c:pt idx="18">
                  <c:v>44440</c:v>
                </c:pt>
                <c:pt idx="19">
                  <c:v>44470</c:v>
                </c:pt>
                <c:pt idx="20">
                  <c:v>44501</c:v>
                </c:pt>
                <c:pt idx="21">
                  <c:v>44531</c:v>
                </c:pt>
                <c:pt idx="22">
                  <c:v>44562</c:v>
                </c:pt>
                <c:pt idx="23">
                  <c:v>44593</c:v>
                </c:pt>
                <c:pt idx="24">
                  <c:v>44621</c:v>
                </c:pt>
                <c:pt idx="25">
                  <c:v>44652</c:v>
                </c:pt>
                <c:pt idx="26">
                  <c:v>44682</c:v>
                </c:pt>
                <c:pt idx="27">
                  <c:v>44713</c:v>
                </c:pt>
                <c:pt idx="28">
                  <c:v>44743</c:v>
                </c:pt>
                <c:pt idx="29">
                  <c:v>44774</c:v>
                </c:pt>
                <c:pt idx="30">
                  <c:v>44805</c:v>
                </c:pt>
                <c:pt idx="31">
                  <c:v>44835</c:v>
                </c:pt>
                <c:pt idx="32">
                  <c:v>44866</c:v>
                </c:pt>
                <c:pt idx="33">
                  <c:v>44896</c:v>
                </c:pt>
                <c:pt idx="34">
                  <c:v>44927</c:v>
                </c:pt>
                <c:pt idx="35">
                  <c:v>44958</c:v>
                </c:pt>
                <c:pt idx="36">
                  <c:v>44986</c:v>
                </c:pt>
                <c:pt idx="37">
                  <c:v>45017</c:v>
                </c:pt>
                <c:pt idx="38">
                  <c:v>45047</c:v>
                </c:pt>
                <c:pt idx="39">
                  <c:v>45078</c:v>
                </c:pt>
                <c:pt idx="40">
                  <c:v>45108</c:v>
                </c:pt>
                <c:pt idx="41">
                  <c:v>45139</c:v>
                </c:pt>
              </c:numCache>
            </c:numRef>
          </c:cat>
          <c:val>
            <c:numRef>
              <c:f>'E2.8'!$D$5:$D$46</c:f>
              <c:numCache>
                <c:formatCode>#,##0</c:formatCode>
                <c:ptCount val="42"/>
                <c:pt idx="0">
                  <c:v>197904</c:v>
                </c:pt>
                <c:pt idx="1">
                  <c:v>1088557</c:v>
                </c:pt>
                <c:pt idx="2">
                  <c:v>1571739</c:v>
                </c:pt>
                <c:pt idx="3">
                  <c:v>2418312</c:v>
                </c:pt>
                <c:pt idx="4">
                  <c:v>4090735</c:v>
                </c:pt>
                <c:pt idx="5">
                  <c:v>4134691</c:v>
                </c:pt>
                <c:pt idx="6">
                  <c:v>3293932</c:v>
                </c:pt>
                <c:pt idx="7">
                  <c:v>3815639</c:v>
                </c:pt>
                <c:pt idx="8">
                  <c:v>6324537</c:v>
                </c:pt>
                <c:pt idx="9">
                  <c:v>8875793</c:v>
                </c:pt>
                <c:pt idx="10">
                  <c:v>9909344</c:v>
                </c:pt>
                <c:pt idx="11">
                  <c:v>5014643</c:v>
                </c:pt>
                <c:pt idx="12">
                  <c:v>5269788</c:v>
                </c:pt>
                <c:pt idx="13">
                  <c:v>6121108</c:v>
                </c:pt>
                <c:pt idx="14">
                  <c:v>5446396</c:v>
                </c:pt>
                <c:pt idx="15">
                  <c:v>4796900</c:v>
                </c:pt>
                <c:pt idx="16">
                  <c:v>4869995</c:v>
                </c:pt>
                <c:pt idx="17">
                  <c:v>6751547</c:v>
                </c:pt>
                <c:pt idx="18">
                  <c:v>5999753</c:v>
                </c:pt>
                <c:pt idx="19">
                  <c:v>3784872</c:v>
                </c:pt>
                <c:pt idx="20">
                  <c:v>3290481</c:v>
                </c:pt>
                <c:pt idx="21">
                  <c:v>6921704</c:v>
                </c:pt>
                <c:pt idx="22">
                  <c:v>32245913</c:v>
                </c:pt>
                <c:pt idx="23">
                  <c:v>11284471</c:v>
                </c:pt>
                <c:pt idx="24">
                  <c:v>3318703</c:v>
                </c:pt>
                <c:pt idx="25">
                  <c:v>2366086</c:v>
                </c:pt>
                <c:pt idx="26">
                  <c:v>4132459</c:v>
                </c:pt>
                <c:pt idx="27">
                  <c:v>5661250</c:v>
                </c:pt>
                <c:pt idx="28">
                  <c:v>7975849</c:v>
                </c:pt>
                <c:pt idx="29">
                  <c:v>4820354</c:v>
                </c:pt>
                <c:pt idx="30">
                  <c:v>2580967</c:v>
                </c:pt>
                <c:pt idx="31">
                  <c:v>1744078</c:v>
                </c:pt>
                <c:pt idx="32">
                  <c:v>1932135</c:v>
                </c:pt>
                <c:pt idx="33">
                  <c:v>4230273</c:v>
                </c:pt>
                <c:pt idx="34">
                  <c:v>2637265</c:v>
                </c:pt>
                <c:pt idx="35">
                  <c:v>1560939</c:v>
                </c:pt>
                <c:pt idx="36">
                  <c:v>1190876</c:v>
                </c:pt>
                <c:pt idx="37">
                  <c:v>905231</c:v>
                </c:pt>
                <c:pt idx="38">
                  <c:v>402553</c:v>
                </c:pt>
                <c:pt idx="39">
                  <c:v>139391</c:v>
                </c:pt>
                <c:pt idx="40">
                  <c:v>112763</c:v>
                </c:pt>
                <c:pt idx="41">
                  <c:v>1122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45-4398-8496-F1F13AED3DFC}"/>
            </c:ext>
          </c:extLst>
        </c:ser>
        <c:ser>
          <c:idx val="1"/>
          <c:order val="2"/>
          <c:tx>
            <c:strRef>
              <c:f>'E2.8'!$E$4</c:f>
              <c:strCache>
                <c:ptCount val="1"/>
                <c:pt idx="0">
                  <c:v>Ausztrália és Óceánia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'E2.8'!$B$5:$B$46</c:f>
              <c:numCache>
                <c:formatCode>yyyy/mm/</c:formatCode>
                <c:ptCount val="42"/>
                <c:pt idx="0">
                  <c:v>43891</c:v>
                </c:pt>
                <c:pt idx="1">
                  <c:v>43922</c:v>
                </c:pt>
                <c:pt idx="2">
                  <c:v>43952</c:v>
                </c:pt>
                <c:pt idx="3">
                  <c:v>43983</c:v>
                </c:pt>
                <c:pt idx="4">
                  <c:v>44013</c:v>
                </c:pt>
                <c:pt idx="5">
                  <c:v>44044</c:v>
                </c:pt>
                <c:pt idx="6">
                  <c:v>44075</c:v>
                </c:pt>
                <c:pt idx="7">
                  <c:v>44105</c:v>
                </c:pt>
                <c:pt idx="8">
                  <c:v>44136</c:v>
                </c:pt>
                <c:pt idx="9">
                  <c:v>44166</c:v>
                </c:pt>
                <c:pt idx="10">
                  <c:v>44197</c:v>
                </c:pt>
                <c:pt idx="11">
                  <c:v>44228</c:v>
                </c:pt>
                <c:pt idx="12">
                  <c:v>44256</c:v>
                </c:pt>
                <c:pt idx="13">
                  <c:v>44287</c:v>
                </c:pt>
                <c:pt idx="14">
                  <c:v>44317</c:v>
                </c:pt>
                <c:pt idx="15">
                  <c:v>44348</c:v>
                </c:pt>
                <c:pt idx="16">
                  <c:v>44378</c:v>
                </c:pt>
                <c:pt idx="17">
                  <c:v>44409</c:v>
                </c:pt>
                <c:pt idx="18">
                  <c:v>44440</c:v>
                </c:pt>
                <c:pt idx="19">
                  <c:v>44470</c:v>
                </c:pt>
                <c:pt idx="20">
                  <c:v>44501</c:v>
                </c:pt>
                <c:pt idx="21">
                  <c:v>44531</c:v>
                </c:pt>
                <c:pt idx="22">
                  <c:v>44562</c:v>
                </c:pt>
                <c:pt idx="23">
                  <c:v>44593</c:v>
                </c:pt>
                <c:pt idx="24">
                  <c:v>44621</c:v>
                </c:pt>
                <c:pt idx="25">
                  <c:v>44652</c:v>
                </c:pt>
                <c:pt idx="26">
                  <c:v>44682</c:v>
                </c:pt>
                <c:pt idx="27">
                  <c:v>44713</c:v>
                </c:pt>
                <c:pt idx="28">
                  <c:v>44743</c:v>
                </c:pt>
                <c:pt idx="29">
                  <c:v>44774</c:v>
                </c:pt>
                <c:pt idx="30">
                  <c:v>44805</c:v>
                </c:pt>
                <c:pt idx="31">
                  <c:v>44835</c:v>
                </c:pt>
                <c:pt idx="32">
                  <c:v>44866</c:v>
                </c:pt>
                <c:pt idx="33">
                  <c:v>44896</c:v>
                </c:pt>
                <c:pt idx="34">
                  <c:v>44927</c:v>
                </c:pt>
                <c:pt idx="35">
                  <c:v>44958</c:v>
                </c:pt>
                <c:pt idx="36">
                  <c:v>44986</c:v>
                </c:pt>
                <c:pt idx="37">
                  <c:v>45017</c:v>
                </c:pt>
                <c:pt idx="38">
                  <c:v>45047</c:v>
                </c:pt>
                <c:pt idx="39">
                  <c:v>45078</c:v>
                </c:pt>
                <c:pt idx="40">
                  <c:v>45108</c:v>
                </c:pt>
                <c:pt idx="41">
                  <c:v>45139</c:v>
                </c:pt>
              </c:numCache>
            </c:numRef>
          </c:cat>
          <c:val>
            <c:numRef>
              <c:f>'E2.8'!$E$5:$E$46</c:f>
              <c:numCache>
                <c:formatCode>#,##0</c:formatCode>
                <c:ptCount val="42"/>
                <c:pt idx="0">
                  <c:v>5050</c:v>
                </c:pt>
                <c:pt idx="1">
                  <c:v>3056</c:v>
                </c:pt>
                <c:pt idx="2">
                  <c:v>500</c:v>
                </c:pt>
                <c:pt idx="3">
                  <c:v>702</c:v>
                </c:pt>
                <c:pt idx="4">
                  <c:v>8743</c:v>
                </c:pt>
                <c:pt idx="5">
                  <c:v>11412</c:v>
                </c:pt>
                <c:pt idx="6">
                  <c:v>3888</c:v>
                </c:pt>
                <c:pt idx="7">
                  <c:v>8400</c:v>
                </c:pt>
                <c:pt idx="8">
                  <c:v>9459</c:v>
                </c:pt>
                <c:pt idx="9">
                  <c:v>3948</c:v>
                </c:pt>
                <c:pt idx="10">
                  <c:v>2144</c:v>
                </c:pt>
                <c:pt idx="11">
                  <c:v>1188</c:v>
                </c:pt>
                <c:pt idx="12">
                  <c:v>6045</c:v>
                </c:pt>
                <c:pt idx="13">
                  <c:v>6098</c:v>
                </c:pt>
                <c:pt idx="14">
                  <c:v>5721</c:v>
                </c:pt>
                <c:pt idx="15">
                  <c:v>6383</c:v>
                </c:pt>
                <c:pt idx="16">
                  <c:v>30229</c:v>
                </c:pt>
                <c:pt idx="17">
                  <c:v>62024</c:v>
                </c:pt>
                <c:pt idx="18">
                  <c:v>70994</c:v>
                </c:pt>
                <c:pt idx="19">
                  <c:v>88222</c:v>
                </c:pt>
                <c:pt idx="20">
                  <c:v>51404</c:v>
                </c:pt>
                <c:pt idx="21">
                  <c:v>163272</c:v>
                </c:pt>
                <c:pt idx="22">
                  <c:v>1994163</c:v>
                </c:pt>
                <c:pt idx="23">
                  <c:v>882688</c:v>
                </c:pt>
                <c:pt idx="24">
                  <c:v>1740940</c:v>
                </c:pt>
                <c:pt idx="25">
                  <c:v>1639149</c:v>
                </c:pt>
                <c:pt idx="26">
                  <c:v>1730560</c:v>
                </c:pt>
                <c:pt idx="27">
                  <c:v>967371</c:v>
                </c:pt>
                <c:pt idx="28">
                  <c:v>1425766</c:v>
                </c:pt>
                <c:pt idx="29">
                  <c:v>933992</c:v>
                </c:pt>
                <c:pt idx="30">
                  <c:v>242098</c:v>
                </c:pt>
                <c:pt idx="31">
                  <c:v>267892</c:v>
                </c:pt>
                <c:pt idx="32">
                  <c:v>380420</c:v>
                </c:pt>
                <c:pt idx="33">
                  <c:v>565082</c:v>
                </c:pt>
                <c:pt idx="34">
                  <c:v>267103</c:v>
                </c:pt>
                <c:pt idx="35">
                  <c:v>102645</c:v>
                </c:pt>
                <c:pt idx="36">
                  <c:v>132751</c:v>
                </c:pt>
                <c:pt idx="37">
                  <c:v>159795</c:v>
                </c:pt>
                <c:pt idx="38">
                  <c:v>258579</c:v>
                </c:pt>
                <c:pt idx="39">
                  <c:v>113797</c:v>
                </c:pt>
                <c:pt idx="40">
                  <c:v>63227</c:v>
                </c:pt>
                <c:pt idx="41">
                  <c:v>35527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45-4398-8496-F1F13AED3DFC}"/>
            </c:ext>
          </c:extLst>
        </c:ser>
        <c:ser>
          <c:idx val="2"/>
          <c:order val="3"/>
          <c:tx>
            <c:strRef>
              <c:f>'E2.8'!$F$4</c:f>
              <c:strCache>
                <c:ptCount val="1"/>
                <c:pt idx="0">
                  <c:v>Ázsia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'E2.8'!$B$5:$B$46</c:f>
              <c:numCache>
                <c:formatCode>yyyy/mm/</c:formatCode>
                <c:ptCount val="42"/>
                <c:pt idx="0">
                  <c:v>43891</c:v>
                </c:pt>
                <c:pt idx="1">
                  <c:v>43922</c:v>
                </c:pt>
                <c:pt idx="2">
                  <c:v>43952</c:v>
                </c:pt>
                <c:pt idx="3">
                  <c:v>43983</c:v>
                </c:pt>
                <c:pt idx="4">
                  <c:v>44013</c:v>
                </c:pt>
                <c:pt idx="5">
                  <c:v>44044</c:v>
                </c:pt>
                <c:pt idx="6">
                  <c:v>44075</c:v>
                </c:pt>
                <c:pt idx="7">
                  <c:v>44105</c:v>
                </c:pt>
                <c:pt idx="8">
                  <c:v>44136</c:v>
                </c:pt>
                <c:pt idx="9">
                  <c:v>44166</c:v>
                </c:pt>
                <c:pt idx="10">
                  <c:v>44197</c:v>
                </c:pt>
                <c:pt idx="11">
                  <c:v>44228</c:v>
                </c:pt>
                <c:pt idx="12">
                  <c:v>44256</c:v>
                </c:pt>
                <c:pt idx="13">
                  <c:v>44287</c:v>
                </c:pt>
                <c:pt idx="14">
                  <c:v>44317</c:v>
                </c:pt>
                <c:pt idx="15">
                  <c:v>44348</c:v>
                </c:pt>
                <c:pt idx="16">
                  <c:v>44378</c:v>
                </c:pt>
                <c:pt idx="17">
                  <c:v>44409</c:v>
                </c:pt>
                <c:pt idx="18">
                  <c:v>44440</c:v>
                </c:pt>
                <c:pt idx="19">
                  <c:v>44470</c:v>
                </c:pt>
                <c:pt idx="20">
                  <c:v>44501</c:v>
                </c:pt>
                <c:pt idx="21">
                  <c:v>44531</c:v>
                </c:pt>
                <c:pt idx="22">
                  <c:v>44562</c:v>
                </c:pt>
                <c:pt idx="23">
                  <c:v>44593</c:v>
                </c:pt>
                <c:pt idx="24">
                  <c:v>44621</c:v>
                </c:pt>
                <c:pt idx="25">
                  <c:v>44652</c:v>
                </c:pt>
                <c:pt idx="26">
                  <c:v>44682</c:v>
                </c:pt>
                <c:pt idx="27">
                  <c:v>44713</c:v>
                </c:pt>
                <c:pt idx="28">
                  <c:v>44743</c:v>
                </c:pt>
                <c:pt idx="29">
                  <c:v>44774</c:v>
                </c:pt>
                <c:pt idx="30">
                  <c:v>44805</c:v>
                </c:pt>
                <c:pt idx="31">
                  <c:v>44835</c:v>
                </c:pt>
                <c:pt idx="32">
                  <c:v>44866</c:v>
                </c:pt>
                <c:pt idx="33">
                  <c:v>44896</c:v>
                </c:pt>
                <c:pt idx="34">
                  <c:v>44927</c:v>
                </c:pt>
                <c:pt idx="35">
                  <c:v>44958</c:v>
                </c:pt>
                <c:pt idx="36">
                  <c:v>44986</c:v>
                </c:pt>
                <c:pt idx="37">
                  <c:v>45017</c:v>
                </c:pt>
                <c:pt idx="38">
                  <c:v>45047</c:v>
                </c:pt>
                <c:pt idx="39">
                  <c:v>45078</c:v>
                </c:pt>
                <c:pt idx="40">
                  <c:v>45108</c:v>
                </c:pt>
                <c:pt idx="41">
                  <c:v>45139</c:v>
                </c:pt>
              </c:numCache>
            </c:numRef>
          </c:cat>
          <c:val>
            <c:numRef>
              <c:f>'E2.8'!$F$5:$F$46</c:f>
              <c:numCache>
                <c:formatCode>#,##0</c:formatCode>
                <c:ptCount val="42"/>
                <c:pt idx="0">
                  <c:v>86460</c:v>
                </c:pt>
                <c:pt idx="1">
                  <c:v>334418</c:v>
                </c:pt>
                <c:pt idx="2">
                  <c:v>601599</c:v>
                </c:pt>
                <c:pt idx="3">
                  <c:v>1150241</c:v>
                </c:pt>
                <c:pt idx="4">
                  <c:v>1925651</c:v>
                </c:pt>
                <c:pt idx="5">
                  <c:v>2995166</c:v>
                </c:pt>
                <c:pt idx="6">
                  <c:v>3712163</c:v>
                </c:pt>
                <c:pt idx="7">
                  <c:v>3274607</c:v>
                </c:pt>
                <c:pt idx="8">
                  <c:v>3177439</c:v>
                </c:pt>
                <c:pt idx="9">
                  <c:v>3161359</c:v>
                </c:pt>
                <c:pt idx="10">
                  <c:v>2424773</c:v>
                </c:pt>
                <c:pt idx="11">
                  <c:v>1899188</c:v>
                </c:pt>
                <c:pt idx="12">
                  <c:v>3377848</c:v>
                </c:pt>
                <c:pt idx="13">
                  <c:v>10688909</c:v>
                </c:pt>
                <c:pt idx="14">
                  <c:v>12053536</c:v>
                </c:pt>
                <c:pt idx="15">
                  <c:v>4620180</c:v>
                </c:pt>
                <c:pt idx="16">
                  <c:v>6158654</c:v>
                </c:pt>
                <c:pt idx="17">
                  <c:v>8087800</c:v>
                </c:pt>
                <c:pt idx="18">
                  <c:v>5839961</c:v>
                </c:pt>
                <c:pt idx="19">
                  <c:v>3699129</c:v>
                </c:pt>
                <c:pt idx="20">
                  <c:v>2799248</c:v>
                </c:pt>
                <c:pt idx="21">
                  <c:v>2495589</c:v>
                </c:pt>
                <c:pt idx="22">
                  <c:v>15514869</c:v>
                </c:pt>
                <c:pt idx="23">
                  <c:v>16744247</c:v>
                </c:pt>
                <c:pt idx="24">
                  <c:v>22469713</c:v>
                </c:pt>
                <c:pt idx="25">
                  <c:v>8101077</c:v>
                </c:pt>
                <c:pt idx="26">
                  <c:v>4468871</c:v>
                </c:pt>
                <c:pt idx="27">
                  <c:v>3599050</c:v>
                </c:pt>
                <c:pt idx="28">
                  <c:v>8812116</c:v>
                </c:pt>
                <c:pt idx="29">
                  <c:v>13134078</c:v>
                </c:pt>
                <c:pt idx="30">
                  <c:v>6058083</c:v>
                </c:pt>
                <c:pt idx="31">
                  <c:v>3881943</c:v>
                </c:pt>
                <c:pt idx="32">
                  <c:v>5312790</c:v>
                </c:pt>
                <c:pt idx="33">
                  <c:v>81822590</c:v>
                </c:pt>
                <c:pt idx="34">
                  <c:v>18160227</c:v>
                </c:pt>
                <c:pt idx="35">
                  <c:v>1680274</c:v>
                </c:pt>
                <c:pt idx="36">
                  <c:v>937078</c:v>
                </c:pt>
                <c:pt idx="37">
                  <c:v>1148105</c:v>
                </c:pt>
                <c:pt idx="38">
                  <c:v>980503</c:v>
                </c:pt>
                <c:pt idx="39">
                  <c:v>544193</c:v>
                </c:pt>
                <c:pt idx="40">
                  <c:v>1132850</c:v>
                </c:pt>
                <c:pt idx="41">
                  <c:v>1286479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45-4398-8496-F1F13AED3DFC}"/>
            </c:ext>
          </c:extLst>
        </c:ser>
        <c:ser>
          <c:idx val="4"/>
          <c:order val="4"/>
          <c:tx>
            <c:strRef>
              <c:f>'E2.8'!$G$4</c:f>
              <c:strCache>
                <c:ptCount val="1"/>
                <c:pt idx="0">
                  <c:v>Európa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'E2.8'!$B$5:$B$46</c:f>
              <c:numCache>
                <c:formatCode>yyyy/mm/</c:formatCode>
                <c:ptCount val="42"/>
                <c:pt idx="0">
                  <c:v>43891</c:v>
                </c:pt>
                <c:pt idx="1">
                  <c:v>43922</c:v>
                </c:pt>
                <c:pt idx="2">
                  <c:v>43952</c:v>
                </c:pt>
                <c:pt idx="3">
                  <c:v>43983</c:v>
                </c:pt>
                <c:pt idx="4">
                  <c:v>44013</c:v>
                </c:pt>
                <c:pt idx="5">
                  <c:v>44044</c:v>
                </c:pt>
                <c:pt idx="6">
                  <c:v>44075</c:v>
                </c:pt>
                <c:pt idx="7">
                  <c:v>44105</c:v>
                </c:pt>
                <c:pt idx="8">
                  <c:v>44136</c:v>
                </c:pt>
                <c:pt idx="9">
                  <c:v>44166</c:v>
                </c:pt>
                <c:pt idx="10">
                  <c:v>44197</c:v>
                </c:pt>
                <c:pt idx="11">
                  <c:v>44228</c:v>
                </c:pt>
                <c:pt idx="12">
                  <c:v>44256</c:v>
                </c:pt>
                <c:pt idx="13">
                  <c:v>44287</c:v>
                </c:pt>
                <c:pt idx="14">
                  <c:v>44317</c:v>
                </c:pt>
                <c:pt idx="15">
                  <c:v>44348</c:v>
                </c:pt>
                <c:pt idx="16">
                  <c:v>44378</c:v>
                </c:pt>
                <c:pt idx="17">
                  <c:v>44409</c:v>
                </c:pt>
                <c:pt idx="18">
                  <c:v>44440</c:v>
                </c:pt>
                <c:pt idx="19">
                  <c:v>44470</c:v>
                </c:pt>
                <c:pt idx="20">
                  <c:v>44501</c:v>
                </c:pt>
                <c:pt idx="21">
                  <c:v>44531</c:v>
                </c:pt>
                <c:pt idx="22">
                  <c:v>44562</c:v>
                </c:pt>
                <c:pt idx="23">
                  <c:v>44593</c:v>
                </c:pt>
                <c:pt idx="24">
                  <c:v>44621</c:v>
                </c:pt>
                <c:pt idx="25">
                  <c:v>44652</c:v>
                </c:pt>
                <c:pt idx="26">
                  <c:v>44682</c:v>
                </c:pt>
                <c:pt idx="27">
                  <c:v>44713</c:v>
                </c:pt>
                <c:pt idx="28">
                  <c:v>44743</c:v>
                </c:pt>
                <c:pt idx="29">
                  <c:v>44774</c:v>
                </c:pt>
                <c:pt idx="30">
                  <c:v>44805</c:v>
                </c:pt>
                <c:pt idx="31">
                  <c:v>44835</c:v>
                </c:pt>
                <c:pt idx="32">
                  <c:v>44866</c:v>
                </c:pt>
                <c:pt idx="33">
                  <c:v>44896</c:v>
                </c:pt>
                <c:pt idx="34">
                  <c:v>44927</c:v>
                </c:pt>
                <c:pt idx="35">
                  <c:v>44958</c:v>
                </c:pt>
                <c:pt idx="36">
                  <c:v>44986</c:v>
                </c:pt>
                <c:pt idx="37">
                  <c:v>45017</c:v>
                </c:pt>
                <c:pt idx="38">
                  <c:v>45047</c:v>
                </c:pt>
                <c:pt idx="39">
                  <c:v>45078</c:v>
                </c:pt>
                <c:pt idx="40">
                  <c:v>45108</c:v>
                </c:pt>
                <c:pt idx="41">
                  <c:v>45139</c:v>
                </c:pt>
              </c:numCache>
            </c:numRef>
          </c:cat>
          <c:val>
            <c:numRef>
              <c:f>'E2.8'!$G$5:$G$46</c:f>
              <c:numCache>
                <c:formatCode>#,##0</c:formatCode>
                <c:ptCount val="42"/>
                <c:pt idx="0">
                  <c:v>402643</c:v>
                </c:pt>
                <c:pt idx="1">
                  <c:v>764880</c:v>
                </c:pt>
                <c:pt idx="2">
                  <c:v>609601</c:v>
                </c:pt>
                <c:pt idx="3">
                  <c:v>442883</c:v>
                </c:pt>
                <c:pt idx="4">
                  <c:v>432331</c:v>
                </c:pt>
                <c:pt idx="5">
                  <c:v>811092</c:v>
                </c:pt>
                <c:pt idx="6">
                  <c:v>1394366</c:v>
                </c:pt>
                <c:pt idx="7">
                  <c:v>4369577</c:v>
                </c:pt>
                <c:pt idx="8">
                  <c:v>7809250</c:v>
                </c:pt>
                <c:pt idx="9">
                  <c:v>6191987</c:v>
                </c:pt>
                <c:pt idx="10">
                  <c:v>6885587</c:v>
                </c:pt>
                <c:pt idx="11">
                  <c:v>3760889</c:v>
                </c:pt>
                <c:pt idx="12">
                  <c:v>5194670</c:v>
                </c:pt>
                <c:pt idx="13">
                  <c:v>4800600</c:v>
                </c:pt>
                <c:pt idx="14">
                  <c:v>2710776</c:v>
                </c:pt>
                <c:pt idx="15">
                  <c:v>1332915</c:v>
                </c:pt>
                <c:pt idx="16">
                  <c:v>3302008</c:v>
                </c:pt>
                <c:pt idx="17">
                  <c:v>4062937</c:v>
                </c:pt>
                <c:pt idx="18">
                  <c:v>3604533</c:v>
                </c:pt>
                <c:pt idx="19">
                  <c:v>5726081</c:v>
                </c:pt>
                <c:pt idx="20">
                  <c:v>8945907</c:v>
                </c:pt>
                <c:pt idx="21">
                  <c:v>12865929</c:v>
                </c:pt>
                <c:pt idx="22">
                  <c:v>40790506</c:v>
                </c:pt>
                <c:pt idx="23">
                  <c:v>29413626</c:v>
                </c:pt>
                <c:pt idx="24">
                  <c:v>21118512</c:v>
                </c:pt>
                <c:pt idx="25">
                  <c:v>12961374</c:v>
                </c:pt>
                <c:pt idx="26">
                  <c:v>6502402</c:v>
                </c:pt>
                <c:pt idx="27">
                  <c:v>6000973</c:v>
                </c:pt>
                <c:pt idx="28">
                  <c:v>12797144</c:v>
                </c:pt>
                <c:pt idx="29">
                  <c:v>5492482</c:v>
                </c:pt>
                <c:pt idx="30">
                  <c:v>5176218</c:v>
                </c:pt>
                <c:pt idx="31">
                  <c:v>7754791</c:v>
                </c:pt>
                <c:pt idx="32">
                  <c:v>3561762</c:v>
                </c:pt>
                <c:pt idx="33">
                  <c:v>4322229</c:v>
                </c:pt>
                <c:pt idx="34">
                  <c:v>1906811</c:v>
                </c:pt>
                <c:pt idx="35">
                  <c:v>1469839</c:v>
                </c:pt>
                <c:pt idx="36">
                  <c:v>1542561</c:v>
                </c:pt>
                <c:pt idx="37">
                  <c:v>1044282</c:v>
                </c:pt>
                <c:pt idx="38">
                  <c:v>478355</c:v>
                </c:pt>
                <c:pt idx="39">
                  <c:v>213466</c:v>
                </c:pt>
                <c:pt idx="40">
                  <c:v>81828</c:v>
                </c:pt>
                <c:pt idx="41">
                  <c:v>155013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45-4398-8496-F1F13AED3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8833040"/>
        <c:axId val="408833600"/>
      </c:barChart>
      <c:dateAx>
        <c:axId val="40883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Hónap</a:t>
                </a:r>
              </a:p>
            </c:rich>
          </c:tx>
          <c:layout>
            <c:manualLayout>
              <c:xMode val="edge"/>
              <c:yMode val="edge"/>
              <c:x val="0.93870900992147754"/>
              <c:y val="0.958021956932802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yyyy/mm/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08833600"/>
        <c:crosses val="autoZero"/>
        <c:auto val="1"/>
        <c:lblOffset val="100"/>
        <c:baseTimeUnit val="months"/>
        <c:majorUnit val="1"/>
        <c:minorUnit val="1"/>
      </c:dateAx>
      <c:valAx>
        <c:axId val="40883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0883304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9495923343824859"/>
          <c:y val="9.5428422152560102E-2"/>
          <c:w val="0.61074557869897916"/>
          <c:h val="4.40833806432503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 alignWithMargins="0"/>
    <c:pageMargins b="1" l="0.75000000000000122" r="0.75000000000000122" t="1" header="0.5" footer="0.5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j-ea"/>
                <a:cs typeface="+mj-cs"/>
              </a:defRPr>
            </a:pPr>
            <a:r>
              <a:rPr lang="hu-HU" sz="1600">
                <a:latin typeface="+mn-lt"/>
              </a:rPr>
              <a:t>1</a:t>
            </a:r>
            <a:r>
              <a:rPr lang="hu-HU" sz="1600" baseline="0">
                <a:latin typeface="+mn-lt"/>
              </a:rPr>
              <a:t> m</a:t>
            </a:r>
            <a:r>
              <a:rPr lang="hu-HU" sz="1600">
                <a:latin typeface="+mn-lt"/>
              </a:rPr>
              <a:t>illió főre jutó koronavírus esetek száma kontinensenként</a:t>
            </a:r>
          </a:p>
        </c:rich>
      </c:tx>
      <c:layout>
        <c:manualLayout>
          <c:xMode val="edge"/>
          <c:yMode val="edge"/>
          <c:x val="0.18617821987804051"/>
          <c:y val="5.874295055841023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j-ea"/>
              <a:cs typeface="+mj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4.5226778986736091E-2"/>
          <c:y val="0.11847659667541556"/>
          <c:w val="0.93142158525294927"/>
          <c:h val="0.735300810403394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'E2.8'!$S$53</c:f>
              <c:strCache>
                <c:ptCount val="1"/>
                <c:pt idx="0">
                  <c:v>Afrika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'E2.8'!$R$54:$R$95</c:f>
              <c:numCache>
                <c:formatCode>yyyy/mm/</c:formatCode>
                <c:ptCount val="42"/>
                <c:pt idx="0">
                  <c:v>43891</c:v>
                </c:pt>
                <c:pt idx="1">
                  <c:v>43922</c:v>
                </c:pt>
                <c:pt idx="2">
                  <c:v>43952</c:v>
                </c:pt>
                <c:pt idx="3">
                  <c:v>43983</c:v>
                </c:pt>
                <c:pt idx="4">
                  <c:v>44013</c:v>
                </c:pt>
                <c:pt idx="5">
                  <c:v>44044</c:v>
                </c:pt>
                <c:pt idx="6">
                  <c:v>44075</c:v>
                </c:pt>
                <c:pt idx="7">
                  <c:v>44105</c:v>
                </c:pt>
                <c:pt idx="8">
                  <c:v>44136</c:v>
                </c:pt>
                <c:pt idx="9">
                  <c:v>44166</c:v>
                </c:pt>
                <c:pt idx="10">
                  <c:v>44197</c:v>
                </c:pt>
                <c:pt idx="11">
                  <c:v>44228</c:v>
                </c:pt>
                <c:pt idx="12">
                  <c:v>44256</c:v>
                </c:pt>
                <c:pt idx="13">
                  <c:v>44287</c:v>
                </c:pt>
                <c:pt idx="14">
                  <c:v>44317</c:v>
                </c:pt>
                <c:pt idx="15">
                  <c:v>44348</c:v>
                </c:pt>
                <c:pt idx="16">
                  <c:v>44378</c:v>
                </c:pt>
                <c:pt idx="17">
                  <c:v>44409</c:v>
                </c:pt>
                <c:pt idx="18">
                  <c:v>44440</c:v>
                </c:pt>
                <c:pt idx="19">
                  <c:v>44470</c:v>
                </c:pt>
                <c:pt idx="20">
                  <c:v>44501</c:v>
                </c:pt>
                <c:pt idx="21">
                  <c:v>44531</c:v>
                </c:pt>
                <c:pt idx="22">
                  <c:v>44562</c:v>
                </c:pt>
                <c:pt idx="23">
                  <c:v>44593</c:v>
                </c:pt>
                <c:pt idx="24">
                  <c:v>44621</c:v>
                </c:pt>
                <c:pt idx="25">
                  <c:v>44652</c:v>
                </c:pt>
                <c:pt idx="26">
                  <c:v>44682</c:v>
                </c:pt>
                <c:pt idx="27">
                  <c:v>44713</c:v>
                </c:pt>
                <c:pt idx="28">
                  <c:v>44743</c:v>
                </c:pt>
                <c:pt idx="29">
                  <c:v>44774</c:v>
                </c:pt>
                <c:pt idx="30">
                  <c:v>44805</c:v>
                </c:pt>
                <c:pt idx="31">
                  <c:v>44835</c:v>
                </c:pt>
                <c:pt idx="32">
                  <c:v>44866</c:v>
                </c:pt>
                <c:pt idx="33">
                  <c:v>44896</c:v>
                </c:pt>
                <c:pt idx="34">
                  <c:v>44927</c:v>
                </c:pt>
                <c:pt idx="35">
                  <c:v>44958</c:v>
                </c:pt>
                <c:pt idx="36">
                  <c:v>44986</c:v>
                </c:pt>
                <c:pt idx="37">
                  <c:v>45017</c:v>
                </c:pt>
                <c:pt idx="38">
                  <c:v>45047</c:v>
                </c:pt>
                <c:pt idx="39">
                  <c:v>45078</c:v>
                </c:pt>
                <c:pt idx="40">
                  <c:v>45108</c:v>
                </c:pt>
                <c:pt idx="41">
                  <c:v>45139</c:v>
                </c:pt>
              </c:numCache>
            </c:numRef>
          </c:cat>
          <c:val>
            <c:numRef>
              <c:f>'E2.8'!$S$54:$S$95</c:f>
              <c:numCache>
                <c:formatCode>0.0</c:formatCode>
                <c:ptCount val="42"/>
                <c:pt idx="0">
                  <c:v>4.1572373254959585</c:v>
                </c:pt>
                <c:pt idx="1">
                  <c:v>23.495958853783982</c:v>
                </c:pt>
                <c:pt idx="2">
                  <c:v>78.573842762674502</c:v>
                </c:pt>
                <c:pt idx="3">
                  <c:v>188.29169728141073</c:v>
                </c:pt>
                <c:pt idx="4">
                  <c:v>379.50698016164586</c:v>
                </c:pt>
                <c:pt idx="5">
                  <c:v>246.54739162380602</c:v>
                </c:pt>
                <c:pt idx="6">
                  <c:v>168.90448199853049</c:v>
                </c:pt>
                <c:pt idx="7">
                  <c:v>222.60323291697281</c:v>
                </c:pt>
                <c:pt idx="8">
                  <c:v>289.62307127112416</c:v>
                </c:pt>
                <c:pt idx="9">
                  <c:v>417.2887582659809</c:v>
                </c:pt>
                <c:pt idx="10">
                  <c:v>595.31348637015788</c:v>
                </c:pt>
                <c:pt idx="11">
                  <c:v>248.13558106169296</c:v>
                </c:pt>
                <c:pt idx="12">
                  <c:v>234.82065997130559</c:v>
                </c:pt>
                <c:pt idx="13">
                  <c:v>249.33931133428982</c:v>
                </c:pt>
                <c:pt idx="14">
                  <c:v>206.2374461979914</c:v>
                </c:pt>
                <c:pt idx="15">
                  <c:v>461.90172166427544</c:v>
                </c:pt>
                <c:pt idx="16">
                  <c:v>875.61979913916787</c:v>
                </c:pt>
                <c:pt idx="17">
                  <c:v>805.42109038737442</c:v>
                </c:pt>
                <c:pt idx="18">
                  <c:v>376.38809182209468</c:v>
                </c:pt>
                <c:pt idx="19">
                  <c:v>146.89670014347203</c:v>
                </c:pt>
                <c:pt idx="20">
                  <c:v>134.00358680057388</c:v>
                </c:pt>
                <c:pt idx="21">
                  <c:v>761.6061692969871</c:v>
                </c:pt>
                <c:pt idx="22">
                  <c:v>870.23756131744915</c:v>
                </c:pt>
                <c:pt idx="23">
                  <c:v>425.06727400140153</c:v>
                </c:pt>
                <c:pt idx="24">
                  <c:v>163.75473020322355</c:v>
                </c:pt>
                <c:pt idx="25">
                  <c:v>112.25367904695165</c:v>
                </c:pt>
                <c:pt idx="26">
                  <c:v>165.89067974772249</c:v>
                </c:pt>
                <c:pt idx="27">
                  <c:v>131.52768044849336</c:v>
                </c:pt>
                <c:pt idx="28">
                  <c:v>155.87245970567625</c:v>
                </c:pt>
                <c:pt idx="29">
                  <c:v>62.162578836720392</c:v>
                </c:pt>
                <c:pt idx="30">
                  <c:v>32.975473020322355</c:v>
                </c:pt>
                <c:pt idx="31">
                  <c:v>23.198318149964962</c:v>
                </c:pt>
                <c:pt idx="32">
                  <c:v>34.656622284512963</c:v>
                </c:pt>
                <c:pt idx="33">
                  <c:v>29.823405746320955</c:v>
                </c:pt>
                <c:pt idx="34">
                  <c:v>25.084931506849315</c:v>
                </c:pt>
                <c:pt idx="35">
                  <c:v>12.096575342465753</c:v>
                </c:pt>
                <c:pt idx="36">
                  <c:v>12.889726027397261</c:v>
                </c:pt>
                <c:pt idx="37">
                  <c:v>6.2321917808219176</c:v>
                </c:pt>
                <c:pt idx="38">
                  <c:v>7.4979452054794518</c:v>
                </c:pt>
                <c:pt idx="39">
                  <c:v>5.9068493150684933</c:v>
                </c:pt>
                <c:pt idx="40">
                  <c:v>2.7034246575342467</c:v>
                </c:pt>
                <c:pt idx="41">
                  <c:v>0.72876712328767124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A-4820-81E6-04271FA9BB74}"/>
            </c:ext>
          </c:extLst>
        </c:ser>
        <c:ser>
          <c:idx val="1"/>
          <c:order val="1"/>
          <c:tx>
            <c:strRef>
              <c:f>'E2.8'!$T$53</c:f>
              <c:strCache>
                <c:ptCount val="1"/>
                <c:pt idx="0">
                  <c:v>Amerika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'E2.8'!$R$54:$R$95</c:f>
              <c:numCache>
                <c:formatCode>yyyy/mm/</c:formatCode>
                <c:ptCount val="42"/>
                <c:pt idx="0">
                  <c:v>43891</c:v>
                </c:pt>
                <c:pt idx="1">
                  <c:v>43922</c:v>
                </c:pt>
                <c:pt idx="2">
                  <c:v>43952</c:v>
                </c:pt>
                <c:pt idx="3">
                  <c:v>43983</c:v>
                </c:pt>
                <c:pt idx="4">
                  <c:v>44013</c:v>
                </c:pt>
                <c:pt idx="5">
                  <c:v>44044</c:v>
                </c:pt>
                <c:pt idx="6">
                  <c:v>44075</c:v>
                </c:pt>
                <c:pt idx="7">
                  <c:v>44105</c:v>
                </c:pt>
                <c:pt idx="8">
                  <c:v>44136</c:v>
                </c:pt>
                <c:pt idx="9">
                  <c:v>44166</c:v>
                </c:pt>
                <c:pt idx="10">
                  <c:v>44197</c:v>
                </c:pt>
                <c:pt idx="11">
                  <c:v>44228</c:v>
                </c:pt>
                <c:pt idx="12">
                  <c:v>44256</c:v>
                </c:pt>
                <c:pt idx="13">
                  <c:v>44287</c:v>
                </c:pt>
                <c:pt idx="14">
                  <c:v>44317</c:v>
                </c:pt>
                <c:pt idx="15">
                  <c:v>44348</c:v>
                </c:pt>
                <c:pt idx="16">
                  <c:v>44378</c:v>
                </c:pt>
                <c:pt idx="17">
                  <c:v>44409</c:v>
                </c:pt>
                <c:pt idx="18">
                  <c:v>44440</c:v>
                </c:pt>
                <c:pt idx="19">
                  <c:v>44470</c:v>
                </c:pt>
                <c:pt idx="20">
                  <c:v>44501</c:v>
                </c:pt>
                <c:pt idx="21">
                  <c:v>44531</c:v>
                </c:pt>
                <c:pt idx="22">
                  <c:v>44562</c:v>
                </c:pt>
                <c:pt idx="23">
                  <c:v>44593</c:v>
                </c:pt>
                <c:pt idx="24">
                  <c:v>44621</c:v>
                </c:pt>
                <c:pt idx="25">
                  <c:v>44652</c:v>
                </c:pt>
                <c:pt idx="26">
                  <c:v>44682</c:v>
                </c:pt>
                <c:pt idx="27">
                  <c:v>44713</c:v>
                </c:pt>
                <c:pt idx="28">
                  <c:v>44743</c:v>
                </c:pt>
                <c:pt idx="29">
                  <c:v>44774</c:v>
                </c:pt>
                <c:pt idx="30">
                  <c:v>44805</c:v>
                </c:pt>
                <c:pt idx="31">
                  <c:v>44835</c:v>
                </c:pt>
                <c:pt idx="32">
                  <c:v>44866</c:v>
                </c:pt>
                <c:pt idx="33">
                  <c:v>44896</c:v>
                </c:pt>
                <c:pt idx="34">
                  <c:v>44927</c:v>
                </c:pt>
                <c:pt idx="35">
                  <c:v>44958</c:v>
                </c:pt>
                <c:pt idx="36">
                  <c:v>44986</c:v>
                </c:pt>
                <c:pt idx="37">
                  <c:v>45017</c:v>
                </c:pt>
                <c:pt idx="38">
                  <c:v>45047</c:v>
                </c:pt>
                <c:pt idx="39">
                  <c:v>45078</c:v>
                </c:pt>
                <c:pt idx="40">
                  <c:v>45108</c:v>
                </c:pt>
                <c:pt idx="41">
                  <c:v>45139</c:v>
                </c:pt>
              </c:numCache>
            </c:numRef>
          </c:cat>
          <c:val>
            <c:numRef>
              <c:f>'E2.8'!$T$54:$T$95</c:f>
              <c:numCache>
                <c:formatCode>0.0</c:formatCode>
                <c:ptCount val="42"/>
                <c:pt idx="0">
                  <c:v>192.88888888888889</c:v>
                </c:pt>
                <c:pt idx="1">
                  <c:v>1060.9717348927875</c:v>
                </c:pt>
                <c:pt idx="2">
                  <c:v>1531.9093567251462</c:v>
                </c:pt>
                <c:pt idx="3">
                  <c:v>2357.0292397660819</c:v>
                </c:pt>
                <c:pt idx="4">
                  <c:v>3987.0711500974658</c:v>
                </c:pt>
                <c:pt idx="5">
                  <c:v>4029.9132553606237</c:v>
                </c:pt>
                <c:pt idx="6">
                  <c:v>3210.4600389863549</c:v>
                </c:pt>
                <c:pt idx="7">
                  <c:v>3718.9463937621831</c:v>
                </c:pt>
                <c:pt idx="8">
                  <c:v>6164.2660818713448</c:v>
                </c:pt>
                <c:pt idx="9">
                  <c:v>8650.8703703703704</c:v>
                </c:pt>
                <c:pt idx="10">
                  <c:v>9611.3908826382158</c:v>
                </c:pt>
                <c:pt idx="11">
                  <c:v>4863.8632395732302</c:v>
                </c:pt>
                <c:pt idx="12">
                  <c:v>5111.3365664403491</c:v>
                </c:pt>
                <c:pt idx="13">
                  <c:v>5937.0591658583899</c:v>
                </c:pt>
                <c:pt idx="14">
                  <c:v>5282.6343355965082</c:v>
                </c:pt>
                <c:pt idx="15">
                  <c:v>4652.6673132880696</c:v>
                </c:pt>
                <c:pt idx="16">
                  <c:v>4723.5645004849657</c:v>
                </c:pt>
                <c:pt idx="17">
                  <c:v>6548.5421920465569</c:v>
                </c:pt>
                <c:pt idx="18">
                  <c:v>5819.3530552861303</c:v>
                </c:pt>
                <c:pt idx="19">
                  <c:v>3671.0688651794376</c:v>
                </c:pt>
                <c:pt idx="20">
                  <c:v>3191.5431619786614</c:v>
                </c:pt>
                <c:pt idx="21">
                  <c:v>6713.5829291949567</c:v>
                </c:pt>
                <c:pt idx="22">
                  <c:v>31095.383799421408</c:v>
                </c:pt>
                <c:pt idx="23">
                  <c:v>10881.842815814851</c:v>
                </c:pt>
                <c:pt idx="24">
                  <c:v>3200.29218900675</c:v>
                </c:pt>
                <c:pt idx="25">
                  <c:v>2281.6644165863067</c:v>
                </c:pt>
                <c:pt idx="26">
                  <c:v>3985.01350048216</c:v>
                </c:pt>
                <c:pt idx="27">
                  <c:v>5459.257473481196</c:v>
                </c:pt>
                <c:pt idx="28">
                  <c:v>7691.2719382835103</c:v>
                </c:pt>
                <c:pt idx="29">
                  <c:v>4648.3645130183222</c:v>
                </c:pt>
                <c:pt idx="30">
                  <c:v>2488.8784956605591</c:v>
                </c:pt>
                <c:pt idx="31">
                  <c:v>1681.8495660559306</c:v>
                </c:pt>
                <c:pt idx="32">
                  <c:v>1863.1967213114754</c:v>
                </c:pt>
                <c:pt idx="33">
                  <c:v>4079.3375120540018</c:v>
                </c:pt>
                <c:pt idx="34">
                  <c:v>2526.1159003831417</c:v>
                </c:pt>
                <c:pt idx="35">
                  <c:v>1495.1522988505747</c:v>
                </c:pt>
                <c:pt idx="36">
                  <c:v>1140.6858237547892</c:v>
                </c:pt>
                <c:pt idx="37">
                  <c:v>867.07950191570876</c:v>
                </c:pt>
                <c:pt idx="38">
                  <c:v>385.58716475095787</c:v>
                </c:pt>
                <c:pt idx="39">
                  <c:v>133.51628352490422</c:v>
                </c:pt>
                <c:pt idx="40">
                  <c:v>108.01053639846744</c:v>
                </c:pt>
                <c:pt idx="41">
                  <c:v>1.0747126436781609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EA-4820-81E6-04271FA9BB74}"/>
            </c:ext>
          </c:extLst>
        </c:ser>
        <c:ser>
          <c:idx val="2"/>
          <c:order val="2"/>
          <c:tx>
            <c:strRef>
              <c:f>'E2.8'!$U$53</c:f>
              <c:strCache>
                <c:ptCount val="1"/>
                <c:pt idx="0">
                  <c:v>Ausztrália és Óceánia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'E2.8'!$R$54:$R$95</c:f>
              <c:numCache>
                <c:formatCode>yyyy/mm/</c:formatCode>
                <c:ptCount val="42"/>
                <c:pt idx="0">
                  <c:v>43891</c:v>
                </c:pt>
                <c:pt idx="1">
                  <c:v>43922</c:v>
                </c:pt>
                <c:pt idx="2">
                  <c:v>43952</c:v>
                </c:pt>
                <c:pt idx="3">
                  <c:v>43983</c:v>
                </c:pt>
                <c:pt idx="4">
                  <c:v>44013</c:v>
                </c:pt>
                <c:pt idx="5">
                  <c:v>44044</c:v>
                </c:pt>
                <c:pt idx="6">
                  <c:v>44075</c:v>
                </c:pt>
                <c:pt idx="7">
                  <c:v>44105</c:v>
                </c:pt>
                <c:pt idx="8">
                  <c:v>44136</c:v>
                </c:pt>
                <c:pt idx="9">
                  <c:v>44166</c:v>
                </c:pt>
                <c:pt idx="10">
                  <c:v>44197</c:v>
                </c:pt>
                <c:pt idx="11">
                  <c:v>44228</c:v>
                </c:pt>
                <c:pt idx="12">
                  <c:v>44256</c:v>
                </c:pt>
                <c:pt idx="13">
                  <c:v>44287</c:v>
                </c:pt>
                <c:pt idx="14">
                  <c:v>44317</c:v>
                </c:pt>
                <c:pt idx="15">
                  <c:v>44348</c:v>
                </c:pt>
                <c:pt idx="16">
                  <c:v>44378</c:v>
                </c:pt>
                <c:pt idx="17">
                  <c:v>44409</c:v>
                </c:pt>
                <c:pt idx="18">
                  <c:v>44440</c:v>
                </c:pt>
                <c:pt idx="19">
                  <c:v>44470</c:v>
                </c:pt>
                <c:pt idx="20">
                  <c:v>44501</c:v>
                </c:pt>
                <c:pt idx="21">
                  <c:v>44531</c:v>
                </c:pt>
                <c:pt idx="22">
                  <c:v>44562</c:v>
                </c:pt>
                <c:pt idx="23">
                  <c:v>44593</c:v>
                </c:pt>
                <c:pt idx="24">
                  <c:v>44621</c:v>
                </c:pt>
                <c:pt idx="25">
                  <c:v>44652</c:v>
                </c:pt>
                <c:pt idx="26">
                  <c:v>44682</c:v>
                </c:pt>
                <c:pt idx="27">
                  <c:v>44713</c:v>
                </c:pt>
                <c:pt idx="28">
                  <c:v>44743</c:v>
                </c:pt>
                <c:pt idx="29">
                  <c:v>44774</c:v>
                </c:pt>
                <c:pt idx="30">
                  <c:v>44805</c:v>
                </c:pt>
                <c:pt idx="31">
                  <c:v>44835</c:v>
                </c:pt>
                <c:pt idx="32">
                  <c:v>44866</c:v>
                </c:pt>
                <c:pt idx="33">
                  <c:v>44896</c:v>
                </c:pt>
                <c:pt idx="34">
                  <c:v>44927</c:v>
                </c:pt>
                <c:pt idx="35">
                  <c:v>44958</c:v>
                </c:pt>
                <c:pt idx="36">
                  <c:v>44986</c:v>
                </c:pt>
                <c:pt idx="37">
                  <c:v>45017</c:v>
                </c:pt>
                <c:pt idx="38">
                  <c:v>45047</c:v>
                </c:pt>
                <c:pt idx="39">
                  <c:v>45078</c:v>
                </c:pt>
                <c:pt idx="40">
                  <c:v>45108</c:v>
                </c:pt>
                <c:pt idx="41">
                  <c:v>45139</c:v>
                </c:pt>
              </c:numCache>
            </c:numRef>
          </c:cat>
          <c:val>
            <c:numRef>
              <c:f>'E2.8'!$U$54:$U$95</c:f>
              <c:numCache>
                <c:formatCode>0.0</c:formatCode>
                <c:ptCount val="42"/>
                <c:pt idx="0">
                  <c:v>114.77272727272727</c:v>
                </c:pt>
                <c:pt idx="1">
                  <c:v>69.454545454545453</c:v>
                </c:pt>
                <c:pt idx="2">
                  <c:v>11.363636363636363</c:v>
                </c:pt>
                <c:pt idx="3">
                  <c:v>15.954545454545455</c:v>
                </c:pt>
                <c:pt idx="4">
                  <c:v>198.70454545454547</c:v>
                </c:pt>
                <c:pt idx="5">
                  <c:v>259.36363636363637</c:v>
                </c:pt>
                <c:pt idx="6">
                  <c:v>88.36363636363636</c:v>
                </c:pt>
                <c:pt idx="7">
                  <c:v>190.90909090909091</c:v>
                </c:pt>
                <c:pt idx="8">
                  <c:v>214.97727272727272</c:v>
                </c:pt>
                <c:pt idx="9">
                  <c:v>89.727272727272734</c:v>
                </c:pt>
                <c:pt idx="10">
                  <c:v>48.727272727272727</c:v>
                </c:pt>
                <c:pt idx="11">
                  <c:v>27</c:v>
                </c:pt>
                <c:pt idx="12">
                  <c:v>137.38636363636363</c:v>
                </c:pt>
                <c:pt idx="13">
                  <c:v>138.59090909090909</c:v>
                </c:pt>
                <c:pt idx="14">
                  <c:v>130.02272727272728</c:v>
                </c:pt>
                <c:pt idx="15">
                  <c:v>145.06818181818181</c:v>
                </c:pt>
                <c:pt idx="16">
                  <c:v>687.02272727272725</c:v>
                </c:pt>
                <c:pt idx="17">
                  <c:v>1409.6363636363637</c:v>
                </c:pt>
                <c:pt idx="18">
                  <c:v>1613.5</c:v>
                </c:pt>
                <c:pt idx="19">
                  <c:v>2005.0454545454545</c:v>
                </c:pt>
                <c:pt idx="20">
                  <c:v>1168.2727272727273</c:v>
                </c:pt>
                <c:pt idx="21">
                  <c:v>3710.7272727272725</c:v>
                </c:pt>
                <c:pt idx="22">
                  <c:v>44314.73333333333</c:v>
                </c:pt>
                <c:pt idx="23">
                  <c:v>19615.288888888888</c:v>
                </c:pt>
                <c:pt idx="24">
                  <c:v>38687.555555555555</c:v>
                </c:pt>
                <c:pt idx="25">
                  <c:v>36425.533333333333</c:v>
                </c:pt>
                <c:pt idx="26">
                  <c:v>38456.888888888891</c:v>
                </c:pt>
                <c:pt idx="27">
                  <c:v>21497.133333333335</c:v>
                </c:pt>
                <c:pt idx="28">
                  <c:v>31683.68888888889</c:v>
                </c:pt>
                <c:pt idx="29">
                  <c:v>20755.37777777778</c:v>
                </c:pt>
                <c:pt idx="30">
                  <c:v>5379.9555555555553</c:v>
                </c:pt>
                <c:pt idx="31">
                  <c:v>5953.1555555555551</c:v>
                </c:pt>
                <c:pt idx="32">
                  <c:v>8453.7777777777774</c:v>
                </c:pt>
                <c:pt idx="33">
                  <c:v>12557.377777777778</c:v>
                </c:pt>
                <c:pt idx="34">
                  <c:v>5806.586956521739</c:v>
                </c:pt>
                <c:pt idx="35">
                  <c:v>2231.413043478261</c:v>
                </c:pt>
                <c:pt idx="36">
                  <c:v>2885.891304347826</c:v>
                </c:pt>
                <c:pt idx="37">
                  <c:v>3473.804347826087</c:v>
                </c:pt>
                <c:pt idx="38">
                  <c:v>5621.282608695652</c:v>
                </c:pt>
                <c:pt idx="39">
                  <c:v>2473.8478260869565</c:v>
                </c:pt>
                <c:pt idx="40">
                  <c:v>1374.5</c:v>
                </c:pt>
                <c:pt idx="41">
                  <c:v>772.32608695652175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EA-4820-81E6-04271FA9BB74}"/>
            </c:ext>
          </c:extLst>
        </c:ser>
        <c:ser>
          <c:idx val="3"/>
          <c:order val="3"/>
          <c:tx>
            <c:strRef>
              <c:f>'E2.8'!$V$53</c:f>
              <c:strCache>
                <c:ptCount val="1"/>
                <c:pt idx="0">
                  <c:v>Ázsia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'E2.8'!$R$54:$R$95</c:f>
              <c:numCache>
                <c:formatCode>yyyy/mm/</c:formatCode>
                <c:ptCount val="42"/>
                <c:pt idx="0">
                  <c:v>43891</c:v>
                </c:pt>
                <c:pt idx="1">
                  <c:v>43922</c:v>
                </c:pt>
                <c:pt idx="2">
                  <c:v>43952</c:v>
                </c:pt>
                <c:pt idx="3">
                  <c:v>43983</c:v>
                </c:pt>
                <c:pt idx="4">
                  <c:v>44013</c:v>
                </c:pt>
                <c:pt idx="5">
                  <c:v>44044</c:v>
                </c:pt>
                <c:pt idx="6">
                  <c:v>44075</c:v>
                </c:pt>
                <c:pt idx="7">
                  <c:v>44105</c:v>
                </c:pt>
                <c:pt idx="8">
                  <c:v>44136</c:v>
                </c:pt>
                <c:pt idx="9">
                  <c:v>44166</c:v>
                </c:pt>
                <c:pt idx="10">
                  <c:v>44197</c:v>
                </c:pt>
                <c:pt idx="11">
                  <c:v>44228</c:v>
                </c:pt>
                <c:pt idx="12">
                  <c:v>44256</c:v>
                </c:pt>
                <c:pt idx="13">
                  <c:v>44287</c:v>
                </c:pt>
                <c:pt idx="14">
                  <c:v>44317</c:v>
                </c:pt>
                <c:pt idx="15">
                  <c:v>44348</c:v>
                </c:pt>
                <c:pt idx="16">
                  <c:v>44378</c:v>
                </c:pt>
                <c:pt idx="17">
                  <c:v>44409</c:v>
                </c:pt>
                <c:pt idx="18">
                  <c:v>44440</c:v>
                </c:pt>
                <c:pt idx="19">
                  <c:v>44470</c:v>
                </c:pt>
                <c:pt idx="20">
                  <c:v>44501</c:v>
                </c:pt>
                <c:pt idx="21">
                  <c:v>44531</c:v>
                </c:pt>
                <c:pt idx="22">
                  <c:v>44562</c:v>
                </c:pt>
                <c:pt idx="23">
                  <c:v>44593</c:v>
                </c:pt>
                <c:pt idx="24">
                  <c:v>44621</c:v>
                </c:pt>
                <c:pt idx="25">
                  <c:v>44652</c:v>
                </c:pt>
                <c:pt idx="26">
                  <c:v>44682</c:v>
                </c:pt>
                <c:pt idx="27">
                  <c:v>44713</c:v>
                </c:pt>
                <c:pt idx="28">
                  <c:v>44743</c:v>
                </c:pt>
                <c:pt idx="29">
                  <c:v>44774</c:v>
                </c:pt>
                <c:pt idx="30">
                  <c:v>44805</c:v>
                </c:pt>
                <c:pt idx="31">
                  <c:v>44835</c:v>
                </c:pt>
                <c:pt idx="32">
                  <c:v>44866</c:v>
                </c:pt>
                <c:pt idx="33">
                  <c:v>44896</c:v>
                </c:pt>
                <c:pt idx="34">
                  <c:v>44927</c:v>
                </c:pt>
                <c:pt idx="35">
                  <c:v>44958</c:v>
                </c:pt>
                <c:pt idx="36">
                  <c:v>44986</c:v>
                </c:pt>
                <c:pt idx="37">
                  <c:v>45017</c:v>
                </c:pt>
                <c:pt idx="38">
                  <c:v>45047</c:v>
                </c:pt>
                <c:pt idx="39">
                  <c:v>45078</c:v>
                </c:pt>
                <c:pt idx="40">
                  <c:v>45108</c:v>
                </c:pt>
                <c:pt idx="41">
                  <c:v>45139</c:v>
                </c:pt>
              </c:numCache>
            </c:numRef>
          </c:cat>
          <c:val>
            <c:numRef>
              <c:f>'E2.8'!$V$54:$V$95</c:f>
              <c:numCache>
                <c:formatCode>0.0</c:formatCode>
                <c:ptCount val="42"/>
                <c:pt idx="0">
                  <c:v>18.537735849056602</c:v>
                </c:pt>
                <c:pt idx="1">
                  <c:v>71.701972555746138</c:v>
                </c:pt>
                <c:pt idx="2">
                  <c:v>128.98777873070327</c:v>
                </c:pt>
                <c:pt idx="3">
                  <c:v>246.62114065180103</c:v>
                </c:pt>
                <c:pt idx="4">
                  <c:v>412.87542881646652</c:v>
                </c:pt>
                <c:pt idx="5">
                  <c:v>642.18825042881645</c:v>
                </c:pt>
                <c:pt idx="6">
                  <c:v>795.91831046312177</c:v>
                </c:pt>
                <c:pt idx="7">
                  <c:v>702.10270154373927</c:v>
                </c:pt>
                <c:pt idx="8">
                  <c:v>681.26908233276163</c:v>
                </c:pt>
                <c:pt idx="9">
                  <c:v>677.82139794168097</c:v>
                </c:pt>
                <c:pt idx="10">
                  <c:v>516.45857294994676</c:v>
                </c:pt>
                <c:pt idx="11">
                  <c:v>404.51288604898826</c:v>
                </c:pt>
                <c:pt idx="12">
                  <c:v>719.45644302449409</c:v>
                </c:pt>
                <c:pt idx="13">
                  <c:v>2276.6579339723112</c:v>
                </c:pt>
                <c:pt idx="14">
                  <c:v>2567.313312034079</c:v>
                </c:pt>
                <c:pt idx="15">
                  <c:v>984.06389776357832</c:v>
                </c:pt>
                <c:pt idx="16">
                  <c:v>1311.7473908413206</c:v>
                </c:pt>
                <c:pt idx="17">
                  <c:v>1722.6411075612355</c:v>
                </c:pt>
                <c:pt idx="18">
                  <c:v>1243.8681576144834</c:v>
                </c:pt>
                <c:pt idx="19">
                  <c:v>787.88690095846641</c:v>
                </c:pt>
                <c:pt idx="20">
                  <c:v>596.21895633652821</c:v>
                </c:pt>
                <c:pt idx="21">
                  <c:v>531.54185303514373</c:v>
                </c:pt>
                <c:pt idx="22">
                  <c:v>3284.9606182511116</c:v>
                </c:pt>
                <c:pt idx="23">
                  <c:v>3545.256616557273</c:v>
                </c:pt>
                <c:pt idx="24">
                  <c:v>4757.5085750582257</c:v>
                </c:pt>
                <c:pt idx="25">
                  <c:v>1715.2396781706543</c:v>
                </c:pt>
                <c:pt idx="26">
                  <c:v>946.19330933728565</c:v>
                </c:pt>
                <c:pt idx="27">
                  <c:v>762.02625449925893</c:v>
                </c:pt>
                <c:pt idx="28">
                  <c:v>1865.7878467076011</c:v>
                </c:pt>
                <c:pt idx="29">
                  <c:v>2780.8761380478509</c:v>
                </c:pt>
                <c:pt idx="30">
                  <c:v>1282.6769002752487</c:v>
                </c:pt>
                <c:pt idx="31">
                  <c:v>821.92314207071774</c:v>
                </c:pt>
                <c:pt idx="32">
                  <c:v>1124.8761380478509</c:v>
                </c:pt>
                <c:pt idx="33">
                  <c:v>17324.283294516197</c:v>
                </c:pt>
                <c:pt idx="34">
                  <c:v>3820.7925520723752</c:v>
                </c:pt>
                <c:pt idx="35">
                  <c:v>353.51861981906166</c:v>
                </c:pt>
                <c:pt idx="36">
                  <c:v>197.15505996212917</c:v>
                </c:pt>
                <c:pt idx="37">
                  <c:v>241.55375552282769</c:v>
                </c:pt>
                <c:pt idx="38">
                  <c:v>206.29139490847885</c:v>
                </c:pt>
                <c:pt idx="39">
                  <c:v>114.49463496738902</c:v>
                </c:pt>
                <c:pt idx="40">
                  <c:v>238.34420366084578</c:v>
                </c:pt>
                <c:pt idx="41">
                  <c:v>270.66673679781189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EA-4820-81E6-04271FA9BB74}"/>
            </c:ext>
          </c:extLst>
        </c:ser>
        <c:ser>
          <c:idx val="4"/>
          <c:order val="4"/>
          <c:tx>
            <c:strRef>
              <c:f>'E2.8'!$W$53</c:f>
              <c:strCache>
                <c:ptCount val="1"/>
                <c:pt idx="0">
                  <c:v>Európa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'E2.8'!$R$54:$R$95</c:f>
              <c:numCache>
                <c:formatCode>yyyy/mm/</c:formatCode>
                <c:ptCount val="42"/>
                <c:pt idx="0">
                  <c:v>43891</c:v>
                </c:pt>
                <c:pt idx="1">
                  <c:v>43922</c:v>
                </c:pt>
                <c:pt idx="2">
                  <c:v>43952</c:v>
                </c:pt>
                <c:pt idx="3">
                  <c:v>43983</c:v>
                </c:pt>
                <c:pt idx="4">
                  <c:v>44013</c:v>
                </c:pt>
                <c:pt idx="5">
                  <c:v>44044</c:v>
                </c:pt>
                <c:pt idx="6">
                  <c:v>44075</c:v>
                </c:pt>
                <c:pt idx="7">
                  <c:v>44105</c:v>
                </c:pt>
                <c:pt idx="8">
                  <c:v>44136</c:v>
                </c:pt>
                <c:pt idx="9">
                  <c:v>44166</c:v>
                </c:pt>
                <c:pt idx="10">
                  <c:v>44197</c:v>
                </c:pt>
                <c:pt idx="11">
                  <c:v>44228</c:v>
                </c:pt>
                <c:pt idx="12">
                  <c:v>44256</c:v>
                </c:pt>
                <c:pt idx="13">
                  <c:v>44287</c:v>
                </c:pt>
                <c:pt idx="14">
                  <c:v>44317</c:v>
                </c:pt>
                <c:pt idx="15">
                  <c:v>44348</c:v>
                </c:pt>
                <c:pt idx="16">
                  <c:v>44378</c:v>
                </c:pt>
                <c:pt idx="17">
                  <c:v>44409</c:v>
                </c:pt>
                <c:pt idx="18">
                  <c:v>44440</c:v>
                </c:pt>
                <c:pt idx="19">
                  <c:v>44470</c:v>
                </c:pt>
                <c:pt idx="20">
                  <c:v>44501</c:v>
                </c:pt>
                <c:pt idx="21">
                  <c:v>44531</c:v>
                </c:pt>
                <c:pt idx="22">
                  <c:v>44562</c:v>
                </c:pt>
                <c:pt idx="23">
                  <c:v>44593</c:v>
                </c:pt>
                <c:pt idx="24">
                  <c:v>44621</c:v>
                </c:pt>
                <c:pt idx="25">
                  <c:v>44652</c:v>
                </c:pt>
                <c:pt idx="26">
                  <c:v>44682</c:v>
                </c:pt>
                <c:pt idx="27">
                  <c:v>44713</c:v>
                </c:pt>
                <c:pt idx="28">
                  <c:v>44743</c:v>
                </c:pt>
                <c:pt idx="29">
                  <c:v>44774</c:v>
                </c:pt>
                <c:pt idx="30">
                  <c:v>44805</c:v>
                </c:pt>
                <c:pt idx="31">
                  <c:v>44835</c:v>
                </c:pt>
                <c:pt idx="32">
                  <c:v>44866</c:v>
                </c:pt>
                <c:pt idx="33">
                  <c:v>44896</c:v>
                </c:pt>
                <c:pt idx="34">
                  <c:v>44927</c:v>
                </c:pt>
                <c:pt idx="35">
                  <c:v>44958</c:v>
                </c:pt>
                <c:pt idx="36">
                  <c:v>44986</c:v>
                </c:pt>
                <c:pt idx="37">
                  <c:v>45017</c:v>
                </c:pt>
                <c:pt idx="38">
                  <c:v>45047</c:v>
                </c:pt>
                <c:pt idx="39">
                  <c:v>45078</c:v>
                </c:pt>
                <c:pt idx="40">
                  <c:v>45108</c:v>
                </c:pt>
                <c:pt idx="41">
                  <c:v>45139</c:v>
                </c:pt>
              </c:numCache>
            </c:numRef>
          </c:cat>
          <c:val>
            <c:numRef>
              <c:f>'E2.8'!$W$54:$W$95</c:f>
              <c:numCache>
                <c:formatCode>0.0</c:formatCode>
                <c:ptCount val="42"/>
                <c:pt idx="0">
                  <c:v>539.73592493297588</c:v>
                </c:pt>
                <c:pt idx="1">
                  <c:v>1025.3083109919571</c:v>
                </c:pt>
                <c:pt idx="2">
                  <c:v>817.15951742627351</c:v>
                </c:pt>
                <c:pt idx="3">
                  <c:v>593.67694369973185</c:v>
                </c:pt>
                <c:pt idx="4">
                  <c:v>579.53217158176949</c:v>
                </c:pt>
                <c:pt idx="5">
                  <c:v>1087.254691689008</c:v>
                </c:pt>
                <c:pt idx="6">
                  <c:v>1869.1233243967829</c:v>
                </c:pt>
                <c:pt idx="7">
                  <c:v>5857.3418230563002</c:v>
                </c:pt>
                <c:pt idx="8">
                  <c:v>10468.163538873994</c:v>
                </c:pt>
                <c:pt idx="9">
                  <c:v>8300.2506702412866</c:v>
                </c:pt>
                <c:pt idx="10">
                  <c:v>9242.3986577181204</c:v>
                </c:pt>
                <c:pt idx="11">
                  <c:v>5048.1731543624164</c:v>
                </c:pt>
                <c:pt idx="12">
                  <c:v>6972.7114093959735</c:v>
                </c:pt>
                <c:pt idx="13">
                  <c:v>6443.7583892617449</c:v>
                </c:pt>
                <c:pt idx="14">
                  <c:v>3638.6255033557045</c:v>
                </c:pt>
                <c:pt idx="15">
                  <c:v>1789.1476510067114</c:v>
                </c:pt>
                <c:pt idx="16">
                  <c:v>4432.2255033557049</c:v>
                </c:pt>
                <c:pt idx="17">
                  <c:v>5453.6067114093958</c:v>
                </c:pt>
                <c:pt idx="18">
                  <c:v>4838.2993288590606</c:v>
                </c:pt>
                <c:pt idx="19">
                  <c:v>7686.014765100671</c:v>
                </c:pt>
                <c:pt idx="20">
                  <c:v>12007.928859060403</c:v>
                </c:pt>
                <c:pt idx="21">
                  <c:v>17269.7033557047</c:v>
                </c:pt>
                <c:pt idx="22">
                  <c:v>54825.948924731179</c:v>
                </c:pt>
                <c:pt idx="23">
                  <c:v>39534.443548387098</c:v>
                </c:pt>
                <c:pt idx="24">
                  <c:v>28385.096774193549</c:v>
                </c:pt>
                <c:pt idx="25">
                  <c:v>17421.201612903227</c:v>
                </c:pt>
                <c:pt idx="26">
                  <c:v>8739.7876344086017</c:v>
                </c:pt>
                <c:pt idx="27">
                  <c:v>8065.8239247311831</c:v>
                </c:pt>
                <c:pt idx="28">
                  <c:v>17200.462365591397</c:v>
                </c:pt>
                <c:pt idx="29">
                  <c:v>7382.3682795698924</c:v>
                </c:pt>
                <c:pt idx="30">
                  <c:v>6957.2822580645161</c:v>
                </c:pt>
                <c:pt idx="31">
                  <c:v>10423.106182795698</c:v>
                </c:pt>
                <c:pt idx="32">
                  <c:v>4787.3145161290322</c:v>
                </c:pt>
                <c:pt idx="33">
                  <c:v>5809.447580645161</c:v>
                </c:pt>
                <c:pt idx="34">
                  <c:v>2569.8261455525608</c:v>
                </c:pt>
                <c:pt idx="35">
                  <c:v>1980.9150943396226</c:v>
                </c:pt>
                <c:pt idx="36">
                  <c:v>2078.9231805929921</c:v>
                </c:pt>
                <c:pt idx="37">
                  <c:v>1407.388140161725</c:v>
                </c:pt>
                <c:pt idx="38">
                  <c:v>644.68328840970355</c:v>
                </c:pt>
                <c:pt idx="39">
                  <c:v>287.69002695417788</c:v>
                </c:pt>
                <c:pt idx="40">
                  <c:v>110.28032345013477</c:v>
                </c:pt>
                <c:pt idx="41">
                  <c:v>208.91239892183287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EA-4820-81E6-04271FA9B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833040"/>
        <c:axId val="408833600"/>
      </c:barChart>
      <c:dateAx>
        <c:axId val="40883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Hónap</a:t>
                </a:r>
              </a:p>
            </c:rich>
          </c:tx>
          <c:layout>
            <c:manualLayout>
              <c:xMode val="edge"/>
              <c:yMode val="edge"/>
              <c:x val="0.93870900992147754"/>
              <c:y val="0.958021956932802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yyyy/mm/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08833600"/>
        <c:crosses val="autoZero"/>
        <c:auto val="1"/>
        <c:lblOffset val="100"/>
        <c:baseTimeUnit val="months"/>
        <c:majorUnit val="1"/>
        <c:minorUnit val="1"/>
      </c:dateAx>
      <c:valAx>
        <c:axId val="408833600"/>
        <c:scaling>
          <c:orientation val="minMax"/>
          <c:max val="6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08833040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 alignWithMargins="0"/>
    <c:pageMargins b="1" l="0.75000000000000122" r="0.75000000000000122" t="1" header="0.5" footer="0.5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sz="1600"/>
              <a:t>Koronavírus esetek száma (2020.03 = 100)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868515753402586E-2"/>
          <c:y val="0.14286205710354316"/>
          <c:w val="0.88512011544259561"/>
          <c:h val="0.65400133806803562"/>
        </c:manualLayout>
      </c:layout>
      <c:lineChart>
        <c:grouping val="standard"/>
        <c:varyColors val="0"/>
        <c:ser>
          <c:idx val="0"/>
          <c:order val="0"/>
          <c:tx>
            <c:strRef>
              <c:f>'E2.8'!$H$99</c:f>
              <c:strCache>
                <c:ptCount val="1"/>
                <c:pt idx="0">
                  <c:v>Összesen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>
                    <a:alpha val="99000"/>
                  </a:schemeClr>
                </a:solidFill>
              </a:ln>
              <a:effectLst/>
            </c:spPr>
          </c:marker>
          <c:cat>
            <c:numRef>
              <c:f>'E2.8'!$B$100:$B$141</c:f>
              <c:numCache>
                <c:formatCode>yyyy/mm/</c:formatCode>
                <c:ptCount val="42"/>
                <c:pt idx="0">
                  <c:v>43891</c:v>
                </c:pt>
                <c:pt idx="1">
                  <c:v>43922</c:v>
                </c:pt>
                <c:pt idx="2">
                  <c:v>43952</c:v>
                </c:pt>
                <c:pt idx="3">
                  <c:v>43983</c:v>
                </c:pt>
                <c:pt idx="4">
                  <c:v>44013</c:v>
                </c:pt>
                <c:pt idx="5">
                  <c:v>44044</c:v>
                </c:pt>
                <c:pt idx="6">
                  <c:v>44075</c:v>
                </c:pt>
                <c:pt idx="7">
                  <c:v>44105</c:v>
                </c:pt>
                <c:pt idx="8">
                  <c:v>44136</c:v>
                </c:pt>
                <c:pt idx="9">
                  <c:v>44166</c:v>
                </c:pt>
                <c:pt idx="10">
                  <c:v>44197</c:v>
                </c:pt>
                <c:pt idx="11">
                  <c:v>44228</c:v>
                </c:pt>
                <c:pt idx="12">
                  <c:v>44256</c:v>
                </c:pt>
                <c:pt idx="13">
                  <c:v>44287</c:v>
                </c:pt>
                <c:pt idx="14">
                  <c:v>44317</c:v>
                </c:pt>
                <c:pt idx="15">
                  <c:v>44348</c:v>
                </c:pt>
                <c:pt idx="16">
                  <c:v>44378</c:v>
                </c:pt>
                <c:pt idx="17">
                  <c:v>44409</c:v>
                </c:pt>
                <c:pt idx="18">
                  <c:v>44440</c:v>
                </c:pt>
                <c:pt idx="19">
                  <c:v>44470</c:v>
                </c:pt>
                <c:pt idx="20">
                  <c:v>44501</c:v>
                </c:pt>
                <c:pt idx="21">
                  <c:v>44531</c:v>
                </c:pt>
                <c:pt idx="22">
                  <c:v>44562</c:v>
                </c:pt>
                <c:pt idx="23">
                  <c:v>44593</c:v>
                </c:pt>
                <c:pt idx="24">
                  <c:v>44621</c:v>
                </c:pt>
                <c:pt idx="25">
                  <c:v>44652</c:v>
                </c:pt>
                <c:pt idx="26">
                  <c:v>44682</c:v>
                </c:pt>
                <c:pt idx="27">
                  <c:v>44713</c:v>
                </c:pt>
                <c:pt idx="28">
                  <c:v>44743</c:v>
                </c:pt>
                <c:pt idx="29">
                  <c:v>44774</c:v>
                </c:pt>
                <c:pt idx="30">
                  <c:v>44805</c:v>
                </c:pt>
                <c:pt idx="31">
                  <c:v>44835</c:v>
                </c:pt>
                <c:pt idx="32">
                  <c:v>44866</c:v>
                </c:pt>
                <c:pt idx="33">
                  <c:v>44896</c:v>
                </c:pt>
                <c:pt idx="34">
                  <c:v>44927</c:v>
                </c:pt>
                <c:pt idx="35">
                  <c:v>44958</c:v>
                </c:pt>
                <c:pt idx="36">
                  <c:v>44986</c:v>
                </c:pt>
                <c:pt idx="37">
                  <c:v>45017</c:v>
                </c:pt>
                <c:pt idx="38">
                  <c:v>45047</c:v>
                </c:pt>
                <c:pt idx="39">
                  <c:v>45078</c:v>
                </c:pt>
                <c:pt idx="40">
                  <c:v>45108</c:v>
                </c:pt>
                <c:pt idx="41">
                  <c:v>44409</c:v>
                </c:pt>
              </c:numCache>
            </c:numRef>
          </c:cat>
          <c:val>
            <c:numRef>
              <c:f>'E2.8'!$H$100:$H$141</c:f>
              <c:numCache>
                <c:formatCode>0%</c:formatCode>
                <c:ptCount val="42"/>
                <c:pt idx="0">
                  <c:v>1</c:v>
                </c:pt>
                <c:pt idx="1">
                  <c:v>3.1859555835835547</c:v>
                </c:pt>
                <c:pt idx="2">
                  <c:v>4.1426341701124381</c:v>
                </c:pt>
                <c:pt idx="3">
                  <c:v>6.1176884544548988</c:v>
                </c:pt>
                <c:pt idx="4">
                  <c:v>9.9954408318582804</c:v>
                </c:pt>
                <c:pt idx="5">
                  <c:v>11.878649591882072</c:v>
                </c:pt>
                <c:pt idx="6">
                  <c:v>12.375006987093585</c:v>
                </c:pt>
                <c:pt idx="7">
                  <c:v>16.871051933812517</c:v>
                </c:pt>
                <c:pt idx="8">
                  <c:v>25.389825358491649</c:v>
                </c:pt>
                <c:pt idx="9">
                  <c:v>26.946556975269271</c:v>
                </c:pt>
                <c:pt idx="10">
                  <c:v>28.739119841195905</c:v>
                </c:pt>
                <c:pt idx="11">
                  <c:v>15.797007374071075</c:v>
                </c:pt>
                <c:pt idx="12">
                  <c:v>20.31730864321392</c:v>
                </c:pt>
                <c:pt idx="13">
                  <c:v>31.480323627842314</c:v>
                </c:pt>
                <c:pt idx="14">
                  <c:v>29.387248375052852</c:v>
                </c:pt>
                <c:pt idx="15">
                  <c:v>16.339435156188415</c:v>
                </c:pt>
                <c:pt idx="16">
                  <c:v>22.332184344610621</c:v>
                </c:pt>
                <c:pt idx="17">
                  <c:v>28.789785227492601</c:v>
                </c:pt>
                <c:pt idx="18">
                  <c:v>22.989223393505945</c:v>
                </c:pt>
                <c:pt idx="19">
                  <c:v>19.353286083859455</c:v>
                </c:pt>
                <c:pt idx="20">
                  <c:v>21.891232093333237</c:v>
                </c:pt>
                <c:pt idx="21">
                  <c:v>33.693088152039159</c:v>
                </c:pt>
                <c:pt idx="22">
                  <c:v>131.55411593558975</c:v>
                </c:pt>
                <c:pt idx="23">
                  <c:v>84.463717993736694</c:v>
                </c:pt>
                <c:pt idx="24">
                  <c:v>70.059474140587483</c:v>
                </c:pt>
                <c:pt idx="25">
                  <c:v>36.157846685251144</c:v>
                </c:pt>
                <c:pt idx="26">
                  <c:v>24.467035967407895</c:v>
                </c:pt>
                <c:pt idx="27">
                  <c:v>23.528710146693133</c:v>
                </c:pt>
                <c:pt idx="28">
                  <c:v>44.765133328078086</c:v>
                </c:pt>
                <c:pt idx="29">
                  <c:v>35.071070566062076</c:v>
                </c:pt>
                <c:pt idx="30">
                  <c:v>20.215162351389893</c:v>
                </c:pt>
                <c:pt idx="31">
                  <c:v>19.609450850275543</c:v>
                </c:pt>
                <c:pt idx="32">
                  <c:v>16.10480210401095</c:v>
                </c:pt>
                <c:pt idx="33">
                  <c:v>130.4009975419763</c:v>
                </c:pt>
                <c:pt idx="34">
                  <c:v>32.976258214313866</c:v>
                </c:pt>
                <c:pt idx="35">
                  <c:v>6.9245436890420873</c:v>
                </c:pt>
                <c:pt idx="36">
                  <c:v>5.4780031961474238</c:v>
                </c:pt>
                <c:pt idx="37">
                  <c:v>4.681728212808955</c:v>
                </c:pt>
                <c:pt idx="38">
                  <c:v>3.0541653827135722</c:v>
                </c:pt>
                <c:pt idx="39">
                  <c:v>1.4611567760475266</c:v>
                </c:pt>
                <c:pt idx="40">
                  <c:v>1.9988319012777422</c:v>
                </c:pt>
                <c:pt idx="41">
                  <c:v>2.1200705158983251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DD-47BF-B72C-3BC9B208A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9386575"/>
        <c:axId val="549386991"/>
      </c:lineChart>
      <c:dateAx>
        <c:axId val="549386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 sz="900"/>
                  <a:t>HÓNAP</a:t>
                </a:r>
              </a:p>
            </c:rich>
          </c:tx>
          <c:layout>
            <c:manualLayout>
              <c:xMode val="edge"/>
              <c:yMode val="edge"/>
              <c:x val="0.90958291707397421"/>
              <c:y val="0.93868695979566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yyyy/mm/" sourceLinked="0"/>
        <c:majorTickMark val="none"/>
        <c:minorTickMark val="none"/>
        <c:tickLblPos val="low"/>
        <c:spPr>
          <a:noFill/>
          <a:ln w="19050" cap="flat" cmpd="sng" algn="ctr">
            <a:solidFill>
              <a:schemeClr val="accent2"/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49386991"/>
        <c:crossesAt val="1"/>
        <c:auto val="1"/>
        <c:lblOffset val="100"/>
        <c:baseTimeUnit val="days"/>
      </c:dateAx>
      <c:valAx>
        <c:axId val="54938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49386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sz="1600"/>
              <a:t>Koronavírus esetek száma (előző = 100)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868515753402586E-2"/>
          <c:y val="0.14286205710354316"/>
          <c:w val="0.88512011544259561"/>
          <c:h val="0.65744131054825572"/>
        </c:manualLayout>
      </c:layout>
      <c:lineChart>
        <c:grouping val="standard"/>
        <c:varyColors val="0"/>
        <c:ser>
          <c:idx val="0"/>
          <c:order val="0"/>
          <c:tx>
            <c:strRef>
              <c:f>'E2.8'!$H$145</c:f>
              <c:strCache>
                <c:ptCount val="1"/>
                <c:pt idx="0">
                  <c:v>Összesen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>
                    <a:alpha val="99000"/>
                  </a:schemeClr>
                </a:solidFill>
              </a:ln>
              <a:effectLst/>
            </c:spPr>
          </c:marker>
          <c:cat>
            <c:numRef>
              <c:f>'E2.8'!$B$146:$B$187</c:f>
              <c:numCache>
                <c:formatCode>yyyy/mm/</c:formatCode>
                <c:ptCount val="42"/>
                <c:pt idx="0">
                  <c:v>43891</c:v>
                </c:pt>
                <c:pt idx="1">
                  <c:v>43922</c:v>
                </c:pt>
                <c:pt idx="2">
                  <c:v>43952</c:v>
                </c:pt>
                <c:pt idx="3">
                  <c:v>43983</c:v>
                </c:pt>
                <c:pt idx="4">
                  <c:v>44013</c:v>
                </c:pt>
                <c:pt idx="5">
                  <c:v>44044</c:v>
                </c:pt>
                <c:pt idx="6">
                  <c:v>44075</c:v>
                </c:pt>
                <c:pt idx="7">
                  <c:v>44105</c:v>
                </c:pt>
                <c:pt idx="8">
                  <c:v>44136</c:v>
                </c:pt>
                <c:pt idx="9">
                  <c:v>44166</c:v>
                </c:pt>
                <c:pt idx="10">
                  <c:v>44197</c:v>
                </c:pt>
                <c:pt idx="11">
                  <c:v>44228</c:v>
                </c:pt>
                <c:pt idx="12">
                  <c:v>44256</c:v>
                </c:pt>
                <c:pt idx="13">
                  <c:v>44287</c:v>
                </c:pt>
                <c:pt idx="14">
                  <c:v>44317</c:v>
                </c:pt>
                <c:pt idx="15">
                  <c:v>44348</c:v>
                </c:pt>
                <c:pt idx="16">
                  <c:v>44378</c:v>
                </c:pt>
                <c:pt idx="17">
                  <c:v>44409</c:v>
                </c:pt>
                <c:pt idx="18">
                  <c:v>44440</c:v>
                </c:pt>
                <c:pt idx="19">
                  <c:v>44470</c:v>
                </c:pt>
                <c:pt idx="20">
                  <c:v>44501</c:v>
                </c:pt>
                <c:pt idx="21">
                  <c:v>44531</c:v>
                </c:pt>
                <c:pt idx="22">
                  <c:v>44562</c:v>
                </c:pt>
                <c:pt idx="23">
                  <c:v>44593</c:v>
                </c:pt>
                <c:pt idx="24">
                  <c:v>44621</c:v>
                </c:pt>
                <c:pt idx="25">
                  <c:v>44652</c:v>
                </c:pt>
                <c:pt idx="26">
                  <c:v>44682</c:v>
                </c:pt>
                <c:pt idx="27">
                  <c:v>44713</c:v>
                </c:pt>
                <c:pt idx="28">
                  <c:v>44743</c:v>
                </c:pt>
                <c:pt idx="29">
                  <c:v>44774</c:v>
                </c:pt>
                <c:pt idx="30">
                  <c:v>44805</c:v>
                </c:pt>
                <c:pt idx="31">
                  <c:v>44835</c:v>
                </c:pt>
                <c:pt idx="32">
                  <c:v>44866</c:v>
                </c:pt>
                <c:pt idx="33">
                  <c:v>44896</c:v>
                </c:pt>
                <c:pt idx="34">
                  <c:v>44927</c:v>
                </c:pt>
                <c:pt idx="35">
                  <c:v>44958</c:v>
                </c:pt>
                <c:pt idx="36">
                  <c:v>44986</c:v>
                </c:pt>
                <c:pt idx="37">
                  <c:v>45017</c:v>
                </c:pt>
                <c:pt idx="38">
                  <c:v>45047</c:v>
                </c:pt>
                <c:pt idx="39">
                  <c:v>45078</c:v>
                </c:pt>
                <c:pt idx="40">
                  <c:v>45108</c:v>
                </c:pt>
                <c:pt idx="41">
                  <c:v>44409</c:v>
                </c:pt>
              </c:numCache>
            </c:numRef>
          </c:cat>
          <c:val>
            <c:numRef>
              <c:f>'E2.8'!$H$146:$H$187</c:f>
              <c:numCache>
                <c:formatCode>0%</c:formatCode>
                <c:ptCount val="42"/>
                <c:pt idx="1">
                  <c:v>3.1859555835835547</c:v>
                </c:pt>
                <c:pt idx="2">
                  <c:v>1.3002799510007021</c:v>
                </c:pt>
                <c:pt idx="3">
                  <c:v>1.4767629009077705</c:v>
                </c:pt>
                <c:pt idx="4">
                  <c:v>1.6338590803164557</c:v>
                </c:pt>
                <c:pt idx="5">
                  <c:v>1.1884067738184669</c:v>
                </c:pt>
                <c:pt idx="6">
                  <c:v>1.0417856753305297</c:v>
                </c:pt>
                <c:pt idx="7">
                  <c:v>1.3633165582377487</c:v>
                </c:pt>
                <c:pt idx="8">
                  <c:v>1.5049343371177721</c:v>
                </c:pt>
                <c:pt idx="9">
                  <c:v>1.0613132069558318</c:v>
                </c:pt>
                <c:pt idx="10">
                  <c:v>1.0665228907563884</c:v>
                </c:pt>
                <c:pt idx="11">
                  <c:v>0.54966914301345293</c:v>
                </c:pt>
                <c:pt idx="12">
                  <c:v>1.2861492156142427</c:v>
                </c:pt>
                <c:pt idx="13">
                  <c:v>1.5494337454167137</c:v>
                </c:pt>
                <c:pt idx="14">
                  <c:v>0.93351163483788735</c:v>
                </c:pt>
                <c:pt idx="15">
                  <c:v>0.55600425557566446</c:v>
                </c:pt>
                <c:pt idx="16">
                  <c:v>1.3667659947322295</c:v>
                </c:pt>
                <c:pt idx="17">
                  <c:v>1.2891611847383115</c:v>
                </c:pt>
                <c:pt idx="18">
                  <c:v>0.79852014219100698</c:v>
                </c:pt>
                <c:pt idx="19">
                  <c:v>0.84184166435680563</c:v>
                </c:pt>
                <c:pt idx="20">
                  <c:v>1.1311377302271379</c:v>
                </c:pt>
                <c:pt idx="21">
                  <c:v>1.5391133769167822</c:v>
                </c:pt>
                <c:pt idx="22">
                  <c:v>3.9044837725160524</c:v>
                </c:pt>
                <c:pt idx="23">
                  <c:v>0.64204542285161947</c:v>
                </c:pt>
                <c:pt idx="24">
                  <c:v>0.829462351465308</c:v>
                </c:pt>
                <c:pt idx="25">
                  <c:v>0.51610217074558162</c:v>
                </c:pt>
                <c:pt idx="26">
                  <c:v>0.67667292746689056</c:v>
                </c:pt>
                <c:pt idx="27">
                  <c:v>0.96164938728317195</c:v>
                </c:pt>
                <c:pt idx="28">
                  <c:v>1.9025748988781539</c:v>
                </c:pt>
                <c:pt idx="29">
                  <c:v>0.78344613226169946</c:v>
                </c:pt>
                <c:pt idx="30">
                  <c:v>0.57640562506671544</c:v>
                </c:pt>
                <c:pt idx="31">
                  <c:v>0.97003677286456691</c:v>
                </c:pt>
                <c:pt idx="32">
                  <c:v>0.8212775679939377</c:v>
                </c:pt>
                <c:pt idx="33">
                  <c:v>8.0970257628623425</c:v>
                </c:pt>
                <c:pt idx="34">
                  <c:v>0.25288348123026244</c:v>
                </c:pt>
                <c:pt idx="35">
                  <c:v>0.20998573106867471</c:v>
                </c:pt>
                <c:pt idx="36">
                  <c:v>0.79109952108703185</c:v>
                </c:pt>
                <c:pt idx="37">
                  <c:v>0.85464138029374015</c:v>
                </c:pt>
                <c:pt idx="38">
                  <c:v>0.65235854024108897</c:v>
                </c:pt>
                <c:pt idx="39">
                  <c:v>0.4784144252035607</c:v>
                </c:pt>
                <c:pt idx="40">
                  <c:v>1.3679790793460529</c:v>
                </c:pt>
                <c:pt idx="41">
                  <c:v>1.0606547326681557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A6-4DE6-92FF-1DD57C589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9386575"/>
        <c:axId val="549386991"/>
      </c:lineChart>
      <c:dateAx>
        <c:axId val="549386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 sz="900"/>
                  <a:t>HÓNAP</a:t>
                </a:r>
              </a:p>
            </c:rich>
          </c:tx>
          <c:layout>
            <c:manualLayout>
              <c:xMode val="edge"/>
              <c:yMode val="edge"/>
              <c:x val="0.90958291707397421"/>
              <c:y val="0.93868695979566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yyyy/mm/" sourceLinked="0"/>
        <c:majorTickMark val="none"/>
        <c:minorTickMark val="none"/>
        <c:tickLblPos val="low"/>
        <c:spPr>
          <a:noFill/>
          <a:ln w="19050" cap="flat" cmpd="sng" algn="ctr">
            <a:solidFill>
              <a:schemeClr val="accent2"/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49386991"/>
        <c:crossesAt val="1"/>
        <c:auto val="1"/>
        <c:lblOffset val="100"/>
        <c:baseTimeUnit val="days"/>
      </c:dateAx>
      <c:valAx>
        <c:axId val="54938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49386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sz="1400"/>
              <a:t>Kormányzati kiadások (2010 = 100)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'E2.9'!$M$26</c:f>
              <c:strCache>
                <c:ptCount val="1"/>
                <c:pt idx="0">
                  <c:v>Összesen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xVal>
            <c:numRef>
              <c:f>'E2.9'!$B$27:$B$39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xVal>
          <c:yVal>
            <c:numRef>
              <c:f>'E2.9'!$M$27:$M$39</c:f>
              <c:numCache>
                <c:formatCode>0.0%</c:formatCode>
                <c:ptCount val="13"/>
                <c:pt idx="0">
                  <c:v>1</c:v>
                </c:pt>
                <c:pt idx="1">
                  <c:v>0.99935106201752555</c:v>
                </c:pt>
                <c:pt idx="2">
                  <c:v>0.98378845131809045</c:v>
                </c:pt>
                <c:pt idx="3">
                  <c:v>1.0177476122584503</c:v>
                </c:pt>
                <c:pt idx="4">
                  <c:v>1.1151352330991353</c:v>
                </c:pt>
                <c:pt idx="5">
                  <c:v>1.1718969900634453</c:v>
                </c:pt>
                <c:pt idx="6">
                  <c:v>1.2287236918297739</c:v>
                </c:pt>
                <c:pt idx="7">
                  <c:v>1.3483151244202995</c:v>
                </c:pt>
                <c:pt idx="8">
                  <c:v>1.4525799237595627</c:v>
                </c:pt>
                <c:pt idx="9">
                  <c:v>1.6279903936097035</c:v>
                </c:pt>
                <c:pt idx="10">
                  <c:v>1.7557531403872002</c:v>
                </c:pt>
                <c:pt idx="11">
                  <c:v>1.9576282236680282</c:v>
                </c:pt>
                <c:pt idx="12">
                  <c:v>2.309864565701178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67-4743-A24F-8758FB2BA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343263"/>
        <c:axId val="530344095"/>
      </c:scatterChart>
      <c:valAx>
        <c:axId val="530343263"/>
        <c:scaling>
          <c:orientation val="minMax"/>
          <c:max val="2022"/>
          <c:min val="20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accent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30344095"/>
        <c:crossesAt val="1"/>
        <c:crossBetween val="midCat"/>
        <c:majorUnit val="1"/>
      </c:valAx>
      <c:valAx>
        <c:axId val="530344095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30343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sz="1400"/>
              <a:t>Kormányzati összkiadások (előző év = 100)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'E2.9'!$M$43</c:f>
              <c:strCache>
                <c:ptCount val="1"/>
                <c:pt idx="0">
                  <c:v>Összesen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numRef>
              <c:f>'E2.9'!$B$44:$B$56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'E2.9'!$M$44:$M$56</c:f>
              <c:numCache>
                <c:formatCode>0.0%</c:formatCode>
                <c:ptCount val="13"/>
                <c:pt idx="1">
                  <c:v>0.99935106201752555</c:v>
                </c:pt>
                <c:pt idx="2">
                  <c:v>0.98442728357338538</c:v>
                </c:pt>
                <c:pt idx="3">
                  <c:v>1.0345187635561905</c:v>
                </c:pt>
                <c:pt idx="4">
                  <c:v>1.0956893631266551</c:v>
                </c:pt>
                <c:pt idx="5">
                  <c:v>1.0509012317784634</c:v>
                </c:pt>
                <c:pt idx="6">
                  <c:v>1.0484912089101381</c:v>
                </c:pt>
                <c:pt idx="7">
                  <c:v>1.0973298011471027</c:v>
                </c:pt>
                <c:pt idx="8">
                  <c:v>1.0773296964862655</c:v>
                </c:pt>
                <c:pt idx="9">
                  <c:v>1.1207578784347672</c:v>
                </c:pt>
                <c:pt idx="10">
                  <c:v>1.0784788087687738</c:v>
                </c:pt>
                <c:pt idx="11">
                  <c:v>1.1149791953305621</c:v>
                </c:pt>
                <c:pt idx="12">
                  <c:v>1.4188441005352443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AB-4AFA-923E-CDB9CE3DE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0343263"/>
        <c:axId val="530344095"/>
      </c:barChart>
      <c:catAx>
        <c:axId val="53034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accent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30344095"/>
        <c:crossesAt val="1"/>
        <c:auto val="1"/>
        <c:lblAlgn val="ctr"/>
        <c:lblOffset val="100"/>
        <c:tickMarkSkip val="1"/>
        <c:noMultiLvlLbl val="1"/>
      </c:catAx>
      <c:valAx>
        <c:axId val="530344095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3034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Kormányzati kiadások alakulása funkciók</a:t>
            </a:r>
            <a:r>
              <a:rPr lang="hu-HU" baseline="0"/>
              <a:t> szerint</a:t>
            </a:r>
            <a:r>
              <a:rPr lang="hu-HU"/>
              <a:t> 2010-2022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9.84522674708877E-2"/>
          <c:y val="0.12051890523651324"/>
          <c:w val="0.7505958598913004"/>
          <c:h val="0.809244525497435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'E2.9'!$C$9</c:f>
              <c:strCache>
                <c:ptCount val="1"/>
                <c:pt idx="0">
                  <c:v>Általános köz-szolgáltatások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'E2.9'!$B$10:$B$22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'E2.9'!$C$10:$C$22</c:f>
              <c:numCache>
                <c:formatCode>#,##0</c:formatCode>
                <c:ptCount val="13"/>
                <c:pt idx="0">
                  <c:v>988918</c:v>
                </c:pt>
                <c:pt idx="1">
                  <c:v>981906</c:v>
                </c:pt>
                <c:pt idx="2">
                  <c:v>978122</c:v>
                </c:pt>
                <c:pt idx="3">
                  <c:v>1012522</c:v>
                </c:pt>
                <c:pt idx="4">
                  <c:v>1254767</c:v>
                </c:pt>
                <c:pt idx="5">
                  <c:v>1191693</c:v>
                </c:pt>
                <c:pt idx="6">
                  <c:v>1265635</c:v>
                </c:pt>
                <c:pt idx="7">
                  <c:v>1390267</c:v>
                </c:pt>
                <c:pt idx="8">
                  <c:v>1525727</c:v>
                </c:pt>
                <c:pt idx="9">
                  <c:v>1751621</c:v>
                </c:pt>
                <c:pt idx="10">
                  <c:v>1821000</c:v>
                </c:pt>
                <c:pt idx="11">
                  <c:v>2010958.44043</c:v>
                </c:pt>
                <c:pt idx="12">
                  <c:v>2370980.6720989347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0E-4682-916E-2C9008523577}"/>
            </c:ext>
          </c:extLst>
        </c:ser>
        <c:ser>
          <c:idx val="1"/>
          <c:order val="1"/>
          <c:tx>
            <c:strRef>
              <c:f>'E2.9'!$D$9</c:f>
              <c:strCache>
                <c:ptCount val="1"/>
                <c:pt idx="0">
                  <c:v>Védelem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'E2.9'!$B$10:$B$22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'E2.9'!$D$10:$D$22</c:f>
              <c:numCache>
                <c:formatCode>#,##0</c:formatCode>
                <c:ptCount val="13"/>
                <c:pt idx="0">
                  <c:v>335351</c:v>
                </c:pt>
                <c:pt idx="1">
                  <c:v>348685</c:v>
                </c:pt>
                <c:pt idx="2">
                  <c:v>233298</c:v>
                </c:pt>
                <c:pt idx="3">
                  <c:v>252646</c:v>
                </c:pt>
                <c:pt idx="4">
                  <c:v>215163</c:v>
                </c:pt>
                <c:pt idx="5">
                  <c:v>236884</c:v>
                </c:pt>
                <c:pt idx="6">
                  <c:v>265878</c:v>
                </c:pt>
                <c:pt idx="7">
                  <c:v>317845</c:v>
                </c:pt>
                <c:pt idx="8">
                  <c:v>373751</c:v>
                </c:pt>
                <c:pt idx="9">
                  <c:v>416226</c:v>
                </c:pt>
                <c:pt idx="10">
                  <c:v>475223</c:v>
                </c:pt>
                <c:pt idx="11">
                  <c:v>539076</c:v>
                </c:pt>
                <c:pt idx="12">
                  <c:v>784007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0E-4682-916E-2C9008523577}"/>
            </c:ext>
          </c:extLst>
        </c:ser>
        <c:ser>
          <c:idx val="2"/>
          <c:order val="2"/>
          <c:tx>
            <c:strRef>
              <c:f>'E2.9'!$E$9</c:f>
              <c:strCache>
                <c:ptCount val="1"/>
                <c:pt idx="0">
                  <c:v>Közbiztonság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'E2.9'!$B$10:$B$22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'E2.9'!$E$10:$E$22</c:f>
              <c:numCache>
                <c:formatCode>#,##0</c:formatCode>
                <c:ptCount val="13"/>
                <c:pt idx="0">
                  <c:v>479589</c:v>
                </c:pt>
                <c:pt idx="1">
                  <c:v>500976</c:v>
                </c:pt>
                <c:pt idx="2">
                  <c:v>518719</c:v>
                </c:pt>
                <c:pt idx="3">
                  <c:v>546425</c:v>
                </c:pt>
                <c:pt idx="4">
                  <c:v>575465</c:v>
                </c:pt>
                <c:pt idx="5">
                  <c:v>619185</c:v>
                </c:pt>
                <c:pt idx="6">
                  <c:v>710767</c:v>
                </c:pt>
                <c:pt idx="7">
                  <c:v>776680</c:v>
                </c:pt>
                <c:pt idx="8">
                  <c:v>827467</c:v>
                </c:pt>
                <c:pt idx="9">
                  <c:v>910893</c:v>
                </c:pt>
                <c:pt idx="10">
                  <c:v>952329</c:v>
                </c:pt>
                <c:pt idx="11">
                  <c:v>960743.66309499997</c:v>
                </c:pt>
                <c:pt idx="12">
                  <c:v>1259562.9589189999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0E-4682-916E-2C9008523577}"/>
            </c:ext>
          </c:extLst>
        </c:ser>
        <c:ser>
          <c:idx val="3"/>
          <c:order val="3"/>
          <c:tx>
            <c:strRef>
              <c:f>'E2.9'!$F$9</c:f>
              <c:strCache>
                <c:ptCount val="1"/>
                <c:pt idx="0">
                  <c:v>Gazdasági ügyek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'E2.9'!$B$10:$B$22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'E2.9'!$F$10:$F$22</c:f>
              <c:numCache>
                <c:formatCode>#,##0</c:formatCode>
                <c:ptCount val="13"/>
                <c:pt idx="0">
                  <c:v>900748</c:v>
                </c:pt>
                <c:pt idx="1">
                  <c:v>895262</c:v>
                </c:pt>
                <c:pt idx="2">
                  <c:v>936268</c:v>
                </c:pt>
                <c:pt idx="3">
                  <c:v>939886</c:v>
                </c:pt>
                <c:pt idx="4">
                  <c:v>954244</c:v>
                </c:pt>
                <c:pt idx="5">
                  <c:v>1012665</c:v>
                </c:pt>
                <c:pt idx="6">
                  <c:v>1013059</c:v>
                </c:pt>
                <c:pt idx="7">
                  <c:v>1011554</c:v>
                </c:pt>
                <c:pt idx="8">
                  <c:v>1198040</c:v>
                </c:pt>
                <c:pt idx="9">
                  <c:v>1517853</c:v>
                </c:pt>
                <c:pt idx="10">
                  <c:v>1628957</c:v>
                </c:pt>
                <c:pt idx="11">
                  <c:v>1815643.903405</c:v>
                </c:pt>
                <c:pt idx="12">
                  <c:v>2152086.8228857424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0E-4682-916E-2C9008523577}"/>
            </c:ext>
          </c:extLst>
        </c:ser>
        <c:ser>
          <c:idx val="4"/>
          <c:order val="4"/>
          <c:tx>
            <c:strRef>
              <c:f>'E2.9'!$G$9</c:f>
              <c:strCache>
                <c:ptCount val="1"/>
                <c:pt idx="0">
                  <c:v>Környezet
védelem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'E2.9'!$B$10:$B$22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'E2.9'!$G$10:$G$22</c:f>
              <c:numCache>
                <c:formatCode>#,##0</c:formatCode>
                <c:ptCount val="13"/>
                <c:pt idx="0">
                  <c:v>46566</c:v>
                </c:pt>
                <c:pt idx="1">
                  <c:v>46908</c:v>
                </c:pt>
                <c:pt idx="2">
                  <c:v>56136</c:v>
                </c:pt>
                <c:pt idx="3">
                  <c:v>71853</c:v>
                </c:pt>
                <c:pt idx="4">
                  <c:v>71660</c:v>
                </c:pt>
                <c:pt idx="5">
                  <c:v>81177</c:v>
                </c:pt>
                <c:pt idx="6">
                  <c:v>92648</c:v>
                </c:pt>
                <c:pt idx="7">
                  <c:v>191320</c:v>
                </c:pt>
                <c:pt idx="8">
                  <c:v>119340</c:v>
                </c:pt>
                <c:pt idx="9">
                  <c:v>143840</c:v>
                </c:pt>
                <c:pt idx="10">
                  <c:v>154903</c:v>
                </c:pt>
                <c:pt idx="11">
                  <c:v>190915</c:v>
                </c:pt>
                <c:pt idx="12">
                  <c:v>248609.88889005926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0E-4682-916E-2C9008523577}"/>
            </c:ext>
          </c:extLst>
        </c:ser>
        <c:ser>
          <c:idx val="5"/>
          <c:order val="5"/>
          <c:tx>
            <c:strRef>
              <c:f>'E2.9'!$H$9</c:f>
              <c:strCache>
                <c:ptCount val="1"/>
                <c:pt idx="0">
                  <c:v>Település-fejlesztés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'E2.9'!$B$10:$B$22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'E2.9'!$H$10:$H$22</c:f>
              <c:numCache>
                <c:formatCode>#,##0</c:formatCode>
                <c:ptCount val="13"/>
                <c:pt idx="0">
                  <c:v>105421</c:v>
                </c:pt>
                <c:pt idx="1">
                  <c:v>94343</c:v>
                </c:pt>
                <c:pt idx="2">
                  <c:v>104780</c:v>
                </c:pt>
                <c:pt idx="3">
                  <c:v>109005</c:v>
                </c:pt>
                <c:pt idx="4">
                  <c:v>124536</c:v>
                </c:pt>
                <c:pt idx="5">
                  <c:v>125542</c:v>
                </c:pt>
                <c:pt idx="6">
                  <c:v>110029</c:v>
                </c:pt>
                <c:pt idx="7">
                  <c:v>125256</c:v>
                </c:pt>
                <c:pt idx="8">
                  <c:v>133295</c:v>
                </c:pt>
                <c:pt idx="9">
                  <c:v>161419</c:v>
                </c:pt>
                <c:pt idx="10">
                  <c:v>165890</c:v>
                </c:pt>
                <c:pt idx="11">
                  <c:v>179657.333082</c:v>
                </c:pt>
                <c:pt idx="12">
                  <c:v>195981.42296599998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0E-4682-916E-2C9008523577}"/>
            </c:ext>
          </c:extLst>
        </c:ser>
        <c:ser>
          <c:idx val="6"/>
          <c:order val="6"/>
          <c:tx>
            <c:strRef>
              <c:f>'E2.9'!$I$9</c:f>
              <c:strCache>
                <c:ptCount val="1"/>
                <c:pt idx="0">
                  <c:v>Egészségügy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'E2.9'!$B$10:$B$22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'E2.9'!$I$10:$I$22</c:f>
              <c:numCache>
                <c:formatCode>#,##0</c:formatCode>
                <c:ptCount val="13"/>
                <c:pt idx="0">
                  <c:v>1257980</c:v>
                </c:pt>
                <c:pt idx="1">
                  <c:v>1323531</c:v>
                </c:pt>
                <c:pt idx="2">
                  <c:v>1336637</c:v>
                </c:pt>
                <c:pt idx="3">
                  <c:v>1402094</c:v>
                </c:pt>
                <c:pt idx="4">
                  <c:v>1430663</c:v>
                </c:pt>
                <c:pt idx="5">
                  <c:v>1562559</c:v>
                </c:pt>
                <c:pt idx="6">
                  <c:v>1640086</c:v>
                </c:pt>
                <c:pt idx="7">
                  <c:v>1738623</c:v>
                </c:pt>
                <c:pt idx="8">
                  <c:v>1876258</c:v>
                </c:pt>
                <c:pt idx="9">
                  <c:v>1971310</c:v>
                </c:pt>
                <c:pt idx="10">
                  <c:v>2465153</c:v>
                </c:pt>
                <c:pt idx="11">
                  <c:v>2757041</c:v>
                </c:pt>
                <c:pt idx="12">
                  <c:v>2737508.7947840001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0E-4682-916E-2C9008523577}"/>
            </c:ext>
          </c:extLst>
        </c:ser>
        <c:ser>
          <c:idx val="7"/>
          <c:order val="7"/>
          <c:tx>
            <c:strRef>
              <c:f>'E2.9'!$J$9</c:f>
              <c:strCache>
                <c:ptCount val="1"/>
                <c:pt idx="0">
                  <c:v>Kultúra és vallás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'E2.9'!$B$10:$B$22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'E2.9'!$J$10:$J$22</c:f>
              <c:numCache>
                <c:formatCode>#,##0</c:formatCode>
                <c:ptCount val="13"/>
                <c:pt idx="0">
                  <c:v>237092</c:v>
                </c:pt>
                <c:pt idx="1">
                  <c:v>234253</c:v>
                </c:pt>
                <c:pt idx="2">
                  <c:v>231664</c:v>
                </c:pt>
                <c:pt idx="3">
                  <c:v>227635</c:v>
                </c:pt>
                <c:pt idx="4">
                  <c:v>276640</c:v>
                </c:pt>
                <c:pt idx="5">
                  <c:v>310780</c:v>
                </c:pt>
                <c:pt idx="6">
                  <c:v>320299</c:v>
                </c:pt>
                <c:pt idx="7">
                  <c:v>427223</c:v>
                </c:pt>
                <c:pt idx="8">
                  <c:v>429967</c:v>
                </c:pt>
                <c:pt idx="9">
                  <c:v>472983</c:v>
                </c:pt>
                <c:pt idx="10">
                  <c:v>426952</c:v>
                </c:pt>
                <c:pt idx="11">
                  <c:v>491109</c:v>
                </c:pt>
                <c:pt idx="12">
                  <c:v>648963.8361990077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90E-4682-916E-2C9008523577}"/>
            </c:ext>
          </c:extLst>
        </c:ser>
        <c:ser>
          <c:idx val="8"/>
          <c:order val="8"/>
          <c:tx>
            <c:strRef>
              <c:f>'E2.9'!$K$9</c:f>
              <c:strCache>
                <c:ptCount val="1"/>
                <c:pt idx="0">
                  <c:v>Oktatás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'E2.9'!$B$10:$B$22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'E2.9'!$K$10:$K$22</c:f>
              <c:numCache>
                <c:formatCode>#,##0</c:formatCode>
                <c:ptCount val="13"/>
                <c:pt idx="0">
                  <c:v>1110747</c:v>
                </c:pt>
                <c:pt idx="1">
                  <c:v>1075531</c:v>
                </c:pt>
                <c:pt idx="2">
                  <c:v>1044032</c:v>
                </c:pt>
                <c:pt idx="3">
                  <c:v>1032791</c:v>
                </c:pt>
                <c:pt idx="4">
                  <c:v>1231073</c:v>
                </c:pt>
                <c:pt idx="5">
                  <c:v>1311363</c:v>
                </c:pt>
                <c:pt idx="6">
                  <c:v>1370797</c:v>
                </c:pt>
                <c:pt idx="7">
                  <c:v>1469126</c:v>
                </c:pt>
                <c:pt idx="8">
                  <c:v>1552048</c:v>
                </c:pt>
                <c:pt idx="9">
                  <c:v>1672230</c:v>
                </c:pt>
                <c:pt idx="10">
                  <c:v>1683586</c:v>
                </c:pt>
                <c:pt idx="11">
                  <c:v>1973365.099439</c:v>
                </c:pt>
                <c:pt idx="12">
                  <c:v>2471937.2748546177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0E-4682-916E-2C9008523577}"/>
            </c:ext>
          </c:extLst>
        </c:ser>
        <c:ser>
          <c:idx val="9"/>
          <c:order val="9"/>
          <c:tx>
            <c:strRef>
              <c:f>'E2.9'!$L$9</c:f>
              <c:strCache>
                <c:ptCount val="1"/>
                <c:pt idx="0">
                  <c:v>Szociális védelem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'E2.9'!$B$10:$B$22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'E2.9'!$L$10:$L$22</c:f>
              <c:numCache>
                <c:formatCode>#,##0</c:formatCode>
                <c:ptCount val="13"/>
                <c:pt idx="0">
                  <c:v>419506</c:v>
                </c:pt>
                <c:pt idx="1">
                  <c:v>376706</c:v>
                </c:pt>
                <c:pt idx="2">
                  <c:v>346907</c:v>
                </c:pt>
                <c:pt idx="3">
                  <c:v>391451</c:v>
                </c:pt>
                <c:pt idx="4">
                  <c:v>424923</c:v>
                </c:pt>
                <c:pt idx="5">
                  <c:v>441154</c:v>
                </c:pt>
                <c:pt idx="6">
                  <c:v>438054</c:v>
                </c:pt>
                <c:pt idx="7">
                  <c:v>482785</c:v>
                </c:pt>
                <c:pt idx="8">
                  <c:v>508063</c:v>
                </c:pt>
                <c:pt idx="9">
                  <c:v>557331</c:v>
                </c:pt>
                <c:pt idx="10">
                  <c:v>553203</c:v>
                </c:pt>
                <c:pt idx="11">
                  <c:v>596099.2466500001</c:v>
                </c:pt>
                <c:pt idx="12">
                  <c:v>716795.29496258067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90E-4682-916E-2C9008523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518103711"/>
        <c:axId val="518108511"/>
      </c:barChart>
      <c:catAx>
        <c:axId val="51810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18108511"/>
        <c:crosses val="autoZero"/>
        <c:auto val="1"/>
        <c:lblAlgn val="ctr"/>
        <c:lblOffset val="100"/>
        <c:noMultiLvlLbl val="0"/>
      </c:catAx>
      <c:valAx>
        <c:axId val="51810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millió Ft</a:t>
                </a:r>
              </a:p>
            </c:rich>
          </c:tx>
          <c:layout>
            <c:manualLayout>
              <c:xMode val="edge"/>
              <c:yMode val="edge"/>
              <c:x val="1.6672917916862005E-2"/>
              <c:y val="3.051993916042886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18103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071916990399155"/>
          <c:y val="9.8699373541762433E-2"/>
          <c:w val="0.12927707934589122"/>
          <c:h val="0.875659313349950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Kormányzati kiadások megoszlása funkciók</a:t>
            </a:r>
            <a:r>
              <a:rPr lang="hu-HU" baseline="0"/>
              <a:t> szerint</a:t>
            </a:r>
            <a:r>
              <a:rPr lang="hu-HU"/>
              <a:t> 2010-2022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7.0108307012222301E-2"/>
          <c:y val="0.12051890523651324"/>
          <c:w val="0.77893982034996601"/>
          <c:h val="0.80924452549743575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'E2.9'!$C$9</c:f>
              <c:strCache>
                <c:ptCount val="1"/>
                <c:pt idx="0">
                  <c:v>Általános köz-szolgáltatások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'E2.9'!$B$10:$B$22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'E2.9'!$C$10:$C$22</c:f>
              <c:numCache>
                <c:formatCode>#,##0</c:formatCode>
                <c:ptCount val="13"/>
                <c:pt idx="0">
                  <c:v>988918</c:v>
                </c:pt>
                <c:pt idx="1">
                  <c:v>981906</c:v>
                </c:pt>
                <c:pt idx="2">
                  <c:v>978122</c:v>
                </c:pt>
                <c:pt idx="3">
                  <c:v>1012522</c:v>
                </c:pt>
                <c:pt idx="4">
                  <c:v>1254767</c:v>
                </c:pt>
                <c:pt idx="5">
                  <c:v>1191693</c:v>
                </c:pt>
                <c:pt idx="6">
                  <c:v>1265635</c:v>
                </c:pt>
                <c:pt idx="7">
                  <c:v>1390267</c:v>
                </c:pt>
                <c:pt idx="8">
                  <c:v>1525727</c:v>
                </c:pt>
                <c:pt idx="9">
                  <c:v>1751621</c:v>
                </c:pt>
                <c:pt idx="10">
                  <c:v>1821000</c:v>
                </c:pt>
                <c:pt idx="11">
                  <c:v>2010958.44043</c:v>
                </c:pt>
                <c:pt idx="12">
                  <c:v>2370980.6720989347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2-4319-A03C-9C6DCE7A2CEA}"/>
            </c:ext>
          </c:extLst>
        </c:ser>
        <c:ser>
          <c:idx val="1"/>
          <c:order val="1"/>
          <c:tx>
            <c:strRef>
              <c:f>'E2.9'!$D$9</c:f>
              <c:strCache>
                <c:ptCount val="1"/>
                <c:pt idx="0">
                  <c:v>Védelem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'E2.9'!$B$10:$B$22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'E2.9'!$D$10:$D$22</c:f>
              <c:numCache>
                <c:formatCode>#,##0</c:formatCode>
                <c:ptCount val="13"/>
                <c:pt idx="0">
                  <c:v>335351</c:v>
                </c:pt>
                <c:pt idx="1">
                  <c:v>348685</c:v>
                </c:pt>
                <c:pt idx="2">
                  <c:v>233298</c:v>
                </c:pt>
                <c:pt idx="3">
                  <c:v>252646</c:v>
                </c:pt>
                <c:pt idx="4">
                  <c:v>215163</c:v>
                </c:pt>
                <c:pt idx="5">
                  <c:v>236884</c:v>
                </c:pt>
                <c:pt idx="6">
                  <c:v>265878</c:v>
                </c:pt>
                <c:pt idx="7">
                  <c:v>317845</c:v>
                </c:pt>
                <c:pt idx="8">
                  <c:v>373751</c:v>
                </c:pt>
                <c:pt idx="9">
                  <c:v>416226</c:v>
                </c:pt>
                <c:pt idx="10">
                  <c:v>475223</c:v>
                </c:pt>
                <c:pt idx="11">
                  <c:v>539076</c:v>
                </c:pt>
                <c:pt idx="12">
                  <c:v>784007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62-4319-A03C-9C6DCE7A2CEA}"/>
            </c:ext>
          </c:extLst>
        </c:ser>
        <c:ser>
          <c:idx val="2"/>
          <c:order val="2"/>
          <c:tx>
            <c:strRef>
              <c:f>'E2.9'!$E$9</c:f>
              <c:strCache>
                <c:ptCount val="1"/>
                <c:pt idx="0">
                  <c:v>Közbiztonság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'E2.9'!$B$10:$B$22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'E2.9'!$E$10:$E$22</c:f>
              <c:numCache>
                <c:formatCode>#,##0</c:formatCode>
                <c:ptCount val="13"/>
                <c:pt idx="0">
                  <c:v>479589</c:v>
                </c:pt>
                <c:pt idx="1">
                  <c:v>500976</c:v>
                </c:pt>
                <c:pt idx="2">
                  <c:v>518719</c:v>
                </c:pt>
                <c:pt idx="3">
                  <c:v>546425</c:v>
                </c:pt>
                <c:pt idx="4">
                  <c:v>575465</c:v>
                </c:pt>
                <c:pt idx="5">
                  <c:v>619185</c:v>
                </c:pt>
                <c:pt idx="6">
                  <c:v>710767</c:v>
                </c:pt>
                <c:pt idx="7">
                  <c:v>776680</c:v>
                </c:pt>
                <c:pt idx="8">
                  <c:v>827467</c:v>
                </c:pt>
                <c:pt idx="9">
                  <c:v>910893</c:v>
                </c:pt>
                <c:pt idx="10">
                  <c:v>952329</c:v>
                </c:pt>
                <c:pt idx="11">
                  <c:v>960743.66309499997</c:v>
                </c:pt>
                <c:pt idx="12">
                  <c:v>1259562.9589189999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62-4319-A03C-9C6DCE7A2CEA}"/>
            </c:ext>
          </c:extLst>
        </c:ser>
        <c:ser>
          <c:idx val="3"/>
          <c:order val="3"/>
          <c:tx>
            <c:strRef>
              <c:f>'E2.9'!$F$9</c:f>
              <c:strCache>
                <c:ptCount val="1"/>
                <c:pt idx="0">
                  <c:v>Gazdasági ügyek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'E2.9'!$B$10:$B$22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'E2.9'!$F$10:$F$22</c:f>
              <c:numCache>
                <c:formatCode>#,##0</c:formatCode>
                <c:ptCount val="13"/>
                <c:pt idx="0">
                  <c:v>900748</c:v>
                </c:pt>
                <c:pt idx="1">
                  <c:v>895262</c:v>
                </c:pt>
                <c:pt idx="2">
                  <c:v>936268</c:v>
                </c:pt>
                <c:pt idx="3">
                  <c:v>939886</c:v>
                </c:pt>
                <c:pt idx="4">
                  <c:v>954244</c:v>
                </c:pt>
                <c:pt idx="5">
                  <c:v>1012665</c:v>
                </c:pt>
                <c:pt idx="6">
                  <c:v>1013059</c:v>
                </c:pt>
                <c:pt idx="7">
                  <c:v>1011554</c:v>
                </c:pt>
                <c:pt idx="8">
                  <c:v>1198040</c:v>
                </c:pt>
                <c:pt idx="9">
                  <c:v>1517853</c:v>
                </c:pt>
                <c:pt idx="10">
                  <c:v>1628957</c:v>
                </c:pt>
                <c:pt idx="11">
                  <c:v>1815643.903405</c:v>
                </c:pt>
                <c:pt idx="12">
                  <c:v>2152086.8228857424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62-4319-A03C-9C6DCE7A2CEA}"/>
            </c:ext>
          </c:extLst>
        </c:ser>
        <c:ser>
          <c:idx val="4"/>
          <c:order val="4"/>
          <c:tx>
            <c:strRef>
              <c:f>'E2.9'!$G$9</c:f>
              <c:strCache>
                <c:ptCount val="1"/>
                <c:pt idx="0">
                  <c:v>Környezet
védelem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'E2.9'!$B$10:$B$22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'E2.9'!$G$10:$G$22</c:f>
              <c:numCache>
                <c:formatCode>#,##0</c:formatCode>
                <c:ptCount val="13"/>
                <c:pt idx="0">
                  <c:v>46566</c:v>
                </c:pt>
                <c:pt idx="1">
                  <c:v>46908</c:v>
                </c:pt>
                <c:pt idx="2">
                  <c:v>56136</c:v>
                </c:pt>
                <c:pt idx="3">
                  <c:v>71853</c:v>
                </c:pt>
                <c:pt idx="4">
                  <c:v>71660</c:v>
                </c:pt>
                <c:pt idx="5">
                  <c:v>81177</c:v>
                </c:pt>
                <c:pt idx="6">
                  <c:v>92648</c:v>
                </c:pt>
                <c:pt idx="7">
                  <c:v>191320</c:v>
                </c:pt>
                <c:pt idx="8">
                  <c:v>119340</c:v>
                </c:pt>
                <c:pt idx="9">
                  <c:v>143840</c:v>
                </c:pt>
                <c:pt idx="10">
                  <c:v>154903</c:v>
                </c:pt>
                <c:pt idx="11">
                  <c:v>190915</c:v>
                </c:pt>
                <c:pt idx="12">
                  <c:v>248609.88889005926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62-4319-A03C-9C6DCE7A2CEA}"/>
            </c:ext>
          </c:extLst>
        </c:ser>
        <c:ser>
          <c:idx val="5"/>
          <c:order val="5"/>
          <c:tx>
            <c:strRef>
              <c:f>'E2.9'!$H$9</c:f>
              <c:strCache>
                <c:ptCount val="1"/>
                <c:pt idx="0">
                  <c:v>Település-fejlesztés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'E2.9'!$B$10:$B$22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'E2.9'!$H$10:$H$22</c:f>
              <c:numCache>
                <c:formatCode>#,##0</c:formatCode>
                <c:ptCount val="13"/>
                <c:pt idx="0">
                  <c:v>105421</c:v>
                </c:pt>
                <c:pt idx="1">
                  <c:v>94343</c:v>
                </c:pt>
                <c:pt idx="2">
                  <c:v>104780</c:v>
                </c:pt>
                <c:pt idx="3">
                  <c:v>109005</c:v>
                </c:pt>
                <c:pt idx="4">
                  <c:v>124536</c:v>
                </c:pt>
                <c:pt idx="5">
                  <c:v>125542</c:v>
                </c:pt>
                <c:pt idx="6">
                  <c:v>110029</c:v>
                </c:pt>
                <c:pt idx="7">
                  <c:v>125256</c:v>
                </c:pt>
                <c:pt idx="8">
                  <c:v>133295</c:v>
                </c:pt>
                <c:pt idx="9">
                  <c:v>161419</c:v>
                </c:pt>
                <c:pt idx="10">
                  <c:v>165890</c:v>
                </c:pt>
                <c:pt idx="11">
                  <c:v>179657.333082</c:v>
                </c:pt>
                <c:pt idx="12">
                  <c:v>195981.42296599998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F62-4319-A03C-9C6DCE7A2CEA}"/>
            </c:ext>
          </c:extLst>
        </c:ser>
        <c:ser>
          <c:idx val="6"/>
          <c:order val="6"/>
          <c:tx>
            <c:strRef>
              <c:f>'E2.9'!$I$9</c:f>
              <c:strCache>
                <c:ptCount val="1"/>
                <c:pt idx="0">
                  <c:v>Egészségügy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'E2.9'!$B$10:$B$22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'E2.9'!$I$10:$I$22</c:f>
              <c:numCache>
                <c:formatCode>#,##0</c:formatCode>
                <c:ptCount val="13"/>
                <c:pt idx="0">
                  <c:v>1257980</c:v>
                </c:pt>
                <c:pt idx="1">
                  <c:v>1323531</c:v>
                </c:pt>
                <c:pt idx="2">
                  <c:v>1336637</c:v>
                </c:pt>
                <c:pt idx="3">
                  <c:v>1402094</c:v>
                </c:pt>
                <c:pt idx="4">
                  <c:v>1430663</c:v>
                </c:pt>
                <c:pt idx="5">
                  <c:v>1562559</c:v>
                </c:pt>
                <c:pt idx="6">
                  <c:v>1640086</c:v>
                </c:pt>
                <c:pt idx="7">
                  <c:v>1738623</c:v>
                </c:pt>
                <c:pt idx="8">
                  <c:v>1876258</c:v>
                </c:pt>
                <c:pt idx="9">
                  <c:v>1971310</c:v>
                </c:pt>
                <c:pt idx="10">
                  <c:v>2465153</c:v>
                </c:pt>
                <c:pt idx="11">
                  <c:v>2757041</c:v>
                </c:pt>
                <c:pt idx="12">
                  <c:v>2737508.7947840001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62-4319-A03C-9C6DCE7A2CEA}"/>
            </c:ext>
          </c:extLst>
        </c:ser>
        <c:ser>
          <c:idx val="7"/>
          <c:order val="7"/>
          <c:tx>
            <c:strRef>
              <c:f>'E2.9'!$J$9</c:f>
              <c:strCache>
                <c:ptCount val="1"/>
                <c:pt idx="0">
                  <c:v>Kultúra és vallás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'E2.9'!$B$10:$B$22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'E2.9'!$J$10:$J$22</c:f>
              <c:numCache>
                <c:formatCode>#,##0</c:formatCode>
                <c:ptCount val="13"/>
                <c:pt idx="0">
                  <c:v>237092</c:v>
                </c:pt>
                <c:pt idx="1">
                  <c:v>234253</c:v>
                </c:pt>
                <c:pt idx="2">
                  <c:v>231664</c:v>
                </c:pt>
                <c:pt idx="3">
                  <c:v>227635</c:v>
                </c:pt>
                <c:pt idx="4">
                  <c:v>276640</c:v>
                </c:pt>
                <c:pt idx="5">
                  <c:v>310780</c:v>
                </c:pt>
                <c:pt idx="6">
                  <c:v>320299</c:v>
                </c:pt>
                <c:pt idx="7">
                  <c:v>427223</c:v>
                </c:pt>
                <c:pt idx="8">
                  <c:v>429967</c:v>
                </c:pt>
                <c:pt idx="9">
                  <c:v>472983</c:v>
                </c:pt>
                <c:pt idx="10">
                  <c:v>426952</c:v>
                </c:pt>
                <c:pt idx="11">
                  <c:v>491109</c:v>
                </c:pt>
                <c:pt idx="12">
                  <c:v>648963.8361990077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F62-4319-A03C-9C6DCE7A2CEA}"/>
            </c:ext>
          </c:extLst>
        </c:ser>
        <c:ser>
          <c:idx val="8"/>
          <c:order val="8"/>
          <c:tx>
            <c:strRef>
              <c:f>'E2.9'!$K$9</c:f>
              <c:strCache>
                <c:ptCount val="1"/>
                <c:pt idx="0">
                  <c:v>Oktatás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'E2.9'!$B$10:$B$22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'E2.9'!$K$10:$K$22</c:f>
              <c:numCache>
                <c:formatCode>#,##0</c:formatCode>
                <c:ptCount val="13"/>
                <c:pt idx="0">
                  <c:v>1110747</c:v>
                </c:pt>
                <c:pt idx="1">
                  <c:v>1075531</c:v>
                </c:pt>
                <c:pt idx="2">
                  <c:v>1044032</c:v>
                </c:pt>
                <c:pt idx="3">
                  <c:v>1032791</c:v>
                </c:pt>
                <c:pt idx="4">
                  <c:v>1231073</c:v>
                </c:pt>
                <c:pt idx="5">
                  <c:v>1311363</c:v>
                </c:pt>
                <c:pt idx="6">
                  <c:v>1370797</c:v>
                </c:pt>
                <c:pt idx="7">
                  <c:v>1469126</c:v>
                </c:pt>
                <c:pt idx="8">
                  <c:v>1552048</c:v>
                </c:pt>
                <c:pt idx="9">
                  <c:v>1672230</c:v>
                </c:pt>
                <c:pt idx="10">
                  <c:v>1683586</c:v>
                </c:pt>
                <c:pt idx="11">
                  <c:v>1973365.099439</c:v>
                </c:pt>
                <c:pt idx="12">
                  <c:v>2471937.2748546177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F62-4319-A03C-9C6DCE7A2CEA}"/>
            </c:ext>
          </c:extLst>
        </c:ser>
        <c:ser>
          <c:idx val="9"/>
          <c:order val="9"/>
          <c:tx>
            <c:strRef>
              <c:f>'E2.9'!$L$9</c:f>
              <c:strCache>
                <c:ptCount val="1"/>
                <c:pt idx="0">
                  <c:v>Szociális védelem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'E2.9'!$B$10:$B$22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'E2.9'!$L$10:$L$22</c:f>
              <c:numCache>
                <c:formatCode>#,##0</c:formatCode>
                <c:ptCount val="13"/>
                <c:pt idx="0">
                  <c:v>419506</c:v>
                </c:pt>
                <c:pt idx="1">
                  <c:v>376706</c:v>
                </c:pt>
                <c:pt idx="2">
                  <c:v>346907</c:v>
                </c:pt>
                <c:pt idx="3">
                  <c:v>391451</c:v>
                </c:pt>
                <c:pt idx="4">
                  <c:v>424923</c:v>
                </c:pt>
                <c:pt idx="5">
                  <c:v>441154</c:v>
                </c:pt>
                <c:pt idx="6">
                  <c:v>438054</c:v>
                </c:pt>
                <c:pt idx="7">
                  <c:v>482785</c:v>
                </c:pt>
                <c:pt idx="8">
                  <c:v>508063</c:v>
                </c:pt>
                <c:pt idx="9">
                  <c:v>557331</c:v>
                </c:pt>
                <c:pt idx="10">
                  <c:v>553203</c:v>
                </c:pt>
                <c:pt idx="11">
                  <c:v>596099.2466500001</c:v>
                </c:pt>
                <c:pt idx="12">
                  <c:v>716795.29496258067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F62-4319-A03C-9C6DCE7A2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518103711"/>
        <c:axId val="518108511"/>
      </c:barChart>
      <c:catAx>
        <c:axId val="51810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18108511"/>
        <c:crosses val="autoZero"/>
        <c:auto val="1"/>
        <c:lblAlgn val="ctr"/>
        <c:lblOffset val="100"/>
        <c:noMultiLvlLbl val="0"/>
      </c:catAx>
      <c:valAx>
        <c:axId val="51810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18103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071916990399155"/>
          <c:y val="0.11768371146297742"/>
          <c:w val="0.13594624651263604"/>
          <c:h val="0.853510919108533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sz="1400"/>
              <a:t>Kormányzati kiadások, oktatás (2010 = 100)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'E2.9'!$K$26</c:f>
              <c:strCache>
                <c:ptCount val="1"/>
                <c:pt idx="0">
                  <c:v>Oktatás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xVal>
            <c:numRef>
              <c:f>'E2.9'!$B$27:$B$39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xVal>
          <c:yVal>
            <c:numRef>
              <c:f>'E2.9'!$K$27:$K$39</c:f>
              <c:numCache>
                <c:formatCode>0.0%</c:formatCode>
                <c:ptCount val="13"/>
                <c:pt idx="0">
                  <c:v>1</c:v>
                </c:pt>
                <c:pt idx="1">
                  <c:v>0.96829521034042854</c:v>
                </c:pt>
                <c:pt idx="2">
                  <c:v>0.93993681729502754</c:v>
                </c:pt>
                <c:pt idx="3">
                  <c:v>0.92981660090011498</c:v>
                </c:pt>
                <c:pt idx="4">
                  <c:v>1.1083288993803269</c:v>
                </c:pt>
                <c:pt idx="5">
                  <c:v>1.1806135870724837</c:v>
                </c:pt>
                <c:pt idx="6">
                  <c:v>1.2341217216881972</c:v>
                </c:pt>
                <c:pt idx="7">
                  <c:v>1.3226468313666389</c:v>
                </c:pt>
                <c:pt idx="8">
                  <c:v>1.3973010955690179</c:v>
                </c:pt>
                <c:pt idx="9">
                  <c:v>1.5055003524655028</c:v>
                </c:pt>
                <c:pt idx="10">
                  <c:v>1.5157241027884838</c:v>
                </c:pt>
                <c:pt idx="11">
                  <c:v>1.7766107848492951</c:v>
                </c:pt>
                <c:pt idx="12">
                  <c:v>2.2254728348171255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3B-4871-9F23-DE6F705DF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343263"/>
        <c:axId val="530344095"/>
      </c:scatterChart>
      <c:valAx>
        <c:axId val="530343263"/>
        <c:scaling>
          <c:orientation val="minMax"/>
          <c:max val="2022"/>
          <c:min val="20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accent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30344095"/>
        <c:crossesAt val="1"/>
        <c:crossBetween val="midCat"/>
        <c:majorUnit val="1"/>
      </c:valAx>
      <c:valAx>
        <c:axId val="530344095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30343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sz="1400"/>
              <a:t>Kormányzati összkiadások, oktatás (előző év = 100)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'E2.9'!$K$43</c:f>
              <c:strCache>
                <c:ptCount val="1"/>
                <c:pt idx="0">
                  <c:v>Oktatás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numRef>
              <c:f>'E2.9'!$B$44:$B$56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'E2.9'!$K$44:$K$56</c:f>
              <c:numCache>
                <c:formatCode>0.0%</c:formatCode>
                <c:ptCount val="13"/>
                <c:pt idx="1">
                  <c:v>0.96829521034042854</c:v>
                </c:pt>
                <c:pt idx="2">
                  <c:v>0.97071307103189031</c:v>
                </c:pt>
                <c:pt idx="3">
                  <c:v>0.98923308864096116</c:v>
                </c:pt>
                <c:pt idx="4">
                  <c:v>1.1919865684344655</c:v>
                </c:pt>
                <c:pt idx="5">
                  <c:v>1.0652195280052441</c:v>
                </c:pt>
                <c:pt idx="6">
                  <c:v>1.0453223096884692</c:v>
                </c:pt>
                <c:pt idx="7">
                  <c:v>1.071731262907637</c:v>
                </c:pt>
                <c:pt idx="8">
                  <c:v>1.0564430824857773</c:v>
                </c:pt>
                <c:pt idx="9">
                  <c:v>1.0774344607898725</c:v>
                </c:pt>
                <c:pt idx="10">
                  <c:v>1.0067909318694199</c:v>
                </c:pt>
                <c:pt idx="11">
                  <c:v>1.1721201646004422</c:v>
                </c:pt>
                <c:pt idx="12">
                  <c:v>1.2526507515296357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94-4456-BE16-940D0CD3F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0343263"/>
        <c:axId val="530344095"/>
      </c:barChart>
      <c:catAx>
        <c:axId val="53034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accent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30344095"/>
        <c:crossesAt val="1"/>
        <c:auto val="1"/>
        <c:lblAlgn val="ctr"/>
        <c:lblOffset val="100"/>
        <c:tickMarkSkip val="1"/>
        <c:noMultiLvlLbl val="1"/>
      </c:catAx>
      <c:valAx>
        <c:axId val="530344095"/>
        <c:scaling>
          <c:orientation val="minMax"/>
          <c:max val="1.5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3034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sz="1400"/>
              <a:t>Kormányzati kiadások, oktatás, arány (2010 = 100)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'E2.9'!$X$26</c:f>
              <c:strCache>
                <c:ptCount val="1"/>
                <c:pt idx="0">
                  <c:v>Oktatás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xVal>
            <c:numRef>
              <c:f>'E2.9'!$B$27:$B$39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xVal>
          <c:yVal>
            <c:numRef>
              <c:f>'E2.9'!$X$27:$X$39</c:f>
              <c:numCache>
                <c:formatCode>0.0%</c:formatCode>
                <c:ptCount val="13"/>
                <c:pt idx="0">
                  <c:v>1</c:v>
                </c:pt>
                <c:pt idx="1">
                  <c:v>0.96892398191442319</c:v>
                </c:pt>
                <c:pt idx="2">
                  <c:v>0.95542574832596394</c:v>
                </c:pt>
                <c:pt idx="3">
                  <c:v>0.91360234079723313</c:v>
                </c:pt>
                <c:pt idx="4">
                  <c:v>0.99389640510246235</c:v>
                </c:pt>
                <c:pt idx="5">
                  <c:v>1.0074380232076254</c:v>
                </c:pt>
                <c:pt idx="6">
                  <c:v>1.0043932007613403</c:v>
                </c:pt>
                <c:pt idx="7">
                  <c:v>0.98096268996114933</c:v>
                </c:pt>
                <c:pt idx="8">
                  <c:v>0.9619443809690883</c:v>
                </c:pt>
                <c:pt idx="9">
                  <c:v>0.92475997301642154</c:v>
                </c:pt>
                <c:pt idx="10">
                  <c:v>0.863289985318903</c:v>
                </c:pt>
                <c:pt idx="11">
                  <c:v>0.90753226959531741</c:v>
                </c:pt>
                <c:pt idx="12">
                  <c:v>0.96346464111482011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93-43FA-A963-4DC368891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343263"/>
        <c:axId val="530344095"/>
      </c:scatterChart>
      <c:valAx>
        <c:axId val="530343263"/>
        <c:scaling>
          <c:orientation val="minMax"/>
          <c:max val="2022"/>
          <c:min val="20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accent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30344095"/>
        <c:crossesAt val="1"/>
        <c:crossBetween val="midCat"/>
        <c:majorUnit val="1"/>
      </c:valAx>
      <c:valAx>
        <c:axId val="530344095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30343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sz="1400"/>
              <a:t>Kormányzati összkiadások, oktatás, arány (előző év = 100)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'E2.9'!$X$43</c:f>
              <c:strCache>
                <c:ptCount val="1"/>
                <c:pt idx="0">
                  <c:v>Oktatás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numRef>
              <c:f>'E2.9'!$B$44:$B$56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'E2.9'!$X$44:$X$56</c:f>
              <c:numCache>
                <c:formatCode>0.0%</c:formatCode>
                <c:ptCount val="13"/>
                <c:pt idx="1">
                  <c:v>0.96892398191442319</c:v>
                </c:pt>
                <c:pt idx="2">
                  <c:v>0.98606884147733742</c:v>
                </c:pt>
                <c:pt idx="3">
                  <c:v>0.9562253711478772</c:v>
                </c:pt>
                <c:pt idx="4">
                  <c:v>1.0878873233130757</c:v>
                </c:pt>
                <c:pt idx="5">
                  <c:v>1.0136247782320604</c:v>
                </c:pt>
                <c:pt idx="6">
                  <c:v>0.99697765780510172</c:v>
                </c:pt>
                <c:pt idx="7">
                  <c:v>0.97667197390182425</c:v>
                </c:pt>
                <c:pt idx="8">
                  <c:v>0.98061260720036736</c:v>
                </c:pt>
                <c:pt idx="9">
                  <c:v>0.96134453437400802</c:v>
                </c:pt>
                <c:pt idx="10">
                  <c:v>0.93352871070207211</c:v>
                </c:pt>
                <c:pt idx="11">
                  <c:v>1.0512484623113878</c:v>
                </c:pt>
                <c:pt idx="12">
                  <c:v>1.0616312757059798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DA-4510-B3FD-08EE57327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0343263"/>
        <c:axId val="530344095"/>
      </c:barChart>
      <c:catAx>
        <c:axId val="53034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accent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30344095"/>
        <c:crossesAt val="1"/>
        <c:auto val="1"/>
        <c:lblAlgn val="ctr"/>
        <c:lblOffset val="100"/>
        <c:tickMarkSkip val="1"/>
        <c:noMultiLvlLbl val="1"/>
      </c:catAx>
      <c:valAx>
        <c:axId val="530344095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3034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clusteredColumn" uniqueId="{00000000-201F-45E3-9231-3E8BCA75DBCF}">
          <cx:tx>
            <cx:txData>
              <cx:f>_xlchart.v1.0</cx:f>
              <cx:v>Életkor,
év</cx:v>
            </cx:txData>
          </cx:tx>
          <cx:dataId val="0"/>
          <cx:layoutPr>
            <cx:binning intervalClosed="r" underflow="10" overflow="auto">
              <cx:binSize val="10"/>
            </cx:binning>
          </cx:layoutPr>
        </cx:series>
      </cx:plotAreaRegion>
      <cx:axis id="0">
        <cx:catScaling gapWidth="0.00999999978"/>
        <cx:tickLabels/>
      </cx:axis>
      <cx:axis id="1">
        <cx:valScaling max="255"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hu-HU" sz="1400" b="0" i="0" baseline="0">
                <a:effectLst/>
                <a:latin typeface="+mn-lt"/>
              </a:rPr>
              <a:t>Hisztogram adatokból hisztogram grafikontípussal</a:t>
            </a:r>
            <a:endParaRPr lang="hu-HU" sz="1400">
              <a:effectLst/>
              <a:latin typeface="+mn-lt"/>
            </a:endParaRPr>
          </a:p>
        </cx:rich>
      </cx:tx>
    </cx:title>
    <cx:plotArea>
      <cx:plotAreaRegion>
        <cx:series layoutId="clusteredColumn" uniqueId="{14A5C804-B570-4C7D-830C-D223EF10B32A}">
          <cx:dataId val="0"/>
          <cx:layoutPr>
            <cx:binning intervalClosed="r" underflow="150">
              <cx:binSize val="15"/>
            </cx:binning>
          </cx:layoutPr>
        </cx:series>
      </cx:plotAreaRegion>
      <cx:axis id="0">
        <cx:catScaling gapWidth="0"/>
        <cx:tickLabels/>
        <cx:numFmt formatCode="0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.xml"/><Relationship Id="rId1" Type="http://schemas.microsoft.com/office/2014/relationships/chartEx" Target="../charts/chartEx2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4" Type="http://schemas.openxmlformats.org/officeDocument/2006/relationships/chart" Target="../charts/chart3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5" Type="http://schemas.openxmlformats.org/officeDocument/2006/relationships/chart" Target="../charts/chart36.xml"/><Relationship Id="rId4" Type="http://schemas.openxmlformats.org/officeDocument/2006/relationships/chart" Target="../charts/chart35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4.xml"/><Relationship Id="rId3" Type="http://schemas.openxmlformats.org/officeDocument/2006/relationships/chart" Target="../charts/chart39.xml"/><Relationship Id="rId7" Type="http://schemas.openxmlformats.org/officeDocument/2006/relationships/chart" Target="../charts/chart43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6" Type="http://schemas.openxmlformats.org/officeDocument/2006/relationships/chart" Target="../charts/chart42.xml"/><Relationship Id="rId5" Type="http://schemas.openxmlformats.org/officeDocument/2006/relationships/chart" Target="../charts/chart41.xml"/><Relationship Id="rId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18</xdr:row>
      <xdr:rowOff>0</xdr:rowOff>
    </xdr:from>
    <xdr:to>
      <xdr:col>16</xdr:col>
      <xdr:colOff>0</xdr:colOff>
      <xdr:row>34</xdr:row>
      <xdr:rowOff>160020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36</xdr:row>
      <xdr:rowOff>0</xdr:rowOff>
    </xdr:from>
    <xdr:to>
      <xdr:col>16</xdr:col>
      <xdr:colOff>0</xdr:colOff>
      <xdr:row>52</xdr:row>
      <xdr:rowOff>160020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54</xdr:row>
      <xdr:rowOff>0</xdr:rowOff>
    </xdr:from>
    <xdr:to>
      <xdr:col>16</xdr:col>
      <xdr:colOff>0</xdr:colOff>
      <xdr:row>70</xdr:row>
      <xdr:rowOff>160020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57</xdr:row>
      <xdr:rowOff>0</xdr:rowOff>
    </xdr:from>
    <xdr:to>
      <xdr:col>18</xdr:col>
      <xdr:colOff>7620</xdr:colOff>
      <xdr:row>81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760280CA-BF3C-4DAD-B58D-E916BFEB8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81</xdr:row>
      <xdr:rowOff>163830</xdr:rowOff>
    </xdr:from>
    <xdr:to>
      <xdr:col>9</xdr:col>
      <xdr:colOff>0</xdr:colOff>
      <xdr:row>105</xdr:row>
      <xdr:rowOff>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44841887-2DF3-4891-ABFB-5229D52EEA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82</xdr:row>
      <xdr:rowOff>0</xdr:rowOff>
    </xdr:from>
    <xdr:to>
      <xdr:col>18</xdr:col>
      <xdr:colOff>0</xdr:colOff>
      <xdr:row>105</xdr:row>
      <xdr:rowOff>3810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BC5A33B7-7F62-4FEE-BE48-A8A21A7179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</xdr:colOff>
      <xdr:row>56</xdr:row>
      <xdr:rowOff>169545</xdr:rowOff>
    </xdr:from>
    <xdr:to>
      <xdr:col>9</xdr:col>
      <xdr:colOff>0</xdr:colOff>
      <xdr:row>80</xdr:row>
      <xdr:rowOff>114300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98C2562C-FD13-4E8E-AB17-9F3269C8CA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34</xdr:row>
      <xdr:rowOff>179070</xdr:rowOff>
    </xdr:from>
    <xdr:to>
      <xdr:col>18</xdr:col>
      <xdr:colOff>0</xdr:colOff>
      <xdr:row>54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5</xdr:row>
      <xdr:rowOff>171450</xdr:rowOff>
    </xdr:from>
    <xdr:to>
      <xdr:col>18</xdr:col>
      <xdr:colOff>0</xdr:colOff>
      <xdr:row>32</xdr:row>
      <xdr:rowOff>7620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56</xdr:row>
      <xdr:rowOff>179070</xdr:rowOff>
    </xdr:from>
    <xdr:to>
      <xdr:col>18</xdr:col>
      <xdr:colOff>0</xdr:colOff>
      <xdr:row>75</xdr:row>
      <xdr:rowOff>7620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1114424</xdr:colOff>
      <xdr:row>76</xdr:row>
      <xdr:rowOff>0</xdr:rowOff>
    </xdr:from>
    <xdr:to>
      <xdr:col>17</xdr:col>
      <xdr:colOff>581024</xdr:colOff>
      <xdr:row>94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Diagram 4">
              <a:extLst>
                <a:ext uri="{FF2B5EF4-FFF2-40B4-BE49-F238E27FC236}">
                  <a16:creationId xmlns:a16="http://schemas.microsoft.com/office/drawing/2014/main" id="{FA2EBCFF-8B81-8ED1-DDC1-1720899EBA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19899" y="13258800"/>
              <a:ext cx="6353175" cy="2914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u-HU" sz="1100"/>
                <a:t>Ez a diagram nem érhető el az Excel ezen verziójában.
Ha szerkeszti ezt az alakzatot, vagy más formátumba menti a munkafüzetet, azzal végleg tönkreteszi a diagramot.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438150</xdr:colOff>
      <xdr:row>52</xdr:row>
      <xdr:rowOff>0</xdr:rowOff>
    </xdr:from>
    <xdr:to>
      <xdr:col>11</xdr:col>
      <xdr:colOff>438150</xdr:colOff>
      <xdr:row>69</xdr:row>
      <xdr:rowOff>19050</xdr:rowOff>
    </xdr:to>
    <xdr:graphicFrame macro="">
      <xdr:nvGraphicFramePr>
        <xdr:cNvPr id="2" name="Diagram 19">
          <a:extLst>
            <a:ext uri="{FF2B5EF4-FFF2-40B4-BE49-F238E27FC236}">
              <a16:creationId xmlns:a16="http://schemas.microsoft.com/office/drawing/2014/main" id="{CE5ADCB2-1798-42BC-B775-09B949DC9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438150</xdr:colOff>
      <xdr:row>70</xdr:row>
      <xdr:rowOff>0</xdr:rowOff>
    </xdr:from>
    <xdr:to>
      <xdr:col>11</xdr:col>
      <xdr:colOff>438150</xdr:colOff>
      <xdr:row>88</xdr:row>
      <xdr:rowOff>0</xdr:rowOff>
    </xdr:to>
    <xdr:graphicFrame macro="">
      <xdr:nvGraphicFramePr>
        <xdr:cNvPr id="3" name="Diagram 21">
          <a:extLst>
            <a:ext uri="{FF2B5EF4-FFF2-40B4-BE49-F238E27FC236}">
              <a16:creationId xmlns:a16="http://schemas.microsoft.com/office/drawing/2014/main" id="{9D8B242E-7331-4775-BD72-EC51F8E63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438150</xdr:colOff>
      <xdr:row>34</xdr:row>
      <xdr:rowOff>0</xdr:rowOff>
    </xdr:from>
    <xdr:to>
      <xdr:col>11</xdr:col>
      <xdr:colOff>428625</xdr:colOff>
      <xdr:row>51</xdr:row>
      <xdr:rowOff>0</xdr:rowOff>
    </xdr:to>
    <xdr:graphicFrame macro="">
      <xdr:nvGraphicFramePr>
        <xdr:cNvPr id="4" name="Diagram 1">
          <a:extLst>
            <a:ext uri="{FF2B5EF4-FFF2-40B4-BE49-F238E27FC236}">
              <a16:creationId xmlns:a16="http://schemas.microsoft.com/office/drawing/2014/main" id="{9BCA1C0E-B5F6-46E9-8C9E-B48A8C6FC5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67</xdr:row>
      <xdr:rowOff>0</xdr:rowOff>
    </xdr:from>
    <xdr:to>
      <xdr:col>6</xdr:col>
      <xdr:colOff>502920</xdr:colOff>
      <xdr:row>85</xdr:row>
      <xdr:rowOff>3810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87003F85-B496-43EE-94CB-601E9AD2F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86</xdr:row>
      <xdr:rowOff>0</xdr:rowOff>
    </xdr:from>
    <xdr:to>
      <xdr:col>6</xdr:col>
      <xdr:colOff>510540</xdr:colOff>
      <xdr:row>104</xdr:row>
      <xdr:rowOff>3810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73F833B4-3A97-443F-8CF0-E447DA2325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48</xdr:row>
      <xdr:rowOff>0</xdr:rowOff>
    </xdr:from>
    <xdr:to>
      <xdr:col>13</xdr:col>
      <xdr:colOff>7620</xdr:colOff>
      <xdr:row>66</xdr:row>
      <xdr:rowOff>3810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2C918595-3DA7-441F-925A-FB863FF97B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67</xdr:row>
      <xdr:rowOff>0</xdr:rowOff>
    </xdr:from>
    <xdr:to>
      <xdr:col>13</xdr:col>
      <xdr:colOff>0</xdr:colOff>
      <xdr:row>85</xdr:row>
      <xdr:rowOff>3810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3247EAC8-45E8-425B-AC53-2FA200B758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86</xdr:row>
      <xdr:rowOff>0</xdr:rowOff>
    </xdr:from>
    <xdr:to>
      <xdr:col>13</xdr:col>
      <xdr:colOff>0</xdr:colOff>
      <xdr:row>104</xdr:row>
      <xdr:rowOff>3810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06AAC80B-E689-422C-8D33-FF11D41EE1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6</xdr:col>
      <xdr:colOff>487680</xdr:colOff>
      <xdr:row>66</xdr:row>
      <xdr:rowOff>3810</xdr:rowOff>
    </xdr:to>
    <xdr:graphicFrame macro="">
      <xdr:nvGraphicFramePr>
        <xdr:cNvPr id="7" name="Diagram 6">
          <a:extLst>
            <a:ext uri="{FF2B5EF4-FFF2-40B4-BE49-F238E27FC236}">
              <a16:creationId xmlns:a16="http://schemas.microsoft.com/office/drawing/2014/main" id="{144D9EC3-8BBA-4E00-A46D-F8A6DA79AA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342900</xdr:colOff>
      <xdr:row>48</xdr:row>
      <xdr:rowOff>0</xdr:rowOff>
    </xdr:from>
    <xdr:to>
      <xdr:col>21</xdr:col>
      <xdr:colOff>243840</xdr:colOff>
      <xdr:row>66</xdr:row>
      <xdr:rowOff>3810</xdr:rowOff>
    </xdr:to>
    <xdr:graphicFrame macro="">
      <xdr:nvGraphicFramePr>
        <xdr:cNvPr id="8" name="Diagram 7">
          <a:extLst>
            <a:ext uri="{FF2B5EF4-FFF2-40B4-BE49-F238E27FC236}">
              <a16:creationId xmlns:a16="http://schemas.microsoft.com/office/drawing/2014/main" id="{99FB274D-5950-490B-830B-49A9D8324C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350520</xdr:colOff>
      <xdr:row>67</xdr:row>
      <xdr:rowOff>7620</xdr:rowOff>
    </xdr:from>
    <xdr:to>
      <xdr:col>21</xdr:col>
      <xdr:colOff>243840</xdr:colOff>
      <xdr:row>85</xdr:row>
      <xdr:rowOff>11430</xdr:rowOff>
    </xdr:to>
    <xdr:graphicFrame macro="">
      <xdr:nvGraphicFramePr>
        <xdr:cNvPr id="9" name="Diagram 8">
          <a:extLst>
            <a:ext uri="{FF2B5EF4-FFF2-40B4-BE49-F238E27FC236}">
              <a16:creationId xmlns:a16="http://schemas.microsoft.com/office/drawing/2014/main" id="{433C878D-DB7C-43A8-925D-3AE5DFE693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350520</xdr:colOff>
      <xdr:row>86</xdr:row>
      <xdr:rowOff>7620</xdr:rowOff>
    </xdr:from>
    <xdr:to>
      <xdr:col>21</xdr:col>
      <xdr:colOff>243840</xdr:colOff>
      <xdr:row>104</xdr:row>
      <xdr:rowOff>11430</xdr:rowOff>
    </xdr:to>
    <xdr:graphicFrame macro="">
      <xdr:nvGraphicFramePr>
        <xdr:cNvPr id="10" name="Diagram 9">
          <a:extLst>
            <a:ext uri="{FF2B5EF4-FFF2-40B4-BE49-F238E27FC236}">
              <a16:creationId xmlns:a16="http://schemas.microsoft.com/office/drawing/2014/main" id="{E62027FF-9D09-4BDF-AE25-02509BA2C1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163830</xdr:rowOff>
    </xdr:from>
    <xdr:to>
      <xdr:col>6</xdr:col>
      <xdr:colOff>0</xdr:colOff>
      <xdr:row>29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22</xdr:row>
      <xdr:rowOff>163830</xdr:rowOff>
    </xdr:from>
    <xdr:to>
      <xdr:col>9</xdr:col>
      <xdr:colOff>0</xdr:colOff>
      <xdr:row>43</xdr:row>
      <xdr:rowOff>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9</xdr:col>
      <xdr:colOff>0</xdr:colOff>
      <xdr:row>21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7620</xdr:rowOff>
    </xdr:from>
    <xdr:to>
      <xdr:col>9</xdr:col>
      <xdr:colOff>0</xdr:colOff>
      <xdr:row>21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186690</xdr:rowOff>
    </xdr:from>
    <xdr:to>
      <xdr:col>18</xdr:col>
      <xdr:colOff>0</xdr:colOff>
      <xdr:row>46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79702A2A-EC43-4FCE-BE0C-A434E1EA1E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34375" y="5311140"/>
              <a:ext cx="5143500" cy="27565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u-HU" sz="1100"/>
                <a:t>Ez a diagram nem érhető el az Excel ezen verziójában.
Ha szerkeszti ezt az alakzatot, vagy más formátumba menti a munkafüzetet, azzal végleg tönkreteszi a diagramot.</a:t>
              </a:r>
            </a:p>
          </xdr:txBody>
        </xdr:sp>
      </mc:Fallback>
    </mc:AlternateContent>
    <xdr:clientData/>
  </xdr:twoCellAnchor>
  <xdr:twoCellAnchor>
    <xdr:from>
      <xdr:col>11</xdr:col>
      <xdr:colOff>0</xdr:colOff>
      <xdr:row>10</xdr:row>
      <xdr:rowOff>190499</xdr:rowOff>
    </xdr:from>
    <xdr:to>
      <xdr:col>18</xdr:col>
      <xdr:colOff>0</xdr:colOff>
      <xdr:row>27</xdr:row>
      <xdr:rowOff>161924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9DFAB7E4-172A-4762-97C9-33B86792AD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60</xdr:row>
      <xdr:rowOff>0</xdr:rowOff>
    </xdr:from>
    <xdr:to>
      <xdr:col>10</xdr:col>
      <xdr:colOff>0</xdr:colOff>
      <xdr:row>84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60</xdr:row>
      <xdr:rowOff>0</xdr:rowOff>
    </xdr:from>
    <xdr:to>
      <xdr:col>20</xdr:col>
      <xdr:colOff>0</xdr:colOff>
      <xdr:row>84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84</xdr:row>
      <xdr:rowOff>163830</xdr:rowOff>
    </xdr:from>
    <xdr:to>
      <xdr:col>10</xdr:col>
      <xdr:colOff>0</xdr:colOff>
      <xdr:row>108</xdr:row>
      <xdr:rowOff>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85</xdr:row>
      <xdr:rowOff>0</xdr:rowOff>
    </xdr:from>
    <xdr:to>
      <xdr:col>20</xdr:col>
      <xdr:colOff>0</xdr:colOff>
      <xdr:row>108</xdr:row>
      <xdr:rowOff>3810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188</xdr:row>
      <xdr:rowOff>0</xdr:rowOff>
    </xdr:from>
    <xdr:to>
      <xdr:col>8</xdr:col>
      <xdr:colOff>0</xdr:colOff>
      <xdr:row>217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</xdr:colOff>
      <xdr:row>188</xdr:row>
      <xdr:rowOff>0</xdr:rowOff>
    </xdr:from>
    <xdr:to>
      <xdr:col>16</xdr:col>
      <xdr:colOff>1</xdr:colOff>
      <xdr:row>217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188</xdr:row>
      <xdr:rowOff>0</xdr:rowOff>
    </xdr:from>
    <xdr:to>
      <xdr:col>36</xdr:col>
      <xdr:colOff>7620</xdr:colOff>
      <xdr:row>217</xdr:row>
      <xdr:rowOff>7620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217</xdr:row>
      <xdr:rowOff>163830</xdr:rowOff>
    </xdr:from>
    <xdr:to>
      <xdr:col>8</xdr:col>
      <xdr:colOff>0</xdr:colOff>
      <xdr:row>240</xdr:row>
      <xdr:rowOff>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218</xdr:row>
      <xdr:rowOff>0</xdr:rowOff>
    </xdr:from>
    <xdr:to>
      <xdr:col>16</xdr:col>
      <xdr:colOff>0</xdr:colOff>
      <xdr:row>240</xdr:row>
      <xdr:rowOff>3810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81</xdr:row>
      <xdr:rowOff>163830</xdr:rowOff>
    </xdr:from>
    <xdr:to>
      <xdr:col>7</xdr:col>
      <xdr:colOff>144060</xdr:colOff>
      <xdr:row>105</xdr:row>
      <xdr:rowOff>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228600</xdr:colOff>
      <xdr:row>82</xdr:row>
      <xdr:rowOff>0</xdr:rowOff>
    </xdr:from>
    <xdr:to>
      <xdr:col>12</xdr:col>
      <xdr:colOff>997500</xdr:colOff>
      <xdr:row>105</xdr:row>
      <xdr:rowOff>3810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</xdr:colOff>
      <xdr:row>57</xdr:row>
      <xdr:rowOff>1905</xdr:rowOff>
    </xdr:from>
    <xdr:to>
      <xdr:col>8</xdr:col>
      <xdr:colOff>990600</xdr:colOff>
      <xdr:row>81</xdr:row>
      <xdr:rowOff>0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56</xdr:row>
      <xdr:rowOff>160020</xdr:rowOff>
    </xdr:from>
    <xdr:to>
      <xdr:col>22</xdr:col>
      <xdr:colOff>4763</xdr:colOff>
      <xdr:row>81</xdr:row>
      <xdr:rowOff>7620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106</xdr:row>
      <xdr:rowOff>0</xdr:rowOff>
    </xdr:from>
    <xdr:to>
      <xdr:col>7</xdr:col>
      <xdr:colOff>144060</xdr:colOff>
      <xdr:row>129</xdr:row>
      <xdr:rowOff>3810</xdr:rowOff>
    </xdr:to>
    <xdr:graphicFrame macro="">
      <xdr:nvGraphicFramePr>
        <xdr:cNvPr id="9" name="Diagram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228600</xdr:colOff>
      <xdr:row>106</xdr:row>
      <xdr:rowOff>0</xdr:rowOff>
    </xdr:from>
    <xdr:to>
      <xdr:col>12</xdr:col>
      <xdr:colOff>997500</xdr:colOff>
      <xdr:row>129</xdr:row>
      <xdr:rowOff>3810</xdr:rowOff>
    </xdr:to>
    <xdr:graphicFrame macro="">
      <xdr:nvGraphicFramePr>
        <xdr:cNvPr id="10" name="Diagram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0</xdr:colOff>
      <xdr:row>106</xdr:row>
      <xdr:rowOff>0</xdr:rowOff>
    </xdr:from>
    <xdr:to>
      <xdr:col>20</xdr:col>
      <xdr:colOff>144060</xdr:colOff>
      <xdr:row>129</xdr:row>
      <xdr:rowOff>3810</xdr:rowOff>
    </xdr:to>
    <xdr:graphicFrame macro="">
      <xdr:nvGraphicFramePr>
        <xdr:cNvPr id="12" name="Diagram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228600</xdr:colOff>
      <xdr:row>106</xdr:row>
      <xdr:rowOff>0</xdr:rowOff>
    </xdr:from>
    <xdr:to>
      <xdr:col>25</xdr:col>
      <xdr:colOff>997500</xdr:colOff>
      <xdr:row>129</xdr:row>
      <xdr:rowOff>3810</xdr:rowOff>
    </xdr:to>
    <xdr:graphicFrame macro="">
      <xdr:nvGraphicFramePr>
        <xdr:cNvPr id="13" name="Diagram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Gy02_megold&#225;s%20m&#233;g&#250;jabb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E02_megold&#225;s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personal/b_mocsai_andrea_uni-corvinus_hu/Documents/BCE/Tananyag/Adatelemz&#233;s%20I%20GM%202025-2026%20I/Excel%20modellek%20AEI%202025%20I/E02_megolda&#769;s%20terv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MA" refreshedDate="42779.34164583333" createdVersion="5" refreshedVersion="5" minRefreshableVersion="3" recordCount="579" xr:uid="{20A9A9FD-6650-4EF8-91BF-91F4C5DD10A4}">
  <cacheSource type="worksheet">
    <worksheetSource ref="D7:E586" sheet="E2.3" r:id="rId2"/>
  </cacheSource>
  <cacheFields count="2">
    <cacheField name="Életkor,_x000a_év" numFmtId="0">
      <sharedItems containsSemiMixedTypes="0" containsString="0" containsNumber="1" containsInteger="1" minValue="9" maxValue="83" count="59">
        <n v="34"/>
        <n v="49"/>
        <n v="35"/>
        <n v="37"/>
        <n v="41"/>
        <n v="58"/>
        <n v="26"/>
        <n v="53"/>
        <n v="52"/>
        <n v="38"/>
        <n v="24"/>
        <n v="40"/>
        <n v="36"/>
        <n v="43"/>
        <n v="31"/>
        <n v="50"/>
        <n v="45"/>
        <n v="56"/>
        <n v="51"/>
        <n v="29"/>
        <n v="28"/>
        <n v="46"/>
        <n v="47"/>
        <n v="33"/>
        <n v="25"/>
        <n v="32"/>
        <n v="30"/>
        <n v="16"/>
        <n v="17"/>
        <n v="27"/>
        <n v="12"/>
        <n v="21"/>
        <n v="23"/>
        <n v="19"/>
        <n v="22"/>
        <n v="14"/>
        <n v="39"/>
        <n v="18"/>
        <n v="44"/>
        <n v="42"/>
        <n v="15"/>
        <n v="54"/>
        <n v="10"/>
        <n v="48"/>
        <n v="20"/>
        <n v="11"/>
        <n v="60"/>
        <n v="65"/>
        <n v="9"/>
        <n v="13"/>
        <n v="61"/>
        <n v="59"/>
        <n v="55"/>
        <n v="62"/>
        <n v="57"/>
        <n v="83"/>
        <n v="63"/>
        <n v="67"/>
        <n v="64"/>
      </sharedItems>
      <fieldGroup base="0">
        <rangePr autoStart="0" startNum="11" endNum="83" groupInterval="10"/>
        <groupItems count="10">
          <s v="&lt;11"/>
          <s v="11-20"/>
          <s v="21-30"/>
          <s v="31-40"/>
          <s v="41-50"/>
          <s v="51-60"/>
          <s v="61-70"/>
          <s v="71-80"/>
          <s v="81-90"/>
          <s v="&gt;91"/>
        </groupItems>
      </fieldGroup>
    </cacheField>
    <cacheField name="Eredmény,_x000a_perc" numFmtId="0">
      <sharedItems containsSemiMixedTypes="0" containsString="0" containsNumber="1" containsInteger="1" minValue="67" maxValue="2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MA" refreshedDate="43507.657096875002" createdVersion="5" refreshedVersion="5" minRefreshableVersion="3" recordCount="579" xr:uid="{4EE363E2-B231-4FCE-8280-D745E6098614}">
  <cacheSource type="worksheet">
    <worksheetSource ref="B7:C565" sheet="E2.4" r:id="rId2"/>
  </cacheSource>
  <cacheFields count="4">
    <cacheField name="Nem" numFmtId="0">
      <sharedItems/>
    </cacheField>
    <cacheField name="Hányadik indulás" numFmtId="0">
      <sharedItems containsSemiMixedTypes="0" containsString="0" containsNumber="1" containsInteger="1" minValue="1" maxValue="28" count="24">
        <n v="8"/>
        <n v="4"/>
        <n v="3"/>
        <n v="1"/>
        <n v="2"/>
        <n v="7"/>
        <n v="5"/>
        <n v="10"/>
        <n v="9"/>
        <n v="11"/>
        <n v="12"/>
        <n v="6"/>
        <n v="14"/>
        <n v="15"/>
        <n v="16"/>
        <n v="17"/>
        <n v="25"/>
        <n v="21"/>
        <n v="28"/>
        <n v="18"/>
        <n v="20"/>
        <n v="23"/>
        <n v="24"/>
        <n v="19"/>
      </sharedItems>
    </cacheField>
    <cacheField name="Életkor,_x000a_év" numFmtId="0">
      <sharedItems containsSemiMixedTypes="0" containsString="0" containsNumber="1" containsInteger="1" minValue="9" maxValue="83" count="59">
        <n v="34"/>
        <n v="49"/>
        <n v="35"/>
        <n v="37"/>
        <n v="41"/>
        <n v="58"/>
        <n v="26"/>
        <n v="53"/>
        <n v="52"/>
        <n v="38"/>
        <n v="24"/>
        <n v="40"/>
        <n v="36"/>
        <n v="43"/>
        <n v="31"/>
        <n v="50"/>
        <n v="45"/>
        <n v="56"/>
        <n v="51"/>
        <n v="29"/>
        <n v="28"/>
        <n v="46"/>
        <n v="47"/>
        <n v="33"/>
        <n v="25"/>
        <n v="32"/>
        <n v="30"/>
        <n v="16"/>
        <n v="17"/>
        <n v="27"/>
        <n v="12"/>
        <n v="21"/>
        <n v="23"/>
        <n v="19"/>
        <n v="22"/>
        <n v="14"/>
        <n v="39"/>
        <n v="18"/>
        <n v="44"/>
        <n v="42"/>
        <n v="15"/>
        <n v="54"/>
        <n v="10"/>
        <n v="48"/>
        <n v="20"/>
        <n v="11"/>
        <n v="60"/>
        <n v="65"/>
        <n v="9"/>
        <n v="13"/>
        <n v="61"/>
        <n v="59"/>
        <n v="55"/>
        <n v="62"/>
        <n v="57"/>
        <n v="83"/>
        <n v="63"/>
        <n v="67"/>
        <n v="64"/>
      </sharedItems>
      <fieldGroup base="2">
        <rangePr autoStart="0" autoEnd="0" startNum="9" endNum="83" groupInterval="7"/>
        <groupItems count="13">
          <s v="&lt;9"/>
          <s v="9-15"/>
          <s v="16-22"/>
          <s v="23-29"/>
          <s v="30-36"/>
          <s v="37-43"/>
          <s v="44-50"/>
          <s v="51-57"/>
          <s v="58-64"/>
          <s v="65-71"/>
          <s v="72-78"/>
          <s v="79-85"/>
          <s v="&gt;86"/>
        </groupItems>
      </fieldGroup>
    </cacheField>
    <cacheField name="Eredmény,_x000a_perc" numFmtId="0">
      <sharedItems containsSemiMixedTypes="0" containsString="0" containsNumber="1" containsInteger="1" minValue="67" maxValue="288" count="147">
        <n v="153"/>
        <n v="180"/>
        <n v="154"/>
        <n v="156"/>
        <n v="226"/>
        <n v="172"/>
        <n v="211"/>
        <n v="197"/>
        <n v="131"/>
        <n v="151"/>
        <n v="161"/>
        <n v="231"/>
        <n v="67"/>
        <n v="147"/>
        <n v="191"/>
        <n v="148"/>
        <n v="105"/>
        <n v="167"/>
        <n v="119"/>
        <n v="162"/>
        <n v="189"/>
        <n v="169"/>
        <n v="185"/>
        <n v="188"/>
        <n v="214"/>
        <n v="182"/>
        <n v="139"/>
        <n v="177"/>
        <n v="129"/>
        <n v="121"/>
        <n v="178"/>
        <n v="133"/>
        <n v="186"/>
        <n v="175"/>
        <n v="210"/>
        <n v="134"/>
        <n v="200"/>
        <n v="164"/>
        <n v="201"/>
        <n v="228"/>
        <n v="258"/>
        <n v="128"/>
        <n v="109"/>
        <n v="149"/>
        <n v="245"/>
        <n v="181"/>
        <n v="168"/>
        <n v="165"/>
        <n v="179"/>
        <n v="229"/>
        <n v="157"/>
        <n v="101"/>
        <n v="135"/>
        <n v="136"/>
        <n v="209"/>
        <n v="85"/>
        <n v="160"/>
        <n v="138"/>
        <n v="170"/>
        <n v="102"/>
        <n v="174"/>
        <n v="143"/>
        <n v="132"/>
        <n v="124"/>
        <n v="155"/>
        <n v="122"/>
        <n v="106"/>
        <n v="150"/>
        <n v="125"/>
        <n v="123"/>
        <n v="117"/>
        <n v="118"/>
        <n v="120"/>
        <n v="205"/>
        <n v="142"/>
        <n v="111"/>
        <n v="195"/>
        <n v="250"/>
        <n v="192"/>
        <n v="207"/>
        <n v="144"/>
        <n v="249"/>
        <n v="213"/>
        <n v="152"/>
        <n v="221"/>
        <n v="166"/>
        <n v="163"/>
        <n v="208"/>
        <n v="199"/>
        <n v="176"/>
        <n v="204"/>
        <n v="127"/>
        <n v="196"/>
        <n v="194"/>
        <n v="104"/>
        <n v="187"/>
        <n v="145"/>
        <n v="137"/>
        <n v="220"/>
        <n v="206"/>
        <n v="108"/>
        <n v="218"/>
        <n v="130"/>
        <n v="114"/>
        <n v="230"/>
        <n v="141"/>
        <n v="212"/>
        <n v="146"/>
        <n v="92"/>
        <n v="103"/>
        <n v="110"/>
        <n v="159"/>
        <n v="217"/>
        <n v="158"/>
        <n v="107"/>
        <n v="268"/>
        <n v="94"/>
        <n v="96"/>
        <n v="255"/>
        <n v="140"/>
        <n v="113"/>
        <n v="90"/>
        <n v="184"/>
        <n v="82"/>
        <n v="171"/>
        <n v="193"/>
        <n v="97"/>
        <n v="232"/>
        <n v="173"/>
        <n v="288"/>
        <n v="112"/>
        <n v="287"/>
        <n v="203"/>
        <n v="91"/>
        <n v="115"/>
        <n v="198"/>
        <n v="263"/>
        <n v="126"/>
        <n v="236"/>
        <n v="95"/>
        <n v="223"/>
        <n v="259"/>
        <n v="86"/>
        <n v="238"/>
        <n v="246"/>
        <n v="247"/>
        <n v="224"/>
      </sharedItems>
      <fieldGroup base="3">
        <rangePr startNum="67" endNum="288" groupInterval="22"/>
        <groupItems count="13">
          <s v="&lt;67"/>
          <s v="67-88"/>
          <s v="89-110"/>
          <s v="111-132"/>
          <s v="133-154"/>
          <s v="155-176"/>
          <s v="177-198"/>
          <s v="199-220"/>
          <s v="221-242"/>
          <s v="243-264"/>
          <s v="265-286"/>
          <s v="287-308"/>
          <s v="&gt;30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1.644389236113" createdVersion="8" refreshedVersion="8" minRefreshableVersion="3" recordCount="3663" xr:uid="{988B130F-446D-4B31-85B0-129FC0996728}">
  <cacheSource type="worksheet">
    <worksheetSource ref="A9:F3672" sheet="E2.5" r:id="rId2"/>
  </cacheSource>
  <cacheFields count="8">
    <cacheField name="a)" numFmtId="0">
      <sharedItems containsNonDate="0" containsString="0" containsBlank="1"/>
    </cacheField>
    <cacheField name="Név / Csapatnév" numFmtId="1">
      <sharedItems/>
    </cacheField>
    <cacheField name="Szül. év" numFmtId="1">
      <sharedItems containsString="0" containsBlank="1" containsNumber="1" containsInteger="1" minValue="1938" maxValue="2004"/>
    </cacheField>
    <cacheField name="Életkor" numFmtId="1">
      <sharedItems containsString="0" containsBlank="1" containsNumber="1" containsInteger="1" minValue="15" maxValue="81"/>
    </cacheField>
    <cacheField name="Kategória" numFmtId="1">
      <sharedItems/>
    </cacheField>
    <cacheField name="Ország" numFmtId="1">
      <sharedItems containsBlank="1"/>
    </cacheField>
    <cacheField name="Eredmény" numFmtId="168">
      <sharedItems/>
    </cacheField>
    <cacheField name="Idő (perc)" numFmtId="2">
      <sharedItems containsSemiMixedTypes="0" containsString="0" containsNumber="1" minValue="148.51666666666668" maxValue="351.25" count="2718">
        <n v="208.21666666666667"/>
        <n v="245.63333333333333"/>
        <n v="291.10000000000002"/>
        <n v="211.26666666666668"/>
        <n v="231.48333333333332"/>
        <n v="264.14999999999998"/>
        <n v="281.13333333333333"/>
        <n v="227.9"/>
        <n v="245.35"/>
        <n v="236.93333333333334"/>
        <n v="216.73333333333332"/>
        <n v="238.38333333333333"/>
        <n v="169.36666666666667"/>
        <n v="314.3"/>
        <n v="203.56666666666666"/>
        <n v="207.48333333333332"/>
        <n v="225.98333333333332"/>
        <n v="326.05"/>
        <n v="311.60000000000002"/>
        <n v="323.58333333333331"/>
        <n v="189.26666666666668"/>
        <n v="218.7"/>
        <n v="325.08333333333331"/>
        <n v="206.58333333333334"/>
        <n v="265.56666666666666"/>
        <n v="227.63333333333333"/>
        <n v="285.45"/>
        <n v="189.13333333333333"/>
        <n v="227.58333333333334"/>
        <n v="196.06666666666666"/>
        <n v="285.5"/>
        <n v="311.06666666666666"/>
        <n v="221.78333333333333"/>
        <n v="205.85"/>
        <n v="260.45"/>
        <n v="278.36666666666667"/>
        <n v="260.68333333333334"/>
        <n v="240.73333333333332"/>
        <n v="255.86666666666667"/>
        <n v="275.08333333333331"/>
        <n v="209.98333333333332"/>
        <n v="220.88333333333333"/>
        <n v="228.06666666666666"/>
        <n v="221.23333333333332"/>
        <n v="256.78333333333336"/>
        <n v="205.26666666666668"/>
        <n v="188.26666666666668"/>
        <n v="258.43333333333334"/>
        <n v="271.5"/>
        <n v="219.76666666666668"/>
        <n v="210.03333333333333"/>
        <n v="203.53333333333333"/>
        <n v="254.98333333333332"/>
        <n v="234.05"/>
        <n v="228.38333333333333"/>
        <n v="264.73333333333335"/>
        <n v="170.15"/>
        <n v="226.38333333333333"/>
        <n v="245.86666666666667"/>
        <n v="206.93333333333334"/>
        <n v="261.85000000000002"/>
        <n v="259.58333333333331"/>
        <n v="215.7"/>
        <n v="197.8"/>
        <n v="250.5"/>
        <n v="283.55"/>
        <n v="251.13333333333333"/>
        <n v="271.05"/>
        <n v="231.6"/>
        <n v="258.7"/>
        <n v="178.2"/>
        <n v="284.06666666666666"/>
        <n v="217.66666666666666"/>
        <n v="256.16666666666669"/>
        <n v="282.98333333333335"/>
        <n v="227.45"/>
        <n v="226.8"/>
        <n v="227.15"/>
        <n v="210.85"/>
        <n v="247.4"/>
        <n v="250.9"/>
        <n v="284.66666666666669"/>
        <n v="244.01666666666668"/>
        <n v="307.35000000000002"/>
        <n v="188.71666666666667"/>
        <n v="229.16666666666666"/>
        <n v="298.71666666666664"/>
        <n v="288.21666666666664"/>
        <n v="230.96666666666667"/>
        <n v="246.55"/>
        <n v="167.63333333333333"/>
        <n v="231.11666666666667"/>
        <n v="234.81666666666666"/>
        <n v="256.64999999999998"/>
        <n v="311.26666666666665"/>
        <n v="236.48333333333332"/>
        <n v="300.83333333333331"/>
        <n v="203.23333333333332"/>
        <n v="259.71666666666664"/>
        <n v="282.58333333333331"/>
        <n v="279.78333333333336"/>
        <n v="189.88333333333333"/>
        <n v="223.9"/>
        <n v="189.58333333333334"/>
        <n v="233.25"/>
        <n v="184.83333333333334"/>
        <n v="262.5"/>
        <n v="221.53333333333333"/>
        <n v="286.91666666666669"/>
        <n v="222.2"/>
        <n v="258.18333333333334"/>
        <n v="207.4"/>
        <n v="224.13333333333333"/>
        <n v="269.14999999999998"/>
        <n v="234.65"/>
        <n v="299.26666666666665"/>
        <n v="228.5"/>
        <n v="303.76666666666665"/>
        <n v="203.08333333333334"/>
        <n v="230.18333333333334"/>
        <n v="283.11666666666667"/>
        <n v="314.45"/>
        <n v="331.68333333333334"/>
        <n v="332.3"/>
        <n v="218.68333333333334"/>
        <n v="253.05"/>
        <n v="286.16666666666669"/>
        <n v="288.25"/>
        <n v="202.43333333333334"/>
        <n v="224.26666666666668"/>
        <n v="174.01666666666668"/>
        <n v="242.75"/>
        <n v="330.18333333333334"/>
        <n v="207.75"/>
        <n v="233.85"/>
        <n v="285.63333333333333"/>
        <n v="258.8"/>
        <n v="289.48333333333335"/>
        <n v="298.68333333333334"/>
        <n v="265.39999999999998"/>
        <n v="205.98333333333332"/>
        <n v="252.23333333333332"/>
        <n v="229.03333333333333"/>
        <n v="302.86666666666667"/>
        <n v="349.06666666666666"/>
        <n v="298.76666666666665"/>
        <n v="240.11666666666667"/>
        <n v="223.48333333333332"/>
        <n v="247.66666666666666"/>
        <n v="176.95"/>
        <n v="245.93333333333334"/>
        <n v="157.33333333333334"/>
        <n v="268.36666666666667"/>
        <n v="275.05"/>
        <n v="234.76666666666668"/>
        <n v="220.33333333333334"/>
        <n v="225.21666666666667"/>
        <n v="216.65"/>
        <n v="252.05"/>
        <n v="243.48333333333332"/>
        <n v="262.51666666666665"/>
        <n v="254.08333333333334"/>
        <n v="217.73333333333332"/>
        <n v="239.6"/>
        <n v="224.6"/>
        <n v="298.75"/>
        <n v="249.95"/>
        <n v="223.68333333333334"/>
        <n v="290"/>
        <n v="212.9"/>
        <n v="251.36666666666667"/>
        <n v="243.38333333333333"/>
        <n v="235.08333333333334"/>
        <n v="244.06666666666666"/>
        <n v="172.03333333333333"/>
        <n v="225.23333333333332"/>
        <n v="184.38333333333333"/>
        <n v="274.36666666666667"/>
        <n v="296.98333333333335"/>
        <n v="207.96666666666667"/>
        <n v="263"/>
        <n v="248.01666666666668"/>
        <n v="322.61666666666667"/>
        <n v="227.18333333333334"/>
        <n v="239.85"/>
        <n v="262.75"/>
        <n v="227.43333333333334"/>
        <n v="254.95"/>
        <n v="225.78333333333333"/>
        <n v="223.71666666666667"/>
        <n v="213.18333333333334"/>
        <n v="241.88333333333333"/>
        <n v="220.76666666666668"/>
        <n v="287.13333333333333"/>
        <n v="303.48333333333335"/>
        <n v="229.11666666666667"/>
        <n v="162.53333333333333"/>
        <n v="296.14999999999998"/>
        <n v="261.23333333333335"/>
        <n v="330.48333333333335"/>
        <n v="227.5"/>
        <n v="238.8"/>
        <n v="182.51666666666668"/>
        <n v="322.3"/>
        <n v="236.36666666666667"/>
        <n v="237.53333333333333"/>
        <n v="248.91666666666666"/>
        <n v="240.68333333333334"/>
        <n v="256.55"/>
        <n v="259.31666666666666"/>
        <n v="245.73333333333332"/>
        <n v="220.16666666666666"/>
        <n v="237.85"/>
        <n v="283.16666666666669"/>
        <n v="202.16666666666666"/>
        <n v="213.26666666666668"/>
        <n v="322.56666666666666"/>
        <n v="233.86666666666667"/>
        <n v="236.8"/>
        <n v="246.43333333333334"/>
        <n v="248.73333333333332"/>
        <n v="193.85"/>
        <n v="216.56666666666666"/>
        <n v="262.81666666666666"/>
        <n v="230.7"/>
        <n v="296.95"/>
        <n v="213.93333333333334"/>
        <n v="312.5"/>
        <n v="212.1"/>
        <n v="273.73333333333335"/>
        <n v="273.03333333333336"/>
        <n v="152.71666666666667"/>
        <n v="190.83333333333334"/>
        <n v="220.23333333333332"/>
        <n v="261.21666666666664"/>
        <n v="195.73333333333332"/>
        <n v="233.76666666666668"/>
        <n v="279.35000000000002"/>
        <n v="303.78333333333336"/>
        <n v="253.73333333333332"/>
        <n v="237.76666666666668"/>
        <n v="253.63333333333333"/>
        <n v="222.13333333333333"/>
        <n v="224.88333333333333"/>
        <n v="211.83333333333334"/>
        <n v="212.36666666666667"/>
        <n v="232.16666666666666"/>
        <n v="203.2"/>
        <n v="219.75"/>
        <n v="252.51666666666668"/>
        <n v="213.16666666666666"/>
        <n v="309.81666666666666"/>
        <n v="226.68333333333334"/>
        <n v="241.31666666666666"/>
        <n v="217.9"/>
        <n v="221.28333333333333"/>
        <n v="240.2"/>
        <n v="241.01666666666668"/>
        <n v="265.95"/>
        <n v="265.46666666666664"/>
        <n v="255.43333333333334"/>
        <n v="259.8"/>
        <n v="239.13333333333333"/>
        <n v="296.61666666666667"/>
        <n v="251.85"/>
        <n v="218.2"/>
        <n v="189.1"/>
        <n v="254.26666666666668"/>
        <n v="194.83333333333334"/>
        <n v="295.81666666666666"/>
        <n v="239.36666666666667"/>
        <n v="206.95"/>
        <n v="225.68333333333334"/>
        <n v="173.3"/>
        <n v="214.06666666666666"/>
        <n v="223.98333333333332"/>
        <n v="262.41666666666669"/>
        <n v="243.23333333333332"/>
        <n v="234.06666666666666"/>
        <n v="235.3"/>
        <n v="301.18333333333334"/>
        <n v="210.13333333333333"/>
        <n v="211.56666666666666"/>
        <n v="231.88333333333333"/>
        <n v="251.05"/>
        <n v="331.33333333333331"/>
        <n v="172.11666666666667"/>
        <n v="254.5"/>
        <n v="212.88333333333333"/>
        <n v="286.64999999999998"/>
        <n v="313.05"/>
        <n v="175.63333333333333"/>
        <n v="253.41666666666666"/>
        <n v="335.21666666666664"/>
        <n v="246.48333333333332"/>
        <n v="214.08333333333334"/>
        <n v="317.75"/>
        <n v="216.51666666666668"/>
        <n v="239.2"/>
        <n v="242.81666666666666"/>
        <n v="283.95"/>
        <n v="201.55"/>
        <n v="242.15"/>
        <n v="312.14999999999998"/>
        <n v="299.89999999999998"/>
        <n v="306.60000000000002"/>
        <n v="264.36666666666667"/>
        <n v="202.4"/>
        <n v="208.73333333333332"/>
        <n v="278.35000000000002"/>
        <n v="234.25"/>
        <n v="252.91666666666666"/>
        <n v="254.9"/>
        <n v="253.66666666666666"/>
        <n v="182.85"/>
        <n v="206.73333333333332"/>
        <n v="313.85000000000002"/>
        <n v="234.01666666666668"/>
        <n v="242.45"/>
        <n v="268.63333333333333"/>
        <n v="239.81666666666666"/>
        <n v="272.45"/>
        <n v="241.91666666666666"/>
        <n v="301.05"/>
        <n v="255.81666666666666"/>
        <n v="236.18333333333334"/>
        <n v="286.43333333333334"/>
        <n v="260.60000000000002"/>
        <n v="248.41666666666666"/>
        <n v="294.33333333333331"/>
        <n v="286.96666666666664"/>
        <n v="333.13333333333333"/>
        <n v="302.73333333333335"/>
        <n v="287.23333333333335"/>
        <n v="272.53333333333336"/>
        <n v="265.35000000000002"/>
        <n v="251.93333333333334"/>
        <n v="322.66666666666669"/>
        <n v="224.35"/>
        <n v="240.9"/>
        <n v="207.31666666666666"/>
        <n v="265.28333333333336"/>
        <n v="236.65"/>
        <n v="208.88333333333333"/>
        <n v="255.58333333333334"/>
        <n v="273.28333333333336"/>
        <n v="330.16666666666669"/>
        <n v="242.8"/>
        <n v="333.31666666666666"/>
        <n v="237.81666666666666"/>
        <n v="205.86666666666667"/>
        <n v="276.8"/>
        <n v="288.93333333333334"/>
        <n v="221.8"/>
        <n v="272.73333333333335"/>
        <n v="209.26666666666668"/>
        <n v="235.38333333333333"/>
        <n v="326.93333333333334"/>
        <n v="191.01666666666668"/>
        <n v="219.61666666666667"/>
        <n v="295.75"/>
        <n v="321.45"/>
        <n v="209.43333333333334"/>
        <n v="318.73333333333335"/>
        <n v="252.18333333333334"/>
        <n v="293.21666666666664"/>
        <n v="238.43333333333334"/>
        <n v="238.05"/>
        <n v="324.06666666666666"/>
        <n v="227.6"/>
        <n v="229.05"/>
        <n v="221.3"/>
        <n v="314.95"/>
        <n v="278.83333333333331"/>
        <n v="149.6"/>
        <n v="228.4"/>
        <n v="194.96666666666667"/>
        <n v="220.7"/>
        <n v="278.91666666666669"/>
        <n v="207.46666666666667"/>
        <n v="237.36666666666667"/>
        <n v="205.66666666666666"/>
        <n v="267.8"/>
        <n v="245.46666666666667"/>
        <n v="285.98333333333335"/>
        <n v="207.05"/>
        <n v="219.48333333333332"/>
        <n v="209.6"/>
        <n v="271.08333333333331"/>
        <n v="236.33333333333334"/>
        <n v="281.55"/>
        <n v="228.53333333333333"/>
        <n v="188.76666666666668"/>
        <n v="325.18333333333334"/>
        <n v="256.51666666666665"/>
        <n v="263.10000000000002"/>
        <n v="256.41666666666669"/>
        <n v="219.68333333333334"/>
        <n v="286.2"/>
        <n v="248.33333333333334"/>
        <n v="238.56666666666666"/>
        <n v="294.76666666666665"/>
        <n v="289.68333333333334"/>
        <n v="253.58333333333334"/>
        <n v="213.08333333333334"/>
        <n v="236.55"/>
        <n v="234.75"/>
        <n v="171.98333333333332"/>
        <n v="257.48333333333335"/>
        <n v="270.14999999999998"/>
        <n v="205.93333333333334"/>
        <n v="278.26666666666665"/>
        <n v="299.75"/>
        <n v="208.16666666666666"/>
        <n v="235.76666666666668"/>
        <n v="308.51666666666665"/>
        <n v="198.38333333333333"/>
        <n v="196.25"/>
        <n v="226.01666666666668"/>
        <n v="271.10000000000002"/>
        <n v="272.64999999999998"/>
        <n v="255.6"/>
        <n v="272.7"/>
        <n v="231.55"/>
        <n v="267.45"/>
        <n v="272.25"/>
        <n v="185.28333333333333"/>
        <n v="228.31666666666666"/>
        <n v="245.33333333333334"/>
        <n v="291.08333333333331"/>
        <n v="248.25"/>
        <n v="245.65"/>
        <n v="286.08333333333331"/>
        <n v="195"/>
        <n v="240.7"/>
        <n v="199.18333333333334"/>
        <n v="228.8"/>
        <n v="237.28333333333333"/>
        <n v="253.15"/>
        <n v="213.91666666666666"/>
        <n v="332.68333333333334"/>
        <n v="235.98333333333332"/>
        <n v="253.98333333333332"/>
        <n v="208.05"/>
        <n v="283.53333333333336"/>
        <n v="251.11666666666667"/>
        <n v="270.08333333333331"/>
        <n v="319.11666666666667"/>
        <n v="259.3"/>
        <n v="319"/>
        <n v="289.03333333333336"/>
        <n v="318.48333333333335"/>
        <n v="339.66666666666669"/>
        <n v="265.86666666666667"/>
        <n v="215.05"/>
        <n v="217.06666666666666"/>
        <n v="238.18333333333334"/>
        <n v="298.88333333333333"/>
        <n v="228.88333333333333"/>
        <n v="301"/>
        <n v="202.85"/>
        <n v="313.63333333333333"/>
        <n v="207.5"/>
        <n v="230.85"/>
        <n v="262.16666666666669"/>
        <n v="264.23333333333335"/>
        <n v="198.93333333333334"/>
        <n v="190.76666666666668"/>
        <n v="243.63333333333333"/>
        <n v="195.53333333333333"/>
        <n v="243.46666666666667"/>
        <n v="218.73333333333332"/>
        <n v="223.65"/>
        <n v="226.96666666666667"/>
        <n v="281.64999999999998"/>
        <n v="249.08333333333334"/>
        <n v="285.61666666666667"/>
        <n v="210.6"/>
        <n v="302.55"/>
        <n v="244.2"/>
        <n v="275.3"/>
        <n v="238.11666666666667"/>
        <n v="248.76666666666668"/>
        <n v="235.75"/>
        <n v="279.60000000000002"/>
        <n v="278.39999999999998"/>
        <n v="299.39999999999998"/>
        <n v="220.71666666666667"/>
        <n v="253.78333333333333"/>
        <n v="245.53333333333333"/>
        <n v="189.65"/>
        <n v="250.83333333333334"/>
        <n v="324.83333333333331"/>
        <n v="246.86666666666667"/>
        <n v="283.41666666666669"/>
        <n v="296.2"/>
        <n v="258.11666666666667"/>
        <n v="255"/>
        <n v="269.89999999999998"/>
        <n v="222.08333333333334"/>
        <n v="239.3"/>
        <n v="238.36666666666667"/>
        <n v="293.7"/>
        <n v="188.18333333333334"/>
        <n v="248.15"/>
        <n v="285.36666666666667"/>
        <n v="283.21666666666664"/>
        <n v="312.08333333333331"/>
        <n v="271.7"/>
        <n v="260"/>
        <n v="293.78333333333336"/>
        <n v="217.8"/>
        <n v="163.6"/>
        <n v="260.89999999999998"/>
        <n v="300.03333333333336"/>
        <n v="214.7"/>
        <n v="234.7"/>
        <n v="274.25"/>
        <n v="179.03333333333333"/>
        <n v="239.78333333333333"/>
        <n v="287.91666666666669"/>
        <n v="227.23333333333332"/>
        <n v="283.83333333333331"/>
        <n v="178.1"/>
        <n v="230.23333333333332"/>
        <n v="286.53333333333336"/>
        <n v="267.98333333333335"/>
        <n v="299.31666666666666"/>
        <n v="215.53333333333333"/>
        <n v="233.56666666666666"/>
        <n v="237.78333333333333"/>
        <n v="317.91666666666669"/>
        <n v="212.55"/>
        <n v="211.7"/>
        <n v="235.71666666666667"/>
        <n v="221.85"/>
        <n v="190.1"/>
        <n v="240.23333333333332"/>
        <n v="298.95"/>
        <n v="195.9"/>
        <n v="254.43333333333334"/>
        <n v="300.48333333333335"/>
        <n v="332.45"/>
        <n v="268.35000000000002"/>
        <n v="237.23333333333332"/>
        <n v="283.3"/>
        <n v="198.91666666666666"/>
        <n v="275.71666666666664"/>
        <n v="312.95"/>
        <n v="214.28333333333333"/>
        <n v="310.56666666666666"/>
        <n v="181.98333333333332"/>
        <n v="270.36666666666667"/>
        <n v="234.46666666666667"/>
        <n v="271.96666666666664"/>
        <n v="293.43333333333334"/>
        <n v="265.38333333333333"/>
        <n v="257.93333333333334"/>
        <n v="299.93333333333334"/>
        <n v="235.03333333333333"/>
        <n v="298.36666666666667"/>
        <n v="262.56666666666666"/>
        <n v="276.33333333333331"/>
        <n v="310.43333333333334"/>
        <n v="190.71666666666667"/>
        <n v="214.3"/>
        <n v="280.91666666666669"/>
        <n v="279.08333333333331"/>
        <n v="275.33333333333331"/>
        <n v="256.39999999999998"/>
        <n v="294.51666666666665"/>
        <n v="235.45"/>
        <n v="330.78333333333336"/>
        <n v="220.01666666666668"/>
        <n v="190.06666666666666"/>
        <n v="225.3"/>
        <n v="262.8"/>
        <n v="264.16666666666669"/>
        <n v="240.5"/>
        <n v="283.7"/>
        <n v="260.33333333333331"/>
        <n v="318.33333333333331"/>
        <n v="237.73333333333332"/>
        <n v="227.85"/>
        <n v="239"/>
        <n v="229"/>
        <n v="198.58333333333334"/>
        <n v="312.03333333333336"/>
        <n v="259.16666666666669"/>
        <n v="205.21666666666667"/>
        <n v="223.06666666666666"/>
        <n v="259"/>
        <n v="321.06666666666666"/>
        <n v="223.76666666666668"/>
        <n v="280.45"/>
        <n v="177.03333333333333"/>
        <n v="196.71666666666667"/>
        <n v="236.9"/>
        <n v="255.2"/>
        <n v="239.33333333333334"/>
        <n v="268.38333333333333"/>
        <n v="261.14999999999998"/>
        <n v="245.25"/>
        <n v="202.73333333333332"/>
        <n v="212.35"/>
        <n v="247.01666666666668"/>
        <n v="265.33333333333331"/>
        <n v="220.56666666666666"/>
        <n v="235.05"/>
        <n v="303.33333333333331"/>
        <n v="302.93333333333334"/>
        <n v="231.76666666666668"/>
        <n v="258.45"/>
        <n v="219.51666666666668"/>
        <n v="228.91666666666666"/>
        <n v="229.81666666666666"/>
        <n v="226.66666666666666"/>
        <n v="233.33333333333334"/>
        <n v="178.38333333333333"/>
        <n v="248.46666666666667"/>
        <n v="261.66666666666669"/>
        <n v="194.05"/>
        <n v="241.2"/>
        <n v="201.46666666666667"/>
        <n v="211.93333333333334"/>
        <n v="272.46666666666664"/>
        <n v="220.85"/>
        <n v="225.55"/>
        <n v="265.03333333333336"/>
        <n v="268.64999999999998"/>
        <n v="241.78333333333333"/>
        <n v="215.4"/>
        <n v="172.41666666666666"/>
        <n v="264.05"/>
        <n v="287.51666666666665"/>
        <n v="199.08333333333334"/>
        <n v="231.33333333333334"/>
        <n v="208.58333333333334"/>
        <n v="293.8"/>
        <n v="326.16666666666669"/>
        <n v="189.05"/>
        <n v="242.41666666666666"/>
        <n v="223.03333333333333"/>
        <n v="253.75"/>
        <n v="283.81666666666666"/>
        <n v="313.25"/>
        <n v="282.48333333333335"/>
        <n v="236.4"/>
        <n v="203.38333333333333"/>
        <n v="253.48333333333332"/>
        <n v="260.58333333333331"/>
        <n v="286.55"/>
        <n v="239.05"/>
        <n v="323.78333333333336"/>
        <n v="202"/>
        <n v="304.10000000000002"/>
        <n v="336"/>
        <n v="199.75"/>
        <n v="303.7"/>
        <n v="255.76666666666668"/>
        <n v="242.93333333333334"/>
        <n v="272.78333333333336"/>
        <n v="231.61666666666667"/>
        <n v="256.01666666666665"/>
        <n v="205.56666666666666"/>
        <n v="242.26666666666668"/>
        <n v="257.39999999999998"/>
        <n v="253.93333333333334"/>
        <n v="236.95"/>
        <n v="249.21666666666667"/>
        <n v="268.7"/>
        <n v="175.93333333333334"/>
        <n v="196.35"/>
        <n v="268.28333333333336"/>
        <n v="202.98333333333332"/>
        <n v="230.9"/>
        <n v="236.66666666666666"/>
        <n v="280.25"/>
        <n v="229.61666666666667"/>
        <n v="207"/>
        <n v="237.61666666666667"/>
        <n v="258.95"/>
        <n v="275.2"/>
        <n v="214.03333333333333"/>
        <n v="196.46666666666667"/>
        <n v="197.5"/>
        <n v="254.96666666666667"/>
        <n v="295.41666666666669"/>
        <n v="271.55"/>
        <n v="236.56666666666666"/>
        <n v="231.5"/>
        <n v="252.86666666666667"/>
        <n v="224.5"/>
        <n v="247.08333333333334"/>
        <n v="278.13333333333333"/>
        <n v="255.78333333333333"/>
        <n v="196.78333333333333"/>
        <n v="249.88333333333333"/>
        <n v="324.66666666666669"/>
        <n v="217.6"/>
        <n v="256.43333333333334"/>
        <n v="265.73333333333335"/>
        <n v="296.41666666666669"/>
        <n v="265.85000000000002"/>
        <n v="180.55"/>
        <n v="284.11666666666667"/>
        <n v="298.35000000000002"/>
        <n v="298.89999999999998"/>
        <n v="230.43333333333334"/>
        <n v="266.14999999999998"/>
        <n v="235.66666666666666"/>
        <n v="290.25"/>
        <n v="208.53333333333333"/>
        <n v="228.6"/>
        <n v="269.64999999999998"/>
        <n v="285.43333333333334"/>
        <n v="175"/>
        <n v="240.93333333333334"/>
        <n v="226.18333333333334"/>
        <n v="229.68333333333334"/>
        <n v="219.9"/>
        <n v="265.81666666666666"/>
        <n v="244.08333333333334"/>
        <n v="235.63333333333333"/>
        <n v="265.64999999999998"/>
        <n v="190.26666666666668"/>
        <n v="236.51666666666668"/>
        <n v="297.5"/>
        <n v="280.83333333333331"/>
        <n v="311.39999999999998"/>
        <n v="223.28333333333333"/>
        <n v="209.21666666666667"/>
        <n v="242.46666666666667"/>
        <n v="300.98333333333335"/>
        <n v="243.1"/>
        <n v="236.23333333333332"/>
        <n v="264.58333333333331"/>
        <n v="233.45"/>
        <n v="217.76666666666668"/>
        <n v="277.51666666666665"/>
        <n v="311.91666666666669"/>
        <n v="264.86666666666667"/>
        <n v="188.7"/>
        <n v="241.9"/>
        <n v="203.03333333333333"/>
        <n v="231.58333333333334"/>
        <n v="253.55"/>
        <n v="236.31666666666666"/>
        <n v="294.39999999999998"/>
        <n v="279.26666666666665"/>
        <n v="214.93333333333334"/>
        <n v="334.95"/>
        <n v="223.51666666666668"/>
        <n v="215.03333333333333"/>
        <n v="316.48333333333335"/>
        <n v="185.36666666666667"/>
        <n v="238.91666666666666"/>
        <n v="210.01666666666668"/>
        <n v="212.91666666666666"/>
        <n v="233.08333333333334"/>
        <n v="179.01666666666668"/>
        <n v="158.71666666666667"/>
        <n v="188.03333333333333"/>
        <n v="185.71666666666667"/>
        <n v="240.6"/>
        <n v="279.36666666666667"/>
        <n v="229.91666666666666"/>
        <n v="221.35"/>
        <n v="237.3"/>
        <n v="273.89999999999998"/>
        <n v="269.01666666666665"/>
        <n v="235.61666666666667"/>
        <n v="278.93333333333334"/>
        <n v="331.6"/>
        <n v="248.35"/>
        <n v="240.86666666666667"/>
        <n v="269.08333333333331"/>
        <n v="208.1"/>
        <n v="332.83333333333331"/>
        <n v="266.33333333333331"/>
        <n v="187.65"/>
        <n v="196.36666666666667"/>
        <n v="240.63333333333333"/>
        <n v="233.31666666666666"/>
        <n v="165.91666666666666"/>
        <n v="250.2"/>
        <n v="306.45"/>
        <n v="229.85"/>
        <n v="235.31666666666666"/>
        <n v="289.93333333333334"/>
        <n v="340.58333333333331"/>
        <n v="216.31666666666666"/>
        <n v="208.86666666666667"/>
        <n v="310.38333333333333"/>
        <n v="332.8"/>
        <n v="267.83333333333331"/>
        <n v="287.98333333333335"/>
        <n v="298.18333333333334"/>
        <n v="262.39999999999998"/>
        <n v="178.36666666666667"/>
        <n v="206.06666666666666"/>
        <n v="227.35"/>
        <n v="240.25"/>
        <n v="194.95"/>
        <n v="303.06666666666666"/>
        <n v="315.2"/>
        <n v="264.26666666666665"/>
        <n v="269.58333333333331"/>
        <n v="247.93333333333334"/>
        <n v="253.16666666666666"/>
        <n v="268.13333333333333"/>
        <n v="195.1"/>
        <n v="266.39999999999998"/>
        <n v="205.3"/>
        <n v="264.13333333333333"/>
        <n v="275.76666666666665"/>
        <n v="247.73333333333332"/>
        <n v="229.51666666666668"/>
        <n v="267.46666666666664"/>
        <n v="277.23333333333335"/>
        <n v="237.18333333333334"/>
        <n v="214.25"/>
        <n v="239.16666666666666"/>
        <n v="239.8"/>
        <n v="258.61666666666667"/>
        <n v="231.51666666666668"/>
        <n v="213.46666666666667"/>
        <n v="229.35"/>
        <n v="197.4"/>
        <n v="220.96666666666667"/>
        <n v="226.51666666666668"/>
        <n v="275.46666666666664"/>
        <n v="189.15"/>
        <n v="228.23333333333332"/>
        <n v="256.25"/>
        <n v="282"/>
        <n v="184.81666666666666"/>
        <n v="325.28333333333336"/>
        <n v="215.15"/>
        <n v="236.08333333333334"/>
        <n v="240.33333333333334"/>
        <n v="295.73333333333335"/>
        <n v="210.36666666666667"/>
        <n v="218.38333333333333"/>
        <n v="221.93333333333334"/>
        <n v="224.73333333333332"/>
        <n v="284.89999999999998"/>
        <n v="223.11666666666667"/>
        <n v="228.05"/>
        <n v="225.08333333333334"/>
        <n v="307.61666666666667"/>
        <n v="248.4"/>
        <n v="237.1"/>
        <n v="250.01666666666668"/>
        <n v="335.45"/>
        <n v="237.75"/>
        <n v="205.36666666666667"/>
        <n v="236.61666666666667"/>
        <n v="230.25"/>
        <n v="182.06666666666666"/>
        <n v="185.81666666666666"/>
        <n v="300.45"/>
        <n v="255.73333333333332"/>
        <n v="253.76666666666668"/>
        <n v="280.89999999999998"/>
        <n v="240.96666666666667"/>
        <n v="208.11666666666667"/>
        <n v="263.71666666666664"/>
        <n v="325.88333333333333"/>
        <n v="303.53333333333336"/>
        <n v="198.56666666666666"/>
        <n v="275.95"/>
        <n v="243.08333333333334"/>
        <n v="331.53333333333336"/>
        <n v="290.55"/>
        <n v="303.14999999999998"/>
        <n v="177.25"/>
        <n v="198.5"/>
        <n v="199.25"/>
        <n v="284.05"/>
        <n v="243.75"/>
        <n v="174.51666666666668"/>
        <n v="276.39999999999998"/>
        <n v="234.56666666666666"/>
        <n v="203.13333333333333"/>
        <n v="300.75"/>
        <n v="226.4"/>
        <n v="267.91666666666669"/>
        <n v="273.38333333333333"/>
        <n v="282.8"/>
        <n v="233.63333333333333"/>
        <n v="300.63333333333333"/>
        <n v="229.6"/>
        <n v="248.9"/>
        <n v="251.06666666666666"/>
        <n v="238.93333333333334"/>
        <n v="259.75"/>
        <n v="269.46666666666664"/>
        <n v="240.83333333333334"/>
        <n v="304.18333333333334"/>
        <n v="188.68333333333334"/>
        <n v="301.58333333333331"/>
        <n v="212.31666666666666"/>
        <n v="300.01666666666665"/>
        <n v="266.26666666666665"/>
        <n v="285.01666666666665"/>
        <n v="236.76666666666668"/>
        <n v="245.31666666666666"/>
        <n v="280.18333333333334"/>
        <n v="215.1"/>
        <n v="252.96666666666667"/>
        <n v="251.18333333333334"/>
        <n v="218.96666666666667"/>
        <n v="277.98333333333335"/>
        <n v="238.13333333333333"/>
        <n v="255.65"/>
        <n v="280.48333333333335"/>
        <n v="190.58333333333334"/>
        <n v="198.13333333333333"/>
        <n v="206.71666666666667"/>
        <n v="206.5"/>
        <n v="298.63333333333333"/>
        <n v="324.86666666666667"/>
        <n v="335.46666666666664"/>
        <n v="217.68333333333334"/>
        <n v="259.14999999999998"/>
        <n v="248.96666666666667"/>
        <n v="303.75"/>
        <n v="214.23333333333332"/>
        <n v="296.45"/>
        <n v="190.43333333333334"/>
        <n v="251.2"/>
        <n v="203.35"/>
        <n v="271.86666666666667"/>
        <n v="157.46666666666667"/>
        <n v="263.91666666666669"/>
        <n v="242.28333333333333"/>
        <n v="260.8"/>
        <n v="328.01666666666665"/>
        <n v="205.91666666666666"/>
        <n v="208.4"/>
        <n v="203.63333333333333"/>
        <n v="234.41666666666666"/>
        <n v="248.75"/>
        <n v="259.63333333333333"/>
        <n v="294.28333333333336"/>
        <n v="233.88333333333333"/>
        <n v="313.86666666666667"/>
        <n v="306.98333333333335"/>
        <n v="264.75"/>
        <n v="290.53333333333336"/>
        <n v="235.11666666666667"/>
        <n v="250.73333333333332"/>
        <n v="215.41666666666666"/>
        <n v="208.95"/>
        <n v="268.01666666666665"/>
        <n v="170.66666666666666"/>
        <n v="252.16666666666666"/>
        <n v="219.81666666666666"/>
        <n v="224.33333333333334"/>
        <n v="294.89999999999998"/>
        <n v="248.58333333333334"/>
        <n v="252.93333333333334"/>
        <n v="226.81666666666666"/>
        <n v="252.63333333333333"/>
        <n v="280.86666666666667"/>
        <n v="280.2"/>
        <n v="210.63333333333333"/>
        <n v="216.13333333333333"/>
        <n v="232.1"/>
        <n v="187.93333333333334"/>
        <n v="229.23333333333332"/>
        <n v="268.95"/>
        <n v="256.14999999999998"/>
        <n v="266.11666666666667"/>
        <n v="253.8"/>
        <n v="263.2"/>
        <n v="185.1"/>
        <n v="221.81666666666666"/>
        <n v="316.21666666666664"/>
        <n v="209.1"/>
        <n v="270.25"/>
        <n v="271.39999999999998"/>
        <n v="227.31666666666666"/>
        <n v="252.11666666666667"/>
        <n v="177.1"/>
        <n v="182.31666666666666"/>
        <n v="284.23333333333335"/>
        <n v="238.71666666666667"/>
        <n v="243"/>
        <n v="256.61666666666667"/>
        <n v="230.75"/>
        <n v="281.73333333333335"/>
        <n v="230.83333333333334"/>
        <n v="209.35"/>
        <n v="219.93333333333334"/>
        <n v="189.33333333333334"/>
        <n v="228.26666666666668"/>
        <n v="257.03333333333336"/>
        <n v="325.71666666666664"/>
        <n v="283.85000000000002"/>
        <n v="321.95"/>
        <n v="271.48333333333335"/>
        <n v="268.55"/>
        <n v="313.53333333333336"/>
        <n v="296.66666666666669"/>
        <n v="207.26666666666668"/>
        <n v="301.89999999999998"/>
        <n v="234.23333333333332"/>
        <n v="273.91666666666669"/>
        <n v="303.2"/>
        <n v="215.06666666666666"/>
        <n v="234.86666666666667"/>
        <n v="241.41666666666666"/>
        <n v="261.86666666666667"/>
        <n v="158.6"/>
        <n v="256.31666666666666"/>
        <n v="194.01666666666668"/>
        <n v="302.64999999999998"/>
        <n v="283.98333333333335"/>
        <n v="318.63333333333333"/>
        <n v="263.51666666666665"/>
        <n v="279.86666666666667"/>
        <n v="220.66666666666666"/>
        <n v="236.15"/>
        <n v="257.26666666666665"/>
        <n v="203.3"/>
        <n v="258.39999999999998"/>
        <n v="279"/>
        <n v="177.61666666666667"/>
        <n v="180.66666666666666"/>
        <n v="215.3"/>
        <n v="252.4"/>
        <n v="309.64999999999998"/>
        <n v="197.53333333333333"/>
        <n v="249.78333333333333"/>
        <n v="194.75"/>
        <n v="246.5"/>
        <n v="227.36666666666667"/>
        <n v="264.45"/>
        <n v="251.45"/>
        <n v="255.56666666666666"/>
        <n v="299.23333333333335"/>
        <n v="210.91666666666666"/>
        <n v="208.38333333333333"/>
        <n v="217.18333333333334"/>
        <n v="318.01666666666665"/>
        <n v="282.81666666666666"/>
        <n v="197.68333333333334"/>
        <n v="316.53333333333336"/>
        <n v="221.7"/>
        <n v="318.28333333333336"/>
        <n v="228.7"/>
        <n v="233.98333333333332"/>
        <n v="241.26666666666668"/>
        <n v="214.61666666666667"/>
        <n v="217.41666666666666"/>
        <n v="248.6"/>
        <n v="243.35"/>
        <n v="268.60000000000002"/>
        <n v="172.75"/>
        <n v="179.63333333333333"/>
        <n v="308.45"/>
        <n v="274.14999999999998"/>
        <n v="199.85"/>
        <n v="245.13333333333333"/>
        <n v="205.33333333333334"/>
        <n v="266.31666666666666"/>
        <n v="210.15"/>
        <n v="218.46666666666667"/>
        <n v="213.25"/>
        <n v="231.15"/>
        <n v="238.95"/>
        <n v="181.83333333333334"/>
        <n v="249.93333333333334"/>
        <n v="230.76666666666668"/>
        <n v="226.65"/>
        <n v="234.73333333333332"/>
        <n v="245.3"/>
        <n v="214.31666666666666"/>
        <n v="219.95"/>
        <n v="170.1"/>
        <n v="231.53333333333333"/>
        <n v="253.06666666666666"/>
        <n v="273.83333333333331"/>
        <n v="292.03333333333336"/>
        <n v="242.11666666666667"/>
        <n v="252.43333333333334"/>
        <n v="298.06666666666666"/>
        <n v="256"/>
        <n v="289.2"/>
        <n v="253.43333333333334"/>
        <n v="257.10000000000002"/>
        <n v="205.45"/>
        <n v="217.03333333333333"/>
        <n v="280.63333333333333"/>
        <n v="294.71666666666664"/>
        <n v="245.68333333333334"/>
        <n v="295.21666666666664"/>
        <n v="220.81666666666666"/>
        <n v="187.11666666666667"/>
        <n v="214.71666666666667"/>
        <n v="240.61666666666667"/>
        <n v="323.98333333333335"/>
        <n v="315"/>
        <n v="178.75"/>
        <n v="266.01666666666665"/>
        <n v="235.4"/>
        <n v="297"/>
        <n v="203.05"/>
        <n v="282.33333333333331"/>
        <n v="271.85000000000002"/>
        <n v="209.9"/>
        <n v="214.36666666666667"/>
        <n v="261.8"/>
        <n v="298.10000000000002"/>
        <n v="234.63333333333333"/>
        <n v="185.33333333333334"/>
        <n v="247.33333333333334"/>
        <n v="229.56666666666666"/>
        <n v="242.1"/>
        <n v="283.06666666666666"/>
        <n v="232.21666666666667"/>
        <n v="242.63333333333333"/>
        <n v="219.55"/>
        <n v="261.31666666666666"/>
        <n v="276.53333333333336"/>
        <n v="172.43333333333334"/>
        <n v="326.18333333333334"/>
        <n v="280.71666666666664"/>
        <n v="232.03333333333333"/>
        <n v="264.78333333333336"/>
        <n v="213.85"/>
        <n v="257.71666666666664"/>
        <n v="196.58333333333334"/>
        <n v="183.05"/>
        <n v="206.36666666666667"/>
        <n v="221.03333333333333"/>
        <n v="301.96666666666664"/>
        <n v="241.16666666666666"/>
        <n v="221.48333333333332"/>
        <n v="289.31666666666666"/>
        <n v="234.71666666666667"/>
        <n v="279.71666666666664"/>
        <n v="273.95"/>
        <n v="257.63333333333333"/>
        <n v="225.06666666666666"/>
        <n v="235.7"/>
        <n v="209.56666666666666"/>
        <n v="212.85"/>
        <n v="177.33333333333334"/>
        <n v="178.61666666666667"/>
        <n v="320.78333333333336"/>
        <n v="263.33333333333331"/>
        <n v="274.55"/>
        <n v="289.60000000000002"/>
        <n v="250.18333333333334"/>
        <n v="250.35"/>
        <n v="277.93333333333334"/>
        <n v="317.14999999999998"/>
        <n v="189.35"/>
        <n v="211.18333333333334"/>
        <n v="227.88333333333333"/>
        <n v="210.33333333333334"/>
        <n v="242.73333333333332"/>
        <n v="259.06666666666666"/>
        <n v="202.35"/>
        <n v="217.83333333333334"/>
        <n v="224.68333333333334"/>
        <n v="203.33333333333334"/>
        <n v="246.03333333333333"/>
        <n v="253.83333333333334"/>
        <n v="174.5"/>
        <n v="208.06666666666666"/>
        <n v="241.93333333333334"/>
        <n v="185.78333333333333"/>
        <n v="294.96666666666664"/>
        <n v="179.3"/>
        <n v="213"/>
        <n v="330.01666666666665"/>
        <n v="229.25"/>
        <n v="242.68333333333334"/>
        <n v="328.16666666666669"/>
        <n v="259.91666666666669"/>
        <n v="319.96666666666664"/>
        <n v="196.65"/>
        <n v="243.56666666666666"/>
        <n v="273.96666666666664"/>
        <n v="325.13333333333333"/>
        <n v="284.88333333333333"/>
        <n v="286"/>
        <n v="317.06666666666666"/>
        <n v="219.58333333333334"/>
        <n v="286.11666666666667"/>
        <n v="257.14999999999998"/>
        <n v="221.38333333333333"/>
        <n v="297.66666666666669"/>
        <n v="220.61666666666667"/>
        <n v="303.08333333333331"/>
        <n v="217.63333333333333"/>
        <n v="239.56666666666666"/>
        <n v="235.53333333333333"/>
        <n v="237.25"/>
        <n v="255.5"/>
        <n v="283.60000000000002"/>
        <n v="303.16666666666669"/>
        <n v="223.16666666666666"/>
        <n v="223.58333333333334"/>
        <n v="228.95"/>
        <n v="238.23333333333332"/>
        <n v="281.21666666666664"/>
        <n v="294.8"/>
        <n v="240.43333333333334"/>
        <n v="237.56666666666666"/>
        <n v="223.95"/>
        <n v="224.25"/>
        <n v="213.66666666666666"/>
        <n v="230.88333333333333"/>
        <n v="190.45"/>
        <n v="277.28333333333336"/>
        <n v="278.75"/>
        <n v="248.61666666666667"/>
        <n v="220.75"/>
        <n v="225.2"/>
        <n v="263.89999999999998"/>
        <n v="230.08333333333334"/>
        <n v="283.93333333333334"/>
        <n v="237.93333333333334"/>
        <n v="300.89999999999998"/>
        <n v="195.78333333333333"/>
        <n v="221.45"/>
        <n v="236.13333333333333"/>
        <n v="193.68333333333334"/>
        <n v="260.81666666666666"/>
        <n v="308.14999999999998"/>
        <n v="262.76666666666665"/>
        <n v="199.95"/>
        <n v="211.6"/>
        <n v="284"/>
        <n v="261.28333333333336"/>
        <n v="258.13333333333333"/>
        <n v="186.06666666666666"/>
        <n v="263.01666666666665"/>
        <n v="201.48333333333332"/>
        <n v="245.95"/>
        <n v="230.71666666666667"/>
        <n v="213.43333333333334"/>
        <n v="233.61666666666667"/>
        <n v="313.33333333333331"/>
        <n v="327.63333333333333"/>
        <n v="194.33333333333334"/>
        <n v="299.83333333333331"/>
        <n v="172.81666666666666"/>
        <n v="230.36666666666667"/>
        <n v="228.15"/>
        <n v="179.06666666666666"/>
        <n v="319.25"/>
        <n v="250.13333333333333"/>
        <n v="208.83333333333334"/>
        <n v="309.31666666666666"/>
        <n v="228.18333333333334"/>
        <n v="309.18333333333334"/>
        <n v="293.46666666666664"/>
        <n v="281.85000000000002"/>
        <n v="177.35"/>
        <n v="216.7"/>
        <n v="259.35000000000002"/>
        <n v="221.05"/>
        <n v="254.7"/>
        <n v="260.66666666666669"/>
        <n v="198.96666666666667"/>
        <n v="236.35"/>
        <n v="241.21666666666667"/>
        <n v="280.01666666666665"/>
        <n v="185.9"/>
        <n v="212.73333333333332"/>
        <n v="179.35"/>
        <n v="280.06666666666666"/>
        <n v="330.26666666666665"/>
        <n v="251.81666666666666"/>
        <n v="253.21666666666667"/>
        <n v="317.85000000000002"/>
        <n v="214.63333333333333"/>
        <n v="243.95"/>
        <n v="239.23333333333332"/>
        <n v="264.91666666666669"/>
        <n v="273.01666666666665"/>
        <n v="203.06666666666666"/>
        <n v="245.16666666666666"/>
        <n v="190.01666666666668"/>
        <n v="190.38333333333333"/>
        <n v="337.78333333333336"/>
        <n v="255.93333333333334"/>
        <n v="314.96666666666664"/>
        <n v="249"/>
        <n v="282.43333333333334"/>
        <n v="173.73333333333332"/>
        <n v="220.78333333333333"/>
        <n v="180.88333333333333"/>
        <n v="252.73333333333332"/>
        <n v="178.63333333333333"/>
        <n v="249.61666666666667"/>
        <n v="241.13333333333333"/>
        <n v="237.55"/>
        <n v="233.41666666666666"/>
        <n v="252.15"/>
        <n v="220.91666666666666"/>
        <n v="231.96666666666667"/>
        <n v="230.46666666666667"/>
        <n v="180.4"/>
        <n v="245.2"/>
        <n v="236.53333333333333"/>
        <n v="247.1"/>
        <n v="312.2"/>
        <n v="250.23333333333332"/>
        <n v="286.45"/>
        <n v="181.11666666666667"/>
        <n v="205.81666666666666"/>
        <n v="237.8"/>
        <n v="220.9"/>
        <n v="300.41666666666669"/>
        <n v="211.53333333333333"/>
        <n v="237.9"/>
        <n v="259.03333333333336"/>
        <n v="238.16666666666666"/>
        <n v="264.76666666666665"/>
        <n v="219.43333333333334"/>
        <n v="235.01666666666668"/>
        <n v="262.46666666666664"/>
        <n v="311.88333333333333"/>
        <n v="231.98333333333332"/>
        <n v="229.15"/>
        <n v="292.06666666666666"/>
        <n v="292.25"/>
        <n v="278.8"/>
        <n v="260.55"/>
        <n v="314.51666666666665"/>
        <n v="293.5"/>
        <n v="235.26666666666668"/>
        <n v="237.08333333333334"/>
        <n v="288.61666666666667"/>
        <n v="259.21666666666664"/>
        <n v="206.11666666666667"/>
        <n v="240.05"/>
        <n v="264.95"/>
        <n v="283.89999999999998"/>
        <n v="198.3"/>
        <n v="280.28333333333336"/>
        <n v="281.48333333333335"/>
        <n v="178.96666666666667"/>
        <n v="273"/>
        <n v="274.2"/>
        <n v="213.75"/>
        <n v="257.61666666666667"/>
        <n v="276.61666666666667"/>
        <n v="236.78333333333333"/>
        <n v="255.8"/>
        <n v="209.36666666666667"/>
        <n v="221.75"/>
        <n v="250.15"/>
        <n v="209.4"/>
        <n v="235.23333333333332"/>
        <n v="243.5"/>
        <n v="277.89999999999998"/>
        <n v="177.26666666666668"/>
        <n v="209.66666666666666"/>
        <n v="280.11666666666667"/>
        <n v="225.03333333333333"/>
        <n v="179.18333333333334"/>
        <n v="194.35"/>
        <n v="233.65"/>
        <n v="231.86666666666667"/>
        <n v="298.26666666666665"/>
        <n v="198.53333333333333"/>
        <n v="251.83333333333334"/>
        <n v="309.21666666666664"/>
        <n v="250.45"/>
        <n v="307.11666666666667"/>
        <n v="299.56666666666666"/>
        <n v="281.38333333333333"/>
        <n v="256.7"/>
        <n v="259.46666666666664"/>
        <n v="247.76666666666668"/>
        <n v="181.2"/>
        <n v="302.68333333333334"/>
        <n v="279.68333333333334"/>
        <n v="265.83333333333331"/>
        <n v="286.5"/>
        <n v="195.16666666666666"/>
        <n v="256.33333333333331"/>
        <n v="265.8"/>
        <n v="262"/>
        <n v="235.21666666666667"/>
        <n v="268.88333333333333"/>
        <n v="167.66666666666666"/>
        <n v="276.76666666666665"/>
        <n v="222.11666666666667"/>
        <n v="269.7"/>
        <n v="316.51666666666665"/>
        <n v="261.96666666666664"/>
        <n v="216.16666666666666"/>
        <n v="262.98333333333335"/>
        <n v="184.76666666666668"/>
        <n v="267.56666666666666"/>
        <n v="234.33333333333334"/>
        <n v="276.68333333333334"/>
        <n v="255.45"/>
        <n v="246.51666666666668"/>
        <n v="270.7"/>
        <n v="316.88333333333333"/>
        <n v="280.7"/>
        <n v="251.76666666666668"/>
        <n v="255.13333333333333"/>
        <n v="198.78333333333333"/>
        <n v="216.08333333333334"/>
        <n v="178.68333333333334"/>
        <n v="231.31666666666666"/>
        <n v="245.15"/>
        <n v="272.06666666666666"/>
        <n v="226.95"/>
        <n v="190.46666666666667"/>
        <n v="230"/>
        <n v="256.06666666666666"/>
        <n v="315.75"/>
        <n v="316.43333333333334"/>
        <n v="214.51666666666668"/>
        <n v="258.28333333333336"/>
        <n v="232.08333333333334"/>
        <n v="263.55"/>
        <n v="225.7"/>
        <n v="242.38333333333333"/>
        <n v="259.95"/>
        <n v="253.36666666666667"/>
        <n v="189.03333333333333"/>
        <n v="228.28333333333333"/>
        <n v="313.41666666666669"/>
        <n v="264.68333333333334"/>
        <n v="209.38333333333333"/>
        <n v="215.9"/>
        <n v="218.01666666666668"/>
        <n v="262.63333333333333"/>
        <n v="197.96666666666667"/>
        <n v="239.45"/>
        <n v="196.13333333333333"/>
        <n v="226.1"/>
        <n v="269.31666666666666"/>
        <n v="325.66666666666669"/>
        <n v="209.15"/>
        <n v="224.4"/>
        <n v="246.45"/>
        <n v="217.61666666666667"/>
        <n v="209.41666666666666"/>
        <n v="241.28333333333333"/>
        <n v="194.18333333333334"/>
        <n v="230.81666666666666"/>
        <n v="262.53333333333336"/>
        <n v="249.71666666666667"/>
        <n v="175.8"/>
        <n v="253.96666666666667"/>
        <n v="170.06666666666666"/>
        <n v="203.18333333333334"/>
        <n v="290.35000000000002"/>
        <n v="327"/>
        <n v="238.15"/>
        <n v="262.13333333333333"/>
        <n v="293.81666666666666"/>
        <n v="169.46666666666667"/>
        <n v="227.11666666666667"/>
        <n v="315.28333333333336"/>
        <n v="227.73333333333332"/>
        <n v="291.39999999999998"/>
        <n v="262.86666666666667"/>
        <n v="275.23333333333335"/>
        <n v="196.55"/>
        <n v="324.56666666666666"/>
        <n v="269.56666666666666"/>
        <n v="209.48333333333332"/>
        <n v="205.61666666666667"/>
        <n v="212.93333333333334"/>
        <n v="172.2"/>
        <n v="249.1"/>
        <n v="269.48333333333335"/>
        <n v="179.31666666666666"/>
        <n v="237.58333333333334"/>
        <n v="313.68333333333334"/>
        <n v="226.45"/>
        <n v="311"/>
        <n v="188.65"/>
        <n v="267.25"/>
        <n v="213.71666666666667"/>
        <n v="220.95"/>
        <n v="210.43333333333334"/>
        <n v="284.56666666666666"/>
        <n v="239.15"/>
        <n v="299.28333333333336"/>
        <n v="241.08333333333334"/>
        <n v="269.61666666666667"/>
        <n v="235.51666666666668"/>
        <n v="261.03333333333336"/>
        <n v="233.36666666666667"/>
        <n v="264.60000000000002"/>
        <n v="208.68333333333334"/>
        <n v="256.89999999999998"/>
        <n v="205.48333333333332"/>
        <n v="243.16666666666666"/>
        <n v="226.61666666666667"/>
        <n v="247.5"/>
        <n v="224.06666666666666"/>
        <n v="293.45"/>
        <n v="298.60000000000002"/>
        <n v="285.88333333333333"/>
        <n v="282.5"/>
        <n v="331.73333333333335"/>
        <n v="218.63333333333333"/>
        <n v="286.68333333333334"/>
        <n v="235.91666666666666"/>
        <n v="187.21666666666667"/>
        <n v="267.48333333333335"/>
        <n v="210.2"/>
        <n v="295.55"/>
        <n v="237.35"/>
        <n v="208.98333333333332"/>
        <n v="247.95"/>
        <n v="262.55"/>
        <n v="278.89999999999998"/>
        <n v="255.06666666666666"/>
        <n v="205.25"/>
        <n v="237.4"/>
        <n v="322.83333333333331"/>
        <n v="202.88333333333333"/>
        <n v="223.15"/>
        <n v="217.95"/>
        <n v="243.06666666666666"/>
        <n v="252.48333333333332"/>
        <n v="287.10000000000002"/>
        <n v="271.2"/>
        <n v="250.6"/>
        <n v="273.33333333333331"/>
        <n v="324.75"/>
        <n v="322.28333333333336"/>
        <n v="326.26666666666665"/>
        <n v="205.35"/>
        <n v="250.53333333333333"/>
        <n v="237.16666666666666"/>
        <n v="167.05"/>
        <n v="253.61666666666667"/>
        <n v="263.35000000000002"/>
        <n v="220.1"/>
        <n v="234.51666666666668"/>
        <n v="225.38333333333333"/>
        <n v="249.25"/>
        <n v="229.83333333333334"/>
        <n v="252.08333333333334"/>
        <n v="197.06666666666666"/>
        <n v="272.76666666666665"/>
        <n v="270.28333333333336"/>
        <n v="273.36666666666667"/>
        <n v="307.53333333333336"/>
        <n v="324.68333333333334"/>
        <n v="236.25"/>
        <n v="252.26666666666668"/>
        <n v="198.23333333333332"/>
        <n v="284.3"/>
        <n v="242.16666666666666"/>
        <n v="254.41666666666666"/>
        <n v="243.68333333333334"/>
        <n v="270.48333333333335"/>
        <n v="249.75"/>
        <n v="213.9"/>
        <n v="221.36666666666667"/>
        <n v="314.06666666666666"/>
        <n v="243.03333333333333"/>
        <n v="267.89999999999998"/>
        <n v="212.26666666666668"/>
        <n v="253.11666666666667"/>
        <n v="228.43333333333334"/>
        <n v="256.56666666666666"/>
        <n v="256.35000000000002"/>
        <n v="199.2"/>
        <n v="231.81666666666666"/>
        <n v="243.55"/>
        <n v="222.25"/>
        <n v="230.73333333333332"/>
        <n v="276.38333333333333"/>
        <n v="256.38333333333333"/>
        <n v="313.71666666666664"/>
        <n v="303.86666666666667"/>
        <n v="276.05"/>
        <n v="284.31666666666666"/>
        <n v="215.23333333333332"/>
        <n v="259.41666666666669"/>
        <n v="208.56666666666666"/>
        <n v="299.11666666666667"/>
        <n v="255.85"/>
        <n v="243.01666666666668"/>
        <n v="208"/>
        <n v="225.76666666666668"/>
        <n v="197.95"/>
        <n v="297.06666666666666"/>
        <n v="218.51666666666668"/>
        <n v="238.25"/>
        <n v="320.85000000000002"/>
        <n v="269.13333333333333"/>
        <n v="197.98333333333332"/>
        <n v="201.71666666666667"/>
        <n v="251.95"/>
        <n v="211.85"/>
        <n v="221.73333333333332"/>
        <n v="215.76666666666668"/>
        <n v="200.01666666666668"/>
        <n v="278.38333333333333"/>
        <n v="240.51666666666668"/>
        <n v="237.7"/>
        <n v="188.2"/>
        <n v="175.16666666666666"/>
        <n v="200.95"/>
        <n v="231.73333333333332"/>
        <n v="257.64999999999998"/>
        <n v="250.98333333333332"/>
        <n v="209.08333333333334"/>
        <n v="301.55"/>
        <n v="235.83333333333334"/>
        <n v="301.68333333333334"/>
        <n v="194.41666666666666"/>
        <n v="280.53333333333336"/>
        <n v="199.98333333333332"/>
        <n v="234.91666666666666"/>
        <n v="229.86666666666667"/>
        <n v="216.2"/>
        <n v="216.18333333333334"/>
        <n v="275.98333333333335"/>
        <n v="153.38333333333333"/>
        <n v="215.68333333333334"/>
        <n v="274.93333333333334"/>
        <n v="257.23333333333335"/>
        <n v="169.83333333333334"/>
        <n v="252.3"/>
        <n v="226.21666666666667"/>
        <n v="264.06666666666666"/>
        <n v="180.5"/>
        <n v="241.76666666666668"/>
        <n v="296.83333333333331"/>
        <n v="227.98333333333332"/>
        <n v="252.71666666666667"/>
        <n v="230.1"/>
        <n v="241.6"/>
        <n v="277.53333333333336"/>
        <n v="268.33333333333331"/>
        <n v="187.85"/>
        <n v="264.53333333333336"/>
        <n v="234.38333333333333"/>
        <n v="291.98333333333335"/>
        <n v="217.98333333333332"/>
        <n v="303.21666666666664"/>
        <n v="312.55"/>
        <n v="203.4"/>
        <n v="212.65"/>
        <n v="239.28333333333333"/>
        <n v="199"/>
        <n v="243.66666666666666"/>
        <n v="312.53333333333336"/>
        <n v="189.45"/>
        <n v="248.06666666666666"/>
        <n v="280.66666666666669"/>
        <n v="225.26666666666668"/>
        <n v="233.58333333333334"/>
        <n v="247.35"/>
        <n v="259.88333333333333"/>
        <n v="265.55"/>
        <n v="178.8"/>
        <n v="198.08333333333334"/>
        <n v="279.3"/>
        <n v="316.96666666666664"/>
        <n v="201.3"/>
        <n v="190.96666666666667"/>
        <n v="215.43333333333334"/>
        <n v="226.03333333333333"/>
        <n v="157.01666666666668"/>
        <n v="237.6"/>
        <n v="329.36666666666667"/>
        <n v="239.65"/>
        <n v="253.38333333333333"/>
        <n v="242.9"/>
        <n v="266.23333333333335"/>
        <n v="211.76666666666668"/>
        <n v="291.13333333333333"/>
        <n v="274.60000000000002"/>
        <n v="202.3"/>
        <n v="285.06666666666666"/>
        <n v="199.53333333333333"/>
        <n v="230.3"/>
        <n v="209.11666666666667"/>
        <n v="196.4"/>
        <n v="206.9"/>
        <n v="282.13333333333333"/>
        <n v="222.96666666666667"/>
        <n v="228.45"/>
        <n v="274.68333333333334"/>
        <n v="231.21666666666667"/>
        <n v="236.98333333333332"/>
        <n v="219.86666666666667"/>
        <n v="313.7"/>
        <n v="253.56666666666666"/>
        <n v="216.33333333333334"/>
        <n v="223.75"/>
        <n v="216.58333333333334"/>
        <n v="238.5"/>
        <n v="247.26666666666668"/>
        <n v="247.41666666666666"/>
        <n v="216.4"/>
        <n v="208.5"/>
        <n v="184.26666666666668"/>
        <n v="194.16666666666666"/>
        <n v="190.03333333333333"/>
        <n v="236"/>
        <n v="267.86666666666667"/>
        <n v="217.78333333333333"/>
        <n v="292.98333333333335"/>
        <n v="293.26666666666665"/>
        <n v="270.35000000000002"/>
        <n v="256.8"/>
        <n v="293.13333333333333"/>
        <n v="267.81666666666666"/>
        <n v="233.6"/>
        <n v="207.91666666666666"/>
        <n v="256.36666666666667"/>
        <n v="289.5"/>
        <n v="268.45"/>
        <n v="202.68333333333334"/>
        <n v="226.55"/>
        <n v="243.51666666666668"/>
        <n v="249.41666666666666"/>
        <n v="252"/>
        <n v="210.65"/>
        <n v="260.28333333333336"/>
        <n v="296.88333333333333"/>
        <n v="264.5"/>
        <n v="272.88333333333333"/>
        <n v="299.03333333333336"/>
        <n v="223.73333333333332"/>
        <n v="236.28333333333333"/>
        <n v="174.71666666666667"/>
        <n v="241.35"/>
        <n v="289.96666666666664"/>
        <n v="282.64999999999998"/>
        <n v="290.36666666666667"/>
        <n v="311.8"/>
        <n v="251.21666666666667"/>
        <n v="189.21666666666667"/>
        <n v="262.31666666666666"/>
        <n v="297.01666666666665"/>
        <n v="224.75"/>
        <n v="266.21666666666664"/>
        <n v="311.73333333333335"/>
        <n v="230.86666666666667"/>
        <n v="261.64999999999998"/>
        <n v="229.46666666666667"/>
        <n v="250.06666666666666"/>
        <n v="284.78333333333336"/>
        <n v="274.16666666666669"/>
        <n v="251.31666666666666"/>
        <n v="293.63333333333333"/>
        <n v="188.78333333333333"/>
        <n v="196.93333333333334"/>
        <n v="284.26666666666665"/>
        <n v="286.28333333333336"/>
        <n v="253.23333333333332"/>
        <n v="255.3"/>
        <n v="179.1"/>
        <n v="241.68333333333334"/>
        <n v="293.51666666666665"/>
        <n v="225.11666666666667"/>
        <n v="294.03333333333336"/>
        <n v="257.98333333333335"/>
        <n v="199.48333333333332"/>
        <n v="226.58333333333334"/>
        <n v="228.56666666666666"/>
        <n v="251.35"/>
        <n v="260.01666666666665"/>
        <n v="279.83333333333331"/>
        <n v="206.98333333333332"/>
        <n v="246.18333333333334"/>
        <n v="222.1"/>
        <n v="226.26666666666668"/>
        <n v="292.16666666666669"/>
        <n v="298.64999999999998"/>
        <n v="230.5"/>
        <n v="260.36666666666667"/>
        <n v="263.88333333333333"/>
        <n v="284.2"/>
        <n v="211.46666666666667"/>
        <n v="210.18333333333334"/>
        <n v="223.93333333333334"/>
        <n v="274.73333333333335"/>
        <n v="184.73333333333332"/>
        <n v="256.63333333333333"/>
        <n v="213.5"/>
        <n v="221.41666666666666"/>
        <n v="202.23333333333332"/>
        <n v="317.96666666666664"/>
        <n v="225.31666666666666"/>
        <n v="233.95"/>
        <n v="300"/>
        <n v="239.58333333333334"/>
        <n v="188.33333333333334"/>
        <n v="223.86666666666667"/>
        <n v="215.48333333333332"/>
        <n v="233.15"/>
        <n v="251.86666666666667"/>
        <n v="276.2"/>
        <n v="218.21666666666667"/>
        <n v="217.7"/>
        <n v="255.16666666666666"/>
        <n v="272.38333333333333"/>
        <n v="283.58333333333331"/>
        <n v="229.1"/>
        <n v="162.30000000000001"/>
        <n v="291.41666666666669"/>
        <n v="196.98333333333332"/>
        <n v="237.11666666666667"/>
        <n v="235.65"/>
        <n v="185.26666666666668"/>
        <n v="255.38333333333333"/>
        <n v="268.53333333333336"/>
        <n v="232.28333333333333"/>
        <n v="272.36666666666667"/>
        <n v="281.56666666666666"/>
        <n v="205.88333333333333"/>
        <n v="274"/>
        <n v="296.68333333333334"/>
        <n v="249.35"/>
        <n v="252.01666666666668"/>
        <n v="307.56666666666666"/>
        <n v="256.08333333333331"/>
        <n v="276.28333333333336"/>
        <n v="194.61666666666667"/>
        <n v="291.71666666666664"/>
        <n v="208.65"/>
        <n v="323.2"/>
        <n v="289.41666666666669"/>
        <n v="330.36666666666667"/>
        <n v="262.35000000000002"/>
        <n v="213.45"/>
        <n v="284.81666666666666"/>
        <n v="268.61666666666667"/>
        <n v="181.31666666666666"/>
        <n v="213.01666666666668"/>
        <n v="275.45"/>
        <n v="302.28333333333336"/>
        <n v="211.4"/>
        <n v="233.83333333333334"/>
        <n v="214.43333333333334"/>
        <n v="248.13333333333333"/>
        <n v="199.96666666666667"/>
        <n v="298.11666666666667"/>
        <n v="278.78333333333336"/>
        <n v="259.18333333333334"/>
        <n v="312.51666666666665"/>
        <n v="310.25"/>
        <n v="253.03333333333333"/>
        <n v="320.66666666666669"/>
        <n v="201.4"/>
        <n v="199.51666666666668"/>
        <n v="250.91666666666666"/>
        <n v="197.46666666666667"/>
        <n v="273.11666666666667"/>
        <n v="256.96666666666664"/>
        <n v="249.16666666666666"/>
        <n v="218.15"/>
        <n v="214.91666666666666"/>
        <n v="186.85"/>
        <n v="228.21666666666667"/>
        <n v="239.46666666666667"/>
        <n v="261.89999999999998"/>
        <n v="295.7"/>
        <n v="301.03333333333336"/>
        <n v="230.33333333333334"/>
        <n v="281.76666666666665"/>
        <n v="178.9"/>
        <n v="211.31666666666666"/>
        <n v="215.28333333333333"/>
        <n v="298.73333333333335"/>
        <n v="307.51666666666665"/>
        <n v="188.83333333333334"/>
        <n v="269.91666666666669"/>
        <n v="239.43333333333334"/>
        <n v="211.2"/>
        <n v="228.85"/>
        <n v="288.39999999999998"/>
        <n v="243.65"/>
        <n v="258.88333333333333"/>
        <n v="198.45"/>
        <n v="274.66666666666669"/>
        <n v="288.36666666666667"/>
        <n v="276.14999999999998"/>
        <n v="342.81666666666666"/>
        <n v="272.71666666666664"/>
        <n v="242.95"/>
        <n v="224.05"/>
        <n v="189.68333333333334"/>
        <n v="223.3"/>
        <n v="278.08333333333331"/>
        <n v="208.55"/>
        <n v="211.88333333333333"/>
        <n v="230.66666666666666"/>
        <n v="239.9"/>
        <n v="199.91666666666666"/>
        <n v="314.01666666666665"/>
        <n v="220.36666666666667"/>
        <n v="211.23333333333332"/>
        <n v="230.26666666666668"/>
        <n v="225"/>
        <n v="296.53333333333336"/>
        <n v="272.41666666666669"/>
        <n v="290.23333333333335"/>
        <n v="179.95"/>
        <n v="319.85000000000002"/>
        <n v="200.45"/>
        <n v="277.95"/>
        <n v="283.23333333333335"/>
        <n v="295.83333333333331"/>
        <n v="297.95"/>
        <n v="218.58333333333334"/>
        <n v="309.76666666666665"/>
        <n v="281.05"/>
        <n v="215.13333333333333"/>
        <n v="219.6"/>
        <n v="199.45"/>
        <n v="223.35"/>
        <n v="269.05"/>
        <n v="247.51666666666668"/>
        <n v="302.31666666666666"/>
        <n v="328.43333333333334"/>
        <n v="270.01666666666665"/>
        <n v="187.98333333333332"/>
        <n v="148.51666666666668"/>
        <n v="286.61666666666667"/>
        <n v="168.15"/>
        <n v="253.91666666666666"/>
        <n v="300.61666666666667"/>
        <n v="249.13333333333333"/>
        <n v="259.01666666666665"/>
        <n v="261.51666666666665"/>
        <n v="173.11666666666667"/>
        <n v="231.03333333333333"/>
        <n v="171.85"/>
        <n v="203.16666666666666"/>
        <n v="240.85"/>
        <n v="264.48333333333335"/>
        <n v="280.33333333333331"/>
        <n v="237.51666666666668"/>
        <n v="290.56666666666666"/>
        <n v="307.08333333333331"/>
        <n v="166.73333333333332"/>
        <n v="251.23333333333332"/>
        <n v="274.08333333333331"/>
        <n v="180.56666666666666"/>
        <n v="270.51666666666665"/>
        <n v="199.46666666666667"/>
        <n v="223.2"/>
        <n v="278.66666666666669"/>
        <n v="321.41666666666669"/>
        <n v="251.6"/>
        <n v="191.05"/>
        <n v="309.95"/>
        <n v="249.33333333333334"/>
        <n v="252.76666666666668"/>
        <n v="215.21666666666667"/>
        <n v="214.75"/>
        <n v="245.66666666666666"/>
        <n v="248.65"/>
        <n v="315.3"/>
        <n v="238.31666666666666"/>
        <n v="260.93333333333334"/>
        <n v="294.45"/>
        <n v="200.1"/>
        <n v="215.25"/>
        <n v="236.83333333333334"/>
        <n v="169.05"/>
        <n v="218.88333333333333"/>
        <n v="241.46666666666667"/>
        <n v="269.85000000000002"/>
        <n v="252.65"/>
        <n v="298.45"/>
        <n v="284.60000000000002"/>
        <n v="224.7"/>
        <n v="212.11666666666667"/>
        <n v="278.86666666666667"/>
        <n v="238.65"/>
        <n v="226.06666666666666"/>
        <n v="259.61666666666667"/>
        <n v="253.28333333333333"/>
        <n v="279.33333333333331"/>
        <n v="233.11666666666667"/>
        <n v="235.16666666666666"/>
        <n v="333.2"/>
        <n v="271.16666666666669"/>
        <n v="279.66666666666669"/>
        <n v="314.64999999999998"/>
        <n v="218.66666666666666"/>
        <n v="261.06666666666666"/>
        <n v="229.66666666666666"/>
        <n v="286.7"/>
        <n v="218.16666666666666"/>
        <n v="236.6"/>
        <n v="179.33333333333334"/>
        <n v="212.25"/>
        <n v="265.3"/>
        <n v="288"/>
        <n v="330.3"/>
        <n v="286.35000000000002"/>
        <n v="293.88333333333333"/>
        <n v="299"/>
        <n v="245.6"/>
        <n v="329"/>
        <n v="241.75"/>
        <n v="262.10000000000002"/>
        <n v="254.53333333333333"/>
        <n v="326.53333333333336"/>
        <n v="237.41666666666666"/>
        <n v="226.15"/>
        <n v="227.86666666666667"/>
        <n v="238.73333333333332"/>
        <n v="314.86666666666667"/>
        <n v="165.25"/>
        <n v="290.51666666666665"/>
        <n v="231.16666666666666"/>
        <n v="250.95"/>
        <n v="296.76666666666665"/>
        <n v="194"/>
        <n v="226.36666666666667"/>
        <n v="218.05"/>
        <n v="229.01666666666668"/>
        <n v="228.71666666666667"/>
        <n v="322.26666666666665"/>
        <n v="261.55"/>
        <n v="200.76666666666668"/>
        <n v="199.23333333333332"/>
        <n v="308.56666666666666"/>
        <n v="180.18333333333334"/>
        <n v="209.61666666666667"/>
        <n v="275.31666666666666"/>
        <n v="211.15"/>
        <n v="220.35"/>
        <n v="235.2"/>
        <n v="217.26666666666668"/>
        <n v="201.61666666666667"/>
        <n v="247.3"/>
        <n v="171.71666666666667"/>
        <n v="290.98333333333335"/>
        <n v="277.18333333333334"/>
        <n v="178.01666666666668"/>
        <n v="228.75"/>
        <n v="217.53333333333333"/>
        <n v="230.11666666666667"/>
        <n v="239.7"/>
        <n v="243.7"/>
        <n v="250.7"/>
        <n v="196.1"/>
        <n v="205.8"/>
        <n v="274.5"/>
        <n v="208.36666666666667"/>
        <n v="316.78333333333336"/>
        <n v="281.5"/>
        <n v="170.56666666666666"/>
        <n v="301.13333333333333"/>
        <n v="233.46666666666667"/>
        <n v="202.1"/>
        <n v="209.83333333333334"/>
        <n v="226.35"/>
        <n v="207.1"/>
        <n v="264.8"/>
        <n v="262.78333333333336"/>
        <n v="267.31666666666666"/>
        <n v="228.51666666666668"/>
        <n v="223.6"/>
        <n v="257.45"/>
        <n v="239.48333333333332"/>
        <n v="223.1"/>
        <n v="300.86666666666667"/>
        <n v="217.25"/>
        <n v="247.21666666666667"/>
        <n v="200.46666666666667"/>
        <n v="331.4"/>
        <n v="332.55"/>
        <n v="283.8"/>
        <n v="181.7"/>
        <n v="268.05"/>
        <n v="320.18333333333334"/>
        <n v="264.2"/>
        <n v="184.1"/>
        <n v="235.88333333333333"/>
        <n v="293.93333333333334"/>
        <n v="282.21666666666664"/>
        <n v="313.78333333333336"/>
        <n v="257.18333333333334"/>
        <n v="270.55"/>
        <n v="220.83333333333334"/>
        <n v="177.71666666666667"/>
        <n v="243.85"/>
        <n v="300.23333333333335"/>
        <n v="231.35"/>
        <n v="264"/>
        <n v="234"/>
        <n v="217.56666666666666"/>
        <n v="264.31666666666666"/>
        <n v="225.1"/>
        <n v="299.41666666666669"/>
        <n v="243.11666666666667"/>
        <n v="244.23333333333332"/>
        <n v="267.35000000000002"/>
        <n v="209.71666666666667"/>
        <n v="294.75"/>
        <n v="210.76666666666668"/>
        <n v="237.66666666666666"/>
        <n v="227.28333333333333"/>
        <n v="238.75"/>
        <n v="228.61666666666667"/>
        <n v="226.23333333333332"/>
        <n v="241.85"/>
        <n v="320.23333333333335"/>
        <n v="245.96666666666667"/>
        <n v="235.35"/>
        <n v="159.9"/>
        <n v="232.31666666666666"/>
        <n v="297.35000000000002"/>
        <n v="293.91666666666669"/>
        <n v="262.25"/>
        <n v="311.14999999999998"/>
        <n v="241.23333333333332"/>
        <n v="257.73333333333335"/>
        <n v="295.43333333333334"/>
        <n v="173.2"/>
        <n v="206.88333333333333"/>
        <n v="213.78333333333333"/>
        <n v="224.51666666666668"/>
        <n v="188.06666666666666"/>
        <n v="286.83333333333331"/>
        <n v="256.85000000000002"/>
        <n v="280.26666666666665"/>
        <n v="268.2"/>
        <n v="294.81666666666666"/>
        <n v="182.45"/>
        <n v="250.08333333333334"/>
        <n v="229.41666666666666"/>
        <n v="282.88333333333333"/>
        <n v="207.73333333333332"/>
        <n v="208.48333333333332"/>
        <n v="247"/>
        <n v="206.35"/>
        <n v="258.5"/>
        <n v="282.3"/>
        <n v="224.28333333333333"/>
        <n v="234.83333333333334"/>
        <n v="249.7"/>
        <n v="171.18333333333334"/>
        <n v="234.96666666666667"/>
        <n v="283.14999999999998"/>
        <n v="239.91666666666666"/>
        <n v="197.36666666666667"/>
        <n v="216.3"/>
        <n v="222.06666666666666"/>
        <n v="248.31666666666666"/>
        <n v="253.51666666666668"/>
        <n v="247.65"/>
        <n v="239.18333333333334"/>
        <n v="330.88333333333333"/>
        <n v="207.21666666666667"/>
        <n v="227.2"/>
        <n v="289.35000000000002"/>
        <n v="259.11666666666667"/>
        <n v="278.16666666666669"/>
        <n v="217.91666666666666"/>
        <n v="169.86666666666667"/>
        <n v="318.7"/>
        <n v="261"/>
        <n v="275.78333333333336"/>
        <n v="210.41666666666666"/>
        <n v="235.58333333333334"/>
        <n v="261.18333333333334"/>
        <n v="296.36666666666667"/>
        <n v="161.66666666666666"/>
        <n v="176.41666666666666"/>
        <n v="279.16666666666669"/>
        <n v="265.71666666666664"/>
        <n v="185.03333333333333"/>
        <n v="270.53333333333336"/>
        <n v="201.06666666666666"/>
        <n v="250.25"/>
        <n v="256.91666666666669"/>
        <n v="236.3"/>
        <n v="222.23333333333332"/>
        <n v="291.25"/>
        <n v="326.36666666666667"/>
        <n v="295.23333333333335"/>
        <n v="206.08333333333334"/>
        <n v="285.11666666666667"/>
        <n v="265.13333333333333"/>
        <n v="252.8"/>
        <n v="201.88333333333333"/>
        <n v="218.55"/>
        <n v="285.03333333333336"/>
        <n v="257.55"/>
        <n v="269.16666666666669"/>
        <n v="270.11666666666667"/>
        <n v="301.64999999999998"/>
        <n v="261.61666666666667"/>
        <n v="168.93333333333334"/>
        <n v="258.06666666666666"/>
        <n v="211.01666666666668"/>
        <n v="208.25"/>
        <n v="221.18333333333334"/>
        <n v="217.86666666666667"/>
        <n v="263.81666666666666"/>
        <n v="297.51666666666665"/>
        <n v="245.91666666666666"/>
        <n v="221.6"/>
        <n v="239.11666666666667"/>
        <n v="264.43333333333334"/>
        <n v="224.43333333333334"/>
        <n v="228.63333333333333"/>
        <n v="233.78333333333333"/>
        <n v="288.98333333333335"/>
        <n v="233.9"/>
        <n v="288.48333333333335"/>
        <n v="198.01666666666668"/>
        <n v="260.35000000000002"/>
        <n v="241.5"/>
        <n v="274.71666666666664"/>
        <n v="273.21666666666664"/>
        <n v="206.8"/>
        <n v="292.36666666666667"/>
        <n v="211.45"/>
        <n v="319.60000000000002"/>
        <n v="240.41666666666666"/>
        <n v="265.98333333333335"/>
        <n v="268.75"/>
        <n v="209.53333333333333"/>
        <n v="269.98333333333335"/>
        <n v="245.38333333333333"/>
        <n v="228.76666666666668"/>
        <n v="262.83333333333331"/>
        <n v="293.53333333333336"/>
        <n v="292.14999999999998"/>
        <n v="207.2"/>
        <n v="274.39999999999998"/>
        <n v="213.33333333333334"/>
        <n v="282.61666666666667"/>
        <n v="276.81666666666666"/>
        <n v="240.4"/>
        <n v="249.73333333333332"/>
        <n v="242.43333333333334"/>
        <n v="242.05"/>
        <n v="284.61666666666667"/>
        <n v="181.9"/>
        <n v="212.8"/>
        <n v="252.36666666666667"/>
        <n v="212.58333333333334"/>
        <n v="252.45"/>
        <n v="274.41666666666669"/>
        <n v="268.14999999999998"/>
        <n v="278.64999999999998"/>
        <n v="288.45"/>
        <n v="335.16666666666669"/>
        <n v="262.06666666666666"/>
        <n v="322.64999999999998"/>
        <n v="279.28333333333336"/>
        <n v="269.86666666666667"/>
        <n v="229.95"/>
        <n v="210.71666666666667"/>
        <n v="249.58333333333334"/>
        <n v="260.3"/>
        <n v="265.05"/>
        <n v="289.13333333333333"/>
        <n v="196.95"/>
        <n v="207.88333333333333"/>
        <n v="290.88333333333333"/>
        <n v="249.85"/>
        <n v="342.35"/>
        <n v="250.05"/>
        <n v="276.78333333333336"/>
        <n v="261.16666666666669"/>
        <n v="234.48333333333332"/>
        <n v="257.06666666666666"/>
        <n v="239.25"/>
        <n v="257.53333333333336"/>
        <n v="292.10000000000002"/>
        <n v="231.8"/>
        <n v="262.60000000000002"/>
        <n v="277.3"/>
        <n v="248.55"/>
        <n v="237.71666666666667"/>
        <n v="179.51666666666668"/>
        <n v="277.21666666666664"/>
        <n v="209.63333333333333"/>
        <n v="268.08333333333331"/>
        <n v="280.8"/>
        <n v="278.05"/>
        <n v="267.88333333333333"/>
        <n v="231"/>
        <n v="298.21666666666664"/>
        <n v="290.11666666666667"/>
        <n v="202.25"/>
        <n v="219.56666666666666"/>
        <n v="300.28333333333336"/>
        <n v="277.78333333333336"/>
        <n v="231.28333333333333"/>
        <n v="211.11666666666667"/>
        <n v="235.6"/>
        <n v="224.15"/>
        <n v="294.91666666666669"/>
        <n v="210.61666666666667"/>
        <n v="231.95"/>
        <n v="215.6"/>
        <n v="227.38333333333333"/>
        <n v="198.03333333333333"/>
        <n v="254.71666666666667"/>
        <n v="239.38333333333333"/>
        <n v="202.03333333333333"/>
        <n v="186.46666666666667"/>
        <n v="262.89999999999998"/>
        <n v="319.23333333333335"/>
        <n v="311.33333333333331"/>
        <n v="235.9"/>
        <n v="208.96666666666667"/>
        <n v="313.56666666666666"/>
        <n v="255.4"/>
        <n v="195.26666666666668"/>
        <n v="206.6"/>
        <n v="249.76666666666668"/>
        <n v="179.53333333333333"/>
        <n v="308.10000000000002"/>
        <n v="250.41666666666666"/>
        <n v="270.5"/>
        <n v="227.76666666666668"/>
        <n v="206.75"/>
        <n v="250.26666666666668"/>
        <n v="226.7"/>
        <n v="209.23333333333332"/>
        <n v="252.75"/>
        <n v="184.61666666666667"/>
        <n v="258.33333333333331"/>
        <n v="264.61666666666667"/>
        <n v="285.05"/>
        <n v="328.28333333333336"/>
        <n v="314.16666666666669"/>
        <n v="283"/>
        <n v="226.25"/>
        <n v="199.76666666666668"/>
        <n v="195.23333333333332"/>
        <n v="200.13333333333333"/>
        <n v="217.45"/>
        <n v="284.03333333333336"/>
        <n v="251.53333333333333"/>
        <n v="225.01666666666668"/>
        <n v="315.35000000000002"/>
        <n v="214.58333333333334"/>
        <n v="186.98333333333332"/>
        <n v="209.81666666666666"/>
        <n v="245.71666666666667"/>
        <n v="211.73333333333332"/>
        <n v="269.11666666666667"/>
        <n v="300.16666666666669"/>
        <n v="275.11666666666667"/>
        <n v="264.11666666666667"/>
        <n v="189.3"/>
        <n v="270.93333333333334"/>
        <n v="273.25"/>
        <n v="254.15"/>
        <n v="301.71666666666664"/>
        <n v="283.26666666666665"/>
        <n v="246.3"/>
        <n v="225.5"/>
        <n v="225.15"/>
        <n v="293.98333333333335"/>
        <n v="230.45"/>
        <n v="250.21666666666667"/>
        <n v="211.95"/>
        <n v="259.81666666666666"/>
        <n v="238.83333333333334"/>
        <n v="245.55"/>
        <n v="256.86666666666667"/>
        <n v="292.64999999999998"/>
        <n v="317.73333333333335"/>
        <n v="269.43333333333334"/>
        <n v="306.81666666666666"/>
        <n v="273.64999999999998"/>
        <n v="175.75"/>
        <n v="216.05"/>
        <n v="280.88333333333333"/>
        <n v="213.48333333333332"/>
        <n v="286.51666666666665"/>
        <n v="230.63333333333333"/>
        <n v="319.64999999999998"/>
        <n v="211.21666666666667"/>
        <n v="281.10000000000002"/>
        <n v="233.73333333333332"/>
        <n v="237.38333333333333"/>
        <n v="228.93333333333334"/>
        <n v="168.76666666666668"/>
        <n v="300.64999999999998"/>
        <n v="263.85000000000002"/>
        <n v="201.98333333333332"/>
        <n v="240.71666666666667"/>
        <n v="212.23333333333332"/>
        <n v="250.16666666666666"/>
        <n v="230.91666666666666"/>
        <n v="262.48333333333335"/>
        <n v="259.43333333333334"/>
        <n v="321.16666666666669"/>
        <n v="316.75"/>
        <n v="198.35"/>
        <n v="269.38333333333333"/>
        <n v="223.38333333333333"/>
        <n v="227.93333333333334"/>
        <n v="163.16666666666666"/>
        <n v="208.03333333333333"/>
        <n v="189"/>
        <n v="226.63333333333333"/>
        <n v="284.91666666666669"/>
        <n v="261.76666666666665"/>
        <n v="177.66666666666666"/>
        <n v="238.08333333333334"/>
        <n v="221.88333333333333"/>
        <n v="230.35"/>
        <n v="297.64999999999998"/>
        <n v="188.86666666666667"/>
        <n v="201.18333333333334"/>
        <n v="318.83333333333331"/>
        <n v="308.08333333333331"/>
        <n v="212.01666666666668"/>
        <n v="174.58333333333334"/>
        <n v="253.18333333333334"/>
        <n v="256.5"/>
        <n v="223.55"/>
        <n v="222.91666666666666"/>
        <n v="238.63333333333333"/>
        <n v="260.25"/>
        <n v="238.51666666666668"/>
        <n v="235.18333333333334"/>
        <n v="262.38333333333333"/>
        <n v="223.36666666666667"/>
        <n v="287.53333333333336"/>
        <n v="328.06666666666666"/>
        <n v="351.25"/>
        <n v="270.16666666666669"/>
        <n v="280.68333333333334"/>
        <n v="224.48333333333332"/>
        <n v="219.63333333333333"/>
        <n v="239.53333333333333"/>
        <n v="309.38333333333333"/>
        <n v="228.68333333333334"/>
        <n v="259.7"/>
        <n v="287.43333333333334"/>
        <n v="287.26666666666665"/>
        <n v="249.86666666666667"/>
        <n v="264.08333333333331"/>
        <n v="280.31666666666666"/>
        <n v="268.25"/>
        <n v="289.05"/>
        <n v="295.08333333333331"/>
        <n v="257.81666666666666"/>
        <n v="197.45"/>
        <n v="225.16666666666666"/>
        <n v="195.41666666666666"/>
        <n v="227"/>
        <n v="234.3"/>
        <n v="258.78333333333336"/>
        <n v="327.26666666666665"/>
        <n v="254.6"/>
        <n v="261.71666666666664"/>
        <n v="257.8"/>
        <n v="206.23333333333332"/>
        <n v="188.93333333333334"/>
        <n v="227.05"/>
        <n v="271.76666666666665"/>
        <n v="281.26666666666665"/>
        <n v="323.81666666666666"/>
        <n v="197.63333333333333"/>
        <n v="254.18333333333334"/>
        <n v="247.71666666666667"/>
        <n v="198.4"/>
        <n v="330.8"/>
        <n v="227.55"/>
        <n v="287.56666666666666"/>
        <n v="221.25"/>
        <n v="188.56666666666666"/>
        <n v="201.8"/>
        <n v="221.95"/>
        <n v="233.3"/>
        <n v="245.51666666666668"/>
        <n v="170.6"/>
        <n v="274.33333333333331"/>
        <n v="230.16666666666666"/>
        <n v="216.78333333333333"/>
        <n v="238.1"/>
        <n v="311.61666666666667"/>
        <n v="162.03333333333333"/>
        <n v="177.88333333333333"/>
        <n v="285.33333333333331"/>
        <n v="287.31666666666666"/>
        <n v="267.39999999999998"/>
        <n v="264.21666666666664"/>
        <n v="217.65"/>
        <n v="190.36666666666667"/>
        <n v="279.5"/>
        <n v="269.5"/>
        <n v="270.81666666666666"/>
        <n v="270.13333333333333"/>
        <n v="277.58333333333331"/>
        <n v="187.55"/>
        <n v="277.36666666666667"/>
        <n v="264.55"/>
        <n v="206.46666666666667"/>
        <n v="228.13333333333333"/>
        <n v="312.31666666666666"/>
        <n v="278.48333333333335"/>
        <n v="288.06666666666666"/>
        <n v="293.14999999999998"/>
        <n v="312.75"/>
        <n v="258.64999999999998"/>
        <n v="234.68333333333334"/>
        <n v="296.28333333333336"/>
        <n v="248.21666666666667"/>
        <n v="286.14999999999998"/>
        <n v="291.58333333333331"/>
        <n v="209.78333333333333"/>
        <n v="254.28333333333333"/>
        <n v="294.98333333333335"/>
        <n v="289.26666666666665"/>
        <n v="209"/>
        <n v="176.66666666666666"/>
        <n v="288.08333333333331"/>
        <n v="200.35"/>
        <n v="273.45"/>
        <n v="215.38333333333333"/>
        <n v="210.26666666666668"/>
        <n v="285.39999999999998"/>
        <n v="170.86666666666667"/>
        <n v="178.5"/>
        <n v="271.51666666666665"/>
        <n v="207.85"/>
        <n v="321.48333333333335"/>
        <n v="315.58333333333331"/>
        <n v="247.8"/>
        <n v="284.51666666666665"/>
        <n v="262.7"/>
        <n v="221.1"/>
        <n v="263.75"/>
        <n v="263.95"/>
        <n v="229.45"/>
        <n v="258.53333333333336"/>
        <n v="295.39999999999998"/>
        <n v="292.73333333333335"/>
        <n v="224.46666666666667"/>
        <n v="284.5"/>
        <n v="237.45"/>
        <n v="224.8"/>
        <n v="311.63333333333333"/>
        <n v="194.2"/>
        <n v="281.36666666666667"/>
        <n v="326.85000000000002"/>
        <n v="259.25"/>
        <n v="186.76666666666668"/>
        <n v="229.65"/>
        <n v="240.21666666666667"/>
        <n v="271.35000000000002"/>
        <n v="254.75"/>
        <n v="256.71666666666664"/>
        <n v="313.06666666666666"/>
        <n v="218.33333333333334"/>
        <n v="311.08333333333331"/>
        <n v="283.96666666666664"/>
        <n v="226.48333333333332"/>
        <n v="333.36666666666667"/>
        <n v="299.46666666666664"/>
        <n v="291.2"/>
        <n v="235.25"/>
        <n v="291.76666666666665"/>
        <n v="324.14999999999998"/>
        <n v="263.73333333333335"/>
        <n v="179.58333333333334"/>
        <n v="288.18333333333334"/>
        <n v="227.61666666666667"/>
        <n v="229.26666666666668"/>
        <n v="288.51666666666665"/>
        <n v="210.75"/>
        <n v="236.81666666666666"/>
        <n v="208.28333333333333"/>
        <n v="239.71666666666667"/>
        <n v="251.8"/>
        <n v="250.75"/>
        <n v="340.23333333333335"/>
        <n v="281.61666666666667"/>
        <n v="175.5"/>
        <n v="267.96666666666664"/>
        <n v="263.06666666666666"/>
        <n v="224.61666666666667"/>
        <n v="246.88333333333333"/>
        <n v="312.64999999999998"/>
        <n v="185.66666666666666"/>
        <n v="226.6"/>
        <n v="209.7"/>
        <n v="276.95"/>
        <n v="234.66666666666666"/>
        <n v="250.86666666666667"/>
        <n v="251.63333333333333"/>
        <n v="184.43333333333334"/>
        <n v="197.58333333333334"/>
        <n v="310.23333333333335"/>
        <n v="265.21666666666664"/>
        <n v="263.8"/>
        <n v="235.86666666666667"/>
        <n v="308.11666666666667"/>
        <n v="236.11666666666667"/>
        <n v="285.81666666666666"/>
        <n v="229.31666666666666"/>
        <n v="208.9"/>
        <n v="294.48333333333335"/>
        <n v="208.91666666666666"/>
        <n v="275.96666666666664"/>
        <n v="286.10000000000002"/>
        <n v="176.55"/>
        <n v="213.88333333333333"/>
        <n v="223.63333333333333"/>
        <n v="230.93333333333334"/>
        <n v="173.51666666666668"/>
        <n v="180.06666666666666"/>
        <n v="218.78333333333333"/>
        <n v="282.18333333333334"/>
        <n v="210.16666666666666"/>
        <n v="274.91666666666669"/>
        <n v="277"/>
        <n v="241.73333333333332"/>
        <n v="322.91666666666669"/>
        <n v="255.03333333333333"/>
        <n v="249.63333333333333"/>
        <n v="263.39999999999998"/>
        <n v="200.86666666666667"/>
        <n v="177.93333333333334"/>
        <n v="219.2"/>
        <n v="239.4"/>
        <n v="254.16666666666666"/>
        <n v="279.31666666666666"/>
        <n v="282.41666666666669"/>
        <n v="263.7"/>
        <n v="273.58333333333331"/>
        <n v="210.78333333333333"/>
        <n v="280.64999999999998"/>
        <n v="279.25"/>
        <n v="255.25"/>
        <n v="286.66666666666669"/>
        <n v="258.46666666666664"/>
        <n v="223.31666666666666"/>
        <n v="226.53333333333333"/>
        <n v="295.14999999999998"/>
        <n v="279.61666666666667"/>
        <n v="310.28333333333336"/>
        <n v="228.46666666666667"/>
        <n v="282.10000000000002"/>
        <n v="257.51666666666665"/>
        <n v="345.11666666666667"/>
        <n v="225.63333333333333"/>
        <n v="277.26666666666665"/>
        <n v="177.45"/>
        <n v="225.53333333333333"/>
        <n v="281.01666666666665"/>
        <n v="259.85000000000002"/>
        <n v="269.60000000000002"/>
        <n v="214.9"/>
        <n v="197.26666666666668"/>
        <n v="250.38333333333333"/>
        <n v="249.06666666666666"/>
        <n v="249.26666666666668"/>
        <n v="323.38333333333333"/>
        <n v="258.93333333333334"/>
        <n v="186.08333333333334"/>
        <n v="295.85000000000002"/>
        <n v="312.28333333333336"/>
        <n v="211.16666666666666"/>
        <n v="254.4"/>
        <n v="211.05"/>
        <n v="184.9"/>
        <n v="308.03333333333336"/>
        <n v="284.7"/>
        <n v="326.33333333333331"/>
        <n v="285.89999999999998"/>
        <n v="263.48333333333335"/>
        <n v="168.55"/>
        <n v="186.66666666666666"/>
        <n v="290.60000000000002"/>
        <n v="240.48333333333332"/>
        <n v="270.56666666666666"/>
        <n v="223.56666666666666"/>
        <n v="289.33333333333331"/>
        <n v="339.46666666666664"/>
        <n v="307.41666666666669"/>
        <n v="256.66666666666669"/>
        <n v="201.26666666666668"/>
        <n v="207.06666666666666"/>
        <n v="282.31666666666666"/>
        <n v="231.13333333333333"/>
        <n v="211.33333333333334"/>
        <n v="193.65"/>
        <n v="256.60000000000002"/>
        <n v="309.39999999999998"/>
        <n v="257.36666666666667"/>
        <n v="308.98333333333335"/>
        <n v="224.56666666666666"/>
        <n v="334.33333333333331"/>
        <n v="215.98333333333332"/>
        <n v="307.36666666666667"/>
        <n v="263.36666666666667"/>
        <n v="205.96666666666667"/>
        <n v="316.39999999999998"/>
        <n v="220.8"/>
        <n v="281.86666666666667"/>
        <n v="297.89999999999998"/>
      </sharedItems>
      <fieldGroup base="7">
        <rangePr autoStart="0" startNum="150" endNum="351.25" groupInterval="15"/>
        <groupItems count="16">
          <s v="&lt;150"/>
          <s v="150-165"/>
          <s v="165-180"/>
          <s v="180-195"/>
          <s v="195-210"/>
          <s v="210-225"/>
          <s v="225-240"/>
          <s v="240-255"/>
          <s v="255-270"/>
          <s v="270-285"/>
          <s v="285-300"/>
          <s v="300-315"/>
          <s v="315-330"/>
          <s v="330-345"/>
          <s v="345-360"/>
          <s v="&gt;36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7.73803414352" createdVersion="6" refreshedVersion="8" minRefreshableVersion="3" recordCount="673" xr:uid="{00000000-000A-0000-FFFF-FFFF51000000}">
  <cacheSource type="worksheet">
    <worksheetSource ref="C5:I678" sheet="E2.5"/>
  </cacheSource>
  <cacheFields count="8">
    <cacheField name="Nem" numFmtId="0">
      <sharedItems containsBlank="1" count="3">
        <s v="nő"/>
        <s v="férfi"/>
        <m u="1"/>
      </sharedItems>
    </cacheField>
    <cacheField name="Szak" numFmtId="1">
      <sharedItems count="7">
        <s v="kommunikáció"/>
        <s v="szociológia"/>
        <s v="nemzetközi tanulmányok"/>
        <s v="gazdaságinformatika"/>
        <s v="politológia"/>
        <s v="gazdálkodás és menedzsment"/>
        <s v="gazdaságinformatikus" u="1"/>
      </sharedItems>
    </cacheField>
    <cacheField name="Hozzáállás" numFmtId="1">
      <sharedItems count="3">
        <s v="félelemmel"/>
        <s v="várakozással"/>
        <s v="érdektelenséggel"/>
      </sharedItems>
    </cacheField>
    <cacheField name="Céljegy" numFmtId="1">
      <sharedItems containsSemiMixedTypes="0" containsString="0" containsNumber="1" containsInteger="1" minValue="2" maxValue="5"/>
    </cacheField>
    <cacheField name="Alkalmazás" numFmtId="1">
      <sharedItems containsSemiMixedTypes="0" containsString="0" containsNumber="1" minValue="1" maxValue="12" count="13">
        <n v="9"/>
        <n v="6"/>
        <n v="7"/>
        <n v="4"/>
        <n v="5"/>
        <n v="3"/>
        <n v="8"/>
        <n v="10"/>
        <n v="2"/>
        <n v="11"/>
        <n v="1"/>
        <n v="12"/>
        <n v="5.5"/>
      </sharedItems>
    </cacheField>
    <cacheField name="Felvételi" numFmtId="1">
      <sharedItems containsSemiMixedTypes="0" containsString="0" containsNumber="1" containsInteger="1" minValue="245" maxValue="500" count="111">
        <n v="466"/>
        <n v="420"/>
        <n v="433"/>
        <n v="460"/>
        <n v="396"/>
        <n v="422"/>
        <n v="428"/>
        <n v="418"/>
        <n v="410"/>
        <n v="404"/>
        <n v="430"/>
        <n v="402"/>
        <n v="431"/>
        <n v="380"/>
        <n v="408"/>
        <n v="417"/>
        <n v="398"/>
        <n v="412"/>
        <n v="465"/>
        <n v="442"/>
        <n v="436"/>
        <n v="448"/>
        <n v="455"/>
        <n v="470"/>
        <n v="390"/>
        <n v="438"/>
        <n v="395"/>
        <n v="445"/>
        <n v="432"/>
        <n v="439"/>
        <n v="458"/>
        <n v="440"/>
        <n v="400"/>
        <n v="454"/>
        <n v="452"/>
        <n v="409"/>
        <n v="426"/>
        <n v="391"/>
        <n v="406"/>
        <n v="472"/>
        <n v="478"/>
        <n v="469"/>
        <n v="456"/>
        <n v="415"/>
        <n v="421"/>
        <n v="473"/>
        <n v="492"/>
        <n v="414"/>
        <n v="482"/>
        <n v="462"/>
        <n v="468"/>
        <n v="467"/>
        <n v="488"/>
        <n v="464"/>
        <n v="459"/>
        <n v="444"/>
        <n v="429"/>
        <n v="486"/>
        <n v="423"/>
        <n v="476"/>
        <n v="435"/>
        <n v="471"/>
        <n v="457"/>
        <n v="475"/>
        <n v="425"/>
        <n v="477"/>
        <n v="350"/>
        <n v="480"/>
        <n v="479"/>
        <n v="450"/>
        <n v="481"/>
        <n v="340"/>
        <n v="500"/>
        <n v="434"/>
        <n v="474"/>
        <n v="378"/>
        <n v="405"/>
        <n v="369"/>
        <n v="427"/>
        <n v="443"/>
        <n v="446"/>
        <n v="441"/>
        <n v="416"/>
        <n v="461"/>
        <n v="264"/>
        <n v="407"/>
        <n v="424"/>
        <n v="437"/>
        <n v="449"/>
        <n v="453"/>
        <n v="411"/>
        <n v="245"/>
        <n v="496"/>
        <n v="413"/>
        <n v="451"/>
        <n v="392"/>
        <n v="419"/>
        <n v="403"/>
        <n v="387"/>
        <n v="371"/>
        <n v="381"/>
        <n v="389"/>
        <n v="463"/>
        <n v="490"/>
        <n v="483"/>
        <n v="484"/>
        <n v="447"/>
        <n v="491"/>
        <n v="485"/>
        <n v="489"/>
        <n v="494"/>
      </sharedItems>
    </cacheField>
    <cacheField name="x" numFmtId="1">
      <sharedItems containsNonDate="0" containsString="0" containsBlank="1"/>
    </cacheField>
    <cacheField name="Utazás" numFmtId="1">
      <sharedItems containsSemiMixedTypes="0" containsString="0" containsNumber="1" minValue="2" maxValue="120" count="55">
        <n v="50"/>
        <n v="10"/>
        <n v="35"/>
        <n v="70"/>
        <n v="20"/>
        <n v="40"/>
        <n v="30"/>
        <n v="45"/>
        <n v="17"/>
        <n v="25"/>
        <n v="47.5"/>
        <n v="75"/>
        <n v="27.5"/>
        <n v="42.5"/>
        <n v="60"/>
        <n v="120"/>
        <n v="80"/>
        <n v="90"/>
        <n v="52.5"/>
        <n v="23"/>
        <n v="22.5"/>
        <n v="15"/>
        <n v="3"/>
        <n v="17.5"/>
        <n v="38"/>
        <n v="8"/>
        <n v="12"/>
        <n v="5"/>
        <n v="66"/>
        <n v="28"/>
        <n v="24"/>
        <n v="43"/>
        <n v="79"/>
        <n v="37.5"/>
        <n v="7"/>
        <n v="29"/>
        <n v="26"/>
        <n v="65"/>
        <n v="55"/>
        <n v="72"/>
        <n v="53"/>
        <n v="22"/>
        <n v="62"/>
        <n v="67"/>
        <n v="58"/>
        <n v="85"/>
        <n v="2"/>
        <n v="76"/>
        <n v="13"/>
        <n v="27"/>
        <n v="33"/>
        <n v="110"/>
        <n v="6"/>
        <n v="32"/>
        <n v="95"/>
      </sharedItems>
      <fieldGroup base="7">
        <rangePr autoStart="0" startNum="5" endNum="120" groupInterval="10"/>
        <groupItems count="14">
          <s v="&lt;5"/>
          <s v="5-15"/>
          <s v="15-25"/>
          <s v="25-35"/>
          <s v="35-45"/>
          <s v="45-55"/>
          <s v="55-65"/>
          <s v="65-75"/>
          <s v="75-85"/>
          <s v="85-95"/>
          <s v="95-105"/>
          <s v="105-115"/>
          <s v="115-125"/>
          <s v="&gt;1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lázsné Mócsai Andrea" refreshedDate="46288.548011574072" createdVersion="8" refreshedVersion="8" minRefreshableVersion="3" recordCount="3663" xr:uid="{BB4B3617-BEB4-41BB-8BBA-581DC5B3BABE}">
  <cacheSource type="worksheet">
    <worksheetSource ref="B9:F3672" sheet="E2.6"/>
  </cacheSource>
  <cacheFields count="5">
    <cacheField name="Név / Csapatnév" numFmtId="1">
      <sharedItems/>
    </cacheField>
    <cacheField name="Kategória" numFmtId="1">
      <sharedItems/>
    </cacheField>
    <cacheField name="Ország" numFmtId="1">
      <sharedItems containsBlank="1"/>
    </cacheField>
    <cacheField name="Eredmény" numFmtId="168">
      <sharedItems/>
    </cacheField>
    <cacheField name="Idő (perc)" numFmtId="2">
      <sharedItems containsSemiMixedTypes="0" containsString="0" containsNumber="1" minValue="148.51666666666668" maxValue="351.25" count="2718">
        <n v="208.21666666666667"/>
        <n v="245.63333333333333"/>
        <n v="291.10000000000002"/>
        <n v="211.26666666666668"/>
        <n v="231.48333333333332"/>
        <n v="264.14999999999998"/>
        <n v="281.13333333333333"/>
        <n v="227.9"/>
        <n v="245.35"/>
        <n v="236.93333333333334"/>
        <n v="216.73333333333332"/>
        <n v="238.38333333333333"/>
        <n v="169.36666666666667"/>
        <n v="314.3"/>
        <n v="203.56666666666666"/>
        <n v="207.48333333333332"/>
        <n v="225.98333333333332"/>
        <n v="326.05"/>
        <n v="311.60000000000002"/>
        <n v="323.58333333333331"/>
        <n v="189.26666666666668"/>
        <n v="218.7"/>
        <n v="325.08333333333331"/>
        <n v="206.58333333333334"/>
        <n v="265.56666666666666"/>
        <n v="227.63333333333333"/>
        <n v="285.45"/>
        <n v="189.13333333333333"/>
        <n v="227.58333333333334"/>
        <n v="196.06666666666666"/>
        <n v="285.5"/>
        <n v="311.06666666666666"/>
        <n v="221.78333333333333"/>
        <n v="205.85"/>
        <n v="260.45"/>
        <n v="278.36666666666667"/>
        <n v="260.68333333333334"/>
        <n v="240.73333333333332"/>
        <n v="255.86666666666667"/>
        <n v="275.08333333333331"/>
        <n v="209.98333333333332"/>
        <n v="220.88333333333333"/>
        <n v="228.06666666666666"/>
        <n v="221.23333333333332"/>
        <n v="256.78333333333336"/>
        <n v="205.26666666666668"/>
        <n v="188.26666666666668"/>
        <n v="258.43333333333334"/>
        <n v="271.5"/>
        <n v="219.76666666666668"/>
        <n v="210.03333333333333"/>
        <n v="203.53333333333333"/>
        <n v="254.98333333333332"/>
        <n v="234.05"/>
        <n v="228.38333333333333"/>
        <n v="264.73333333333335"/>
        <n v="170.15"/>
        <n v="226.38333333333333"/>
        <n v="245.86666666666667"/>
        <n v="206.93333333333334"/>
        <n v="261.85000000000002"/>
        <n v="259.58333333333331"/>
        <n v="215.7"/>
        <n v="197.8"/>
        <n v="250.5"/>
        <n v="283.55"/>
        <n v="251.13333333333333"/>
        <n v="271.05"/>
        <n v="231.6"/>
        <n v="258.7"/>
        <n v="178.2"/>
        <n v="284.06666666666666"/>
        <n v="217.66666666666666"/>
        <n v="256.16666666666669"/>
        <n v="282.98333333333335"/>
        <n v="227.45"/>
        <n v="226.8"/>
        <n v="227.15"/>
        <n v="210.85"/>
        <n v="247.4"/>
        <n v="250.9"/>
        <n v="284.66666666666669"/>
        <n v="244.01666666666668"/>
        <n v="307.35000000000002"/>
        <n v="188.71666666666667"/>
        <n v="229.16666666666666"/>
        <n v="298.71666666666664"/>
        <n v="288.21666666666664"/>
        <n v="230.96666666666667"/>
        <n v="246.55"/>
        <n v="167.63333333333333"/>
        <n v="231.11666666666667"/>
        <n v="234.81666666666666"/>
        <n v="256.64999999999998"/>
        <n v="311.26666666666665"/>
        <n v="236.48333333333332"/>
        <n v="300.83333333333331"/>
        <n v="203.23333333333332"/>
        <n v="259.71666666666664"/>
        <n v="282.58333333333331"/>
        <n v="279.78333333333336"/>
        <n v="189.88333333333333"/>
        <n v="223.9"/>
        <n v="189.58333333333334"/>
        <n v="233.25"/>
        <n v="184.83333333333334"/>
        <n v="262.5"/>
        <n v="221.53333333333333"/>
        <n v="286.91666666666669"/>
        <n v="222.2"/>
        <n v="258.18333333333334"/>
        <n v="207.4"/>
        <n v="224.13333333333333"/>
        <n v="269.14999999999998"/>
        <n v="234.65"/>
        <n v="299.26666666666665"/>
        <n v="228.5"/>
        <n v="303.76666666666665"/>
        <n v="203.08333333333334"/>
        <n v="230.18333333333334"/>
        <n v="283.11666666666667"/>
        <n v="314.45"/>
        <n v="331.68333333333334"/>
        <n v="332.3"/>
        <n v="218.68333333333334"/>
        <n v="253.05"/>
        <n v="286.16666666666669"/>
        <n v="288.25"/>
        <n v="202.43333333333334"/>
        <n v="224.26666666666668"/>
        <n v="174.01666666666668"/>
        <n v="242.75"/>
        <n v="330.18333333333334"/>
        <n v="207.75"/>
        <n v="233.85"/>
        <n v="285.63333333333333"/>
        <n v="258.8"/>
        <n v="289.48333333333335"/>
        <n v="298.68333333333334"/>
        <n v="265.39999999999998"/>
        <n v="205.98333333333332"/>
        <n v="252.23333333333332"/>
        <n v="229.03333333333333"/>
        <n v="302.86666666666667"/>
        <n v="349.06666666666666"/>
        <n v="298.76666666666665"/>
        <n v="240.11666666666667"/>
        <n v="223.48333333333332"/>
        <n v="247.66666666666666"/>
        <n v="176.95"/>
        <n v="245.93333333333334"/>
        <n v="157.33333333333334"/>
        <n v="268.36666666666667"/>
        <n v="275.05"/>
        <n v="234.76666666666668"/>
        <n v="220.33333333333334"/>
        <n v="225.21666666666667"/>
        <n v="216.65"/>
        <n v="252.05"/>
        <n v="243.48333333333332"/>
        <n v="262.51666666666665"/>
        <n v="254.08333333333334"/>
        <n v="217.73333333333332"/>
        <n v="239.6"/>
        <n v="224.6"/>
        <n v="298.75"/>
        <n v="249.95"/>
        <n v="223.68333333333334"/>
        <n v="290"/>
        <n v="212.9"/>
        <n v="251.36666666666667"/>
        <n v="243.38333333333333"/>
        <n v="235.08333333333334"/>
        <n v="244.06666666666666"/>
        <n v="172.03333333333333"/>
        <n v="225.23333333333332"/>
        <n v="184.38333333333333"/>
        <n v="274.36666666666667"/>
        <n v="296.98333333333335"/>
        <n v="207.96666666666667"/>
        <n v="263"/>
        <n v="248.01666666666668"/>
        <n v="322.61666666666667"/>
        <n v="227.18333333333334"/>
        <n v="239.85"/>
        <n v="262.75"/>
        <n v="227.43333333333334"/>
        <n v="254.95"/>
        <n v="225.78333333333333"/>
        <n v="223.71666666666667"/>
        <n v="213.18333333333334"/>
        <n v="241.88333333333333"/>
        <n v="220.76666666666668"/>
        <n v="287.13333333333333"/>
        <n v="303.48333333333335"/>
        <n v="229.11666666666667"/>
        <n v="162.53333333333333"/>
        <n v="296.14999999999998"/>
        <n v="261.23333333333335"/>
        <n v="330.48333333333335"/>
        <n v="227.5"/>
        <n v="238.8"/>
        <n v="182.51666666666668"/>
        <n v="322.3"/>
        <n v="236.36666666666667"/>
        <n v="237.53333333333333"/>
        <n v="248.91666666666666"/>
        <n v="240.68333333333334"/>
        <n v="256.55"/>
        <n v="259.31666666666666"/>
        <n v="245.73333333333332"/>
        <n v="220.16666666666666"/>
        <n v="237.85"/>
        <n v="283.16666666666669"/>
        <n v="202.16666666666666"/>
        <n v="213.26666666666668"/>
        <n v="322.56666666666666"/>
        <n v="233.86666666666667"/>
        <n v="236.8"/>
        <n v="246.43333333333334"/>
        <n v="248.73333333333332"/>
        <n v="193.85"/>
        <n v="216.56666666666666"/>
        <n v="262.81666666666666"/>
        <n v="230.7"/>
        <n v="296.95"/>
        <n v="213.93333333333334"/>
        <n v="312.5"/>
        <n v="212.1"/>
        <n v="273.73333333333335"/>
        <n v="273.03333333333336"/>
        <n v="152.71666666666667"/>
        <n v="190.83333333333334"/>
        <n v="220.23333333333332"/>
        <n v="261.21666666666664"/>
        <n v="195.73333333333332"/>
        <n v="233.76666666666668"/>
        <n v="279.35000000000002"/>
        <n v="303.78333333333336"/>
        <n v="253.73333333333332"/>
        <n v="237.76666666666668"/>
        <n v="253.63333333333333"/>
        <n v="222.13333333333333"/>
        <n v="224.88333333333333"/>
        <n v="211.83333333333334"/>
        <n v="212.36666666666667"/>
        <n v="232.16666666666666"/>
        <n v="203.2"/>
        <n v="219.75"/>
        <n v="252.51666666666668"/>
        <n v="213.16666666666666"/>
        <n v="309.81666666666666"/>
        <n v="226.68333333333334"/>
        <n v="241.31666666666666"/>
        <n v="217.9"/>
        <n v="221.28333333333333"/>
        <n v="240.2"/>
        <n v="241.01666666666668"/>
        <n v="265.95"/>
        <n v="265.46666666666664"/>
        <n v="255.43333333333334"/>
        <n v="259.8"/>
        <n v="239.13333333333333"/>
        <n v="296.61666666666667"/>
        <n v="251.85"/>
        <n v="218.2"/>
        <n v="189.1"/>
        <n v="254.26666666666668"/>
        <n v="194.83333333333334"/>
        <n v="295.81666666666666"/>
        <n v="239.36666666666667"/>
        <n v="206.95"/>
        <n v="225.68333333333334"/>
        <n v="173.3"/>
        <n v="214.06666666666666"/>
        <n v="223.98333333333332"/>
        <n v="262.41666666666669"/>
        <n v="243.23333333333332"/>
        <n v="234.06666666666666"/>
        <n v="235.3"/>
        <n v="301.18333333333334"/>
        <n v="210.13333333333333"/>
        <n v="211.56666666666666"/>
        <n v="231.88333333333333"/>
        <n v="251.05"/>
        <n v="331.33333333333331"/>
        <n v="172.11666666666667"/>
        <n v="254.5"/>
        <n v="212.88333333333333"/>
        <n v="286.64999999999998"/>
        <n v="313.05"/>
        <n v="175.63333333333333"/>
        <n v="253.41666666666666"/>
        <n v="335.21666666666664"/>
        <n v="246.48333333333332"/>
        <n v="214.08333333333334"/>
        <n v="317.75"/>
        <n v="216.51666666666668"/>
        <n v="239.2"/>
        <n v="242.81666666666666"/>
        <n v="283.95"/>
        <n v="201.55"/>
        <n v="242.15"/>
        <n v="312.14999999999998"/>
        <n v="299.89999999999998"/>
        <n v="306.60000000000002"/>
        <n v="264.36666666666667"/>
        <n v="202.4"/>
        <n v="208.73333333333332"/>
        <n v="278.35000000000002"/>
        <n v="234.25"/>
        <n v="252.91666666666666"/>
        <n v="254.9"/>
        <n v="253.66666666666666"/>
        <n v="182.85"/>
        <n v="206.73333333333332"/>
        <n v="313.85000000000002"/>
        <n v="234.01666666666668"/>
        <n v="242.45"/>
        <n v="268.63333333333333"/>
        <n v="239.81666666666666"/>
        <n v="272.45"/>
        <n v="241.91666666666666"/>
        <n v="301.05"/>
        <n v="255.81666666666666"/>
        <n v="236.18333333333334"/>
        <n v="286.43333333333334"/>
        <n v="260.60000000000002"/>
        <n v="248.41666666666666"/>
        <n v="294.33333333333331"/>
        <n v="286.96666666666664"/>
        <n v="333.13333333333333"/>
        <n v="302.73333333333335"/>
        <n v="287.23333333333335"/>
        <n v="272.53333333333336"/>
        <n v="265.35000000000002"/>
        <n v="251.93333333333334"/>
        <n v="322.66666666666669"/>
        <n v="224.35"/>
        <n v="240.9"/>
        <n v="207.31666666666666"/>
        <n v="265.28333333333336"/>
        <n v="236.65"/>
        <n v="208.88333333333333"/>
        <n v="255.58333333333334"/>
        <n v="273.28333333333336"/>
        <n v="330.16666666666669"/>
        <n v="242.8"/>
        <n v="333.31666666666666"/>
        <n v="237.81666666666666"/>
        <n v="205.86666666666667"/>
        <n v="276.8"/>
        <n v="288.93333333333334"/>
        <n v="221.8"/>
        <n v="272.73333333333335"/>
        <n v="209.26666666666668"/>
        <n v="235.38333333333333"/>
        <n v="326.93333333333334"/>
        <n v="191.01666666666668"/>
        <n v="219.61666666666667"/>
        <n v="295.75"/>
        <n v="321.45"/>
        <n v="209.43333333333334"/>
        <n v="318.73333333333335"/>
        <n v="252.18333333333334"/>
        <n v="293.21666666666664"/>
        <n v="238.43333333333334"/>
        <n v="238.05"/>
        <n v="324.06666666666666"/>
        <n v="227.6"/>
        <n v="229.05"/>
        <n v="221.3"/>
        <n v="314.95"/>
        <n v="278.83333333333331"/>
        <n v="149.6"/>
        <n v="228.4"/>
        <n v="194.96666666666667"/>
        <n v="220.7"/>
        <n v="278.91666666666669"/>
        <n v="207.46666666666667"/>
        <n v="237.36666666666667"/>
        <n v="205.66666666666666"/>
        <n v="267.8"/>
        <n v="245.46666666666667"/>
        <n v="285.98333333333335"/>
        <n v="207.05"/>
        <n v="219.48333333333332"/>
        <n v="209.6"/>
        <n v="271.08333333333331"/>
        <n v="236.33333333333334"/>
        <n v="281.55"/>
        <n v="228.53333333333333"/>
        <n v="188.76666666666668"/>
        <n v="325.18333333333334"/>
        <n v="256.51666666666665"/>
        <n v="263.10000000000002"/>
        <n v="256.41666666666669"/>
        <n v="219.68333333333334"/>
        <n v="286.2"/>
        <n v="248.33333333333334"/>
        <n v="238.56666666666666"/>
        <n v="294.76666666666665"/>
        <n v="289.68333333333334"/>
        <n v="253.58333333333334"/>
        <n v="213.08333333333334"/>
        <n v="236.55"/>
        <n v="234.75"/>
        <n v="171.98333333333332"/>
        <n v="257.48333333333335"/>
        <n v="270.14999999999998"/>
        <n v="205.93333333333334"/>
        <n v="278.26666666666665"/>
        <n v="299.75"/>
        <n v="208.16666666666666"/>
        <n v="235.76666666666668"/>
        <n v="308.51666666666665"/>
        <n v="198.38333333333333"/>
        <n v="196.25"/>
        <n v="226.01666666666668"/>
        <n v="271.10000000000002"/>
        <n v="272.64999999999998"/>
        <n v="255.6"/>
        <n v="272.7"/>
        <n v="231.55"/>
        <n v="267.45"/>
        <n v="272.25"/>
        <n v="185.28333333333333"/>
        <n v="228.31666666666666"/>
        <n v="245.33333333333334"/>
        <n v="291.08333333333331"/>
        <n v="248.25"/>
        <n v="245.65"/>
        <n v="286.08333333333331"/>
        <n v="195"/>
        <n v="240.7"/>
        <n v="199.18333333333334"/>
        <n v="228.8"/>
        <n v="237.28333333333333"/>
        <n v="253.15"/>
        <n v="213.91666666666666"/>
        <n v="332.68333333333334"/>
        <n v="235.98333333333332"/>
        <n v="253.98333333333332"/>
        <n v="208.05"/>
        <n v="283.53333333333336"/>
        <n v="251.11666666666667"/>
        <n v="270.08333333333331"/>
        <n v="319.11666666666667"/>
        <n v="259.3"/>
        <n v="319"/>
        <n v="289.03333333333336"/>
        <n v="318.48333333333335"/>
        <n v="339.66666666666669"/>
        <n v="265.86666666666667"/>
        <n v="215.05"/>
        <n v="217.06666666666666"/>
        <n v="238.18333333333334"/>
        <n v="298.88333333333333"/>
        <n v="228.88333333333333"/>
        <n v="301"/>
        <n v="202.85"/>
        <n v="313.63333333333333"/>
        <n v="207.5"/>
        <n v="230.85"/>
        <n v="262.16666666666669"/>
        <n v="264.23333333333335"/>
        <n v="198.93333333333334"/>
        <n v="190.76666666666668"/>
        <n v="243.63333333333333"/>
        <n v="195.53333333333333"/>
        <n v="243.46666666666667"/>
        <n v="218.73333333333332"/>
        <n v="223.65"/>
        <n v="226.96666666666667"/>
        <n v="281.64999999999998"/>
        <n v="249.08333333333334"/>
        <n v="285.61666666666667"/>
        <n v="210.6"/>
        <n v="302.55"/>
        <n v="244.2"/>
        <n v="275.3"/>
        <n v="238.11666666666667"/>
        <n v="248.76666666666668"/>
        <n v="235.75"/>
        <n v="279.60000000000002"/>
        <n v="278.39999999999998"/>
        <n v="299.39999999999998"/>
        <n v="220.71666666666667"/>
        <n v="253.78333333333333"/>
        <n v="245.53333333333333"/>
        <n v="189.65"/>
        <n v="250.83333333333334"/>
        <n v="324.83333333333331"/>
        <n v="246.86666666666667"/>
        <n v="283.41666666666669"/>
        <n v="296.2"/>
        <n v="258.11666666666667"/>
        <n v="255"/>
        <n v="269.89999999999998"/>
        <n v="222.08333333333334"/>
        <n v="239.3"/>
        <n v="238.36666666666667"/>
        <n v="293.7"/>
        <n v="188.18333333333334"/>
        <n v="248.15"/>
        <n v="285.36666666666667"/>
        <n v="283.21666666666664"/>
        <n v="312.08333333333331"/>
        <n v="271.7"/>
        <n v="260"/>
        <n v="293.78333333333336"/>
        <n v="217.8"/>
        <n v="163.6"/>
        <n v="260.89999999999998"/>
        <n v="300.03333333333336"/>
        <n v="214.7"/>
        <n v="234.7"/>
        <n v="274.25"/>
        <n v="179.03333333333333"/>
        <n v="239.78333333333333"/>
        <n v="287.91666666666669"/>
        <n v="227.23333333333332"/>
        <n v="283.83333333333331"/>
        <n v="178.1"/>
        <n v="230.23333333333332"/>
        <n v="286.53333333333336"/>
        <n v="267.98333333333335"/>
        <n v="299.31666666666666"/>
        <n v="215.53333333333333"/>
        <n v="233.56666666666666"/>
        <n v="237.78333333333333"/>
        <n v="317.91666666666669"/>
        <n v="212.55"/>
        <n v="211.7"/>
        <n v="235.71666666666667"/>
        <n v="221.85"/>
        <n v="190.1"/>
        <n v="240.23333333333332"/>
        <n v="298.95"/>
        <n v="195.9"/>
        <n v="254.43333333333334"/>
        <n v="300.48333333333335"/>
        <n v="332.45"/>
        <n v="268.35000000000002"/>
        <n v="237.23333333333332"/>
        <n v="283.3"/>
        <n v="198.91666666666666"/>
        <n v="275.71666666666664"/>
        <n v="312.95"/>
        <n v="214.28333333333333"/>
        <n v="310.56666666666666"/>
        <n v="181.98333333333332"/>
        <n v="270.36666666666667"/>
        <n v="234.46666666666667"/>
        <n v="271.96666666666664"/>
        <n v="293.43333333333334"/>
        <n v="265.38333333333333"/>
        <n v="257.93333333333334"/>
        <n v="299.93333333333334"/>
        <n v="235.03333333333333"/>
        <n v="298.36666666666667"/>
        <n v="262.56666666666666"/>
        <n v="276.33333333333331"/>
        <n v="310.43333333333334"/>
        <n v="190.71666666666667"/>
        <n v="214.3"/>
        <n v="280.91666666666669"/>
        <n v="279.08333333333331"/>
        <n v="275.33333333333331"/>
        <n v="256.39999999999998"/>
        <n v="294.51666666666665"/>
        <n v="235.45"/>
        <n v="330.78333333333336"/>
        <n v="220.01666666666668"/>
        <n v="190.06666666666666"/>
        <n v="225.3"/>
        <n v="262.8"/>
        <n v="264.16666666666669"/>
        <n v="240.5"/>
        <n v="283.7"/>
        <n v="260.33333333333331"/>
        <n v="318.33333333333331"/>
        <n v="237.73333333333332"/>
        <n v="227.85"/>
        <n v="239"/>
        <n v="229"/>
        <n v="198.58333333333334"/>
        <n v="312.03333333333336"/>
        <n v="259.16666666666669"/>
        <n v="205.21666666666667"/>
        <n v="223.06666666666666"/>
        <n v="259"/>
        <n v="321.06666666666666"/>
        <n v="223.76666666666668"/>
        <n v="280.45"/>
        <n v="177.03333333333333"/>
        <n v="196.71666666666667"/>
        <n v="236.9"/>
        <n v="255.2"/>
        <n v="239.33333333333334"/>
        <n v="268.38333333333333"/>
        <n v="261.14999999999998"/>
        <n v="245.25"/>
        <n v="202.73333333333332"/>
        <n v="212.35"/>
        <n v="247.01666666666668"/>
        <n v="265.33333333333331"/>
        <n v="220.56666666666666"/>
        <n v="235.05"/>
        <n v="303.33333333333331"/>
        <n v="302.93333333333334"/>
        <n v="231.76666666666668"/>
        <n v="258.45"/>
        <n v="219.51666666666668"/>
        <n v="228.91666666666666"/>
        <n v="229.81666666666666"/>
        <n v="226.66666666666666"/>
        <n v="233.33333333333334"/>
        <n v="178.38333333333333"/>
        <n v="248.46666666666667"/>
        <n v="261.66666666666669"/>
        <n v="194.05"/>
        <n v="241.2"/>
        <n v="201.46666666666667"/>
        <n v="211.93333333333334"/>
        <n v="272.46666666666664"/>
        <n v="220.85"/>
        <n v="225.55"/>
        <n v="265.03333333333336"/>
        <n v="268.64999999999998"/>
        <n v="241.78333333333333"/>
        <n v="215.4"/>
        <n v="172.41666666666666"/>
        <n v="264.05"/>
        <n v="287.51666666666665"/>
        <n v="199.08333333333334"/>
        <n v="231.33333333333334"/>
        <n v="208.58333333333334"/>
        <n v="293.8"/>
        <n v="326.16666666666669"/>
        <n v="189.05"/>
        <n v="242.41666666666666"/>
        <n v="223.03333333333333"/>
        <n v="253.75"/>
        <n v="283.81666666666666"/>
        <n v="313.25"/>
        <n v="282.48333333333335"/>
        <n v="236.4"/>
        <n v="203.38333333333333"/>
        <n v="253.48333333333332"/>
        <n v="260.58333333333331"/>
        <n v="286.55"/>
        <n v="239.05"/>
        <n v="323.78333333333336"/>
        <n v="202"/>
        <n v="304.10000000000002"/>
        <n v="336"/>
        <n v="199.75"/>
        <n v="303.7"/>
        <n v="255.76666666666668"/>
        <n v="242.93333333333334"/>
        <n v="272.78333333333336"/>
        <n v="231.61666666666667"/>
        <n v="256.01666666666665"/>
        <n v="205.56666666666666"/>
        <n v="242.26666666666668"/>
        <n v="257.39999999999998"/>
        <n v="253.93333333333334"/>
        <n v="236.95"/>
        <n v="249.21666666666667"/>
        <n v="268.7"/>
        <n v="175.93333333333334"/>
        <n v="196.35"/>
        <n v="268.28333333333336"/>
        <n v="202.98333333333332"/>
        <n v="230.9"/>
        <n v="236.66666666666666"/>
        <n v="280.25"/>
        <n v="229.61666666666667"/>
        <n v="207"/>
        <n v="237.61666666666667"/>
        <n v="258.95"/>
        <n v="275.2"/>
        <n v="214.03333333333333"/>
        <n v="196.46666666666667"/>
        <n v="197.5"/>
        <n v="254.96666666666667"/>
        <n v="295.41666666666669"/>
        <n v="271.55"/>
        <n v="236.56666666666666"/>
        <n v="231.5"/>
        <n v="252.86666666666667"/>
        <n v="224.5"/>
        <n v="247.08333333333334"/>
        <n v="278.13333333333333"/>
        <n v="255.78333333333333"/>
        <n v="196.78333333333333"/>
        <n v="249.88333333333333"/>
        <n v="324.66666666666669"/>
        <n v="217.6"/>
        <n v="256.43333333333334"/>
        <n v="265.73333333333335"/>
        <n v="296.41666666666669"/>
        <n v="265.85000000000002"/>
        <n v="180.55"/>
        <n v="284.11666666666667"/>
        <n v="298.35000000000002"/>
        <n v="298.89999999999998"/>
        <n v="230.43333333333334"/>
        <n v="266.14999999999998"/>
        <n v="235.66666666666666"/>
        <n v="290.25"/>
        <n v="208.53333333333333"/>
        <n v="228.6"/>
        <n v="269.64999999999998"/>
        <n v="285.43333333333334"/>
        <n v="175"/>
        <n v="240.93333333333334"/>
        <n v="226.18333333333334"/>
        <n v="229.68333333333334"/>
        <n v="219.9"/>
        <n v="265.81666666666666"/>
        <n v="244.08333333333334"/>
        <n v="235.63333333333333"/>
        <n v="265.64999999999998"/>
        <n v="190.26666666666668"/>
        <n v="236.51666666666668"/>
        <n v="297.5"/>
        <n v="280.83333333333331"/>
        <n v="311.39999999999998"/>
        <n v="223.28333333333333"/>
        <n v="209.21666666666667"/>
        <n v="242.46666666666667"/>
        <n v="300.98333333333335"/>
        <n v="243.1"/>
        <n v="236.23333333333332"/>
        <n v="264.58333333333331"/>
        <n v="233.45"/>
        <n v="217.76666666666668"/>
        <n v="277.51666666666665"/>
        <n v="311.91666666666669"/>
        <n v="264.86666666666667"/>
        <n v="188.7"/>
        <n v="241.9"/>
        <n v="203.03333333333333"/>
        <n v="231.58333333333334"/>
        <n v="253.55"/>
        <n v="236.31666666666666"/>
        <n v="294.39999999999998"/>
        <n v="279.26666666666665"/>
        <n v="214.93333333333334"/>
        <n v="334.95"/>
        <n v="223.51666666666668"/>
        <n v="215.03333333333333"/>
        <n v="316.48333333333335"/>
        <n v="185.36666666666667"/>
        <n v="238.91666666666666"/>
        <n v="210.01666666666668"/>
        <n v="212.91666666666666"/>
        <n v="233.08333333333334"/>
        <n v="179.01666666666668"/>
        <n v="158.71666666666667"/>
        <n v="188.03333333333333"/>
        <n v="185.71666666666667"/>
        <n v="240.6"/>
        <n v="279.36666666666667"/>
        <n v="229.91666666666666"/>
        <n v="221.35"/>
        <n v="237.3"/>
        <n v="273.89999999999998"/>
        <n v="269.01666666666665"/>
        <n v="235.61666666666667"/>
        <n v="278.93333333333334"/>
        <n v="331.6"/>
        <n v="248.35"/>
        <n v="240.86666666666667"/>
        <n v="269.08333333333331"/>
        <n v="208.1"/>
        <n v="332.83333333333331"/>
        <n v="266.33333333333331"/>
        <n v="187.65"/>
        <n v="196.36666666666667"/>
        <n v="240.63333333333333"/>
        <n v="233.31666666666666"/>
        <n v="165.91666666666666"/>
        <n v="250.2"/>
        <n v="306.45"/>
        <n v="229.85"/>
        <n v="235.31666666666666"/>
        <n v="289.93333333333334"/>
        <n v="340.58333333333331"/>
        <n v="216.31666666666666"/>
        <n v="208.86666666666667"/>
        <n v="310.38333333333333"/>
        <n v="332.8"/>
        <n v="267.83333333333331"/>
        <n v="287.98333333333335"/>
        <n v="298.18333333333334"/>
        <n v="262.39999999999998"/>
        <n v="178.36666666666667"/>
        <n v="206.06666666666666"/>
        <n v="227.35"/>
        <n v="240.25"/>
        <n v="194.95"/>
        <n v="303.06666666666666"/>
        <n v="315.2"/>
        <n v="264.26666666666665"/>
        <n v="269.58333333333331"/>
        <n v="247.93333333333334"/>
        <n v="253.16666666666666"/>
        <n v="268.13333333333333"/>
        <n v="195.1"/>
        <n v="266.39999999999998"/>
        <n v="205.3"/>
        <n v="264.13333333333333"/>
        <n v="275.76666666666665"/>
        <n v="247.73333333333332"/>
        <n v="229.51666666666668"/>
        <n v="267.46666666666664"/>
        <n v="277.23333333333335"/>
        <n v="237.18333333333334"/>
        <n v="214.25"/>
        <n v="239.16666666666666"/>
        <n v="239.8"/>
        <n v="258.61666666666667"/>
        <n v="231.51666666666668"/>
        <n v="213.46666666666667"/>
        <n v="229.35"/>
        <n v="197.4"/>
        <n v="220.96666666666667"/>
        <n v="226.51666666666668"/>
        <n v="275.46666666666664"/>
        <n v="189.15"/>
        <n v="228.23333333333332"/>
        <n v="256.25"/>
        <n v="282"/>
        <n v="184.81666666666666"/>
        <n v="325.28333333333336"/>
        <n v="215.15"/>
        <n v="236.08333333333334"/>
        <n v="240.33333333333334"/>
        <n v="295.73333333333335"/>
        <n v="210.36666666666667"/>
        <n v="218.38333333333333"/>
        <n v="221.93333333333334"/>
        <n v="224.73333333333332"/>
        <n v="284.89999999999998"/>
        <n v="223.11666666666667"/>
        <n v="228.05"/>
        <n v="225.08333333333334"/>
        <n v="307.61666666666667"/>
        <n v="248.4"/>
        <n v="237.1"/>
        <n v="250.01666666666668"/>
        <n v="335.45"/>
        <n v="237.75"/>
        <n v="205.36666666666667"/>
        <n v="236.61666666666667"/>
        <n v="230.25"/>
        <n v="182.06666666666666"/>
        <n v="185.81666666666666"/>
        <n v="300.45"/>
        <n v="255.73333333333332"/>
        <n v="253.76666666666668"/>
        <n v="280.89999999999998"/>
        <n v="240.96666666666667"/>
        <n v="208.11666666666667"/>
        <n v="263.71666666666664"/>
        <n v="325.88333333333333"/>
        <n v="303.53333333333336"/>
        <n v="198.56666666666666"/>
        <n v="275.95"/>
        <n v="243.08333333333334"/>
        <n v="331.53333333333336"/>
        <n v="290.55"/>
        <n v="303.14999999999998"/>
        <n v="177.25"/>
        <n v="198.5"/>
        <n v="199.25"/>
        <n v="284.05"/>
        <n v="243.75"/>
        <n v="174.51666666666668"/>
        <n v="276.39999999999998"/>
        <n v="234.56666666666666"/>
        <n v="203.13333333333333"/>
        <n v="300.75"/>
        <n v="226.4"/>
        <n v="267.91666666666669"/>
        <n v="273.38333333333333"/>
        <n v="282.8"/>
        <n v="233.63333333333333"/>
        <n v="300.63333333333333"/>
        <n v="229.6"/>
        <n v="248.9"/>
        <n v="251.06666666666666"/>
        <n v="238.93333333333334"/>
        <n v="259.75"/>
        <n v="269.46666666666664"/>
        <n v="240.83333333333334"/>
        <n v="304.18333333333334"/>
        <n v="188.68333333333334"/>
        <n v="301.58333333333331"/>
        <n v="212.31666666666666"/>
        <n v="300.01666666666665"/>
        <n v="266.26666666666665"/>
        <n v="285.01666666666665"/>
        <n v="236.76666666666668"/>
        <n v="245.31666666666666"/>
        <n v="280.18333333333334"/>
        <n v="215.1"/>
        <n v="252.96666666666667"/>
        <n v="251.18333333333334"/>
        <n v="218.96666666666667"/>
        <n v="277.98333333333335"/>
        <n v="238.13333333333333"/>
        <n v="255.65"/>
        <n v="280.48333333333335"/>
        <n v="190.58333333333334"/>
        <n v="198.13333333333333"/>
        <n v="206.71666666666667"/>
        <n v="206.5"/>
        <n v="298.63333333333333"/>
        <n v="324.86666666666667"/>
        <n v="335.46666666666664"/>
        <n v="217.68333333333334"/>
        <n v="259.14999999999998"/>
        <n v="248.96666666666667"/>
        <n v="303.75"/>
        <n v="214.23333333333332"/>
        <n v="296.45"/>
        <n v="190.43333333333334"/>
        <n v="251.2"/>
        <n v="203.35"/>
        <n v="271.86666666666667"/>
        <n v="157.46666666666667"/>
        <n v="263.91666666666669"/>
        <n v="242.28333333333333"/>
        <n v="260.8"/>
        <n v="328.01666666666665"/>
        <n v="205.91666666666666"/>
        <n v="208.4"/>
        <n v="203.63333333333333"/>
        <n v="234.41666666666666"/>
        <n v="248.75"/>
        <n v="259.63333333333333"/>
        <n v="294.28333333333336"/>
        <n v="233.88333333333333"/>
        <n v="313.86666666666667"/>
        <n v="306.98333333333335"/>
        <n v="264.75"/>
        <n v="290.53333333333336"/>
        <n v="235.11666666666667"/>
        <n v="250.73333333333332"/>
        <n v="215.41666666666666"/>
        <n v="208.95"/>
        <n v="268.01666666666665"/>
        <n v="170.66666666666666"/>
        <n v="252.16666666666666"/>
        <n v="219.81666666666666"/>
        <n v="224.33333333333334"/>
        <n v="294.89999999999998"/>
        <n v="248.58333333333334"/>
        <n v="252.93333333333334"/>
        <n v="226.81666666666666"/>
        <n v="252.63333333333333"/>
        <n v="280.86666666666667"/>
        <n v="280.2"/>
        <n v="210.63333333333333"/>
        <n v="216.13333333333333"/>
        <n v="232.1"/>
        <n v="187.93333333333334"/>
        <n v="229.23333333333332"/>
        <n v="268.95"/>
        <n v="256.14999999999998"/>
        <n v="266.11666666666667"/>
        <n v="253.8"/>
        <n v="263.2"/>
        <n v="185.1"/>
        <n v="221.81666666666666"/>
        <n v="316.21666666666664"/>
        <n v="209.1"/>
        <n v="270.25"/>
        <n v="271.39999999999998"/>
        <n v="227.31666666666666"/>
        <n v="252.11666666666667"/>
        <n v="177.1"/>
        <n v="182.31666666666666"/>
        <n v="284.23333333333335"/>
        <n v="238.71666666666667"/>
        <n v="243"/>
        <n v="256.61666666666667"/>
        <n v="230.75"/>
        <n v="281.73333333333335"/>
        <n v="230.83333333333334"/>
        <n v="209.35"/>
        <n v="219.93333333333334"/>
        <n v="189.33333333333334"/>
        <n v="228.26666666666668"/>
        <n v="257.03333333333336"/>
        <n v="325.71666666666664"/>
        <n v="283.85000000000002"/>
        <n v="321.95"/>
        <n v="271.48333333333335"/>
        <n v="268.55"/>
        <n v="313.53333333333336"/>
        <n v="296.66666666666669"/>
        <n v="207.26666666666668"/>
        <n v="301.89999999999998"/>
        <n v="234.23333333333332"/>
        <n v="273.91666666666669"/>
        <n v="303.2"/>
        <n v="215.06666666666666"/>
        <n v="234.86666666666667"/>
        <n v="241.41666666666666"/>
        <n v="261.86666666666667"/>
        <n v="158.6"/>
        <n v="256.31666666666666"/>
        <n v="194.01666666666668"/>
        <n v="302.64999999999998"/>
        <n v="283.98333333333335"/>
        <n v="318.63333333333333"/>
        <n v="263.51666666666665"/>
        <n v="279.86666666666667"/>
        <n v="220.66666666666666"/>
        <n v="236.15"/>
        <n v="257.26666666666665"/>
        <n v="203.3"/>
        <n v="258.39999999999998"/>
        <n v="279"/>
        <n v="177.61666666666667"/>
        <n v="180.66666666666666"/>
        <n v="215.3"/>
        <n v="252.4"/>
        <n v="309.64999999999998"/>
        <n v="197.53333333333333"/>
        <n v="249.78333333333333"/>
        <n v="194.75"/>
        <n v="246.5"/>
        <n v="227.36666666666667"/>
        <n v="264.45"/>
        <n v="251.45"/>
        <n v="255.56666666666666"/>
        <n v="299.23333333333335"/>
        <n v="210.91666666666666"/>
        <n v="208.38333333333333"/>
        <n v="217.18333333333334"/>
        <n v="318.01666666666665"/>
        <n v="282.81666666666666"/>
        <n v="197.68333333333334"/>
        <n v="316.53333333333336"/>
        <n v="221.7"/>
        <n v="318.28333333333336"/>
        <n v="228.7"/>
        <n v="233.98333333333332"/>
        <n v="241.26666666666668"/>
        <n v="214.61666666666667"/>
        <n v="217.41666666666666"/>
        <n v="248.6"/>
        <n v="243.35"/>
        <n v="268.60000000000002"/>
        <n v="172.75"/>
        <n v="179.63333333333333"/>
        <n v="308.45"/>
        <n v="274.14999999999998"/>
        <n v="199.85"/>
        <n v="245.13333333333333"/>
        <n v="205.33333333333334"/>
        <n v="266.31666666666666"/>
        <n v="210.15"/>
        <n v="218.46666666666667"/>
        <n v="213.25"/>
        <n v="231.15"/>
        <n v="238.95"/>
        <n v="181.83333333333334"/>
        <n v="249.93333333333334"/>
        <n v="230.76666666666668"/>
        <n v="226.65"/>
        <n v="234.73333333333332"/>
        <n v="245.3"/>
        <n v="214.31666666666666"/>
        <n v="219.95"/>
        <n v="170.1"/>
        <n v="231.53333333333333"/>
        <n v="253.06666666666666"/>
        <n v="273.83333333333331"/>
        <n v="292.03333333333336"/>
        <n v="242.11666666666667"/>
        <n v="252.43333333333334"/>
        <n v="298.06666666666666"/>
        <n v="256"/>
        <n v="289.2"/>
        <n v="253.43333333333334"/>
        <n v="257.10000000000002"/>
        <n v="205.45"/>
        <n v="217.03333333333333"/>
        <n v="280.63333333333333"/>
        <n v="294.71666666666664"/>
        <n v="245.68333333333334"/>
        <n v="295.21666666666664"/>
        <n v="220.81666666666666"/>
        <n v="187.11666666666667"/>
        <n v="214.71666666666667"/>
        <n v="240.61666666666667"/>
        <n v="323.98333333333335"/>
        <n v="315"/>
        <n v="178.75"/>
        <n v="266.01666666666665"/>
        <n v="235.4"/>
        <n v="297"/>
        <n v="203.05"/>
        <n v="282.33333333333331"/>
        <n v="271.85000000000002"/>
        <n v="209.9"/>
        <n v="214.36666666666667"/>
        <n v="261.8"/>
        <n v="298.10000000000002"/>
        <n v="234.63333333333333"/>
        <n v="185.33333333333334"/>
        <n v="247.33333333333334"/>
        <n v="229.56666666666666"/>
        <n v="242.1"/>
        <n v="283.06666666666666"/>
        <n v="232.21666666666667"/>
        <n v="242.63333333333333"/>
        <n v="219.55"/>
        <n v="261.31666666666666"/>
        <n v="276.53333333333336"/>
        <n v="172.43333333333334"/>
        <n v="326.18333333333334"/>
        <n v="280.71666666666664"/>
        <n v="232.03333333333333"/>
        <n v="264.78333333333336"/>
        <n v="213.85"/>
        <n v="257.71666666666664"/>
        <n v="196.58333333333334"/>
        <n v="183.05"/>
        <n v="206.36666666666667"/>
        <n v="221.03333333333333"/>
        <n v="301.96666666666664"/>
        <n v="241.16666666666666"/>
        <n v="221.48333333333332"/>
        <n v="289.31666666666666"/>
        <n v="234.71666666666667"/>
        <n v="279.71666666666664"/>
        <n v="273.95"/>
        <n v="257.63333333333333"/>
        <n v="225.06666666666666"/>
        <n v="235.7"/>
        <n v="209.56666666666666"/>
        <n v="212.85"/>
        <n v="177.33333333333334"/>
        <n v="178.61666666666667"/>
        <n v="320.78333333333336"/>
        <n v="263.33333333333331"/>
        <n v="274.55"/>
        <n v="289.60000000000002"/>
        <n v="250.18333333333334"/>
        <n v="250.35"/>
        <n v="277.93333333333334"/>
        <n v="317.14999999999998"/>
        <n v="189.35"/>
        <n v="211.18333333333334"/>
        <n v="227.88333333333333"/>
        <n v="210.33333333333334"/>
        <n v="242.73333333333332"/>
        <n v="259.06666666666666"/>
        <n v="202.35"/>
        <n v="217.83333333333334"/>
        <n v="224.68333333333334"/>
        <n v="203.33333333333334"/>
        <n v="246.03333333333333"/>
        <n v="253.83333333333334"/>
        <n v="174.5"/>
        <n v="208.06666666666666"/>
        <n v="241.93333333333334"/>
        <n v="185.78333333333333"/>
        <n v="294.96666666666664"/>
        <n v="179.3"/>
        <n v="213"/>
        <n v="330.01666666666665"/>
        <n v="229.25"/>
        <n v="242.68333333333334"/>
        <n v="328.16666666666669"/>
        <n v="259.91666666666669"/>
        <n v="319.96666666666664"/>
        <n v="196.65"/>
        <n v="243.56666666666666"/>
        <n v="273.96666666666664"/>
        <n v="325.13333333333333"/>
        <n v="284.88333333333333"/>
        <n v="286"/>
        <n v="317.06666666666666"/>
        <n v="219.58333333333334"/>
        <n v="286.11666666666667"/>
        <n v="257.14999999999998"/>
        <n v="221.38333333333333"/>
        <n v="297.66666666666669"/>
        <n v="220.61666666666667"/>
        <n v="303.08333333333331"/>
        <n v="217.63333333333333"/>
        <n v="239.56666666666666"/>
        <n v="235.53333333333333"/>
        <n v="237.25"/>
        <n v="255.5"/>
        <n v="283.60000000000002"/>
        <n v="303.16666666666669"/>
        <n v="223.16666666666666"/>
        <n v="223.58333333333334"/>
        <n v="228.95"/>
        <n v="238.23333333333332"/>
        <n v="281.21666666666664"/>
        <n v="294.8"/>
        <n v="240.43333333333334"/>
        <n v="237.56666666666666"/>
        <n v="223.95"/>
        <n v="224.25"/>
        <n v="213.66666666666666"/>
        <n v="230.88333333333333"/>
        <n v="190.45"/>
        <n v="277.28333333333336"/>
        <n v="278.75"/>
        <n v="248.61666666666667"/>
        <n v="220.75"/>
        <n v="225.2"/>
        <n v="263.89999999999998"/>
        <n v="230.08333333333334"/>
        <n v="283.93333333333334"/>
        <n v="237.93333333333334"/>
        <n v="300.89999999999998"/>
        <n v="195.78333333333333"/>
        <n v="221.45"/>
        <n v="236.13333333333333"/>
        <n v="193.68333333333334"/>
        <n v="260.81666666666666"/>
        <n v="308.14999999999998"/>
        <n v="262.76666666666665"/>
        <n v="199.95"/>
        <n v="211.6"/>
        <n v="284"/>
        <n v="261.28333333333336"/>
        <n v="258.13333333333333"/>
        <n v="186.06666666666666"/>
        <n v="263.01666666666665"/>
        <n v="201.48333333333332"/>
        <n v="245.95"/>
        <n v="230.71666666666667"/>
        <n v="213.43333333333334"/>
        <n v="233.61666666666667"/>
        <n v="313.33333333333331"/>
        <n v="327.63333333333333"/>
        <n v="194.33333333333334"/>
        <n v="299.83333333333331"/>
        <n v="172.81666666666666"/>
        <n v="230.36666666666667"/>
        <n v="228.15"/>
        <n v="179.06666666666666"/>
        <n v="319.25"/>
        <n v="250.13333333333333"/>
        <n v="208.83333333333334"/>
        <n v="309.31666666666666"/>
        <n v="228.18333333333334"/>
        <n v="309.18333333333334"/>
        <n v="293.46666666666664"/>
        <n v="281.85000000000002"/>
        <n v="177.35"/>
        <n v="216.7"/>
        <n v="259.35000000000002"/>
        <n v="221.05"/>
        <n v="254.7"/>
        <n v="260.66666666666669"/>
        <n v="198.96666666666667"/>
        <n v="236.35"/>
        <n v="241.21666666666667"/>
        <n v="280.01666666666665"/>
        <n v="185.9"/>
        <n v="212.73333333333332"/>
        <n v="179.35"/>
        <n v="280.06666666666666"/>
        <n v="330.26666666666665"/>
        <n v="251.81666666666666"/>
        <n v="253.21666666666667"/>
        <n v="317.85000000000002"/>
        <n v="214.63333333333333"/>
        <n v="243.95"/>
        <n v="239.23333333333332"/>
        <n v="264.91666666666669"/>
        <n v="273.01666666666665"/>
        <n v="203.06666666666666"/>
        <n v="245.16666666666666"/>
        <n v="190.01666666666668"/>
        <n v="190.38333333333333"/>
        <n v="337.78333333333336"/>
        <n v="255.93333333333334"/>
        <n v="314.96666666666664"/>
        <n v="249"/>
        <n v="282.43333333333334"/>
        <n v="173.73333333333332"/>
        <n v="220.78333333333333"/>
        <n v="180.88333333333333"/>
        <n v="252.73333333333332"/>
        <n v="178.63333333333333"/>
        <n v="249.61666666666667"/>
        <n v="241.13333333333333"/>
        <n v="237.55"/>
        <n v="233.41666666666666"/>
        <n v="252.15"/>
        <n v="220.91666666666666"/>
        <n v="231.96666666666667"/>
        <n v="230.46666666666667"/>
        <n v="180.4"/>
        <n v="245.2"/>
        <n v="236.53333333333333"/>
        <n v="247.1"/>
        <n v="312.2"/>
        <n v="250.23333333333332"/>
        <n v="286.45"/>
        <n v="181.11666666666667"/>
        <n v="205.81666666666666"/>
        <n v="237.8"/>
        <n v="220.9"/>
        <n v="300.41666666666669"/>
        <n v="211.53333333333333"/>
        <n v="237.9"/>
        <n v="259.03333333333336"/>
        <n v="238.16666666666666"/>
        <n v="264.76666666666665"/>
        <n v="219.43333333333334"/>
        <n v="235.01666666666668"/>
        <n v="262.46666666666664"/>
        <n v="311.88333333333333"/>
        <n v="231.98333333333332"/>
        <n v="229.15"/>
        <n v="292.06666666666666"/>
        <n v="292.25"/>
        <n v="278.8"/>
        <n v="260.55"/>
        <n v="314.51666666666665"/>
        <n v="293.5"/>
        <n v="235.26666666666668"/>
        <n v="237.08333333333334"/>
        <n v="288.61666666666667"/>
        <n v="259.21666666666664"/>
        <n v="206.11666666666667"/>
        <n v="240.05"/>
        <n v="264.95"/>
        <n v="283.89999999999998"/>
        <n v="198.3"/>
        <n v="280.28333333333336"/>
        <n v="281.48333333333335"/>
        <n v="178.96666666666667"/>
        <n v="273"/>
        <n v="274.2"/>
        <n v="213.75"/>
        <n v="257.61666666666667"/>
        <n v="276.61666666666667"/>
        <n v="236.78333333333333"/>
        <n v="255.8"/>
        <n v="209.36666666666667"/>
        <n v="221.75"/>
        <n v="250.15"/>
        <n v="209.4"/>
        <n v="235.23333333333332"/>
        <n v="243.5"/>
        <n v="277.89999999999998"/>
        <n v="177.26666666666668"/>
        <n v="209.66666666666666"/>
        <n v="280.11666666666667"/>
        <n v="225.03333333333333"/>
        <n v="179.18333333333334"/>
        <n v="194.35"/>
        <n v="233.65"/>
        <n v="231.86666666666667"/>
        <n v="298.26666666666665"/>
        <n v="198.53333333333333"/>
        <n v="251.83333333333334"/>
        <n v="309.21666666666664"/>
        <n v="250.45"/>
        <n v="307.11666666666667"/>
        <n v="299.56666666666666"/>
        <n v="281.38333333333333"/>
        <n v="256.7"/>
        <n v="259.46666666666664"/>
        <n v="247.76666666666668"/>
        <n v="181.2"/>
        <n v="302.68333333333334"/>
        <n v="279.68333333333334"/>
        <n v="265.83333333333331"/>
        <n v="286.5"/>
        <n v="195.16666666666666"/>
        <n v="256.33333333333331"/>
        <n v="265.8"/>
        <n v="262"/>
        <n v="235.21666666666667"/>
        <n v="268.88333333333333"/>
        <n v="167.66666666666666"/>
        <n v="276.76666666666665"/>
        <n v="222.11666666666667"/>
        <n v="269.7"/>
        <n v="316.51666666666665"/>
        <n v="261.96666666666664"/>
        <n v="216.16666666666666"/>
        <n v="262.98333333333335"/>
        <n v="184.76666666666668"/>
        <n v="267.56666666666666"/>
        <n v="234.33333333333334"/>
        <n v="276.68333333333334"/>
        <n v="255.45"/>
        <n v="246.51666666666668"/>
        <n v="270.7"/>
        <n v="316.88333333333333"/>
        <n v="280.7"/>
        <n v="251.76666666666668"/>
        <n v="255.13333333333333"/>
        <n v="198.78333333333333"/>
        <n v="216.08333333333334"/>
        <n v="178.68333333333334"/>
        <n v="231.31666666666666"/>
        <n v="245.15"/>
        <n v="272.06666666666666"/>
        <n v="226.95"/>
        <n v="190.46666666666667"/>
        <n v="230"/>
        <n v="256.06666666666666"/>
        <n v="315.75"/>
        <n v="316.43333333333334"/>
        <n v="214.51666666666668"/>
        <n v="258.28333333333336"/>
        <n v="232.08333333333334"/>
        <n v="263.55"/>
        <n v="225.7"/>
        <n v="242.38333333333333"/>
        <n v="259.95"/>
        <n v="253.36666666666667"/>
        <n v="189.03333333333333"/>
        <n v="228.28333333333333"/>
        <n v="313.41666666666669"/>
        <n v="264.68333333333334"/>
        <n v="209.38333333333333"/>
        <n v="215.9"/>
        <n v="218.01666666666668"/>
        <n v="262.63333333333333"/>
        <n v="197.96666666666667"/>
        <n v="239.45"/>
        <n v="196.13333333333333"/>
        <n v="226.1"/>
        <n v="269.31666666666666"/>
        <n v="325.66666666666669"/>
        <n v="209.15"/>
        <n v="224.4"/>
        <n v="246.45"/>
        <n v="217.61666666666667"/>
        <n v="209.41666666666666"/>
        <n v="241.28333333333333"/>
        <n v="194.18333333333334"/>
        <n v="230.81666666666666"/>
        <n v="262.53333333333336"/>
        <n v="249.71666666666667"/>
        <n v="175.8"/>
        <n v="253.96666666666667"/>
        <n v="170.06666666666666"/>
        <n v="203.18333333333334"/>
        <n v="290.35000000000002"/>
        <n v="327"/>
        <n v="238.15"/>
        <n v="262.13333333333333"/>
        <n v="293.81666666666666"/>
        <n v="169.46666666666667"/>
        <n v="227.11666666666667"/>
        <n v="315.28333333333336"/>
        <n v="227.73333333333332"/>
        <n v="291.39999999999998"/>
        <n v="262.86666666666667"/>
        <n v="275.23333333333335"/>
        <n v="196.55"/>
        <n v="324.56666666666666"/>
        <n v="269.56666666666666"/>
        <n v="209.48333333333332"/>
        <n v="205.61666666666667"/>
        <n v="212.93333333333334"/>
        <n v="172.2"/>
        <n v="249.1"/>
        <n v="269.48333333333335"/>
        <n v="179.31666666666666"/>
        <n v="237.58333333333334"/>
        <n v="313.68333333333334"/>
        <n v="226.45"/>
        <n v="311"/>
        <n v="188.65"/>
        <n v="267.25"/>
        <n v="213.71666666666667"/>
        <n v="220.95"/>
        <n v="210.43333333333334"/>
        <n v="284.56666666666666"/>
        <n v="239.15"/>
        <n v="299.28333333333336"/>
        <n v="241.08333333333334"/>
        <n v="269.61666666666667"/>
        <n v="235.51666666666668"/>
        <n v="261.03333333333336"/>
        <n v="233.36666666666667"/>
        <n v="264.60000000000002"/>
        <n v="208.68333333333334"/>
        <n v="256.89999999999998"/>
        <n v="205.48333333333332"/>
        <n v="243.16666666666666"/>
        <n v="226.61666666666667"/>
        <n v="247.5"/>
        <n v="224.06666666666666"/>
        <n v="293.45"/>
        <n v="298.60000000000002"/>
        <n v="285.88333333333333"/>
        <n v="282.5"/>
        <n v="331.73333333333335"/>
        <n v="218.63333333333333"/>
        <n v="286.68333333333334"/>
        <n v="235.91666666666666"/>
        <n v="187.21666666666667"/>
        <n v="267.48333333333335"/>
        <n v="210.2"/>
        <n v="295.55"/>
        <n v="237.35"/>
        <n v="208.98333333333332"/>
        <n v="247.95"/>
        <n v="262.55"/>
        <n v="278.89999999999998"/>
        <n v="255.06666666666666"/>
        <n v="205.25"/>
        <n v="237.4"/>
        <n v="322.83333333333331"/>
        <n v="202.88333333333333"/>
        <n v="223.15"/>
        <n v="217.95"/>
        <n v="243.06666666666666"/>
        <n v="252.48333333333332"/>
        <n v="287.10000000000002"/>
        <n v="271.2"/>
        <n v="250.6"/>
        <n v="273.33333333333331"/>
        <n v="324.75"/>
        <n v="322.28333333333336"/>
        <n v="326.26666666666665"/>
        <n v="205.35"/>
        <n v="250.53333333333333"/>
        <n v="237.16666666666666"/>
        <n v="167.05"/>
        <n v="253.61666666666667"/>
        <n v="263.35000000000002"/>
        <n v="220.1"/>
        <n v="234.51666666666668"/>
        <n v="225.38333333333333"/>
        <n v="249.25"/>
        <n v="229.83333333333334"/>
        <n v="252.08333333333334"/>
        <n v="197.06666666666666"/>
        <n v="272.76666666666665"/>
        <n v="270.28333333333336"/>
        <n v="273.36666666666667"/>
        <n v="307.53333333333336"/>
        <n v="324.68333333333334"/>
        <n v="236.25"/>
        <n v="252.26666666666668"/>
        <n v="198.23333333333332"/>
        <n v="284.3"/>
        <n v="242.16666666666666"/>
        <n v="254.41666666666666"/>
        <n v="243.68333333333334"/>
        <n v="270.48333333333335"/>
        <n v="249.75"/>
        <n v="213.9"/>
        <n v="221.36666666666667"/>
        <n v="314.06666666666666"/>
        <n v="243.03333333333333"/>
        <n v="267.89999999999998"/>
        <n v="212.26666666666668"/>
        <n v="253.11666666666667"/>
        <n v="228.43333333333334"/>
        <n v="256.56666666666666"/>
        <n v="256.35000000000002"/>
        <n v="199.2"/>
        <n v="231.81666666666666"/>
        <n v="243.55"/>
        <n v="222.25"/>
        <n v="230.73333333333332"/>
        <n v="276.38333333333333"/>
        <n v="256.38333333333333"/>
        <n v="313.71666666666664"/>
        <n v="303.86666666666667"/>
        <n v="276.05"/>
        <n v="284.31666666666666"/>
        <n v="215.23333333333332"/>
        <n v="259.41666666666669"/>
        <n v="208.56666666666666"/>
        <n v="299.11666666666667"/>
        <n v="255.85"/>
        <n v="243.01666666666668"/>
        <n v="208"/>
        <n v="225.76666666666668"/>
        <n v="197.95"/>
        <n v="297.06666666666666"/>
        <n v="218.51666666666668"/>
        <n v="238.25"/>
        <n v="320.85000000000002"/>
        <n v="269.13333333333333"/>
        <n v="197.98333333333332"/>
        <n v="201.71666666666667"/>
        <n v="251.95"/>
        <n v="211.85"/>
        <n v="221.73333333333332"/>
        <n v="215.76666666666668"/>
        <n v="200.01666666666668"/>
        <n v="278.38333333333333"/>
        <n v="240.51666666666668"/>
        <n v="237.7"/>
        <n v="188.2"/>
        <n v="175.16666666666666"/>
        <n v="200.95"/>
        <n v="231.73333333333332"/>
        <n v="257.64999999999998"/>
        <n v="250.98333333333332"/>
        <n v="209.08333333333334"/>
        <n v="301.55"/>
        <n v="235.83333333333334"/>
        <n v="301.68333333333334"/>
        <n v="194.41666666666666"/>
        <n v="280.53333333333336"/>
        <n v="199.98333333333332"/>
        <n v="234.91666666666666"/>
        <n v="229.86666666666667"/>
        <n v="216.2"/>
        <n v="216.18333333333334"/>
        <n v="275.98333333333335"/>
        <n v="153.38333333333333"/>
        <n v="215.68333333333334"/>
        <n v="274.93333333333334"/>
        <n v="257.23333333333335"/>
        <n v="169.83333333333334"/>
        <n v="252.3"/>
        <n v="226.21666666666667"/>
        <n v="264.06666666666666"/>
        <n v="180.5"/>
        <n v="241.76666666666668"/>
        <n v="296.83333333333331"/>
        <n v="227.98333333333332"/>
        <n v="252.71666666666667"/>
        <n v="230.1"/>
        <n v="241.6"/>
        <n v="277.53333333333336"/>
        <n v="268.33333333333331"/>
        <n v="187.85"/>
        <n v="264.53333333333336"/>
        <n v="234.38333333333333"/>
        <n v="291.98333333333335"/>
        <n v="217.98333333333332"/>
        <n v="303.21666666666664"/>
        <n v="312.55"/>
        <n v="203.4"/>
        <n v="212.65"/>
        <n v="239.28333333333333"/>
        <n v="199"/>
        <n v="243.66666666666666"/>
        <n v="312.53333333333336"/>
        <n v="189.45"/>
        <n v="248.06666666666666"/>
        <n v="280.66666666666669"/>
        <n v="225.26666666666668"/>
        <n v="233.58333333333334"/>
        <n v="247.35"/>
        <n v="259.88333333333333"/>
        <n v="265.55"/>
        <n v="178.8"/>
        <n v="198.08333333333334"/>
        <n v="279.3"/>
        <n v="316.96666666666664"/>
        <n v="201.3"/>
        <n v="190.96666666666667"/>
        <n v="215.43333333333334"/>
        <n v="226.03333333333333"/>
        <n v="157.01666666666668"/>
        <n v="237.6"/>
        <n v="329.36666666666667"/>
        <n v="239.65"/>
        <n v="253.38333333333333"/>
        <n v="242.9"/>
        <n v="266.23333333333335"/>
        <n v="211.76666666666668"/>
        <n v="291.13333333333333"/>
        <n v="274.60000000000002"/>
        <n v="202.3"/>
        <n v="285.06666666666666"/>
        <n v="199.53333333333333"/>
        <n v="230.3"/>
        <n v="209.11666666666667"/>
        <n v="196.4"/>
        <n v="206.9"/>
        <n v="282.13333333333333"/>
        <n v="222.96666666666667"/>
        <n v="228.45"/>
        <n v="274.68333333333334"/>
        <n v="231.21666666666667"/>
        <n v="236.98333333333332"/>
        <n v="219.86666666666667"/>
        <n v="313.7"/>
        <n v="253.56666666666666"/>
        <n v="216.33333333333334"/>
        <n v="223.75"/>
        <n v="216.58333333333334"/>
        <n v="238.5"/>
        <n v="247.26666666666668"/>
        <n v="247.41666666666666"/>
        <n v="216.4"/>
        <n v="208.5"/>
        <n v="184.26666666666668"/>
        <n v="194.16666666666666"/>
        <n v="190.03333333333333"/>
        <n v="236"/>
        <n v="267.86666666666667"/>
        <n v="217.78333333333333"/>
        <n v="292.98333333333335"/>
        <n v="293.26666666666665"/>
        <n v="270.35000000000002"/>
        <n v="256.8"/>
        <n v="293.13333333333333"/>
        <n v="267.81666666666666"/>
        <n v="233.6"/>
        <n v="207.91666666666666"/>
        <n v="256.36666666666667"/>
        <n v="289.5"/>
        <n v="268.45"/>
        <n v="202.68333333333334"/>
        <n v="226.55"/>
        <n v="243.51666666666668"/>
        <n v="249.41666666666666"/>
        <n v="252"/>
        <n v="210.65"/>
        <n v="260.28333333333336"/>
        <n v="296.88333333333333"/>
        <n v="264.5"/>
        <n v="272.88333333333333"/>
        <n v="299.03333333333336"/>
        <n v="223.73333333333332"/>
        <n v="236.28333333333333"/>
        <n v="174.71666666666667"/>
        <n v="241.35"/>
        <n v="289.96666666666664"/>
        <n v="282.64999999999998"/>
        <n v="290.36666666666667"/>
        <n v="311.8"/>
        <n v="251.21666666666667"/>
        <n v="189.21666666666667"/>
        <n v="262.31666666666666"/>
        <n v="297.01666666666665"/>
        <n v="224.75"/>
        <n v="266.21666666666664"/>
        <n v="311.73333333333335"/>
        <n v="230.86666666666667"/>
        <n v="261.64999999999998"/>
        <n v="229.46666666666667"/>
        <n v="250.06666666666666"/>
        <n v="284.78333333333336"/>
        <n v="274.16666666666669"/>
        <n v="251.31666666666666"/>
        <n v="293.63333333333333"/>
        <n v="188.78333333333333"/>
        <n v="196.93333333333334"/>
        <n v="284.26666666666665"/>
        <n v="286.28333333333336"/>
        <n v="253.23333333333332"/>
        <n v="255.3"/>
        <n v="179.1"/>
        <n v="241.68333333333334"/>
        <n v="293.51666666666665"/>
        <n v="225.11666666666667"/>
        <n v="294.03333333333336"/>
        <n v="257.98333333333335"/>
        <n v="199.48333333333332"/>
        <n v="226.58333333333334"/>
        <n v="228.56666666666666"/>
        <n v="251.35"/>
        <n v="260.01666666666665"/>
        <n v="279.83333333333331"/>
        <n v="206.98333333333332"/>
        <n v="246.18333333333334"/>
        <n v="222.1"/>
        <n v="226.26666666666668"/>
        <n v="292.16666666666669"/>
        <n v="298.64999999999998"/>
        <n v="230.5"/>
        <n v="260.36666666666667"/>
        <n v="263.88333333333333"/>
        <n v="284.2"/>
        <n v="211.46666666666667"/>
        <n v="210.18333333333334"/>
        <n v="223.93333333333334"/>
        <n v="274.73333333333335"/>
        <n v="184.73333333333332"/>
        <n v="256.63333333333333"/>
        <n v="213.5"/>
        <n v="221.41666666666666"/>
        <n v="202.23333333333332"/>
        <n v="317.96666666666664"/>
        <n v="225.31666666666666"/>
        <n v="233.95"/>
        <n v="300"/>
        <n v="239.58333333333334"/>
        <n v="188.33333333333334"/>
        <n v="223.86666666666667"/>
        <n v="215.48333333333332"/>
        <n v="233.15"/>
        <n v="251.86666666666667"/>
        <n v="276.2"/>
        <n v="218.21666666666667"/>
        <n v="217.7"/>
        <n v="255.16666666666666"/>
        <n v="272.38333333333333"/>
        <n v="283.58333333333331"/>
        <n v="229.1"/>
        <n v="162.30000000000001"/>
        <n v="291.41666666666669"/>
        <n v="196.98333333333332"/>
        <n v="237.11666666666667"/>
        <n v="235.65"/>
        <n v="185.26666666666668"/>
        <n v="255.38333333333333"/>
        <n v="268.53333333333336"/>
        <n v="232.28333333333333"/>
        <n v="272.36666666666667"/>
        <n v="281.56666666666666"/>
        <n v="205.88333333333333"/>
        <n v="274"/>
        <n v="296.68333333333334"/>
        <n v="249.35"/>
        <n v="252.01666666666668"/>
        <n v="307.56666666666666"/>
        <n v="256.08333333333331"/>
        <n v="276.28333333333336"/>
        <n v="194.61666666666667"/>
        <n v="291.71666666666664"/>
        <n v="208.65"/>
        <n v="323.2"/>
        <n v="289.41666666666669"/>
        <n v="330.36666666666667"/>
        <n v="262.35000000000002"/>
        <n v="213.45"/>
        <n v="284.81666666666666"/>
        <n v="268.61666666666667"/>
        <n v="181.31666666666666"/>
        <n v="213.01666666666668"/>
        <n v="275.45"/>
        <n v="302.28333333333336"/>
        <n v="211.4"/>
        <n v="233.83333333333334"/>
        <n v="214.43333333333334"/>
        <n v="248.13333333333333"/>
        <n v="199.96666666666667"/>
        <n v="298.11666666666667"/>
        <n v="278.78333333333336"/>
        <n v="259.18333333333334"/>
        <n v="312.51666666666665"/>
        <n v="310.25"/>
        <n v="253.03333333333333"/>
        <n v="320.66666666666669"/>
        <n v="201.4"/>
        <n v="199.51666666666668"/>
        <n v="250.91666666666666"/>
        <n v="197.46666666666667"/>
        <n v="273.11666666666667"/>
        <n v="256.96666666666664"/>
        <n v="249.16666666666666"/>
        <n v="218.15"/>
        <n v="214.91666666666666"/>
        <n v="186.85"/>
        <n v="228.21666666666667"/>
        <n v="239.46666666666667"/>
        <n v="261.89999999999998"/>
        <n v="295.7"/>
        <n v="301.03333333333336"/>
        <n v="230.33333333333334"/>
        <n v="281.76666666666665"/>
        <n v="178.9"/>
        <n v="211.31666666666666"/>
        <n v="215.28333333333333"/>
        <n v="298.73333333333335"/>
        <n v="307.51666666666665"/>
        <n v="188.83333333333334"/>
        <n v="269.91666666666669"/>
        <n v="239.43333333333334"/>
        <n v="211.2"/>
        <n v="228.85"/>
        <n v="288.39999999999998"/>
        <n v="243.65"/>
        <n v="258.88333333333333"/>
        <n v="198.45"/>
        <n v="274.66666666666669"/>
        <n v="288.36666666666667"/>
        <n v="276.14999999999998"/>
        <n v="342.81666666666666"/>
        <n v="272.71666666666664"/>
        <n v="242.95"/>
        <n v="224.05"/>
        <n v="189.68333333333334"/>
        <n v="223.3"/>
        <n v="278.08333333333331"/>
        <n v="208.55"/>
        <n v="211.88333333333333"/>
        <n v="230.66666666666666"/>
        <n v="239.9"/>
        <n v="199.91666666666666"/>
        <n v="314.01666666666665"/>
        <n v="220.36666666666667"/>
        <n v="211.23333333333332"/>
        <n v="230.26666666666668"/>
        <n v="225"/>
        <n v="296.53333333333336"/>
        <n v="272.41666666666669"/>
        <n v="290.23333333333335"/>
        <n v="179.95"/>
        <n v="319.85000000000002"/>
        <n v="200.45"/>
        <n v="277.95"/>
        <n v="283.23333333333335"/>
        <n v="295.83333333333331"/>
        <n v="297.95"/>
        <n v="218.58333333333334"/>
        <n v="309.76666666666665"/>
        <n v="281.05"/>
        <n v="215.13333333333333"/>
        <n v="219.6"/>
        <n v="199.45"/>
        <n v="223.35"/>
        <n v="269.05"/>
        <n v="247.51666666666668"/>
        <n v="302.31666666666666"/>
        <n v="328.43333333333334"/>
        <n v="270.01666666666665"/>
        <n v="187.98333333333332"/>
        <n v="148.51666666666668"/>
        <n v="286.61666666666667"/>
        <n v="168.15"/>
        <n v="253.91666666666666"/>
        <n v="300.61666666666667"/>
        <n v="249.13333333333333"/>
        <n v="259.01666666666665"/>
        <n v="261.51666666666665"/>
        <n v="173.11666666666667"/>
        <n v="231.03333333333333"/>
        <n v="171.85"/>
        <n v="203.16666666666666"/>
        <n v="240.85"/>
        <n v="264.48333333333335"/>
        <n v="280.33333333333331"/>
        <n v="237.51666666666668"/>
        <n v="290.56666666666666"/>
        <n v="307.08333333333331"/>
        <n v="166.73333333333332"/>
        <n v="251.23333333333332"/>
        <n v="274.08333333333331"/>
        <n v="180.56666666666666"/>
        <n v="270.51666666666665"/>
        <n v="199.46666666666667"/>
        <n v="223.2"/>
        <n v="278.66666666666669"/>
        <n v="321.41666666666669"/>
        <n v="251.6"/>
        <n v="191.05"/>
        <n v="309.95"/>
        <n v="249.33333333333334"/>
        <n v="252.76666666666668"/>
        <n v="215.21666666666667"/>
        <n v="214.75"/>
        <n v="245.66666666666666"/>
        <n v="248.65"/>
        <n v="315.3"/>
        <n v="238.31666666666666"/>
        <n v="260.93333333333334"/>
        <n v="294.45"/>
        <n v="200.1"/>
        <n v="215.25"/>
        <n v="236.83333333333334"/>
        <n v="169.05"/>
        <n v="218.88333333333333"/>
        <n v="241.46666666666667"/>
        <n v="269.85000000000002"/>
        <n v="252.65"/>
        <n v="298.45"/>
        <n v="284.60000000000002"/>
        <n v="224.7"/>
        <n v="212.11666666666667"/>
        <n v="278.86666666666667"/>
        <n v="238.65"/>
        <n v="226.06666666666666"/>
        <n v="259.61666666666667"/>
        <n v="253.28333333333333"/>
        <n v="279.33333333333331"/>
        <n v="233.11666666666667"/>
        <n v="235.16666666666666"/>
        <n v="333.2"/>
        <n v="271.16666666666669"/>
        <n v="279.66666666666669"/>
        <n v="314.64999999999998"/>
        <n v="218.66666666666666"/>
        <n v="261.06666666666666"/>
        <n v="229.66666666666666"/>
        <n v="286.7"/>
        <n v="218.16666666666666"/>
        <n v="236.6"/>
        <n v="179.33333333333334"/>
        <n v="212.25"/>
        <n v="265.3"/>
        <n v="288"/>
        <n v="330.3"/>
        <n v="286.35000000000002"/>
        <n v="293.88333333333333"/>
        <n v="299"/>
        <n v="245.6"/>
        <n v="329"/>
        <n v="241.75"/>
        <n v="262.10000000000002"/>
        <n v="254.53333333333333"/>
        <n v="326.53333333333336"/>
        <n v="237.41666666666666"/>
        <n v="226.15"/>
        <n v="227.86666666666667"/>
        <n v="238.73333333333332"/>
        <n v="314.86666666666667"/>
        <n v="165.25"/>
        <n v="290.51666666666665"/>
        <n v="231.16666666666666"/>
        <n v="250.95"/>
        <n v="296.76666666666665"/>
        <n v="194"/>
        <n v="226.36666666666667"/>
        <n v="218.05"/>
        <n v="229.01666666666668"/>
        <n v="228.71666666666667"/>
        <n v="322.26666666666665"/>
        <n v="261.55"/>
        <n v="200.76666666666668"/>
        <n v="199.23333333333332"/>
        <n v="308.56666666666666"/>
        <n v="180.18333333333334"/>
        <n v="209.61666666666667"/>
        <n v="275.31666666666666"/>
        <n v="211.15"/>
        <n v="220.35"/>
        <n v="235.2"/>
        <n v="217.26666666666668"/>
        <n v="201.61666666666667"/>
        <n v="247.3"/>
        <n v="171.71666666666667"/>
        <n v="290.98333333333335"/>
        <n v="277.18333333333334"/>
        <n v="178.01666666666668"/>
        <n v="228.75"/>
        <n v="217.53333333333333"/>
        <n v="230.11666666666667"/>
        <n v="239.7"/>
        <n v="243.7"/>
        <n v="250.7"/>
        <n v="196.1"/>
        <n v="205.8"/>
        <n v="274.5"/>
        <n v="208.36666666666667"/>
        <n v="316.78333333333336"/>
        <n v="281.5"/>
        <n v="170.56666666666666"/>
        <n v="301.13333333333333"/>
        <n v="233.46666666666667"/>
        <n v="202.1"/>
        <n v="209.83333333333334"/>
        <n v="226.35"/>
        <n v="207.1"/>
        <n v="264.8"/>
        <n v="262.78333333333336"/>
        <n v="267.31666666666666"/>
        <n v="228.51666666666668"/>
        <n v="223.6"/>
        <n v="257.45"/>
        <n v="239.48333333333332"/>
        <n v="223.1"/>
        <n v="300.86666666666667"/>
        <n v="217.25"/>
        <n v="247.21666666666667"/>
        <n v="200.46666666666667"/>
        <n v="331.4"/>
        <n v="332.55"/>
        <n v="283.8"/>
        <n v="181.7"/>
        <n v="268.05"/>
        <n v="320.18333333333334"/>
        <n v="264.2"/>
        <n v="184.1"/>
        <n v="235.88333333333333"/>
        <n v="293.93333333333334"/>
        <n v="282.21666666666664"/>
        <n v="313.78333333333336"/>
        <n v="257.18333333333334"/>
        <n v="270.55"/>
        <n v="220.83333333333334"/>
        <n v="177.71666666666667"/>
        <n v="243.85"/>
        <n v="300.23333333333335"/>
        <n v="231.35"/>
        <n v="264"/>
        <n v="234"/>
        <n v="217.56666666666666"/>
        <n v="264.31666666666666"/>
        <n v="225.1"/>
        <n v="299.41666666666669"/>
        <n v="243.11666666666667"/>
        <n v="244.23333333333332"/>
        <n v="267.35000000000002"/>
        <n v="209.71666666666667"/>
        <n v="294.75"/>
        <n v="210.76666666666668"/>
        <n v="237.66666666666666"/>
        <n v="227.28333333333333"/>
        <n v="238.75"/>
        <n v="228.61666666666667"/>
        <n v="226.23333333333332"/>
        <n v="241.85"/>
        <n v="320.23333333333335"/>
        <n v="245.96666666666667"/>
        <n v="235.35"/>
        <n v="159.9"/>
        <n v="232.31666666666666"/>
        <n v="297.35000000000002"/>
        <n v="293.91666666666669"/>
        <n v="262.25"/>
        <n v="311.14999999999998"/>
        <n v="241.23333333333332"/>
        <n v="257.73333333333335"/>
        <n v="295.43333333333334"/>
        <n v="173.2"/>
        <n v="206.88333333333333"/>
        <n v="213.78333333333333"/>
        <n v="224.51666666666668"/>
        <n v="188.06666666666666"/>
        <n v="286.83333333333331"/>
        <n v="256.85000000000002"/>
        <n v="280.26666666666665"/>
        <n v="268.2"/>
        <n v="294.81666666666666"/>
        <n v="182.45"/>
        <n v="250.08333333333334"/>
        <n v="229.41666666666666"/>
        <n v="282.88333333333333"/>
        <n v="207.73333333333332"/>
        <n v="208.48333333333332"/>
        <n v="247"/>
        <n v="206.35"/>
        <n v="258.5"/>
        <n v="282.3"/>
        <n v="224.28333333333333"/>
        <n v="234.83333333333334"/>
        <n v="249.7"/>
        <n v="171.18333333333334"/>
        <n v="234.96666666666667"/>
        <n v="283.14999999999998"/>
        <n v="239.91666666666666"/>
        <n v="197.36666666666667"/>
        <n v="216.3"/>
        <n v="222.06666666666666"/>
        <n v="248.31666666666666"/>
        <n v="253.51666666666668"/>
        <n v="247.65"/>
        <n v="239.18333333333334"/>
        <n v="330.88333333333333"/>
        <n v="207.21666666666667"/>
        <n v="227.2"/>
        <n v="289.35000000000002"/>
        <n v="259.11666666666667"/>
        <n v="278.16666666666669"/>
        <n v="217.91666666666666"/>
        <n v="169.86666666666667"/>
        <n v="318.7"/>
        <n v="261"/>
        <n v="275.78333333333336"/>
        <n v="210.41666666666666"/>
        <n v="235.58333333333334"/>
        <n v="261.18333333333334"/>
        <n v="296.36666666666667"/>
        <n v="161.66666666666666"/>
        <n v="176.41666666666666"/>
        <n v="279.16666666666669"/>
        <n v="265.71666666666664"/>
        <n v="185.03333333333333"/>
        <n v="270.53333333333336"/>
        <n v="201.06666666666666"/>
        <n v="250.25"/>
        <n v="256.91666666666669"/>
        <n v="236.3"/>
        <n v="222.23333333333332"/>
        <n v="291.25"/>
        <n v="326.36666666666667"/>
        <n v="295.23333333333335"/>
        <n v="206.08333333333334"/>
        <n v="285.11666666666667"/>
        <n v="265.13333333333333"/>
        <n v="252.8"/>
        <n v="201.88333333333333"/>
        <n v="218.55"/>
        <n v="285.03333333333336"/>
        <n v="257.55"/>
        <n v="269.16666666666669"/>
        <n v="270.11666666666667"/>
        <n v="301.64999999999998"/>
        <n v="261.61666666666667"/>
        <n v="168.93333333333334"/>
        <n v="258.06666666666666"/>
        <n v="211.01666666666668"/>
        <n v="208.25"/>
        <n v="221.18333333333334"/>
        <n v="217.86666666666667"/>
        <n v="263.81666666666666"/>
        <n v="297.51666666666665"/>
        <n v="245.91666666666666"/>
        <n v="221.6"/>
        <n v="239.11666666666667"/>
        <n v="264.43333333333334"/>
        <n v="224.43333333333334"/>
        <n v="228.63333333333333"/>
        <n v="233.78333333333333"/>
        <n v="288.98333333333335"/>
        <n v="233.9"/>
        <n v="288.48333333333335"/>
        <n v="198.01666666666668"/>
        <n v="260.35000000000002"/>
        <n v="241.5"/>
        <n v="274.71666666666664"/>
        <n v="273.21666666666664"/>
        <n v="206.8"/>
        <n v="292.36666666666667"/>
        <n v="211.45"/>
        <n v="319.60000000000002"/>
        <n v="240.41666666666666"/>
        <n v="265.98333333333335"/>
        <n v="268.75"/>
        <n v="209.53333333333333"/>
        <n v="269.98333333333335"/>
        <n v="245.38333333333333"/>
        <n v="228.76666666666668"/>
        <n v="262.83333333333331"/>
        <n v="293.53333333333336"/>
        <n v="292.14999999999998"/>
        <n v="207.2"/>
        <n v="274.39999999999998"/>
        <n v="213.33333333333334"/>
        <n v="282.61666666666667"/>
        <n v="276.81666666666666"/>
        <n v="240.4"/>
        <n v="249.73333333333332"/>
        <n v="242.43333333333334"/>
        <n v="242.05"/>
        <n v="284.61666666666667"/>
        <n v="181.9"/>
        <n v="212.8"/>
        <n v="252.36666666666667"/>
        <n v="212.58333333333334"/>
        <n v="252.45"/>
        <n v="274.41666666666669"/>
        <n v="268.14999999999998"/>
        <n v="278.64999999999998"/>
        <n v="288.45"/>
        <n v="335.16666666666669"/>
        <n v="262.06666666666666"/>
        <n v="322.64999999999998"/>
        <n v="279.28333333333336"/>
        <n v="269.86666666666667"/>
        <n v="229.95"/>
        <n v="210.71666666666667"/>
        <n v="249.58333333333334"/>
        <n v="260.3"/>
        <n v="265.05"/>
        <n v="289.13333333333333"/>
        <n v="196.95"/>
        <n v="207.88333333333333"/>
        <n v="290.88333333333333"/>
        <n v="249.85"/>
        <n v="342.35"/>
        <n v="250.05"/>
        <n v="276.78333333333336"/>
        <n v="261.16666666666669"/>
        <n v="234.48333333333332"/>
        <n v="257.06666666666666"/>
        <n v="239.25"/>
        <n v="257.53333333333336"/>
        <n v="292.10000000000002"/>
        <n v="231.8"/>
        <n v="262.60000000000002"/>
        <n v="277.3"/>
        <n v="248.55"/>
        <n v="237.71666666666667"/>
        <n v="179.51666666666668"/>
        <n v="277.21666666666664"/>
        <n v="209.63333333333333"/>
        <n v="268.08333333333331"/>
        <n v="280.8"/>
        <n v="278.05"/>
        <n v="267.88333333333333"/>
        <n v="231"/>
        <n v="298.21666666666664"/>
        <n v="290.11666666666667"/>
        <n v="202.25"/>
        <n v="219.56666666666666"/>
        <n v="300.28333333333336"/>
        <n v="277.78333333333336"/>
        <n v="231.28333333333333"/>
        <n v="211.11666666666667"/>
        <n v="235.6"/>
        <n v="224.15"/>
        <n v="294.91666666666669"/>
        <n v="210.61666666666667"/>
        <n v="231.95"/>
        <n v="215.6"/>
        <n v="227.38333333333333"/>
        <n v="198.03333333333333"/>
        <n v="254.71666666666667"/>
        <n v="239.38333333333333"/>
        <n v="202.03333333333333"/>
        <n v="186.46666666666667"/>
        <n v="262.89999999999998"/>
        <n v="319.23333333333335"/>
        <n v="311.33333333333331"/>
        <n v="235.9"/>
        <n v="208.96666666666667"/>
        <n v="313.56666666666666"/>
        <n v="255.4"/>
        <n v="195.26666666666668"/>
        <n v="206.6"/>
        <n v="249.76666666666668"/>
        <n v="179.53333333333333"/>
        <n v="308.10000000000002"/>
        <n v="250.41666666666666"/>
        <n v="270.5"/>
        <n v="227.76666666666668"/>
        <n v="206.75"/>
        <n v="250.26666666666668"/>
        <n v="226.7"/>
        <n v="209.23333333333332"/>
        <n v="252.75"/>
        <n v="184.61666666666667"/>
        <n v="258.33333333333331"/>
        <n v="264.61666666666667"/>
        <n v="285.05"/>
        <n v="328.28333333333336"/>
        <n v="314.16666666666669"/>
        <n v="283"/>
        <n v="226.25"/>
        <n v="199.76666666666668"/>
        <n v="195.23333333333332"/>
        <n v="200.13333333333333"/>
        <n v="217.45"/>
        <n v="284.03333333333336"/>
        <n v="251.53333333333333"/>
        <n v="225.01666666666668"/>
        <n v="315.35000000000002"/>
        <n v="214.58333333333334"/>
        <n v="186.98333333333332"/>
        <n v="209.81666666666666"/>
        <n v="245.71666666666667"/>
        <n v="211.73333333333332"/>
        <n v="269.11666666666667"/>
        <n v="300.16666666666669"/>
        <n v="275.11666666666667"/>
        <n v="264.11666666666667"/>
        <n v="189.3"/>
        <n v="270.93333333333334"/>
        <n v="273.25"/>
        <n v="254.15"/>
        <n v="301.71666666666664"/>
        <n v="283.26666666666665"/>
        <n v="246.3"/>
        <n v="225.5"/>
        <n v="225.15"/>
        <n v="293.98333333333335"/>
        <n v="230.45"/>
        <n v="250.21666666666667"/>
        <n v="211.95"/>
        <n v="259.81666666666666"/>
        <n v="238.83333333333334"/>
        <n v="245.55"/>
        <n v="256.86666666666667"/>
        <n v="292.64999999999998"/>
        <n v="317.73333333333335"/>
        <n v="269.43333333333334"/>
        <n v="306.81666666666666"/>
        <n v="273.64999999999998"/>
        <n v="175.75"/>
        <n v="216.05"/>
        <n v="280.88333333333333"/>
        <n v="213.48333333333332"/>
        <n v="286.51666666666665"/>
        <n v="230.63333333333333"/>
        <n v="319.64999999999998"/>
        <n v="211.21666666666667"/>
        <n v="281.10000000000002"/>
        <n v="233.73333333333332"/>
        <n v="237.38333333333333"/>
        <n v="228.93333333333334"/>
        <n v="168.76666666666668"/>
        <n v="300.64999999999998"/>
        <n v="263.85000000000002"/>
        <n v="201.98333333333332"/>
        <n v="240.71666666666667"/>
        <n v="212.23333333333332"/>
        <n v="250.16666666666666"/>
        <n v="230.91666666666666"/>
        <n v="262.48333333333335"/>
        <n v="259.43333333333334"/>
        <n v="321.16666666666669"/>
        <n v="316.75"/>
        <n v="198.35"/>
        <n v="269.38333333333333"/>
        <n v="223.38333333333333"/>
        <n v="227.93333333333334"/>
        <n v="163.16666666666666"/>
        <n v="208.03333333333333"/>
        <n v="189"/>
        <n v="226.63333333333333"/>
        <n v="284.91666666666669"/>
        <n v="261.76666666666665"/>
        <n v="177.66666666666666"/>
        <n v="238.08333333333334"/>
        <n v="221.88333333333333"/>
        <n v="230.35"/>
        <n v="297.64999999999998"/>
        <n v="188.86666666666667"/>
        <n v="201.18333333333334"/>
        <n v="318.83333333333331"/>
        <n v="308.08333333333331"/>
        <n v="212.01666666666668"/>
        <n v="174.58333333333334"/>
        <n v="253.18333333333334"/>
        <n v="256.5"/>
        <n v="223.55"/>
        <n v="222.91666666666666"/>
        <n v="238.63333333333333"/>
        <n v="260.25"/>
        <n v="238.51666666666668"/>
        <n v="235.18333333333334"/>
        <n v="262.38333333333333"/>
        <n v="223.36666666666667"/>
        <n v="287.53333333333336"/>
        <n v="328.06666666666666"/>
        <n v="351.25"/>
        <n v="270.16666666666669"/>
        <n v="280.68333333333334"/>
        <n v="224.48333333333332"/>
        <n v="219.63333333333333"/>
        <n v="239.53333333333333"/>
        <n v="309.38333333333333"/>
        <n v="228.68333333333334"/>
        <n v="259.7"/>
        <n v="287.43333333333334"/>
        <n v="287.26666666666665"/>
        <n v="249.86666666666667"/>
        <n v="264.08333333333331"/>
        <n v="280.31666666666666"/>
        <n v="268.25"/>
        <n v="289.05"/>
        <n v="295.08333333333331"/>
        <n v="257.81666666666666"/>
        <n v="197.45"/>
        <n v="225.16666666666666"/>
        <n v="195.41666666666666"/>
        <n v="227"/>
        <n v="234.3"/>
        <n v="258.78333333333336"/>
        <n v="327.26666666666665"/>
        <n v="254.6"/>
        <n v="261.71666666666664"/>
        <n v="257.8"/>
        <n v="206.23333333333332"/>
        <n v="188.93333333333334"/>
        <n v="227.05"/>
        <n v="271.76666666666665"/>
        <n v="281.26666666666665"/>
        <n v="323.81666666666666"/>
        <n v="197.63333333333333"/>
        <n v="254.18333333333334"/>
        <n v="247.71666666666667"/>
        <n v="198.4"/>
        <n v="330.8"/>
        <n v="227.55"/>
        <n v="287.56666666666666"/>
        <n v="221.25"/>
        <n v="188.56666666666666"/>
        <n v="201.8"/>
        <n v="221.95"/>
        <n v="233.3"/>
        <n v="245.51666666666668"/>
        <n v="170.6"/>
        <n v="274.33333333333331"/>
        <n v="230.16666666666666"/>
        <n v="216.78333333333333"/>
        <n v="238.1"/>
        <n v="311.61666666666667"/>
        <n v="162.03333333333333"/>
        <n v="177.88333333333333"/>
        <n v="285.33333333333331"/>
        <n v="287.31666666666666"/>
        <n v="267.39999999999998"/>
        <n v="264.21666666666664"/>
        <n v="217.65"/>
        <n v="190.36666666666667"/>
        <n v="279.5"/>
        <n v="269.5"/>
        <n v="270.81666666666666"/>
        <n v="270.13333333333333"/>
        <n v="277.58333333333331"/>
        <n v="187.55"/>
        <n v="277.36666666666667"/>
        <n v="264.55"/>
        <n v="206.46666666666667"/>
        <n v="228.13333333333333"/>
        <n v="312.31666666666666"/>
        <n v="278.48333333333335"/>
        <n v="288.06666666666666"/>
        <n v="293.14999999999998"/>
        <n v="312.75"/>
        <n v="258.64999999999998"/>
        <n v="234.68333333333334"/>
        <n v="296.28333333333336"/>
        <n v="248.21666666666667"/>
        <n v="286.14999999999998"/>
        <n v="291.58333333333331"/>
        <n v="209.78333333333333"/>
        <n v="254.28333333333333"/>
        <n v="294.98333333333335"/>
        <n v="289.26666666666665"/>
        <n v="209"/>
        <n v="176.66666666666666"/>
        <n v="288.08333333333331"/>
        <n v="200.35"/>
        <n v="273.45"/>
        <n v="215.38333333333333"/>
        <n v="210.26666666666668"/>
        <n v="285.39999999999998"/>
        <n v="170.86666666666667"/>
        <n v="178.5"/>
        <n v="271.51666666666665"/>
        <n v="207.85"/>
        <n v="321.48333333333335"/>
        <n v="315.58333333333331"/>
        <n v="247.8"/>
        <n v="284.51666666666665"/>
        <n v="262.7"/>
        <n v="221.1"/>
        <n v="263.75"/>
        <n v="263.95"/>
        <n v="229.45"/>
        <n v="258.53333333333336"/>
        <n v="295.39999999999998"/>
        <n v="292.73333333333335"/>
        <n v="224.46666666666667"/>
        <n v="284.5"/>
        <n v="237.45"/>
        <n v="224.8"/>
        <n v="311.63333333333333"/>
        <n v="194.2"/>
        <n v="281.36666666666667"/>
        <n v="326.85000000000002"/>
        <n v="259.25"/>
        <n v="186.76666666666668"/>
        <n v="229.65"/>
        <n v="240.21666666666667"/>
        <n v="271.35000000000002"/>
        <n v="254.75"/>
        <n v="256.71666666666664"/>
        <n v="313.06666666666666"/>
        <n v="218.33333333333334"/>
        <n v="311.08333333333331"/>
        <n v="283.96666666666664"/>
        <n v="226.48333333333332"/>
        <n v="333.36666666666667"/>
        <n v="299.46666666666664"/>
        <n v="291.2"/>
        <n v="235.25"/>
        <n v="291.76666666666665"/>
        <n v="324.14999999999998"/>
        <n v="263.73333333333335"/>
        <n v="179.58333333333334"/>
        <n v="288.18333333333334"/>
        <n v="227.61666666666667"/>
        <n v="229.26666666666668"/>
        <n v="288.51666666666665"/>
        <n v="210.75"/>
        <n v="236.81666666666666"/>
        <n v="208.28333333333333"/>
        <n v="239.71666666666667"/>
        <n v="251.8"/>
        <n v="250.75"/>
        <n v="340.23333333333335"/>
        <n v="281.61666666666667"/>
        <n v="175.5"/>
        <n v="267.96666666666664"/>
        <n v="263.06666666666666"/>
        <n v="224.61666666666667"/>
        <n v="246.88333333333333"/>
        <n v="312.64999999999998"/>
        <n v="185.66666666666666"/>
        <n v="226.6"/>
        <n v="209.7"/>
        <n v="276.95"/>
        <n v="234.66666666666666"/>
        <n v="250.86666666666667"/>
        <n v="251.63333333333333"/>
        <n v="184.43333333333334"/>
        <n v="197.58333333333334"/>
        <n v="310.23333333333335"/>
        <n v="265.21666666666664"/>
        <n v="263.8"/>
        <n v="235.86666666666667"/>
        <n v="308.11666666666667"/>
        <n v="236.11666666666667"/>
        <n v="285.81666666666666"/>
        <n v="229.31666666666666"/>
        <n v="208.9"/>
        <n v="294.48333333333335"/>
        <n v="208.91666666666666"/>
        <n v="275.96666666666664"/>
        <n v="286.10000000000002"/>
        <n v="176.55"/>
        <n v="213.88333333333333"/>
        <n v="223.63333333333333"/>
        <n v="230.93333333333334"/>
        <n v="173.51666666666668"/>
        <n v="180.06666666666666"/>
        <n v="218.78333333333333"/>
        <n v="282.18333333333334"/>
        <n v="210.16666666666666"/>
        <n v="274.91666666666669"/>
        <n v="277"/>
        <n v="241.73333333333332"/>
        <n v="322.91666666666669"/>
        <n v="255.03333333333333"/>
        <n v="249.63333333333333"/>
        <n v="263.39999999999998"/>
        <n v="200.86666666666667"/>
        <n v="177.93333333333334"/>
        <n v="219.2"/>
        <n v="239.4"/>
        <n v="254.16666666666666"/>
        <n v="279.31666666666666"/>
        <n v="282.41666666666669"/>
        <n v="263.7"/>
        <n v="273.58333333333331"/>
        <n v="210.78333333333333"/>
        <n v="280.64999999999998"/>
        <n v="279.25"/>
        <n v="255.25"/>
        <n v="286.66666666666669"/>
        <n v="258.46666666666664"/>
        <n v="223.31666666666666"/>
        <n v="226.53333333333333"/>
        <n v="295.14999999999998"/>
        <n v="279.61666666666667"/>
        <n v="310.28333333333336"/>
        <n v="228.46666666666667"/>
        <n v="282.10000000000002"/>
        <n v="257.51666666666665"/>
        <n v="345.11666666666667"/>
        <n v="225.63333333333333"/>
        <n v="277.26666666666665"/>
        <n v="177.45"/>
        <n v="225.53333333333333"/>
        <n v="281.01666666666665"/>
        <n v="259.85000000000002"/>
        <n v="269.60000000000002"/>
        <n v="214.9"/>
        <n v="197.26666666666668"/>
        <n v="250.38333333333333"/>
        <n v="249.06666666666666"/>
        <n v="249.26666666666668"/>
        <n v="323.38333333333333"/>
        <n v="258.93333333333334"/>
        <n v="186.08333333333334"/>
        <n v="295.85000000000002"/>
        <n v="312.28333333333336"/>
        <n v="211.16666666666666"/>
        <n v="254.4"/>
        <n v="211.05"/>
        <n v="184.9"/>
        <n v="308.03333333333336"/>
        <n v="284.7"/>
        <n v="326.33333333333331"/>
        <n v="285.89999999999998"/>
        <n v="263.48333333333335"/>
        <n v="168.55"/>
        <n v="186.66666666666666"/>
        <n v="290.60000000000002"/>
        <n v="240.48333333333332"/>
        <n v="270.56666666666666"/>
        <n v="223.56666666666666"/>
        <n v="289.33333333333331"/>
        <n v="339.46666666666664"/>
        <n v="307.41666666666669"/>
        <n v="256.66666666666669"/>
        <n v="201.26666666666668"/>
        <n v="207.06666666666666"/>
        <n v="282.31666666666666"/>
        <n v="231.13333333333333"/>
        <n v="211.33333333333334"/>
        <n v="193.65"/>
        <n v="256.60000000000002"/>
        <n v="309.39999999999998"/>
        <n v="257.36666666666667"/>
        <n v="308.98333333333335"/>
        <n v="224.56666666666666"/>
        <n v="334.33333333333331"/>
        <n v="215.98333333333332"/>
        <n v="307.36666666666667"/>
        <n v="263.36666666666667"/>
        <n v="205.96666666666667"/>
        <n v="316.39999999999998"/>
        <n v="220.8"/>
        <n v="281.86666666666667"/>
        <n v="297.89999999999998"/>
      </sharedItems>
      <fieldGroup base="4">
        <rangePr autoStart="0" startNum="150" endNum="351.25" groupInterval="15"/>
        <groupItems count="16">
          <s v="&lt;150"/>
          <s v="150-165"/>
          <s v="165-180"/>
          <s v="180-195"/>
          <s v="195-210"/>
          <s v="210-225"/>
          <s v="225-240"/>
          <s v="240-255"/>
          <s v="255-270"/>
          <s v="270-285"/>
          <s v="285-300"/>
          <s v="300-315"/>
          <s v="315-330"/>
          <s v="330-345"/>
          <s v="345-360"/>
          <s v="&gt;36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lázsné Mócsai Andrea" refreshedDate="46288.553611689815" createdVersion="8" refreshedVersion="8" minRefreshableVersion="3" recordCount="579" xr:uid="{6A8D701F-E4EB-434D-BDAC-BFE524B2A04B}">
  <cacheSource type="worksheet">
    <worksheetSource ref="B7:E586" sheet="E2.3"/>
  </cacheSource>
  <cacheFields count="4">
    <cacheField name="Nem" numFmtId="0">
      <sharedItems/>
    </cacheField>
    <cacheField name="Hányadik indulás" numFmtId="0">
      <sharedItems containsSemiMixedTypes="0" containsString="0" containsNumber="1" containsInteger="1" minValue="1" maxValue="28"/>
    </cacheField>
    <cacheField name="Életkor,_x000a_év" numFmtId="0">
      <sharedItems containsSemiMixedTypes="0" containsString="0" containsNumber="1" containsInteger="1" minValue="9" maxValue="83" count="59">
        <n v="34"/>
        <n v="49"/>
        <n v="35"/>
        <n v="37"/>
        <n v="41"/>
        <n v="58"/>
        <n v="26"/>
        <n v="53"/>
        <n v="52"/>
        <n v="38"/>
        <n v="24"/>
        <n v="40"/>
        <n v="36"/>
        <n v="43"/>
        <n v="31"/>
        <n v="50"/>
        <n v="45"/>
        <n v="56"/>
        <n v="51"/>
        <n v="29"/>
        <n v="28"/>
        <n v="46"/>
        <n v="47"/>
        <n v="33"/>
        <n v="25"/>
        <n v="32"/>
        <n v="30"/>
        <n v="16"/>
        <n v="17"/>
        <n v="27"/>
        <n v="12"/>
        <n v="21"/>
        <n v="23"/>
        <n v="19"/>
        <n v="22"/>
        <n v="14"/>
        <n v="39"/>
        <n v="18"/>
        <n v="44"/>
        <n v="42"/>
        <n v="15"/>
        <n v="54"/>
        <n v="10"/>
        <n v="48"/>
        <n v="20"/>
        <n v="11"/>
        <n v="60"/>
        <n v="65"/>
        <n v="9"/>
        <n v="13"/>
        <n v="61"/>
        <n v="59"/>
        <n v="55"/>
        <n v="62"/>
        <n v="57"/>
        <n v="83"/>
        <n v="63"/>
        <n v="67"/>
        <n v="64"/>
      </sharedItems>
      <fieldGroup base="2">
        <rangePr autoStart="0" startNum="11" endNum="83" groupInterval="10"/>
        <groupItems count="10">
          <s v="&lt;11"/>
          <s v="11-20"/>
          <s v="21-30"/>
          <s v="31-40"/>
          <s v="41-50"/>
          <s v="51-60"/>
          <s v="61-70"/>
          <s v="71-80"/>
          <s v="81-90"/>
          <s v="&gt;91"/>
        </groupItems>
      </fieldGroup>
    </cacheField>
    <cacheField name="Eredmény,_x000a_perc" numFmtId="0">
      <sharedItems containsSemiMixedTypes="0" containsString="0" containsNumber="1" containsInteger="1" minValue="67" maxValue="2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lázsné Mócsai Andrea" refreshedDate="46288.658528703701" createdVersion="8" refreshedVersion="8" minRefreshableVersion="3" recordCount="673" xr:uid="{1ACAA50C-A99D-4AED-86DD-4ABD167ED64A}">
  <cacheSource type="worksheet">
    <worksheetSource ref="B5:I678" sheet="E2.5"/>
  </cacheSource>
  <cacheFields count="8">
    <cacheField name="Év" numFmtId="0">
      <sharedItems containsSemiMixedTypes="0" containsString="0" containsNumber="1" containsInteger="1" minValue="2019" maxValue="2026" count="3">
        <n v="2019"/>
        <n v="2023"/>
        <n v="2026"/>
      </sharedItems>
    </cacheField>
    <cacheField name="Nem" numFmtId="0">
      <sharedItems count="2">
        <s v="nő"/>
        <s v="férfi"/>
      </sharedItems>
    </cacheField>
    <cacheField name="Szak" numFmtId="1">
      <sharedItems count="6">
        <s v="kommunikáció"/>
        <s v="szociológia"/>
        <s v="nemzetközi tanulmányok"/>
        <s v="gazdaságinformatika"/>
        <s v="politológia"/>
        <s v="gazdálkodás és menedzsment"/>
      </sharedItems>
    </cacheField>
    <cacheField name="Hozzáállás" numFmtId="1">
      <sharedItems count="3">
        <s v="félelemmel"/>
        <s v="várakozással"/>
        <s v="érdektelenséggel"/>
      </sharedItems>
    </cacheField>
    <cacheField name="Céljegy" numFmtId="1">
      <sharedItems containsSemiMixedTypes="0" containsString="0" containsNumber="1" containsInteger="1" minValue="2" maxValue="5" count="4">
        <n v="5"/>
        <n v="3"/>
        <n v="2"/>
        <n v="4"/>
      </sharedItems>
    </cacheField>
    <cacheField name="Alkalmazás" numFmtId="1">
      <sharedItems containsSemiMixedTypes="0" containsString="0" containsNumber="1" minValue="1" maxValue="12" count="13">
        <n v="9"/>
        <n v="6"/>
        <n v="7"/>
        <n v="4"/>
        <n v="5"/>
        <n v="3"/>
        <n v="8"/>
        <n v="10"/>
        <n v="2"/>
        <n v="11"/>
        <n v="1"/>
        <n v="12"/>
        <n v="5.5"/>
      </sharedItems>
    </cacheField>
    <cacheField name="Felvételi" numFmtId="1">
      <sharedItems containsSemiMixedTypes="0" containsString="0" containsNumber="1" containsInteger="1" minValue="245" maxValue="500" count="111">
        <n v="466"/>
        <n v="420"/>
        <n v="433"/>
        <n v="460"/>
        <n v="396"/>
        <n v="422"/>
        <n v="428"/>
        <n v="418"/>
        <n v="410"/>
        <n v="404"/>
        <n v="430"/>
        <n v="402"/>
        <n v="431"/>
        <n v="380"/>
        <n v="408"/>
        <n v="417"/>
        <n v="398"/>
        <n v="412"/>
        <n v="465"/>
        <n v="442"/>
        <n v="436"/>
        <n v="448"/>
        <n v="455"/>
        <n v="470"/>
        <n v="390"/>
        <n v="438"/>
        <n v="395"/>
        <n v="445"/>
        <n v="432"/>
        <n v="439"/>
        <n v="458"/>
        <n v="440"/>
        <n v="400"/>
        <n v="454"/>
        <n v="452"/>
        <n v="409"/>
        <n v="426"/>
        <n v="391"/>
        <n v="406"/>
        <n v="472"/>
        <n v="478"/>
        <n v="469"/>
        <n v="456"/>
        <n v="415"/>
        <n v="421"/>
        <n v="473"/>
        <n v="492"/>
        <n v="414"/>
        <n v="482"/>
        <n v="462"/>
        <n v="468"/>
        <n v="467"/>
        <n v="488"/>
        <n v="464"/>
        <n v="459"/>
        <n v="444"/>
        <n v="429"/>
        <n v="486"/>
        <n v="423"/>
        <n v="476"/>
        <n v="435"/>
        <n v="471"/>
        <n v="457"/>
        <n v="475"/>
        <n v="425"/>
        <n v="477"/>
        <n v="350"/>
        <n v="480"/>
        <n v="479"/>
        <n v="450"/>
        <n v="481"/>
        <n v="340"/>
        <n v="500"/>
        <n v="434"/>
        <n v="474"/>
        <n v="378"/>
        <n v="405"/>
        <n v="369"/>
        <n v="427"/>
        <n v="443"/>
        <n v="446"/>
        <n v="441"/>
        <n v="416"/>
        <n v="461"/>
        <n v="264"/>
        <n v="407"/>
        <n v="424"/>
        <n v="437"/>
        <n v="449"/>
        <n v="453"/>
        <n v="411"/>
        <n v="245"/>
        <n v="496"/>
        <n v="413"/>
        <n v="451"/>
        <n v="392"/>
        <n v="419"/>
        <n v="403"/>
        <n v="387"/>
        <n v="371"/>
        <n v="381"/>
        <n v="389"/>
        <n v="463"/>
        <n v="490"/>
        <n v="483"/>
        <n v="484"/>
        <n v="447"/>
        <n v="491"/>
        <n v="485"/>
        <n v="489"/>
        <n v="494"/>
      </sharedItems>
      <fieldGroup base="6">
        <rangePr autoStart="0" startNum="401" endNum="500" groupInterval="10"/>
        <groupItems count="12">
          <s v="&lt;401"/>
          <s v="401-410"/>
          <s v="411-420"/>
          <s v="421-430"/>
          <s v="431-440"/>
          <s v="441-450"/>
          <s v="451-460"/>
          <s v="461-470"/>
          <s v="471-480"/>
          <s v="481-490"/>
          <s v="491-500"/>
          <s v="&gt;501"/>
        </groupItems>
      </fieldGroup>
    </cacheField>
    <cacheField name="Utazás" numFmtId="1">
      <sharedItems containsSemiMixedTypes="0" containsString="0" containsNumber="1" minValue="2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9">
  <r>
    <x v="0"/>
    <n v="153"/>
  </r>
  <r>
    <x v="1"/>
    <n v="180"/>
  </r>
  <r>
    <x v="2"/>
    <n v="154"/>
  </r>
  <r>
    <x v="3"/>
    <n v="156"/>
  </r>
  <r>
    <x v="4"/>
    <n v="226"/>
  </r>
  <r>
    <x v="2"/>
    <n v="172"/>
  </r>
  <r>
    <x v="5"/>
    <n v="211"/>
  </r>
  <r>
    <x v="6"/>
    <n v="197"/>
  </r>
  <r>
    <x v="7"/>
    <n v="131"/>
  </r>
  <r>
    <x v="8"/>
    <n v="151"/>
  </r>
  <r>
    <x v="9"/>
    <n v="161"/>
  </r>
  <r>
    <x v="10"/>
    <n v="231"/>
  </r>
  <r>
    <x v="9"/>
    <n v="67"/>
  </r>
  <r>
    <x v="0"/>
    <n v="147"/>
  </r>
  <r>
    <x v="7"/>
    <n v="191"/>
  </r>
  <r>
    <x v="11"/>
    <n v="148"/>
  </r>
  <r>
    <x v="12"/>
    <n v="105"/>
  </r>
  <r>
    <x v="13"/>
    <n v="167"/>
  </r>
  <r>
    <x v="4"/>
    <n v="119"/>
  </r>
  <r>
    <x v="14"/>
    <n v="162"/>
  </r>
  <r>
    <x v="3"/>
    <n v="189"/>
  </r>
  <r>
    <x v="15"/>
    <n v="169"/>
  </r>
  <r>
    <x v="16"/>
    <n v="185"/>
  </r>
  <r>
    <x v="17"/>
    <n v="188"/>
  </r>
  <r>
    <x v="17"/>
    <n v="214"/>
  </r>
  <r>
    <x v="7"/>
    <n v="182"/>
  </r>
  <r>
    <x v="16"/>
    <n v="139"/>
  </r>
  <r>
    <x v="2"/>
    <n v="177"/>
  </r>
  <r>
    <x v="18"/>
    <n v="129"/>
  </r>
  <r>
    <x v="19"/>
    <n v="121"/>
  </r>
  <r>
    <x v="1"/>
    <n v="189"/>
  </r>
  <r>
    <x v="18"/>
    <n v="178"/>
  </r>
  <r>
    <x v="18"/>
    <n v="133"/>
  </r>
  <r>
    <x v="4"/>
    <n v="156"/>
  </r>
  <r>
    <x v="20"/>
    <n v="186"/>
  </r>
  <r>
    <x v="1"/>
    <n v="175"/>
  </r>
  <r>
    <x v="21"/>
    <n v="210"/>
  </r>
  <r>
    <x v="22"/>
    <n v="182"/>
  </r>
  <r>
    <x v="23"/>
    <n v="134"/>
  </r>
  <r>
    <x v="20"/>
    <n v="200"/>
  </r>
  <r>
    <x v="14"/>
    <n v="164"/>
  </r>
  <r>
    <x v="24"/>
    <n v="201"/>
  </r>
  <r>
    <x v="25"/>
    <n v="228"/>
  </r>
  <r>
    <x v="26"/>
    <n v="151"/>
  </r>
  <r>
    <x v="21"/>
    <n v="121"/>
  </r>
  <r>
    <x v="27"/>
    <n v="258"/>
  </r>
  <r>
    <x v="12"/>
    <n v="105"/>
  </r>
  <r>
    <x v="28"/>
    <n v="128"/>
  </r>
  <r>
    <x v="16"/>
    <n v="175"/>
  </r>
  <r>
    <x v="11"/>
    <n v="109"/>
  </r>
  <r>
    <x v="29"/>
    <n v="156"/>
  </r>
  <r>
    <x v="26"/>
    <n v="149"/>
  </r>
  <r>
    <x v="30"/>
    <n v="245"/>
  </r>
  <r>
    <x v="31"/>
    <n v="181"/>
  </r>
  <r>
    <x v="23"/>
    <n v="168"/>
  </r>
  <r>
    <x v="4"/>
    <n v="178"/>
  </r>
  <r>
    <x v="28"/>
    <n v="129"/>
  </r>
  <r>
    <x v="24"/>
    <n v="153"/>
  </r>
  <r>
    <x v="12"/>
    <n v="165"/>
  </r>
  <r>
    <x v="18"/>
    <n v="179"/>
  </r>
  <r>
    <x v="32"/>
    <n v="229"/>
  </r>
  <r>
    <x v="3"/>
    <n v="157"/>
  </r>
  <r>
    <x v="26"/>
    <n v="101"/>
  </r>
  <r>
    <x v="11"/>
    <n v="135"/>
  </r>
  <r>
    <x v="2"/>
    <n v="188"/>
  </r>
  <r>
    <x v="23"/>
    <n v="136"/>
  </r>
  <r>
    <x v="29"/>
    <n v="177"/>
  </r>
  <r>
    <x v="3"/>
    <n v="209"/>
  </r>
  <r>
    <x v="33"/>
    <n v="162"/>
  </r>
  <r>
    <x v="6"/>
    <n v="161"/>
  </r>
  <r>
    <x v="34"/>
    <n v="165"/>
  </r>
  <r>
    <x v="35"/>
    <n v="128"/>
  </r>
  <r>
    <x v="11"/>
    <n v="85"/>
  </r>
  <r>
    <x v="36"/>
    <n v="160"/>
  </r>
  <r>
    <x v="37"/>
    <n v="119"/>
  </r>
  <r>
    <x v="32"/>
    <n v="128"/>
  </r>
  <r>
    <x v="38"/>
    <n v="138"/>
  </r>
  <r>
    <x v="27"/>
    <n v="170"/>
  </r>
  <r>
    <x v="39"/>
    <n v="102"/>
  </r>
  <r>
    <x v="9"/>
    <n v="174"/>
  </r>
  <r>
    <x v="29"/>
    <n v="105"/>
  </r>
  <r>
    <x v="37"/>
    <n v="186"/>
  </r>
  <r>
    <x v="36"/>
    <n v="134"/>
  </r>
  <r>
    <x v="0"/>
    <n v="151"/>
  </r>
  <r>
    <x v="40"/>
    <n v="143"/>
  </r>
  <r>
    <x v="0"/>
    <n v="131"/>
  </r>
  <r>
    <x v="38"/>
    <n v="132"/>
  </r>
  <r>
    <x v="38"/>
    <n v="136"/>
  </r>
  <r>
    <x v="13"/>
    <n v="156"/>
  </r>
  <r>
    <x v="0"/>
    <n v="124"/>
  </r>
  <r>
    <x v="41"/>
    <n v="155"/>
  </r>
  <r>
    <x v="3"/>
    <n v="122"/>
  </r>
  <r>
    <x v="29"/>
    <n v="147"/>
  </r>
  <r>
    <x v="4"/>
    <n v="160"/>
  </r>
  <r>
    <x v="23"/>
    <n v="162"/>
  </r>
  <r>
    <x v="42"/>
    <n v="106"/>
  </r>
  <r>
    <x v="2"/>
    <n v="138"/>
  </r>
  <r>
    <x v="23"/>
    <n v="143"/>
  </r>
  <r>
    <x v="43"/>
    <n v="209"/>
  </r>
  <r>
    <x v="10"/>
    <n v="211"/>
  </r>
  <r>
    <x v="32"/>
    <n v="228"/>
  </r>
  <r>
    <x v="7"/>
    <n v="174"/>
  </r>
  <r>
    <x v="18"/>
    <n v="197"/>
  </r>
  <r>
    <x v="24"/>
    <n v="164"/>
  </r>
  <r>
    <x v="36"/>
    <n v="181"/>
  </r>
  <r>
    <x v="14"/>
    <n v="150"/>
  </r>
  <r>
    <x v="28"/>
    <n v="125"/>
  </r>
  <r>
    <x v="11"/>
    <n v="123"/>
  </r>
  <r>
    <x v="11"/>
    <n v="138"/>
  </r>
  <r>
    <x v="41"/>
    <n v="178"/>
  </r>
  <r>
    <x v="28"/>
    <n v="117"/>
  </r>
  <r>
    <x v="33"/>
    <n v="179"/>
  </r>
  <r>
    <x v="34"/>
    <n v="161"/>
  </r>
  <r>
    <x v="23"/>
    <n v="118"/>
  </r>
  <r>
    <x v="26"/>
    <n v="120"/>
  </r>
  <r>
    <x v="3"/>
    <n v="155"/>
  </r>
  <r>
    <x v="28"/>
    <n v="205"/>
  </r>
  <r>
    <x v="23"/>
    <n v="135"/>
  </r>
  <r>
    <x v="41"/>
    <n v="154"/>
  </r>
  <r>
    <x v="33"/>
    <n v="170"/>
  </r>
  <r>
    <x v="30"/>
    <n v="106"/>
  </r>
  <r>
    <x v="42"/>
    <n v="209"/>
  </r>
  <r>
    <x v="26"/>
    <n v="142"/>
  </r>
  <r>
    <x v="2"/>
    <n v="111"/>
  </r>
  <r>
    <x v="25"/>
    <n v="153"/>
  </r>
  <r>
    <x v="29"/>
    <n v="156"/>
  </r>
  <r>
    <x v="14"/>
    <n v="161"/>
  </r>
  <r>
    <x v="4"/>
    <n v="179"/>
  </r>
  <r>
    <x v="8"/>
    <n v="179"/>
  </r>
  <r>
    <x v="32"/>
    <n v="178"/>
  </r>
  <r>
    <x v="33"/>
    <n v="195"/>
  </r>
  <r>
    <x v="14"/>
    <n v="179"/>
  </r>
  <r>
    <x v="29"/>
    <n v="160"/>
  </r>
  <r>
    <x v="16"/>
    <n v="156"/>
  </r>
  <r>
    <x v="16"/>
    <n v="139"/>
  </r>
  <r>
    <x v="44"/>
    <n v="250"/>
  </r>
  <r>
    <x v="6"/>
    <n v="192"/>
  </r>
  <r>
    <x v="24"/>
    <n v="207"/>
  </r>
  <r>
    <x v="6"/>
    <n v="135"/>
  </r>
  <r>
    <x v="8"/>
    <n v="144"/>
  </r>
  <r>
    <x v="33"/>
    <n v="123"/>
  </r>
  <r>
    <x v="14"/>
    <n v="249"/>
  </r>
  <r>
    <x v="28"/>
    <n v="213"/>
  </r>
  <r>
    <x v="25"/>
    <n v="124"/>
  </r>
  <r>
    <x v="36"/>
    <n v="164"/>
  </r>
  <r>
    <x v="1"/>
    <n v="191"/>
  </r>
  <r>
    <x v="11"/>
    <n v="152"/>
  </r>
  <r>
    <x v="26"/>
    <n v="205"/>
  </r>
  <r>
    <x v="35"/>
    <n v="174"/>
  </r>
  <r>
    <x v="45"/>
    <n v="221"/>
  </r>
  <r>
    <x v="9"/>
    <n v="166"/>
  </r>
  <r>
    <x v="14"/>
    <n v="163"/>
  </r>
  <r>
    <x v="44"/>
    <n v="109"/>
  </r>
  <r>
    <x v="31"/>
    <n v="208"/>
  </r>
  <r>
    <x v="46"/>
    <n v="199"/>
  </r>
  <r>
    <x v="29"/>
    <n v="166"/>
  </r>
  <r>
    <x v="25"/>
    <n v="168"/>
  </r>
  <r>
    <x v="16"/>
    <n v="172"/>
  </r>
  <r>
    <x v="33"/>
    <n v="176"/>
  </r>
  <r>
    <x v="21"/>
    <n v="204"/>
  </r>
  <r>
    <x v="26"/>
    <n v="127"/>
  </r>
  <r>
    <x v="40"/>
    <n v="196"/>
  </r>
  <r>
    <x v="5"/>
    <n v="194"/>
  </r>
  <r>
    <x v="11"/>
    <n v="104"/>
  </r>
  <r>
    <x v="38"/>
    <n v="142"/>
  </r>
  <r>
    <x v="20"/>
    <n v="187"/>
  </r>
  <r>
    <x v="19"/>
    <n v="154"/>
  </r>
  <r>
    <x v="4"/>
    <n v="142"/>
  </r>
  <r>
    <x v="43"/>
    <n v="145"/>
  </r>
  <r>
    <x v="39"/>
    <n v="160"/>
  </r>
  <r>
    <x v="47"/>
    <n v="178"/>
  </r>
  <r>
    <x v="25"/>
    <n v="111"/>
  </r>
  <r>
    <x v="3"/>
    <n v="137"/>
  </r>
  <r>
    <x v="3"/>
    <n v="142"/>
  </r>
  <r>
    <x v="44"/>
    <n v="250"/>
  </r>
  <r>
    <x v="7"/>
    <n v="166"/>
  </r>
  <r>
    <x v="31"/>
    <n v="188"/>
  </r>
  <r>
    <x v="29"/>
    <n v="161"/>
  </r>
  <r>
    <x v="26"/>
    <n v="175"/>
  </r>
  <r>
    <x v="48"/>
    <n v="220"/>
  </r>
  <r>
    <x v="27"/>
    <n v="149"/>
  </r>
  <r>
    <x v="44"/>
    <n v="134"/>
  </r>
  <r>
    <x v="19"/>
    <n v="155"/>
  </r>
  <r>
    <x v="29"/>
    <n v="206"/>
  </r>
  <r>
    <x v="37"/>
    <n v="85"/>
  </r>
  <r>
    <x v="0"/>
    <n v="131"/>
  </r>
  <r>
    <x v="32"/>
    <n v="147"/>
  </r>
  <r>
    <x v="18"/>
    <n v="150"/>
  </r>
  <r>
    <x v="23"/>
    <n v="157"/>
  </r>
  <r>
    <x v="39"/>
    <n v="196"/>
  </r>
  <r>
    <x v="19"/>
    <n v="213"/>
  </r>
  <r>
    <x v="40"/>
    <n v="164"/>
  </r>
  <r>
    <x v="19"/>
    <n v="108"/>
  </r>
  <r>
    <x v="44"/>
    <n v="156"/>
  </r>
  <r>
    <x v="6"/>
    <n v="218"/>
  </r>
  <r>
    <x v="26"/>
    <n v="153"/>
  </r>
  <r>
    <x v="24"/>
    <n v="147"/>
  </r>
  <r>
    <x v="2"/>
    <n v="166"/>
  </r>
  <r>
    <x v="28"/>
    <n v="133"/>
  </r>
  <r>
    <x v="20"/>
    <n v="122"/>
  </r>
  <r>
    <x v="38"/>
    <n v="130"/>
  </r>
  <r>
    <x v="14"/>
    <n v="169"/>
  </r>
  <r>
    <x v="49"/>
    <n v="220"/>
  </r>
  <r>
    <x v="13"/>
    <n v="221"/>
  </r>
  <r>
    <x v="0"/>
    <n v="154"/>
  </r>
  <r>
    <x v="29"/>
    <n v="129"/>
  </r>
  <r>
    <x v="19"/>
    <n v="128"/>
  </r>
  <r>
    <x v="23"/>
    <n v="160"/>
  </r>
  <r>
    <x v="27"/>
    <n v="125"/>
  </r>
  <r>
    <x v="19"/>
    <n v="119"/>
  </r>
  <r>
    <x v="0"/>
    <n v="180"/>
  </r>
  <r>
    <x v="50"/>
    <n v="153"/>
  </r>
  <r>
    <x v="18"/>
    <n v="176"/>
  </r>
  <r>
    <x v="26"/>
    <n v="114"/>
  </r>
  <r>
    <x v="1"/>
    <n v="187"/>
  </r>
  <r>
    <x v="3"/>
    <n v="121"/>
  </r>
  <r>
    <x v="20"/>
    <n v="161"/>
  </r>
  <r>
    <x v="0"/>
    <n v="175"/>
  </r>
  <r>
    <x v="21"/>
    <n v="177"/>
  </r>
  <r>
    <x v="23"/>
    <n v="200"/>
  </r>
  <r>
    <x v="4"/>
    <n v="230"/>
  </r>
  <r>
    <x v="27"/>
    <n v="132"/>
  </r>
  <r>
    <x v="22"/>
    <n v="180"/>
  </r>
  <r>
    <x v="15"/>
    <n v="160"/>
  </r>
  <r>
    <x v="23"/>
    <n v="166"/>
  </r>
  <r>
    <x v="36"/>
    <n v="181"/>
  </r>
  <r>
    <x v="12"/>
    <n v="141"/>
  </r>
  <r>
    <x v="37"/>
    <n v="132"/>
  </r>
  <r>
    <x v="34"/>
    <n v="212"/>
  </r>
  <r>
    <x v="24"/>
    <n v="144"/>
  </r>
  <r>
    <x v="20"/>
    <n v="146"/>
  </r>
  <r>
    <x v="14"/>
    <n v="92"/>
  </r>
  <r>
    <x v="17"/>
    <n v="188"/>
  </r>
  <r>
    <x v="24"/>
    <n v="168"/>
  </r>
  <r>
    <x v="4"/>
    <n v="258"/>
  </r>
  <r>
    <x v="36"/>
    <n v="118"/>
  </r>
  <r>
    <x v="26"/>
    <n v="169"/>
  </r>
  <r>
    <x v="26"/>
    <n v="143"/>
  </r>
  <r>
    <x v="23"/>
    <n v="143"/>
  </r>
  <r>
    <x v="1"/>
    <n v="229"/>
  </r>
  <r>
    <x v="36"/>
    <n v="103"/>
  </r>
  <r>
    <x v="11"/>
    <n v="128"/>
  </r>
  <r>
    <x v="29"/>
    <n v="194"/>
  </r>
  <r>
    <x v="44"/>
    <n v="143"/>
  </r>
  <r>
    <x v="2"/>
    <n v="136"/>
  </r>
  <r>
    <x v="40"/>
    <n v="110"/>
  </r>
  <r>
    <x v="12"/>
    <n v="186"/>
  </r>
  <r>
    <x v="3"/>
    <n v="159"/>
  </r>
  <r>
    <x v="40"/>
    <n v="155"/>
  </r>
  <r>
    <x v="34"/>
    <n v="217"/>
  </r>
  <r>
    <x v="14"/>
    <n v="121"/>
  </r>
  <r>
    <x v="32"/>
    <n v="118"/>
  </r>
  <r>
    <x v="20"/>
    <n v="135"/>
  </r>
  <r>
    <x v="26"/>
    <n v="120"/>
  </r>
  <r>
    <x v="0"/>
    <n v="153"/>
  </r>
  <r>
    <x v="34"/>
    <n v="160"/>
  </r>
  <r>
    <x v="51"/>
    <n v="209"/>
  </r>
  <r>
    <x v="35"/>
    <n v="168"/>
  </r>
  <r>
    <x v="14"/>
    <n v="158"/>
  </r>
  <r>
    <x v="20"/>
    <n v="155"/>
  </r>
  <r>
    <x v="14"/>
    <n v="172"/>
  </r>
  <r>
    <x v="15"/>
    <n v="180"/>
  </r>
  <r>
    <x v="30"/>
    <n v="150"/>
  </r>
  <r>
    <x v="30"/>
    <n v="154"/>
  </r>
  <r>
    <x v="34"/>
    <n v="108"/>
  </r>
  <r>
    <x v="52"/>
    <n v="135"/>
  </r>
  <r>
    <x v="37"/>
    <n v="148"/>
  </r>
  <r>
    <x v="34"/>
    <n v="174"/>
  </r>
  <r>
    <x v="24"/>
    <n v="209"/>
  </r>
  <r>
    <x v="4"/>
    <n v="174"/>
  </r>
  <r>
    <x v="25"/>
    <n v="124"/>
  </r>
  <r>
    <x v="10"/>
    <n v="146"/>
  </r>
  <r>
    <x v="52"/>
    <n v="179"/>
  </r>
  <r>
    <x v="11"/>
    <n v="124"/>
  </r>
  <r>
    <x v="34"/>
    <n v="204"/>
  </r>
  <r>
    <x v="7"/>
    <n v="201"/>
  </r>
  <r>
    <x v="11"/>
    <n v="118"/>
  </r>
  <r>
    <x v="31"/>
    <n v="192"/>
  </r>
  <r>
    <x v="26"/>
    <n v="139"/>
  </r>
  <r>
    <x v="9"/>
    <n v="107"/>
  </r>
  <r>
    <x v="9"/>
    <n v="201"/>
  </r>
  <r>
    <x v="11"/>
    <n v="268"/>
  </r>
  <r>
    <x v="4"/>
    <n v="249"/>
  </r>
  <r>
    <x v="30"/>
    <n v="94"/>
  </r>
  <r>
    <x v="26"/>
    <n v="125"/>
  </r>
  <r>
    <x v="19"/>
    <n v="153"/>
  </r>
  <r>
    <x v="45"/>
    <n v="136"/>
  </r>
  <r>
    <x v="13"/>
    <n v="94"/>
  </r>
  <r>
    <x v="43"/>
    <n v="153"/>
  </r>
  <r>
    <x v="53"/>
    <n v="159"/>
  </r>
  <r>
    <x v="11"/>
    <n v="159"/>
  </r>
  <r>
    <x v="36"/>
    <n v="136"/>
  </r>
  <r>
    <x v="9"/>
    <n v="155"/>
  </r>
  <r>
    <x v="0"/>
    <n v="167"/>
  </r>
  <r>
    <x v="4"/>
    <n v="197"/>
  </r>
  <r>
    <x v="49"/>
    <n v="96"/>
  </r>
  <r>
    <x v="24"/>
    <n v="147"/>
  </r>
  <r>
    <x v="31"/>
    <n v="178"/>
  </r>
  <r>
    <x v="30"/>
    <n v="268"/>
  </r>
  <r>
    <x v="3"/>
    <n v="255"/>
  </r>
  <r>
    <x v="17"/>
    <n v="204"/>
  </r>
  <r>
    <x v="48"/>
    <n v="174"/>
  </r>
  <r>
    <x v="39"/>
    <n v="151"/>
  </r>
  <r>
    <x v="24"/>
    <n v="172"/>
  </r>
  <r>
    <x v="41"/>
    <n v="220"/>
  </r>
  <r>
    <x v="8"/>
    <n v="218"/>
  </r>
  <r>
    <x v="33"/>
    <n v="168"/>
  </r>
  <r>
    <x v="42"/>
    <n v="140"/>
  </r>
  <r>
    <x v="33"/>
    <n v="169"/>
  </r>
  <r>
    <x v="24"/>
    <n v="157"/>
  </r>
  <r>
    <x v="11"/>
    <n v="159"/>
  </r>
  <r>
    <x v="25"/>
    <n v="165"/>
  </r>
  <r>
    <x v="19"/>
    <n v="200"/>
  </r>
  <r>
    <x v="37"/>
    <n v="94"/>
  </r>
  <r>
    <x v="38"/>
    <n v="117"/>
  </r>
  <r>
    <x v="2"/>
    <n v="137"/>
  </r>
  <r>
    <x v="36"/>
    <n v="154"/>
  </r>
  <r>
    <x v="8"/>
    <n v="157"/>
  </r>
  <r>
    <x v="43"/>
    <n v="170"/>
  </r>
  <r>
    <x v="54"/>
    <n v="157"/>
  </r>
  <r>
    <x v="39"/>
    <n v="154"/>
  </r>
  <r>
    <x v="26"/>
    <n v="113"/>
  </r>
  <r>
    <x v="14"/>
    <n v="136"/>
  </r>
  <r>
    <x v="25"/>
    <n v="133"/>
  </r>
  <r>
    <x v="10"/>
    <n v="161"/>
  </r>
  <r>
    <x v="2"/>
    <n v="249"/>
  </r>
  <r>
    <x v="20"/>
    <n v="130"/>
  </r>
  <r>
    <x v="11"/>
    <n v="90"/>
  </r>
  <r>
    <x v="43"/>
    <n v="135"/>
  </r>
  <r>
    <x v="3"/>
    <n v="245"/>
  </r>
  <r>
    <x v="40"/>
    <n v="124"/>
  </r>
  <r>
    <x v="19"/>
    <n v="178"/>
  </r>
  <r>
    <x v="55"/>
    <n v="160"/>
  </r>
  <r>
    <x v="56"/>
    <n v="160"/>
  </r>
  <r>
    <x v="9"/>
    <n v="166"/>
  </r>
  <r>
    <x v="32"/>
    <n v="139"/>
  </r>
  <r>
    <x v="12"/>
    <n v="137"/>
  </r>
  <r>
    <x v="24"/>
    <n v="123"/>
  </r>
  <r>
    <x v="23"/>
    <n v="170"/>
  </r>
  <r>
    <x v="4"/>
    <n v="191"/>
  </r>
  <r>
    <x v="18"/>
    <n v="130"/>
  </r>
  <r>
    <x v="37"/>
    <n v="197"/>
  </r>
  <r>
    <x v="28"/>
    <n v="85"/>
  </r>
  <r>
    <x v="10"/>
    <n v="166"/>
  </r>
  <r>
    <x v="10"/>
    <n v="158"/>
  </r>
  <r>
    <x v="49"/>
    <n v="159"/>
  </r>
  <r>
    <x v="33"/>
    <n v="184"/>
  </r>
  <r>
    <x v="29"/>
    <n v="137"/>
  </r>
  <r>
    <x v="39"/>
    <n v="201"/>
  </r>
  <r>
    <x v="10"/>
    <n v="156"/>
  </r>
  <r>
    <x v="38"/>
    <n v="187"/>
  </r>
  <r>
    <x v="29"/>
    <n v="163"/>
  </r>
  <r>
    <x v="40"/>
    <n v="191"/>
  </r>
  <r>
    <x v="54"/>
    <n v="221"/>
  </r>
  <r>
    <x v="9"/>
    <n v="149"/>
  </r>
  <r>
    <x v="45"/>
    <n v="82"/>
  </r>
  <r>
    <x v="32"/>
    <n v="137"/>
  </r>
  <r>
    <x v="31"/>
    <n v="113"/>
  </r>
  <r>
    <x v="31"/>
    <n v="179"/>
  </r>
  <r>
    <x v="18"/>
    <n v="171"/>
  </r>
  <r>
    <x v="0"/>
    <n v="171"/>
  </r>
  <r>
    <x v="4"/>
    <n v="193"/>
  </r>
  <r>
    <x v="29"/>
    <n v="210"/>
  </r>
  <r>
    <x v="25"/>
    <n v="139"/>
  </r>
  <r>
    <x v="44"/>
    <n v="229"/>
  </r>
  <r>
    <x v="2"/>
    <n v="113"/>
  </r>
  <r>
    <x v="0"/>
    <n v="187"/>
  </r>
  <r>
    <x v="18"/>
    <n v="161"/>
  </r>
  <r>
    <x v="27"/>
    <n v="124"/>
  </r>
  <r>
    <x v="39"/>
    <n v="138"/>
  </r>
  <r>
    <x v="44"/>
    <n v="146"/>
  </r>
  <r>
    <x v="8"/>
    <n v="149"/>
  </r>
  <r>
    <x v="23"/>
    <n v="212"/>
  </r>
  <r>
    <x v="23"/>
    <n v="97"/>
  </r>
  <r>
    <x v="2"/>
    <n v="156"/>
  </r>
  <r>
    <x v="9"/>
    <n v="140"/>
  </r>
  <r>
    <x v="53"/>
    <n v="177"/>
  </r>
  <r>
    <x v="41"/>
    <n v="197"/>
  </r>
  <r>
    <x v="32"/>
    <n v="194"/>
  </r>
  <r>
    <x v="2"/>
    <n v="187"/>
  </r>
  <r>
    <x v="36"/>
    <n v="150"/>
  </r>
  <r>
    <x v="7"/>
    <n v="232"/>
  </r>
  <r>
    <x v="39"/>
    <n v="173"/>
  </r>
  <r>
    <x v="0"/>
    <n v="176"/>
  </r>
  <r>
    <x v="39"/>
    <n v="154"/>
  </r>
  <r>
    <x v="25"/>
    <n v="154"/>
  </r>
  <r>
    <x v="12"/>
    <n v="212"/>
  </r>
  <r>
    <x v="16"/>
    <n v="181"/>
  </r>
  <r>
    <x v="29"/>
    <n v="214"/>
  </r>
  <r>
    <x v="44"/>
    <n v="143"/>
  </r>
  <r>
    <x v="25"/>
    <n v="114"/>
  </r>
  <r>
    <x v="25"/>
    <n v="136"/>
  </r>
  <r>
    <x v="0"/>
    <n v="147"/>
  </r>
  <r>
    <x v="57"/>
    <n v="150"/>
  </r>
  <r>
    <x v="25"/>
    <n v="162"/>
  </r>
  <r>
    <x v="15"/>
    <n v="165"/>
  </r>
  <r>
    <x v="53"/>
    <n v="169"/>
  </r>
  <r>
    <x v="8"/>
    <n v="192"/>
  </r>
  <r>
    <x v="19"/>
    <n v="201"/>
  </r>
  <r>
    <x v="0"/>
    <n v="129"/>
  </r>
  <r>
    <x v="44"/>
    <n v="145"/>
  </r>
  <r>
    <x v="32"/>
    <n v="204"/>
  </r>
  <r>
    <x v="53"/>
    <n v="144"/>
  </r>
  <r>
    <x v="29"/>
    <n v="139"/>
  </r>
  <r>
    <x v="32"/>
    <n v="159"/>
  </r>
  <r>
    <x v="29"/>
    <n v="177"/>
  </r>
  <r>
    <x v="40"/>
    <n v="288"/>
  </r>
  <r>
    <x v="12"/>
    <n v="152"/>
  </r>
  <r>
    <x v="9"/>
    <n v="121"/>
  </r>
  <r>
    <x v="26"/>
    <n v="124"/>
  </r>
  <r>
    <x v="27"/>
    <n v="132"/>
  </r>
  <r>
    <x v="11"/>
    <n v="149"/>
  </r>
  <r>
    <x v="27"/>
    <n v="112"/>
  </r>
  <r>
    <x v="37"/>
    <n v="138"/>
  </r>
  <r>
    <x v="37"/>
    <n v="184"/>
  </r>
  <r>
    <x v="27"/>
    <n v="201"/>
  </r>
  <r>
    <x v="10"/>
    <n v="180"/>
  </r>
  <r>
    <x v="52"/>
    <n v="186"/>
  </r>
  <r>
    <x v="38"/>
    <n v="191"/>
  </r>
  <r>
    <x v="4"/>
    <n v="201"/>
  </r>
  <r>
    <x v="23"/>
    <n v="138"/>
  </r>
  <r>
    <x v="26"/>
    <n v="156"/>
  </r>
  <r>
    <x v="0"/>
    <n v="130"/>
  </r>
  <r>
    <x v="12"/>
    <n v="94"/>
  </r>
  <r>
    <x v="21"/>
    <n v="174"/>
  </r>
  <r>
    <x v="39"/>
    <n v="187"/>
  </r>
  <r>
    <x v="29"/>
    <n v="193"/>
  </r>
  <r>
    <x v="0"/>
    <n v="156"/>
  </r>
  <r>
    <x v="18"/>
    <n v="182"/>
  </r>
  <r>
    <x v="39"/>
    <n v="287"/>
  </r>
  <r>
    <x v="1"/>
    <n v="180"/>
  </r>
  <r>
    <x v="20"/>
    <n v="156"/>
  </r>
  <r>
    <x v="34"/>
    <n v="161"/>
  </r>
  <r>
    <x v="6"/>
    <n v="220"/>
  </r>
  <r>
    <x v="27"/>
    <n v="124"/>
  </r>
  <r>
    <x v="21"/>
    <n v="131"/>
  </r>
  <r>
    <x v="39"/>
    <n v="155"/>
  </r>
  <r>
    <x v="36"/>
    <n v="159"/>
  </r>
  <r>
    <x v="23"/>
    <n v="167"/>
  </r>
  <r>
    <x v="22"/>
    <n v="166"/>
  </r>
  <r>
    <x v="2"/>
    <n v="146"/>
  </r>
  <r>
    <x v="3"/>
    <n v="104"/>
  </r>
  <r>
    <x v="1"/>
    <n v="151"/>
  </r>
  <r>
    <x v="15"/>
    <n v="203"/>
  </r>
  <r>
    <x v="1"/>
    <n v="187"/>
  </r>
  <r>
    <x v="11"/>
    <n v="191"/>
  </r>
  <r>
    <x v="25"/>
    <n v="161"/>
  </r>
  <r>
    <x v="39"/>
    <n v="230"/>
  </r>
  <r>
    <x v="44"/>
    <n v="189"/>
  </r>
  <r>
    <x v="31"/>
    <n v="150"/>
  </r>
  <r>
    <x v="40"/>
    <n v="101"/>
  </r>
  <r>
    <x v="2"/>
    <n v="152"/>
  </r>
  <r>
    <x v="19"/>
    <n v="185"/>
  </r>
  <r>
    <x v="6"/>
    <n v="245"/>
  </r>
  <r>
    <x v="0"/>
    <n v="185"/>
  </r>
  <r>
    <x v="29"/>
    <n v="135"/>
  </r>
  <r>
    <x v="27"/>
    <n v="138"/>
  </r>
  <r>
    <x v="13"/>
    <n v="155"/>
  </r>
  <r>
    <x v="0"/>
    <n v="182"/>
  </r>
  <r>
    <x v="24"/>
    <n v="209"/>
  </r>
  <r>
    <x v="36"/>
    <n v="91"/>
  </r>
  <r>
    <x v="20"/>
    <n v="162"/>
  </r>
  <r>
    <x v="14"/>
    <n v="150"/>
  </r>
  <r>
    <x v="37"/>
    <n v="208"/>
  </r>
  <r>
    <x v="26"/>
    <n v="110"/>
  </r>
  <r>
    <x v="39"/>
    <n v="138"/>
  </r>
  <r>
    <x v="14"/>
    <n v="187"/>
  </r>
  <r>
    <x v="23"/>
    <n v="117"/>
  </r>
  <r>
    <x v="25"/>
    <n v="124"/>
  </r>
  <r>
    <x v="0"/>
    <n v="130"/>
  </r>
  <r>
    <x v="9"/>
    <n v="139"/>
  </r>
  <r>
    <x v="0"/>
    <n v="145"/>
  </r>
  <r>
    <x v="25"/>
    <n v="156"/>
  </r>
  <r>
    <x v="25"/>
    <n v="164"/>
  </r>
  <r>
    <x v="32"/>
    <n v="115"/>
  </r>
  <r>
    <x v="14"/>
    <n v="198"/>
  </r>
  <r>
    <x v="36"/>
    <n v="110"/>
  </r>
  <r>
    <x v="20"/>
    <n v="177"/>
  </r>
  <r>
    <x v="3"/>
    <n v="150"/>
  </r>
  <r>
    <x v="26"/>
    <n v="110"/>
  </r>
  <r>
    <x v="2"/>
    <n v="149"/>
  </r>
  <r>
    <x v="3"/>
    <n v="229"/>
  </r>
  <r>
    <x v="34"/>
    <n v="217"/>
  </r>
  <r>
    <x v="31"/>
    <n v="169"/>
  </r>
  <r>
    <x v="24"/>
    <n v="157"/>
  </r>
  <r>
    <x v="34"/>
    <n v="110"/>
  </r>
  <r>
    <x v="45"/>
    <n v="133"/>
  </r>
  <r>
    <x v="14"/>
    <n v="159"/>
  </r>
  <r>
    <x v="27"/>
    <n v="165"/>
  </r>
  <r>
    <x v="43"/>
    <n v="263"/>
  </r>
  <r>
    <x v="46"/>
    <n v="180"/>
  </r>
  <r>
    <x v="35"/>
    <n v="96"/>
  </r>
  <r>
    <x v="25"/>
    <n v="126"/>
  </r>
  <r>
    <x v="9"/>
    <n v="142"/>
  </r>
  <r>
    <x v="36"/>
    <n v="143"/>
  </r>
  <r>
    <x v="14"/>
    <n v="148"/>
  </r>
  <r>
    <x v="36"/>
    <n v="153"/>
  </r>
  <r>
    <x v="50"/>
    <n v="156"/>
  </r>
  <r>
    <x v="14"/>
    <n v="172"/>
  </r>
  <r>
    <x v="25"/>
    <n v="177"/>
  </r>
  <r>
    <x v="2"/>
    <n v="195"/>
  </r>
  <r>
    <x v="3"/>
    <n v="236"/>
  </r>
  <r>
    <x v="2"/>
    <n v="114"/>
  </r>
  <r>
    <x v="25"/>
    <n v="124"/>
  </r>
  <r>
    <x v="4"/>
    <n v="125"/>
  </r>
  <r>
    <x v="15"/>
    <n v="111"/>
  </r>
  <r>
    <x v="14"/>
    <n v="186"/>
  </r>
  <r>
    <x v="9"/>
    <n v="148"/>
  </r>
  <r>
    <x v="52"/>
    <n v="145"/>
  </r>
  <r>
    <x v="4"/>
    <n v="145"/>
  </r>
  <r>
    <x v="38"/>
    <n v="165"/>
  </r>
  <r>
    <x v="23"/>
    <n v="95"/>
  </r>
  <r>
    <x v="19"/>
    <n v="167"/>
  </r>
  <r>
    <x v="4"/>
    <n v="155"/>
  </r>
  <r>
    <x v="0"/>
    <n v="148"/>
  </r>
  <r>
    <x v="0"/>
    <n v="151"/>
  </r>
  <r>
    <x v="19"/>
    <n v="168"/>
  </r>
  <r>
    <x v="22"/>
    <n v="174"/>
  </r>
  <r>
    <x v="3"/>
    <n v="223"/>
  </r>
  <r>
    <x v="19"/>
    <n v="121"/>
  </r>
  <r>
    <x v="22"/>
    <n v="177"/>
  </r>
  <r>
    <x v="20"/>
    <n v="146"/>
  </r>
  <r>
    <x v="32"/>
    <n v="139"/>
  </r>
  <r>
    <x v="14"/>
    <n v="164"/>
  </r>
  <r>
    <x v="39"/>
    <n v="125"/>
  </r>
  <r>
    <x v="19"/>
    <n v="165"/>
  </r>
  <r>
    <x v="14"/>
    <n v="157"/>
  </r>
  <r>
    <x v="23"/>
    <n v="143"/>
  </r>
  <r>
    <x v="14"/>
    <n v="152"/>
  </r>
  <r>
    <x v="58"/>
    <n v="156"/>
  </r>
  <r>
    <x v="33"/>
    <n v="174"/>
  </r>
  <r>
    <x v="29"/>
    <n v="193"/>
  </r>
  <r>
    <x v="26"/>
    <n v="143"/>
  </r>
  <r>
    <x v="43"/>
    <n v="181"/>
  </r>
  <r>
    <x v="52"/>
    <n v="187"/>
  </r>
  <r>
    <x v="31"/>
    <n v="213"/>
  </r>
  <r>
    <x v="19"/>
    <n v="123"/>
  </r>
  <r>
    <x v="12"/>
    <n v="145"/>
  </r>
  <r>
    <x v="30"/>
    <n v="158"/>
  </r>
  <r>
    <x v="12"/>
    <n v="168"/>
  </r>
  <r>
    <x v="34"/>
    <n v="259"/>
  </r>
  <r>
    <x v="12"/>
    <n v="158"/>
  </r>
  <r>
    <x v="27"/>
    <n v="86"/>
  </r>
  <r>
    <x v="10"/>
    <n v="184"/>
  </r>
  <r>
    <x v="44"/>
    <n v="205"/>
  </r>
  <r>
    <x v="42"/>
    <n v="133"/>
  </r>
  <r>
    <x v="3"/>
    <n v="189"/>
  </r>
  <r>
    <x v="39"/>
    <n v="199"/>
  </r>
  <r>
    <x v="26"/>
    <n v="136"/>
  </r>
  <r>
    <x v="20"/>
    <n v="200"/>
  </r>
  <r>
    <x v="14"/>
    <n v="238"/>
  </r>
  <r>
    <x v="40"/>
    <n v="246"/>
  </r>
  <r>
    <x v="3"/>
    <n v="136"/>
  </r>
  <r>
    <x v="11"/>
    <n v="139"/>
  </r>
  <r>
    <x v="4"/>
    <n v="168"/>
  </r>
  <r>
    <x v="28"/>
    <n v="185"/>
  </r>
  <r>
    <x v="11"/>
    <n v="247"/>
  </r>
  <r>
    <x v="3"/>
    <n v="135"/>
  </r>
  <r>
    <x v="16"/>
    <n v="165"/>
  </r>
  <r>
    <x v="20"/>
    <n v="177"/>
  </r>
  <r>
    <x v="0"/>
    <n v="181"/>
  </r>
  <r>
    <x v="35"/>
    <n v="246"/>
  </r>
  <r>
    <x v="1"/>
    <n v="127"/>
  </r>
  <r>
    <x v="19"/>
    <n v="147"/>
  </r>
  <r>
    <x v="26"/>
    <n v="147"/>
  </r>
  <r>
    <x v="20"/>
    <n v="167"/>
  </r>
  <r>
    <x v="23"/>
    <n v="181"/>
  </r>
  <r>
    <x v="26"/>
    <n v="223"/>
  </r>
  <r>
    <x v="14"/>
    <n v="224"/>
  </r>
  <r>
    <x v="21"/>
    <n v="177"/>
  </r>
  <r>
    <x v="24"/>
    <n v="152"/>
  </r>
  <r>
    <x v="37"/>
    <n v="132"/>
  </r>
  <r>
    <x v="11"/>
    <n v="224"/>
  </r>
  <r>
    <x v="13"/>
    <n v="138"/>
  </r>
  <r>
    <x v="43"/>
    <n v="177"/>
  </r>
  <r>
    <x v="3"/>
    <n v="209"/>
  </r>
  <r>
    <x v="40"/>
    <n v="118"/>
  </r>
  <r>
    <x v="35"/>
    <n v="117"/>
  </r>
  <r>
    <x v="36"/>
    <n v="15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9">
  <r>
    <s v="férfi"/>
    <x v="0"/>
    <x v="0"/>
    <x v="0"/>
  </r>
  <r>
    <s v="nő"/>
    <x v="0"/>
    <x v="1"/>
    <x v="1"/>
  </r>
  <r>
    <s v="nő"/>
    <x v="1"/>
    <x v="2"/>
    <x v="2"/>
  </r>
  <r>
    <s v="férfi"/>
    <x v="2"/>
    <x v="3"/>
    <x v="3"/>
  </r>
  <r>
    <s v="nő"/>
    <x v="2"/>
    <x v="4"/>
    <x v="4"/>
  </r>
  <r>
    <s v="férfi"/>
    <x v="3"/>
    <x v="2"/>
    <x v="5"/>
  </r>
  <r>
    <s v="nő"/>
    <x v="3"/>
    <x v="5"/>
    <x v="6"/>
  </r>
  <r>
    <s v="férfi"/>
    <x v="3"/>
    <x v="6"/>
    <x v="7"/>
  </r>
  <r>
    <s v="férfi"/>
    <x v="4"/>
    <x v="7"/>
    <x v="8"/>
  </r>
  <r>
    <s v="férfi"/>
    <x v="5"/>
    <x v="8"/>
    <x v="9"/>
  </r>
  <r>
    <s v="férfi"/>
    <x v="6"/>
    <x v="9"/>
    <x v="10"/>
  </r>
  <r>
    <s v="férfi"/>
    <x v="3"/>
    <x v="10"/>
    <x v="11"/>
  </r>
  <r>
    <s v="férfi"/>
    <x v="7"/>
    <x v="9"/>
    <x v="12"/>
  </r>
  <r>
    <s v="férfi"/>
    <x v="4"/>
    <x v="0"/>
    <x v="13"/>
  </r>
  <r>
    <s v="férfi"/>
    <x v="8"/>
    <x v="7"/>
    <x v="14"/>
  </r>
  <r>
    <s v="férfi"/>
    <x v="8"/>
    <x v="11"/>
    <x v="15"/>
  </r>
  <r>
    <s v="férfi"/>
    <x v="5"/>
    <x v="12"/>
    <x v="16"/>
  </r>
  <r>
    <s v="férfi"/>
    <x v="2"/>
    <x v="13"/>
    <x v="17"/>
  </r>
  <r>
    <s v="férfi"/>
    <x v="5"/>
    <x v="4"/>
    <x v="18"/>
  </r>
  <r>
    <s v="férfi"/>
    <x v="2"/>
    <x v="14"/>
    <x v="19"/>
  </r>
  <r>
    <s v="férfi"/>
    <x v="4"/>
    <x v="3"/>
    <x v="20"/>
  </r>
  <r>
    <s v="férfi"/>
    <x v="4"/>
    <x v="15"/>
    <x v="21"/>
  </r>
  <r>
    <s v="férfi"/>
    <x v="6"/>
    <x v="16"/>
    <x v="22"/>
  </r>
  <r>
    <s v="nő"/>
    <x v="9"/>
    <x v="17"/>
    <x v="23"/>
  </r>
  <r>
    <s v="nő"/>
    <x v="9"/>
    <x v="17"/>
    <x v="24"/>
  </r>
  <r>
    <s v="férfi"/>
    <x v="10"/>
    <x v="7"/>
    <x v="25"/>
  </r>
  <r>
    <s v="férfi"/>
    <x v="4"/>
    <x v="16"/>
    <x v="26"/>
  </r>
  <r>
    <s v="nő"/>
    <x v="2"/>
    <x v="2"/>
    <x v="27"/>
  </r>
  <r>
    <s v="férfi"/>
    <x v="3"/>
    <x v="18"/>
    <x v="28"/>
  </r>
  <r>
    <s v="nő"/>
    <x v="9"/>
    <x v="19"/>
    <x v="29"/>
  </r>
  <r>
    <s v="férfi"/>
    <x v="11"/>
    <x v="1"/>
    <x v="20"/>
  </r>
  <r>
    <s v="férfi"/>
    <x v="2"/>
    <x v="18"/>
    <x v="30"/>
  </r>
  <r>
    <s v="nő"/>
    <x v="3"/>
    <x v="18"/>
    <x v="31"/>
  </r>
  <r>
    <s v="férfi"/>
    <x v="3"/>
    <x v="4"/>
    <x v="3"/>
  </r>
  <r>
    <s v="nő"/>
    <x v="3"/>
    <x v="20"/>
    <x v="32"/>
  </r>
  <r>
    <s v="nő"/>
    <x v="6"/>
    <x v="1"/>
    <x v="33"/>
  </r>
  <r>
    <s v="férfi"/>
    <x v="5"/>
    <x v="21"/>
    <x v="34"/>
  </r>
  <r>
    <s v="nő"/>
    <x v="4"/>
    <x v="22"/>
    <x v="25"/>
  </r>
  <r>
    <s v="férfi"/>
    <x v="4"/>
    <x v="23"/>
    <x v="35"/>
  </r>
  <r>
    <s v="férfi"/>
    <x v="3"/>
    <x v="20"/>
    <x v="36"/>
  </r>
  <r>
    <s v="férfi"/>
    <x v="4"/>
    <x v="14"/>
    <x v="37"/>
  </r>
  <r>
    <s v="nő"/>
    <x v="12"/>
    <x v="24"/>
    <x v="38"/>
  </r>
  <r>
    <s v="nő"/>
    <x v="3"/>
    <x v="25"/>
    <x v="39"/>
  </r>
  <r>
    <s v="férfi"/>
    <x v="3"/>
    <x v="26"/>
    <x v="9"/>
  </r>
  <r>
    <s v="nő"/>
    <x v="4"/>
    <x v="21"/>
    <x v="29"/>
  </r>
  <r>
    <s v="férfi"/>
    <x v="2"/>
    <x v="27"/>
    <x v="40"/>
  </r>
  <r>
    <s v="férfi"/>
    <x v="11"/>
    <x v="12"/>
    <x v="16"/>
  </r>
  <r>
    <s v="férfi"/>
    <x v="4"/>
    <x v="28"/>
    <x v="41"/>
  </r>
  <r>
    <s v="férfi"/>
    <x v="11"/>
    <x v="16"/>
    <x v="33"/>
  </r>
  <r>
    <s v="férfi"/>
    <x v="11"/>
    <x v="11"/>
    <x v="42"/>
  </r>
  <r>
    <s v="nő"/>
    <x v="1"/>
    <x v="29"/>
    <x v="3"/>
  </r>
  <r>
    <s v="férfi"/>
    <x v="4"/>
    <x v="26"/>
    <x v="43"/>
  </r>
  <r>
    <s v="férfi"/>
    <x v="3"/>
    <x v="30"/>
    <x v="44"/>
  </r>
  <r>
    <s v="férfi"/>
    <x v="6"/>
    <x v="31"/>
    <x v="45"/>
  </r>
  <r>
    <s v="férfi"/>
    <x v="3"/>
    <x v="23"/>
    <x v="46"/>
  </r>
  <r>
    <s v="férfi"/>
    <x v="6"/>
    <x v="4"/>
    <x v="30"/>
  </r>
  <r>
    <s v="nő"/>
    <x v="3"/>
    <x v="28"/>
    <x v="28"/>
  </r>
  <r>
    <s v="férfi"/>
    <x v="4"/>
    <x v="24"/>
    <x v="0"/>
  </r>
  <r>
    <s v="nő"/>
    <x v="2"/>
    <x v="12"/>
    <x v="47"/>
  </r>
  <r>
    <s v="nő"/>
    <x v="4"/>
    <x v="18"/>
    <x v="48"/>
  </r>
  <r>
    <s v="nő"/>
    <x v="11"/>
    <x v="32"/>
    <x v="49"/>
  </r>
  <r>
    <s v="férfi"/>
    <x v="5"/>
    <x v="3"/>
    <x v="50"/>
  </r>
  <r>
    <s v="férfi"/>
    <x v="3"/>
    <x v="26"/>
    <x v="51"/>
  </r>
  <r>
    <s v="férfi"/>
    <x v="7"/>
    <x v="11"/>
    <x v="52"/>
  </r>
  <r>
    <s v="férfi"/>
    <x v="3"/>
    <x v="2"/>
    <x v="23"/>
  </r>
  <r>
    <s v="férfi"/>
    <x v="3"/>
    <x v="23"/>
    <x v="53"/>
  </r>
  <r>
    <s v="férfi"/>
    <x v="1"/>
    <x v="29"/>
    <x v="27"/>
  </r>
  <r>
    <s v="férfi"/>
    <x v="4"/>
    <x v="3"/>
    <x v="54"/>
  </r>
  <r>
    <s v="férfi"/>
    <x v="3"/>
    <x v="33"/>
    <x v="19"/>
  </r>
  <r>
    <s v="nő"/>
    <x v="3"/>
    <x v="6"/>
    <x v="10"/>
  </r>
  <r>
    <s v="nő"/>
    <x v="4"/>
    <x v="34"/>
    <x v="47"/>
  </r>
  <r>
    <s v="nő"/>
    <x v="3"/>
    <x v="35"/>
    <x v="41"/>
  </r>
  <r>
    <s v="férfi"/>
    <x v="3"/>
    <x v="11"/>
    <x v="55"/>
  </r>
  <r>
    <s v="nő"/>
    <x v="2"/>
    <x v="36"/>
    <x v="56"/>
  </r>
  <r>
    <s v="férfi"/>
    <x v="3"/>
    <x v="37"/>
    <x v="18"/>
  </r>
  <r>
    <s v="nő"/>
    <x v="11"/>
    <x v="32"/>
    <x v="41"/>
  </r>
  <r>
    <s v="férfi"/>
    <x v="1"/>
    <x v="38"/>
    <x v="57"/>
  </r>
  <r>
    <s v="nő"/>
    <x v="4"/>
    <x v="27"/>
    <x v="58"/>
  </r>
  <r>
    <s v="férfi"/>
    <x v="3"/>
    <x v="39"/>
    <x v="59"/>
  </r>
  <r>
    <s v="férfi"/>
    <x v="2"/>
    <x v="9"/>
    <x v="60"/>
  </r>
  <r>
    <s v="férfi"/>
    <x v="3"/>
    <x v="29"/>
    <x v="16"/>
  </r>
  <r>
    <s v="férfi"/>
    <x v="2"/>
    <x v="37"/>
    <x v="32"/>
  </r>
  <r>
    <s v="férfi"/>
    <x v="6"/>
    <x v="36"/>
    <x v="35"/>
  </r>
  <r>
    <s v="férfi"/>
    <x v="4"/>
    <x v="0"/>
    <x v="9"/>
  </r>
  <r>
    <s v="nő"/>
    <x v="2"/>
    <x v="40"/>
    <x v="61"/>
  </r>
  <r>
    <s v="férfi"/>
    <x v="3"/>
    <x v="0"/>
    <x v="8"/>
  </r>
  <r>
    <s v="férfi"/>
    <x v="13"/>
    <x v="38"/>
    <x v="62"/>
  </r>
  <r>
    <s v="férfi"/>
    <x v="14"/>
    <x v="38"/>
    <x v="53"/>
  </r>
  <r>
    <s v="férfi"/>
    <x v="3"/>
    <x v="13"/>
    <x v="3"/>
  </r>
  <r>
    <s v="férfi"/>
    <x v="2"/>
    <x v="0"/>
    <x v="63"/>
  </r>
  <r>
    <s v="férfi"/>
    <x v="4"/>
    <x v="41"/>
    <x v="64"/>
  </r>
  <r>
    <s v="férfi"/>
    <x v="3"/>
    <x v="3"/>
    <x v="65"/>
  </r>
  <r>
    <s v="férfi"/>
    <x v="3"/>
    <x v="29"/>
    <x v="13"/>
  </r>
  <r>
    <s v="nő"/>
    <x v="1"/>
    <x v="4"/>
    <x v="56"/>
  </r>
  <r>
    <s v="nő"/>
    <x v="3"/>
    <x v="23"/>
    <x v="19"/>
  </r>
  <r>
    <s v="férfi"/>
    <x v="3"/>
    <x v="42"/>
    <x v="66"/>
  </r>
  <r>
    <s v="férfi"/>
    <x v="7"/>
    <x v="2"/>
    <x v="57"/>
  </r>
  <r>
    <s v="férfi"/>
    <x v="3"/>
    <x v="23"/>
    <x v="61"/>
  </r>
  <r>
    <s v="férfi"/>
    <x v="15"/>
    <x v="43"/>
    <x v="54"/>
  </r>
  <r>
    <s v="férfi"/>
    <x v="4"/>
    <x v="10"/>
    <x v="6"/>
  </r>
  <r>
    <s v="férfi"/>
    <x v="3"/>
    <x v="32"/>
    <x v="39"/>
  </r>
  <r>
    <s v="nő"/>
    <x v="4"/>
    <x v="7"/>
    <x v="60"/>
  </r>
  <r>
    <s v="nő"/>
    <x v="6"/>
    <x v="18"/>
    <x v="7"/>
  </r>
  <r>
    <s v="nő"/>
    <x v="6"/>
    <x v="24"/>
    <x v="37"/>
  </r>
  <r>
    <s v="férfi"/>
    <x v="2"/>
    <x v="36"/>
    <x v="45"/>
  </r>
  <r>
    <s v="nő"/>
    <x v="4"/>
    <x v="14"/>
    <x v="67"/>
  </r>
  <r>
    <s v="nő"/>
    <x v="3"/>
    <x v="28"/>
    <x v="68"/>
  </r>
  <r>
    <s v="férfi"/>
    <x v="4"/>
    <x v="11"/>
    <x v="69"/>
  </r>
  <r>
    <s v="férfi"/>
    <x v="1"/>
    <x v="11"/>
    <x v="57"/>
  </r>
  <r>
    <s v="férfi"/>
    <x v="1"/>
    <x v="41"/>
    <x v="30"/>
  </r>
  <r>
    <s v="férfi"/>
    <x v="3"/>
    <x v="28"/>
    <x v="70"/>
  </r>
  <r>
    <s v="férfi"/>
    <x v="3"/>
    <x v="33"/>
    <x v="48"/>
  </r>
  <r>
    <s v="nő"/>
    <x v="3"/>
    <x v="34"/>
    <x v="10"/>
  </r>
  <r>
    <s v="férfi"/>
    <x v="9"/>
    <x v="23"/>
    <x v="71"/>
  </r>
  <r>
    <s v="férfi"/>
    <x v="1"/>
    <x v="26"/>
    <x v="72"/>
  </r>
  <r>
    <s v="férfi"/>
    <x v="3"/>
    <x v="3"/>
    <x v="64"/>
  </r>
  <r>
    <s v="férfi"/>
    <x v="3"/>
    <x v="28"/>
    <x v="73"/>
  </r>
  <r>
    <s v="férfi"/>
    <x v="1"/>
    <x v="23"/>
    <x v="52"/>
  </r>
  <r>
    <s v="férfi"/>
    <x v="6"/>
    <x v="41"/>
    <x v="2"/>
  </r>
  <r>
    <s v="férfi"/>
    <x v="4"/>
    <x v="33"/>
    <x v="58"/>
  </r>
  <r>
    <s v="férfi"/>
    <x v="3"/>
    <x v="30"/>
    <x v="66"/>
  </r>
  <r>
    <s v="nő"/>
    <x v="3"/>
    <x v="42"/>
    <x v="54"/>
  </r>
  <r>
    <s v="férfi"/>
    <x v="11"/>
    <x v="26"/>
    <x v="74"/>
  </r>
  <r>
    <s v="férfi"/>
    <x v="3"/>
    <x v="2"/>
    <x v="75"/>
  </r>
  <r>
    <s v="férfi"/>
    <x v="6"/>
    <x v="25"/>
    <x v="0"/>
  </r>
  <r>
    <s v="férfi"/>
    <x v="3"/>
    <x v="29"/>
    <x v="3"/>
  </r>
  <r>
    <s v="férfi"/>
    <x v="4"/>
    <x v="14"/>
    <x v="10"/>
  </r>
  <r>
    <s v="férfi"/>
    <x v="3"/>
    <x v="4"/>
    <x v="48"/>
  </r>
  <r>
    <s v="nő"/>
    <x v="4"/>
    <x v="8"/>
    <x v="48"/>
  </r>
  <r>
    <s v="nő"/>
    <x v="3"/>
    <x v="32"/>
    <x v="30"/>
  </r>
  <r>
    <s v="férfi"/>
    <x v="3"/>
    <x v="33"/>
    <x v="76"/>
  </r>
  <r>
    <s v="férfi"/>
    <x v="3"/>
    <x v="14"/>
    <x v="48"/>
  </r>
  <r>
    <s v="férfi"/>
    <x v="6"/>
    <x v="29"/>
    <x v="56"/>
  </r>
  <r>
    <s v="nő"/>
    <x v="11"/>
    <x v="16"/>
    <x v="3"/>
  </r>
  <r>
    <s v="nő"/>
    <x v="8"/>
    <x v="16"/>
    <x v="26"/>
  </r>
  <r>
    <s v="férfi"/>
    <x v="4"/>
    <x v="44"/>
    <x v="77"/>
  </r>
  <r>
    <s v="férfi"/>
    <x v="3"/>
    <x v="6"/>
    <x v="78"/>
  </r>
  <r>
    <s v="nő"/>
    <x v="3"/>
    <x v="24"/>
    <x v="79"/>
  </r>
  <r>
    <s v="férfi"/>
    <x v="3"/>
    <x v="6"/>
    <x v="52"/>
  </r>
  <r>
    <s v="férfi"/>
    <x v="3"/>
    <x v="8"/>
    <x v="80"/>
  </r>
  <r>
    <s v="férfi"/>
    <x v="3"/>
    <x v="33"/>
    <x v="69"/>
  </r>
  <r>
    <s v="férfi"/>
    <x v="3"/>
    <x v="14"/>
    <x v="81"/>
  </r>
  <r>
    <s v="férfi"/>
    <x v="2"/>
    <x v="28"/>
    <x v="82"/>
  </r>
  <r>
    <s v="férfi"/>
    <x v="3"/>
    <x v="25"/>
    <x v="63"/>
  </r>
  <r>
    <s v="férfi"/>
    <x v="8"/>
    <x v="36"/>
    <x v="37"/>
  </r>
  <r>
    <s v="férfi"/>
    <x v="3"/>
    <x v="1"/>
    <x v="14"/>
  </r>
  <r>
    <s v="férfi"/>
    <x v="3"/>
    <x v="11"/>
    <x v="83"/>
  </r>
  <r>
    <s v="férfi"/>
    <x v="2"/>
    <x v="26"/>
    <x v="73"/>
  </r>
  <r>
    <s v="férfi"/>
    <x v="3"/>
    <x v="35"/>
    <x v="60"/>
  </r>
  <r>
    <s v="férfi"/>
    <x v="3"/>
    <x v="45"/>
    <x v="84"/>
  </r>
  <r>
    <s v="nő"/>
    <x v="4"/>
    <x v="9"/>
    <x v="85"/>
  </r>
  <r>
    <s v="nő"/>
    <x v="2"/>
    <x v="14"/>
    <x v="86"/>
  </r>
  <r>
    <s v="férfi"/>
    <x v="3"/>
    <x v="44"/>
    <x v="42"/>
  </r>
  <r>
    <s v="férfi"/>
    <x v="3"/>
    <x v="31"/>
    <x v="87"/>
  </r>
  <r>
    <s v="nő"/>
    <x v="6"/>
    <x v="46"/>
    <x v="88"/>
  </r>
  <r>
    <s v="nő"/>
    <x v="1"/>
    <x v="29"/>
    <x v="85"/>
  </r>
  <r>
    <s v="nő"/>
    <x v="2"/>
    <x v="25"/>
    <x v="46"/>
  </r>
  <r>
    <s v="nő"/>
    <x v="3"/>
    <x v="16"/>
    <x v="5"/>
  </r>
  <r>
    <s v="nő"/>
    <x v="2"/>
    <x v="33"/>
    <x v="89"/>
  </r>
  <r>
    <s v="férfi"/>
    <x v="3"/>
    <x v="21"/>
    <x v="90"/>
  </r>
  <r>
    <s v="férfi"/>
    <x v="1"/>
    <x v="26"/>
    <x v="91"/>
  </r>
  <r>
    <s v="férfi"/>
    <x v="3"/>
    <x v="40"/>
    <x v="92"/>
  </r>
  <r>
    <s v="nő"/>
    <x v="4"/>
    <x v="5"/>
    <x v="93"/>
  </r>
  <r>
    <s v="férfi"/>
    <x v="11"/>
    <x v="11"/>
    <x v="94"/>
  </r>
  <r>
    <s v="férfi"/>
    <x v="3"/>
    <x v="38"/>
    <x v="74"/>
  </r>
  <r>
    <s v="férfi"/>
    <x v="2"/>
    <x v="20"/>
    <x v="95"/>
  </r>
  <r>
    <s v="férfi"/>
    <x v="3"/>
    <x v="19"/>
    <x v="2"/>
  </r>
  <r>
    <s v="férfi"/>
    <x v="1"/>
    <x v="4"/>
    <x v="74"/>
  </r>
  <r>
    <s v="férfi"/>
    <x v="3"/>
    <x v="43"/>
    <x v="96"/>
  </r>
  <r>
    <s v="férfi"/>
    <x v="1"/>
    <x v="39"/>
    <x v="56"/>
  </r>
  <r>
    <s v="férfi"/>
    <x v="5"/>
    <x v="47"/>
    <x v="30"/>
  </r>
  <r>
    <s v="férfi"/>
    <x v="1"/>
    <x v="25"/>
    <x v="75"/>
  </r>
  <r>
    <s v="férfi"/>
    <x v="3"/>
    <x v="3"/>
    <x v="97"/>
  </r>
  <r>
    <s v="férfi"/>
    <x v="2"/>
    <x v="3"/>
    <x v="74"/>
  </r>
  <r>
    <s v="férfi"/>
    <x v="3"/>
    <x v="44"/>
    <x v="77"/>
  </r>
  <r>
    <s v="férfi"/>
    <x v="0"/>
    <x v="7"/>
    <x v="85"/>
  </r>
  <r>
    <s v="nő"/>
    <x v="3"/>
    <x v="31"/>
    <x v="23"/>
  </r>
  <r>
    <s v="nő"/>
    <x v="2"/>
    <x v="29"/>
    <x v="10"/>
  </r>
  <r>
    <s v="nő"/>
    <x v="3"/>
    <x v="26"/>
    <x v="33"/>
  </r>
  <r>
    <s v="férfi"/>
    <x v="3"/>
    <x v="48"/>
    <x v="98"/>
  </r>
  <r>
    <s v="férfi"/>
    <x v="4"/>
    <x v="27"/>
    <x v="43"/>
  </r>
  <r>
    <s v="férfi"/>
    <x v="11"/>
    <x v="44"/>
    <x v="35"/>
  </r>
  <r>
    <s v="férfi"/>
    <x v="2"/>
    <x v="19"/>
    <x v="64"/>
  </r>
  <r>
    <s v="nő"/>
    <x v="3"/>
    <x v="29"/>
    <x v="99"/>
  </r>
  <r>
    <s v="férfi"/>
    <x v="3"/>
    <x v="37"/>
    <x v="55"/>
  </r>
  <r>
    <s v="férfi"/>
    <x v="4"/>
    <x v="0"/>
    <x v="8"/>
  </r>
  <r>
    <s v="férfi"/>
    <x v="3"/>
    <x v="32"/>
    <x v="13"/>
  </r>
  <r>
    <s v="férfi"/>
    <x v="13"/>
    <x v="18"/>
    <x v="67"/>
  </r>
  <r>
    <s v="férfi"/>
    <x v="11"/>
    <x v="23"/>
    <x v="50"/>
  </r>
  <r>
    <s v="férfi"/>
    <x v="15"/>
    <x v="39"/>
    <x v="92"/>
  </r>
  <r>
    <s v="férfi"/>
    <x v="3"/>
    <x v="19"/>
    <x v="82"/>
  </r>
  <r>
    <s v="férfi"/>
    <x v="3"/>
    <x v="40"/>
    <x v="37"/>
  </r>
  <r>
    <s v="férfi"/>
    <x v="2"/>
    <x v="19"/>
    <x v="100"/>
  </r>
  <r>
    <s v="férfi"/>
    <x v="6"/>
    <x v="44"/>
    <x v="3"/>
  </r>
  <r>
    <s v="nő"/>
    <x v="3"/>
    <x v="6"/>
    <x v="101"/>
  </r>
  <r>
    <s v="férfi"/>
    <x v="2"/>
    <x v="26"/>
    <x v="0"/>
  </r>
  <r>
    <s v="nő"/>
    <x v="6"/>
    <x v="24"/>
    <x v="13"/>
  </r>
  <r>
    <s v="férfi"/>
    <x v="2"/>
    <x v="2"/>
    <x v="85"/>
  </r>
  <r>
    <s v="nő"/>
    <x v="4"/>
    <x v="28"/>
    <x v="31"/>
  </r>
  <r>
    <s v="férfi"/>
    <x v="3"/>
    <x v="20"/>
    <x v="65"/>
  </r>
  <r>
    <s v="férfi"/>
    <x v="6"/>
    <x v="38"/>
    <x v="102"/>
  </r>
  <r>
    <s v="férfi"/>
    <x v="1"/>
    <x v="14"/>
    <x v="21"/>
  </r>
  <r>
    <s v="férfi"/>
    <x v="3"/>
    <x v="49"/>
    <x v="98"/>
  </r>
  <r>
    <s v="férfi"/>
    <x v="3"/>
    <x v="13"/>
    <x v="84"/>
  </r>
  <r>
    <s v="nő"/>
    <x v="2"/>
    <x v="0"/>
    <x v="2"/>
  </r>
  <r>
    <s v="nő"/>
    <x v="4"/>
    <x v="29"/>
    <x v="28"/>
  </r>
  <r>
    <s v="férfi"/>
    <x v="4"/>
    <x v="19"/>
    <x v="41"/>
  </r>
  <r>
    <s v="férfi"/>
    <x v="3"/>
    <x v="23"/>
    <x v="56"/>
  </r>
  <r>
    <s v="nő"/>
    <x v="3"/>
    <x v="27"/>
    <x v="68"/>
  </r>
  <r>
    <s v="férfi"/>
    <x v="5"/>
    <x v="19"/>
    <x v="18"/>
  </r>
  <r>
    <s v="férfi"/>
    <x v="6"/>
    <x v="0"/>
    <x v="1"/>
  </r>
  <r>
    <s v="nő"/>
    <x v="0"/>
    <x v="50"/>
    <x v="0"/>
  </r>
  <r>
    <s v="nő"/>
    <x v="3"/>
    <x v="18"/>
    <x v="89"/>
  </r>
  <r>
    <s v="férfi"/>
    <x v="3"/>
    <x v="26"/>
    <x v="103"/>
  </r>
  <r>
    <s v="férfi"/>
    <x v="2"/>
    <x v="1"/>
    <x v="95"/>
  </r>
  <r>
    <s v="férfi"/>
    <x v="11"/>
    <x v="3"/>
    <x v="29"/>
  </r>
  <r>
    <s v="férfi"/>
    <x v="2"/>
    <x v="20"/>
    <x v="10"/>
  </r>
  <r>
    <s v="férfi"/>
    <x v="3"/>
    <x v="0"/>
    <x v="33"/>
  </r>
  <r>
    <s v="férfi"/>
    <x v="6"/>
    <x v="21"/>
    <x v="27"/>
  </r>
  <r>
    <s v="férfi"/>
    <x v="2"/>
    <x v="23"/>
    <x v="36"/>
  </r>
  <r>
    <s v="férfi"/>
    <x v="3"/>
    <x v="4"/>
    <x v="104"/>
  </r>
  <r>
    <s v="nő"/>
    <x v="3"/>
    <x v="27"/>
    <x v="62"/>
  </r>
  <r>
    <s v="férfi"/>
    <x v="12"/>
    <x v="22"/>
    <x v="1"/>
  </r>
  <r>
    <s v="nő"/>
    <x v="1"/>
    <x v="15"/>
    <x v="56"/>
  </r>
  <r>
    <s v="férfi"/>
    <x v="6"/>
    <x v="23"/>
    <x v="85"/>
  </r>
  <r>
    <s v="nő"/>
    <x v="3"/>
    <x v="36"/>
    <x v="45"/>
  </r>
  <r>
    <s v="férfi"/>
    <x v="0"/>
    <x v="12"/>
    <x v="105"/>
  </r>
  <r>
    <s v="férfi"/>
    <x v="4"/>
    <x v="37"/>
    <x v="62"/>
  </r>
  <r>
    <s v="férfi"/>
    <x v="0"/>
    <x v="34"/>
    <x v="106"/>
  </r>
  <r>
    <s v="nő"/>
    <x v="9"/>
    <x v="24"/>
    <x v="80"/>
  </r>
  <r>
    <s v="nő"/>
    <x v="3"/>
    <x v="20"/>
    <x v="107"/>
  </r>
  <r>
    <s v="férfi"/>
    <x v="3"/>
    <x v="14"/>
    <x v="108"/>
  </r>
  <r>
    <s v="férfi"/>
    <x v="2"/>
    <x v="17"/>
    <x v="23"/>
  </r>
  <r>
    <s v="nő"/>
    <x v="4"/>
    <x v="24"/>
    <x v="46"/>
  </r>
  <r>
    <s v="nő"/>
    <x v="1"/>
    <x v="4"/>
    <x v="40"/>
  </r>
  <r>
    <s v="férfi"/>
    <x v="3"/>
    <x v="36"/>
    <x v="71"/>
  </r>
  <r>
    <s v="férfi"/>
    <x v="3"/>
    <x v="26"/>
    <x v="21"/>
  </r>
  <r>
    <s v="férfi"/>
    <x v="4"/>
    <x v="26"/>
    <x v="61"/>
  </r>
  <r>
    <s v="férfi"/>
    <x v="11"/>
    <x v="23"/>
    <x v="61"/>
  </r>
  <r>
    <s v="férfi"/>
    <x v="1"/>
    <x v="1"/>
    <x v="49"/>
  </r>
  <r>
    <s v="férfi"/>
    <x v="7"/>
    <x v="36"/>
    <x v="109"/>
  </r>
  <r>
    <s v="férfi"/>
    <x v="7"/>
    <x v="11"/>
    <x v="41"/>
  </r>
  <r>
    <s v="férfi"/>
    <x v="3"/>
    <x v="29"/>
    <x v="93"/>
  </r>
  <r>
    <s v="férfi"/>
    <x v="3"/>
    <x v="44"/>
    <x v="61"/>
  </r>
  <r>
    <s v="férfi"/>
    <x v="9"/>
    <x v="2"/>
    <x v="53"/>
  </r>
  <r>
    <s v="férfi"/>
    <x v="4"/>
    <x v="40"/>
    <x v="110"/>
  </r>
  <r>
    <s v="férfi"/>
    <x v="4"/>
    <x v="12"/>
    <x v="32"/>
  </r>
  <r>
    <s v="férfi"/>
    <x v="4"/>
    <x v="3"/>
    <x v="111"/>
  </r>
  <r>
    <s v="férfi"/>
    <x v="3"/>
    <x v="40"/>
    <x v="64"/>
  </r>
  <r>
    <s v="férfi"/>
    <x v="3"/>
    <x v="34"/>
    <x v="112"/>
  </r>
  <r>
    <s v="nő"/>
    <x v="4"/>
    <x v="14"/>
    <x v="29"/>
  </r>
  <r>
    <s v="férfi"/>
    <x v="4"/>
    <x v="32"/>
    <x v="71"/>
  </r>
  <r>
    <s v="nő"/>
    <x v="3"/>
    <x v="20"/>
    <x v="52"/>
  </r>
  <r>
    <s v="férfi"/>
    <x v="4"/>
    <x v="26"/>
    <x v="72"/>
  </r>
  <r>
    <s v="nő"/>
    <x v="4"/>
    <x v="0"/>
    <x v="0"/>
  </r>
  <r>
    <s v="nő"/>
    <x v="1"/>
    <x v="34"/>
    <x v="56"/>
  </r>
  <r>
    <s v="férfi"/>
    <x v="7"/>
    <x v="51"/>
    <x v="54"/>
  </r>
  <r>
    <s v="nő"/>
    <x v="3"/>
    <x v="35"/>
    <x v="46"/>
  </r>
  <r>
    <s v="nő"/>
    <x v="6"/>
    <x v="14"/>
    <x v="113"/>
  </r>
  <r>
    <s v="nő"/>
    <x v="3"/>
    <x v="20"/>
    <x v="64"/>
  </r>
  <r>
    <s v="férfi"/>
    <x v="3"/>
    <x v="14"/>
    <x v="5"/>
  </r>
  <r>
    <s v="férfi"/>
    <x v="10"/>
    <x v="15"/>
    <x v="1"/>
  </r>
  <r>
    <s v="nő"/>
    <x v="4"/>
    <x v="30"/>
    <x v="67"/>
  </r>
  <r>
    <s v="nő"/>
    <x v="3"/>
    <x v="30"/>
    <x v="2"/>
  </r>
  <r>
    <s v="férfi"/>
    <x v="1"/>
    <x v="34"/>
    <x v="100"/>
  </r>
  <r>
    <s v="férfi"/>
    <x v="3"/>
    <x v="52"/>
    <x v="52"/>
  </r>
  <r>
    <s v="férfi"/>
    <x v="3"/>
    <x v="37"/>
    <x v="15"/>
  </r>
  <r>
    <s v="férfi"/>
    <x v="6"/>
    <x v="34"/>
    <x v="60"/>
  </r>
  <r>
    <s v="férfi"/>
    <x v="4"/>
    <x v="24"/>
    <x v="54"/>
  </r>
  <r>
    <s v="férfi"/>
    <x v="3"/>
    <x v="4"/>
    <x v="60"/>
  </r>
  <r>
    <s v="férfi"/>
    <x v="6"/>
    <x v="25"/>
    <x v="63"/>
  </r>
  <r>
    <s v="férfi"/>
    <x v="11"/>
    <x v="10"/>
    <x v="107"/>
  </r>
  <r>
    <s v="nő"/>
    <x v="4"/>
    <x v="52"/>
    <x v="48"/>
  </r>
  <r>
    <s v="nő"/>
    <x v="6"/>
    <x v="11"/>
    <x v="63"/>
  </r>
  <r>
    <s v="férfi"/>
    <x v="3"/>
    <x v="34"/>
    <x v="90"/>
  </r>
  <r>
    <s v="férfi"/>
    <x v="9"/>
    <x v="7"/>
    <x v="38"/>
  </r>
  <r>
    <s v="férfi"/>
    <x v="2"/>
    <x v="11"/>
    <x v="71"/>
  </r>
  <r>
    <s v="férfi"/>
    <x v="3"/>
    <x v="31"/>
    <x v="78"/>
  </r>
  <r>
    <s v="férfi"/>
    <x v="6"/>
    <x v="26"/>
    <x v="26"/>
  </r>
  <r>
    <s v="férfi"/>
    <x v="2"/>
    <x v="9"/>
    <x v="114"/>
  </r>
  <r>
    <s v="férfi"/>
    <x v="3"/>
    <x v="9"/>
    <x v="38"/>
  </r>
  <r>
    <s v="férfi"/>
    <x v="2"/>
    <x v="11"/>
    <x v="115"/>
  </r>
  <r>
    <s v="férfi"/>
    <x v="2"/>
    <x v="4"/>
    <x v="81"/>
  </r>
  <r>
    <s v="nő"/>
    <x v="4"/>
    <x v="30"/>
    <x v="116"/>
  </r>
  <r>
    <s v="nő"/>
    <x v="3"/>
    <x v="26"/>
    <x v="68"/>
  </r>
  <r>
    <s v="nő"/>
    <x v="7"/>
    <x v="19"/>
    <x v="0"/>
  </r>
  <r>
    <s v="férfi"/>
    <x v="3"/>
    <x v="45"/>
    <x v="53"/>
  </r>
  <r>
    <s v="férfi"/>
    <x v="8"/>
    <x v="13"/>
    <x v="116"/>
  </r>
  <r>
    <s v="férfi"/>
    <x v="4"/>
    <x v="43"/>
    <x v="0"/>
  </r>
  <r>
    <s v="férfi"/>
    <x v="6"/>
    <x v="53"/>
    <x v="111"/>
  </r>
  <r>
    <s v="férfi"/>
    <x v="3"/>
    <x v="11"/>
    <x v="111"/>
  </r>
  <r>
    <s v="férfi"/>
    <x v="2"/>
    <x v="36"/>
    <x v="53"/>
  </r>
  <r>
    <s v="férfi"/>
    <x v="3"/>
    <x v="9"/>
    <x v="64"/>
  </r>
  <r>
    <s v="férfi"/>
    <x v="4"/>
    <x v="0"/>
    <x v="17"/>
  </r>
  <r>
    <s v="nő"/>
    <x v="12"/>
    <x v="4"/>
    <x v="7"/>
  </r>
  <r>
    <s v="férfi"/>
    <x v="3"/>
    <x v="49"/>
    <x v="117"/>
  </r>
  <r>
    <s v="férfi"/>
    <x v="3"/>
    <x v="24"/>
    <x v="13"/>
  </r>
  <r>
    <s v="nő"/>
    <x v="2"/>
    <x v="31"/>
    <x v="30"/>
  </r>
  <r>
    <s v="nő"/>
    <x v="4"/>
    <x v="30"/>
    <x v="115"/>
  </r>
  <r>
    <s v="férfi"/>
    <x v="4"/>
    <x v="3"/>
    <x v="118"/>
  </r>
  <r>
    <s v="nő"/>
    <x v="3"/>
    <x v="17"/>
    <x v="90"/>
  </r>
  <r>
    <s v="nő"/>
    <x v="3"/>
    <x v="48"/>
    <x v="60"/>
  </r>
  <r>
    <s v="nő"/>
    <x v="0"/>
    <x v="39"/>
    <x v="9"/>
  </r>
  <r>
    <s v="férfi"/>
    <x v="4"/>
    <x v="24"/>
    <x v="5"/>
  </r>
  <r>
    <s v="férfi"/>
    <x v="4"/>
    <x v="41"/>
    <x v="98"/>
  </r>
  <r>
    <s v="férfi"/>
    <x v="3"/>
    <x v="8"/>
    <x v="101"/>
  </r>
  <r>
    <s v="nő"/>
    <x v="4"/>
    <x v="33"/>
    <x v="46"/>
  </r>
  <r>
    <s v="nő"/>
    <x v="3"/>
    <x v="42"/>
    <x v="119"/>
  </r>
  <r>
    <s v="nő"/>
    <x v="4"/>
    <x v="33"/>
    <x v="21"/>
  </r>
  <r>
    <s v="nő"/>
    <x v="3"/>
    <x v="24"/>
    <x v="50"/>
  </r>
  <r>
    <s v="férfi"/>
    <x v="7"/>
    <x v="11"/>
    <x v="111"/>
  </r>
  <r>
    <s v="férfi"/>
    <x v="3"/>
    <x v="25"/>
    <x v="47"/>
  </r>
  <r>
    <s v="férfi"/>
    <x v="7"/>
    <x v="19"/>
    <x v="36"/>
  </r>
  <r>
    <s v="férfi"/>
    <x v="4"/>
    <x v="37"/>
    <x v="116"/>
  </r>
  <r>
    <s v="férfi"/>
    <x v="1"/>
    <x v="38"/>
    <x v="70"/>
  </r>
  <r>
    <s v="férfi"/>
    <x v="11"/>
    <x v="2"/>
    <x v="97"/>
  </r>
  <r>
    <s v="férfi"/>
    <x v="3"/>
    <x v="36"/>
    <x v="2"/>
  </r>
  <r>
    <s v="férfi"/>
    <x v="11"/>
    <x v="8"/>
    <x v="50"/>
  </r>
  <r>
    <s v="férfi"/>
    <x v="3"/>
    <x v="43"/>
    <x v="58"/>
  </r>
  <r>
    <s v="férfi"/>
    <x v="9"/>
    <x v="54"/>
    <x v="50"/>
  </r>
  <r>
    <s v="férfi"/>
    <x v="0"/>
    <x v="39"/>
    <x v="2"/>
  </r>
  <r>
    <s v="férfi"/>
    <x v="4"/>
    <x v="26"/>
    <x v="120"/>
  </r>
  <r>
    <s v="férfi"/>
    <x v="6"/>
    <x v="14"/>
    <x v="53"/>
  </r>
  <r>
    <s v="férfi"/>
    <x v="2"/>
    <x v="25"/>
    <x v="31"/>
  </r>
  <r>
    <s v="férfi"/>
    <x v="3"/>
    <x v="10"/>
    <x v="10"/>
  </r>
  <r>
    <s v="férfi"/>
    <x v="11"/>
    <x v="2"/>
    <x v="81"/>
  </r>
  <r>
    <s v="nő"/>
    <x v="4"/>
    <x v="20"/>
    <x v="102"/>
  </r>
  <r>
    <s v="férfi"/>
    <x v="3"/>
    <x v="11"/>
    <x v="121"/>
  </r>
  <r>
    <s v="férfi"/>
    <x v="9"/>
    <x v="43"/>
    <x v="52"/>
  </r>
  <r>
    <s v="férfi"/>
    <x v="1"/>
    <x v="3"/>
    <x v="44"/>
  </r>
  <r>
    <s v="férfi"/>
    <x v="3"/>
    <x v="40"/>
    <x v="63"/>
  </r>
  <r>
    <s v="férfi"/>
    <x v="2"/>
    <x v="19"/>
    <x v="30"/>
  </r>
  <r>
    <s v="férfi"/>
    <x v="1"/>
    <x v="55"/>
    <x v="56"/>
  </r>
  <r>
    <s v="férfi"/>
    <x v="11"/>
    <x v="56"/>
    <x v="56"/>
  </r>
  <r>
    <s v="férfi"/>
    <x v="3"/>
    <x v="9"/>
    <x v="85"/>
  </r>
  <r>
    <s v="nő"/>
    <x v="2"/>
    <x v="32"/>
    <x v="26"/>
  </r>
  <r>
    <s v="férfi"/>
    <x v="1"/>
    <x v="12"/>
    <x v="97"/>
  </r>
  <r>
    <s v="nő"/>
    <x v="3"/>
    <x v="24"/>
    <x v="69"/>
  </r>
  <r>
    <s v="férfi"/>
    <x v="4"/>
    <x v="23"/>
    <x v="58"/>
  </r>
  <r>
    <s v="nő"/>
    <x v="3"/>
    <x v="4"/>
    <x v="14"/>
  </r>
  <r>
    <s v="férfi"/>
    <x v="6"/>
    <x v="18"/>
    <x v="102"/>
  </r>
  <r>
    <s v="nő"/>
    <x v="2"/>
    <x v="37"/>
    <x v="7"/>
  </r>
  <r>
    <s v="férfi"/>
    <x v="6"/>
    <x v="28"/>
    <x v="55"/>
  </r>
  <r>
    <s v="férfi"/>
    <x v="3"/>
    <x v="10"/>
    <x v="85"/>
  </r>
  <r>
    <s v="nő"/>
    <x v="3"/>
    <x v="10"/>
    <x v="113"/>
  </r>
  <r>
    <s v="nő"/>
    <x v="3"/>
    <x v="49"/>
    <x v="111"/>
  </r>
  <r>
    <s v="férfi"/>
    <x v="3"/>
    <x v="33"/>
    <x v="122"/>
  </r>
  <r>
    <s v="férfi"/>
    <x v="11"/>
    <x v="29"/>
    <x v="97"/>
  </r>
  <r>
    <s v="férfi"/>
    <x v="4"/>
    <x v="39"/>
    <x v="38"/>
  </r>
  <r>
    <s v="nő"/>
    <x v="3"/>
    <x v="10"/>
    <x v="3"/>
  </r>
  <r>
    <s v="férfi"/>
    <x v="2"/>
    <x v="38"/>
    <x v="95"/>
  </r>
  <r>
    <s v="férfi"/>
    <x v="1"/>
    <x v="29"/>
    <x v="86"/>
  </r>
  <r>
    <s v="férfi"/>
    <x v="3"/>
    <x v="40"/>
    <x v="14"/>
  </r>
  <r>
    <s v="férfi"/>
    <x v="6"/>
    <x v="54"/>
    <x v="84"/>
  </r>
  <r>
    <s v="férfi"/>
    <x v="3"/>
    <x v="9"/>
    <x v="43"/>
  </r>
  <r>
    <s v="férfi"/>
    <x v="3"/>
    <x v="45"/>
    <x v="123"/>
  </r>
  <r>
    <s v="férfi"/>
    <x v="6"/>
    <x v="32"/>
    <x v="97"/>
  </r>
  <r>
    <s v="férfi"/>
    <x v="6"/>
    <x v="31"/>
    <x v="120"/>
  </r>
  <r>
    <s v="férfi"/>
    <x v="4"/>
    <x v="31"/>
    <x v="48"/>
  </r>
  <r>
    <s v="férfi"/>
    <x v="15"/>
    <x v="18"/>
    <x v="124"/>
  </r>
  <r>
    <s v="férfi"/>
    <x v="1"/>
    <x v="0"/>
    <x v="124"/>
  </r>
  <r>
    <s v="férfi"/>
    <x v="6"/>
    <x v="4"/>
    <x v="125"/>
  </r>
  <r>
    <s v="férfi"/>
    <x v="3"/>
    <x v="29"/>
    <x v="34"/>
  </r>
  <r>
    <s v="nő"/>
    <x v="1"/>
    <x v="25"/>
    <x v="26"/>
  </r>
  <r>
    <s v="nő"/>
    <x v="3"/>
    <x v="44"/>
    <x v="49"/>
  </r>
  <r>
    <s v="nő"/>
    <x v="5"/>
    <x v="2"/>
    <x v="120"/>
  </r>
  <r>
    <s v="nő"/>
    <x v="5"/>
    <x v="0"/>
    <x v="95"/>
  </r>
  <r>
    <s v="férfi"/>
    <x v="4"/>
    <x v="18"/>
    <x v="10"/>
  </r>
  <r>
    <s v="férfi"/>
    <x v="4"/>
    <x v="27"/>
    <x v="63"/>
  </r>
  <r>
    <s v="férfi"/>
    <x v="3"/>
    <x v="39"/>
    <x v="57"/>
  </r>
  <r>
    <s v="férfi"/>
    <x v="3"/>
    <x v="44"/>
    <x v="107"/>
  </r>
  <r>
    <s v="férfi"/>
    <x v="11"/>
    <x v="8"/>
    <x v="43"/>
  </r>
  <r>
    <s v="férfi"/>
    <x v="4"/>
    <x v="23"/>
    <x v="106"/>
  </r>
  <r>
    <s v="férfi"/>
    <x v="5"/>
    <x v="23"/>
    <x v="126"/>
  </r>
  <r>
    <s v="férfi"/>
    <x v="3"/>
    <x v="2"/>
    <x v="3"/>
  </r>
  <r>
    <s v="férfi"/>
    <x v="4"/>
    <x v="9"/>
    <x v="119"/>
  </r>
  <r>
    <s v="férfi"/>
    <x v="1"/>
    <x v="53"/>
    <x v="27"/>
  </r>
  <r>
    <s v="férfi"/>
    <x v="4"/>
    <x v="41"/>
    <x v="7"/>
  </r>
  <r>
    <s v="nő"/>
    <x v="3"/>
    <x v="32"/>
    <x v="93"/>
  </r>
  <r>
    <s v="nő"/>
    <x v="2"/>
    <x v="2"/>
    <x v="95"/>
  </r>
  <r>
    <s v="férfi"/>
    <x v="8"/>
    <x v="36"/>
    <x v="67"/>
  </r>
  <r>
    <s v="férfi"/>
    <x v="1"/>
    <x v="7"/>
    <x v="127"/>
  </r>
  <r>
    <s v="férfi"/>
    <x v="6"/>
    <x v="39"/>
    <x v="128"/>
  </r>
  <r>
    <s v="férfi"/>
    <x v="3"/>
    <x v="0"/>
    <x v="89"/>
  </r>
  <r>
    <s v="férfi"/>
    <x v="3"/>
    <x v="39"/>
    <x v="2"/>
  </r>
  <r>
    <s v="férfi"/>
    <x v="2"/>
    <x v="25"/>
    <x v="2"/>
  </r>
  <r>
    <s v="férfi"/>
    <x v="4"/>
    <x v="12"/>
    <x v="106"/>
  </r>
  <r>
    <s v="nő"/>
    <x v="2"/>
    <x v="16"/>
    <x v="45"/>
  </r>
  <r>
    <s v="nő"/>
    <x v="3"/>
    <x v="29"/>
    <x v="24"/>
  </r>
  <r>
    <s v="nő"/>
    <x v="3"/>
    <x v="44"/>
    <x v="61"/>
  </r>
  <r>
    <s v="férfi"/>
    <x v="2"/>
    <x v="25"/>
    <x v="103"/>
  </r>
  <r>
    <s v="férfi"/>
    <x v="8"/>
    <x v="25"/>
    <x v="53"/>
  </r>
  <r>
    <s v="férfi"/>
    <x v="7"/>
    <x v="0"/>
    <x v="13"/>
  </r>
  <r>
    <s v="férfi"/>
    <x v="16"/>
    <x v="57"/>
    <x v="67"/>
  </r>
  <r>
    <s v="férfi"/>
    <x v="0"/>
    <x v="25"/>
    <x v="19"/>
  </r>
  <r>
    <s v="férfi"/>
    <x v="3"/>
    <x v="15"/>
    <x v="47"/>
  </r>
  <r>
    <s v="férfi"/>
    <x v="5"/>
    <x v="53"/>
    <x v="21"/>
  </r>
  <r>
    <s v="férfi"/>
    <x v="3"/>
    <x v="8"/>
    <x v="78"/>
  </r>
  <r>
    <s v="férfi"/>
    <x v="5"/>
    <x v="19"/>
    <x v="38"/>
  </r>
  <r>
    <s v="férfi"/>
    <x v="3"/>
    <x v="0"/>
    <x v="28"/>
  </r>
  <r>
    <s v="nő"/>
    <x v="11"/>
    <x v="44"/>
    <x v="96"/>
  </r>
  <r>
    <s v="férfi"/>
    <x v="3"/>
    <x v="32"/>
    <x v="90"/>
  </r>
  <r>
    <s v="férfi"/>
    <x v="17"/>
    <x v="53"/>
    <x v="80"/>
  </r>
  <r>
    <s v="férfi"/>
    <x v="3"/>
    <x v="29"/>
    <x v="26"/>
  </r>
  <r>
    <s v="férfi"/>
    <x v="1"/>
    <x v="32"/>
    <x v="111"/>
  </r>
  <r>
    <s v="nő"/>
    <x v="3"/>
    <x v="29"/>
    <x v="27"/>
  </r>
  <r>
    <s v="férfi"/>
    <x v="3"/>
    <x v="40"/>
    <x v="129"/>
  </r>
  <r>
    <s v="férfi"/>
    <x v="1"/>
    <x v="12"/>
    <x v="83"/>
  </r>
  <r>
    <s v="férfi"/>
    <x v="3"/>
    <x v="9"/>
    <x v="29"/>
  </r>
  <r>
    <s v="férfi"/>
    <x v="3"/>
    <x v="26"/>
    <x v="63"/>
  </r>
  <r>
    <s v="férfi"/>
    <x v="3"/>
    <x v="27"/>
    <x v="62"/>
  </r>
  <r>
    <s v="férfi"/>
    <x v="4"/>
    <x v="11"/>
    <x v="43"/>
  </r>
  <r>
    <s v="nő"/>
    <x v="3"/>
    <x v="27"/>
    <x v="130"/>
  </r>
  <r>
    <s v="nő"/>
    <x v="1"/>
    <x v="37"/>
    <x v="57"/>
  </r>
  <r>
    <s v="nő"/>
    <x v="3"/>
    <x v="37"/>
    <x v="122"/>
  </r>
  <r>
    <s v="nő"/>
    <x v="3"/>
    <x v="27"/>
    <x v="38"/>
  </r>
  <r>
    <s v="férfi"/>
    <x v="6"/>
    <x v="10"/>
    <x v="1"/>
  </r>
  <r>
    <s v="férfi"/>
    <x v="6"/>
    <x v="52"/>
    <x v="32"/>
  </r>
  <r>
    <s v="férfi"/>
    <x v="2"/>
    <x v="38"/>
    <x v="14"/>
  </r>
  <r>
    <s v="férfi"/>
    <x v="1"/>
    <x v="4"/>
    <x v="38"/>
  </r>
  <r>
    <s v="férfi"/>
    <x v="12"/>
    <x v="23"/>
    <x v="57"/>
  </r>
  <r>
    <s v="nő"/>
    <x v="4"/>
    <x v="26"/>
    <x v="3"/>
  </r>
  <r>
    <s v="nő"/>
    <x v="1"/>
    <x v="0"/>
    <x v="102"/>
  </r>
  <r>
    <s v="férfi"/>
    <x v="18"/>
    <x v="12"/>
    <x v="116"/>
  </r>
  <r>
    <s v="férfi"/>
    <x v="4"/>
    <x v="21"/>
    <x v="60"/>
  </r>
  <r>
    <s v="férfi"/>
    <x v="3"/>
    <x v="39"/>
    <x v="95"/>
  </r>
  <r>
    <s v="férfi"/>
    <x v="3"/>
    <x v="29"/>
    <x v="125"/>
  </r>
  <r>
    <s v="férfi"/>
    <x v="8"/>
    <x v="0"/>
    <x v="3"/>
  </r>
  <r>
    <s v="férfi"/>
    <x v="6"/>
    <x v="18"/>
    <x v="25"/>
  </r>
  <r>
    <s v="férfi"/>
    <x v="3"/>
    <x v="39"/>
    <x v="131"/>
  </r>
  <r>
    <s v="férfi"/>
    <x v="4"/>
    <x v="1"/>
    <x v="1"/>
  </r>
  <r>
    <s v="nő"/>
    <x v="4"/>
    <x v="20"/>
    <x v="3"/>
  </r>
  <r>
    <s v="nő"/>
    <x v="3"/>
    <x v="34"/>
    <x v="10"/>
  </r>
  <r>
    <s v="nő"/>
    <x v="3"/>
    <x v="6"/>
    <x v="98"/>
  </r>
  <r>
    <s v="férfi"/>
    <x v="3"/>
    <x v="27"/>
    <x v="63"/>
  </r>
  <r>
    <s v="férfi"/>
    <x v="3"/>
    <x v="21"/>
    <x v="8"/>
  </r>
  <r>
    <s v="férfi"/>
    <x v="10"/>
    <x v="39"/>
    <x v="64"/>
  </r>
  <r>
    <s v="férfi"/>
    <x v="4"/>
    <x v="36"/>
    <x v="111"/>
  </r>
  <r>
    <s v="férfi"/>
    <x v="2"/>
    <x v="23"/>
    <x v="17"/>
  </r>
  <r>
    <s v="férfi"/>
    <x v="11"/>
    <x v="22"/>
    <x v="85"/>
  </r>
  <r>
    <s v="férfi"/>
    <x v="9"/>
    <x v="2"/>
    <x v="107"/>
  </r>
  <r>
    <s v="férfi"/>
    <x v="3"/>
    <x v="3"/>
    <x v="94"/>
  </r>
  <r>
    <s v="férfi"/>
    <x v="6"/>
    <x v="1"/>
    <x v="9"/>
  </r>
  <r>
    <s v="nő"/>
    <x v="3"/>
    <x v="15"/>
    <x v="132"/>
  </r>
  <r>
    <s v="férfi"/>
    <x v="7"/>
    <x v="1"/>
    <x v="95"/>
  </r>
  <r>
    <s v="nő"/>
    <x v="3"/>
    <x v="11"/>
    <x v="14"/>
  </r>
  <r>
    <s v="nő"/>
    <x v="8"/>
    <x v="25"/>
    <x v="10"/>
  </r>
  <r>
    <s v="férfi"/>
    <x v="4"/>
    <x v="39"/>
    <x v="104"/>
  </r>
  <r>
    <s v="nő"/>
    <x v="4"/>
    <x v="44"/>
    <x v="20"/>
  </r>
  <r>
    <s v="férfi"/>
    <x v="3"/>
    <x v="31"/>
    <x v="67"/>
  </r>
  <r>
    <s v="nő"/>
    <x v="4"/>
    <x v="40"/>
    <x v="51"/>
  </r>
  <r>
    <s v="férfi"/>
    <x v="3"/>
    <x v="2"/>
    <x v="83"/>
  </r>
  <r>
    <s v="férfi"/>
    <x v="11"/>
    <x v="19"/>
    <x v="22"/>
  </r>
  <r>
    <s v="férfi"/>
    <x v="3"/>
    <x v="6"/>
    <x v="44"/>
  </r>
  <r>
    <s v="nő"/>
    <x v="4"/>
    <x v="0"/>
    <x v="22"/>
  </r>
  <r>
    <s v="férfi"/>
    <x v="2"/>
    <x v="29"/>
    <x v="52"/>
  </r>
  <r>
    <s v="férfi"/>
    <x v="6"/>
    <x v="27"/>
    <x v="57"/>
  </r>
  <r>
    <s v="férfi"/>
    <x v="2"/>
    <x v="13"/>
    <x v="64"/>
  </r>
  <r>
    <s v="férfi"/>
    <x v="3"/>
    <x v="0"/>
    <x v="25"/>
  </r>
  <r>
    <s v="férfi"/>
    <x v="3"/>
    <x v="24"/>
    <x v="54"/>
  </r>
  <r>
    <s v="nő"/>
    <x v="3"/>
    <x v="36"/>
    <x v="133"/>
  </r>
  <r>
    <s v="nő"/>
    <x v="3"/>
    <x v="20"/>
    <x v="19"/>
  </r>
  <r>
    <s v="nő"/>
    <x v="3"/>
    <x v="14"/>
    <x v="67"/>
  </r>
  <r>
    <s v="férfi"/>
    <x v="0"/>
    <x v="37"/>
    <x v="87"/>
  </r>
  <r>
    <s v="férfi"/>
    <x v="19"/>
    <x v="26"/>
    <x v="110"/>
  </r>
  <r>
    <s v="férfi"/>
    <x v="11"/>
    <x v="39"/>
    <x v="57"/>
  </r>
  <r>
    <s v="férfi"/>
    <x v="2"/>
    <x v="14"/>
    <x v="95"/>
  </r>
  <r>
    <s v="férfi"/>
    <x v="4"/>
    <x v="23"/>
    <x v="70"/>
  </r>
  <r>
    <s v="férfi"/>
    <x v="1"/>
    <x v="25"/>
    <x v="63"/>
  </r>
  <r>
    <s v="férfi"/>
    <x v="2"/>
    <x v="0"/>
    <x v="102"/>
  </r>
  <r>
    <s v="férfi"/>
    <x v="3"/>
    <x v="9"/>
    <x v="26"/>
  </r>
  <r>
    <s v="férfi"/>
    <x v="1"/>
    <x v="0"/>
    <x v="96"/>
  </r>
  <r>
    <s v="férfi"/>
    <x v="11"/>
    <x v="25"/>
    <x v="3"/>
  </r>
  <r>
    <s v="férfi"/>
    <x v="11"/>
    <x v="25"/>
    <x v="37"/>
  </r>
  <r>
    <s v="férfi"/>
    <x v="4"/>
    <x v="32"/>
    <x v="134"/>
  </r>
  <r>
    <s v="férfi"/>
    <x v="3"/>
    <x v="14"/>
    <x v="135"/>
  </r>
  <r>
    <s v="férfi"/>
    <x v="3"/>
    <x v="36"/>
    <x v="110"/>
  </r>
  <r>
    <s v="nő"/>
    <x v="3"/>
    <x v="20"/>
    <x v="27"/>
  </r>
  <r>
    <s v="férfi"/>
    <x v="2"/>
    <x v="3"/>
    <x v="67"/>
  </r>
  <r>
    <s v="férfi"/>
    <x v="7"/>
    <x v="26"/>
    <x v="110"/>
  </r>
  <r>
    <s v="férfi"/>
    <x v="2"/>
    <x v="2"/>
    <x v="43"/>
  </r>
  <r>
    <s v="férfi"/>
    <x v="2"/>
    <x v="3"/>
    <x v="49"/>
  </r>
  <r>
    <s v="férfi"/>
    <x v="8"/>
    <x v="34"/>
    <x v="112"/>
  </r>
  <r>
    <s v="férfi"/>
    <x v="2"/>
    <x v="31"/>
    <x v="21"/>
  </r>
  <r>
    <s v="nő"/>
    <x v="3"/>
    <x v="24"/>
    <x v="50"/>
  </r>
  <r>
    <s v="férfi"/>
    <x v="3"/>
    <x v="34"/>
    <x v="110"/>
  </r>
  <r>
    <s v="nő"/>
    <x v="3"/>
    <x v="45"/>
    <x v="31"/>
  </r>
  <r>
    <s v="nő"/>
    <x v="3"/>
    <x v="14"/>
    <x v="111"/>
  </r>
  <r>
    <s v="nő"/>
    <x v="3"/>
    <x v="27"/>
    <x v="47"/>
  </r>
  <r>
    <s v="nő"/>
    <x v="3"/>
    <x v="43"/>
    <x v="136"/>
  </r>
  <r>
    <s v="férfi"/>
    <x v="11"/>
    <x v="46"/>
    <x v="1"/>
  </r>
  <r>
    <s v="nő"/>
    <x v="4"/>
    <x v="35"/>
    <x v="117"/>
  </r>
  <r>
    <s v="férfi"/>
    <x v="3"/>
    <x v="25"/>
    <x v="137"/>
  </r>
  <r>
    <s v="férfi"/>
    <x v="3"/>
    <x v="9"/>
    <x v="74"/>
  </r>
  <r>
    <s v="férfi"/>
    <x v="7"/>
    <x v="36"/>
    <x v="61"/>
  </r>
  <r>
    <s v="férfi"/>
    <x v="0"/>
    <x v="14"/>
    <x v="15"/>
  </r>
  <r>
    <s v="férfi"/>
    <x v="6"/>
    <x v="36"/>
    <x v="0"/>
  </r>
  <r>
    <s v="férfi"/>
    <x v="14"/>
    <x v="50"/>
    <x v="3"/>
  </r>
  <r>
    <s v="férfi"/>
    <x v="1"/>
    <x v="14"/>
    <x v="5"/>
  </r>
  <r>
    <s v="férfi"/>
    <x v="2"/>
    <x v="25"/>
    <x v="27"/>
  </r>
  <r>
    <s v="férfi"/>
    <x v="2"/>
    <x v="2"/>
    <x v="76"/>
  </r>
  <r>
    <s v="férfi"/>
    <x v="3"/>
    <x v="3"/>
    <x v="138"/>
  </r>
  <r>
    <s v="férfi"/>
    <x v="1"/>
    <x v="2"/>
    <x v="103"/>
  </r>
  <r>
    <s v="férfi"/>
    <x v="8"/>
    <x v="25"/>
    <x v="63"/>
  </r>
  <r>
    <s v="férfi"/>
    <x v="20"/>
    <x v="4"/>
    <x v="68"/>
  </r>
  <r>
    <s v="férfi"/>
    <x v="4"/>
    <x v="15"/>
    <x v="75"/>
  </r>
  <r>
    <s v="férfi"/>
    <x v="11"/>
    <x v="14"/>
    <x v="32"/>
  </r>
  <r>
    <s v="férfi"/>
    <x v="1"/>
    <x v="9"/>
    <x v="15"/>
  </r>
  <r>
    <s v="férfi"/>
    <x v="1"/>
    <x v="52"/>
    <x v="96"/>
  </r>
  <r>
    <s v="férfi"/>
    <x v="1"/>
    <x v="4"/>
    <x v="96"/>
  </r>
  <r>
    <s v="férfi"/>
    <x v="4"/>
    <x v="38"/>
    <x v="47"/>
  </r>
  <r>
    <s v="férfi"/>
    <x v="4"/>
    <x v="23"/>
    <x v="139"/>
  </r>
  <r>
    <s v="férfi"/>
    <x v="3"/>
    <x v="19"/>
    <x v="17"/>
  </r>
  <r>
    <s v="nő"/>
    <x v="2"/>
    <x v="4"/>
    <x v="64"/>
  </r>
  <r>
    <s v="nő"/>
    <x v="21"/>
    <x v="0"/>
    <x v="15"/>
  </r>
  <r>
    <s v="nő"/>
    <x v="22"/>
    <x v="0"/>
    <x v="9"/>
  </r>
  <r>
    <s v="nő"/>
    <x v="4"/>
    <x v="19"/>
    <x v="46"/>
  </r>
  <r>
    <s v="férfi"/>
    <x v="3"/>
    <x v="22"/>
    <x v="60"/>
  </r>
  <r>
    <s v="férfi"/>
    <x v="2"/>
    <x v="3"/>
    <x v="140"/>
  </r>
  <r>
    <s v="nő"/>
    <x v="1"/>
    <x v="19"/>
    <x v="29"/>
  </r>
  <r>
    <s v="nő"/>
    <x v="6"/>
    <x v="22"/>
    <x v="27"/>
  </r>
  <r>
    <s v="férfi"/>
    <x v="2"/>
    <x v="20"/>
    <x v="107"/>
  </r>
  <r>
    <s v="nő"/>
    <x v="3"/>
    <x v="32"/>
    <x v="26"/>
  </r>
  <r>
    <s v="nő"/>
    <x v="8"/>
    <x v="14"/>
    <x v="37"/>
  </r>
  <r>
    <s v="férfi"/>
    <x v="10"/>
    <x v="39"/>
    <x v="68"/>
  </r>
  <r>
    <s v="férfi"/>
    <x v="3"/>
    <x v="19"/>
    <x v="47"/>
  </r>
  <r>
    <s v="férfi"/>
    <x v="3"/>
    <x v="14"/>
    <x v="50"/>
  </r>
  <r>
    <s v="férfi"/>
    <x v="5"/>
    <x v="23"/>
    <x v="61"/>
  </r>
  <r>
    <s v="nő"/>
    <x v="3"/>
    <x v="14"/>
    <x v="83"/>
  </r>
  <r>
    <s v="férfi"/>
    <x v="14"/>
    <x v="58"/>
    <x v="3"/>
  </r>
  <r>
    <s v="férfi"/>
    <x v="3"/>
    <x v="33"/>
    <x v="60"/>
  </r>
  <r>
    <s v="nő"/>
    <x v="5"/>
    <x v="29"/>
    <x v="125"/>
  </r>
  <r>
    <s v="férfi"/>
    <x v="1"/>
    <x v="26"/>
    <x v="61"/>
  </r>
  <r>
    <s v="férfi"/>
    <x v="3"/>
    <x v="43"/>
    <x v="45"/>
  </r>
  <r>
    <s v="férfi"/>
    <x v="2"/>
    <x v="52"/>
    <x v="95"/>
  </r>
  <r>
    <s v="férfi"/>
    <x v="3"/>
    <x v="31"/>
    <x v="82"/>
  </r>
  <r>
    <s v="férfi"/>
    <x v="4"/>
    <x v="19"/>
    <x v="69"/>
  </r>
  <r>
    <s v="férfi"/>
    <x v="2"/>
    <x v="12"/>
    <x v="96"/>
  </r>
  <r>
    <s v="férfi"/>
    <x v="4"/>
    <x v="30"/>
    <x v="113"/>
  </r>
  <r>
    <s v="férfi"/>
    <x v="4"/>
    <x v="12"/>
    <x v="46"/>
  </r>
  <r>
    <s v="férfi"/>
    <x v="4"/>
    <x v="34"/>
    <x v="141"/>
  </r>
  <r>
    <s v="férfi"/>
    <x v="1"/>
    <x v="12"/>
    <x v="113"/>
  </r>
  <r>
    <s v="nő"/>
    <x v="11"/>
    <x v="27"/>
    <x v="142"/>
  </r>
  <r>
    <s v="férfi"/>
    <x v="8"/>
    <x v="10"/>
    <x v="122"/>
  </r>
  <r>
    <s v="nő"/>
    <x v="2"/>
    <x v="44"/>
    <x v="73"/>
  </r>
  <r>
    <s v="férfi"/>
    <x v="3"/>
    <x v="42"/>
    <x v="31"/>
  </r>
  <r>
    <s v="férfi"/>
    <x v="6"/>
    <x v="3"/>
    <x v="20"/>
  </r>
  <r>
    <s v="férfi"/>
    <x v="3"/>
    <x v="39"/>
    <x v="88"/>
  </r>
  <r>
    <s v="férfi"/>
    <x v="4"/>
    <x v="26"/>
    <x v="53"/>
  </r>
  <r>
    <s v="férfi"/>
    <x v="2"/>
    <x v="20"/>
    <x v="36"/>
  </r>
  <r>
    <s v="férfi"/>
    <x v="3"/>
    <x v="14"/>
    <x v="143"/>
  </r>
  <r>
    <s v="nő"/>
    <x v="3"/>
    <x v="40"/>
    <x v="144"/>
  </r>
  <r>
    <s v="férfi"/>
    <x v="6"/>
    <x v="3"/>
    <x v="53"/>
  </r>
  <r>
    <s v="férfi"/>
    <x v="2"/>
    <x v="11"/>
    <x v="26"/>
  </r>
  <r>
    <s v="férfi"/>
    <x v="1"/>
    <x v="4"/>
    <x v="46"/>
  </r>
  <r>
    <s v="férfi"/>
    <x v="4"/>
    <x v="28"/>
    <x v="22"/>
  </r>
  <r>
    <s v="férfi"/>
    <x v="1"/>
    <x v="11"/>
    <x v="145"/>
  </r>
  <r>
    <s v="férfi"/>
    <x v="4"/>
    <x v="3"/>
    <x v="52"/>
  </r>
  <r>
    <s v="férfi"/>
    <x v="6"/>
    <x v="16"/>
    <x v="47"/>
  </r>
  <r>
    <s v="nő"/>
    <x v="3"/>
    <x v="20"/>
    <x v="27"/>
  </r>
  <r>
    <s v="nő"/>
    <x v="3"/>
    <x v="0"/>
    <x v="45"/>
  </r>
  <r>
    <s v="nő"/>
    <x v="3"/>
    <x v="35"/>
    <x v="144"/>
  </r>
  <r>
    <s v="férfi"/>
    <x v="2"/>
    <x v="1"/>
    <x v="91"/>
  </r>
  <r>
    <s v="férfi"/>
    <x v="5"/>
    <x v="19"/>
    <x v="13"/>
  </r>
  <r>
    <s v="férfi"/>
    <x v="4"/>
    <x v="26"/>
    <x v="13"/>
  </r>
  <r>
    <s v="férfi"/>
    <x v="2"/>
    <x v="20"/>
    <x v="17"/>
  </r>
  <r>
    <s v="férfi"/>
    <x v="3"/>
    <x v="23"/>
    <x v="45"/>
  </r>
  <r>
    <s v="férfi"/>
    <x v="3"/>
    <x v="26"/>
    <x v="140"/>
  </r>
  <r>
    <s v="férfi"/>
    <x v="1"/>
    <x v="14"/>
    <x v="146"/>
  </r>
  <r>
    <s v="nő"/>
    <x v="3"/>
    <x v="21"/>
    <x v="27"/>
  </r>
  <r>
    <s v="nő"/>
    <x v="4"/>
    <x v="24"/>
    <x v="83"/>
  </r>
  <r>
    <s v="férfi"/>
    <x v="3"/>
    <x v="37"/>
    <x v="62"/>
  </r>
  <r>
    <s v="nő"/>
    <x v="4"/>
    <x v="11"/>
    <x v="146"/>
  </r>
  <r>
    <s v="nő"/>
    <x v="23"/>
    <x v="13"/>
    <x v="57"/>
  </r>
  <r>
    <s v="nő"/>
    <x v="4"/>
    <x v="43"/>
    <x v="27"/>
  </r>
  <r>
    <s v="nő"/>
    <x v="3"/>
    <x v="3"/>
    <x v="54"/>
  </r>
  <r>
    <s v="nő"/>
    <x v="4"/>
    <x v="40"/>
    <x v="71"/>
  </r>
  <r>
    <s v="férfi"/>
    <x v="3"/>
    <x v="35"/>
    <x v="70"/>
  </r>
  <r>
    <s v="férfi"/>
    <x v="7"/>
    <x v="36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3">
  <r>
    <m/>
    <s v="Zachar, Matej"/>
    <n v="1966"/>
    <n v="53"/>
    <s v="M40"/>
    <s v="SVK"/>
    <s v="03:28:13"/>
    <x v="0"/>
  </r>
  <r>
    <m/>
    <s v="Szalai Barna"/>
    <n v="1989"/>
    <n v="30"/>
    <s v="M20"/>
    <s v="HUN"/>
    <s v="04:05:38"/>
    <x v="1"/>
  </r>
  <r>
    <m/>
    <s v="Herman Patrik"/>
    <n v="1988"/>
    <n v="31"/>
    <s v="M20"/>
    <s v="HUN"/>
    <s v="04:51:06"/>
    <x v="2"/>
  </r>
  <r>
    <m/>
    <s v="Ujszegi Róbert"/>
    <n v="1974"/>
    <n v="45"/>
    <s v="M45"/>
    <s v="HUN"/>
    <s v="03:31:16"/>
    <x v="3"/>
  </r>
  <r>
    <m/>
    <s v="Dobos Tamás"/>
    <n v="1974"/>
    <n v="45"/>
    <s v="M30"/>
    <s v="HUN"/>
    <s v="03:51:29"/>
    <x v="4"/>
  </r>
  <r>
    <m/>
    <s v="MORGAN, DAVID"/>
    <n v="1970"/>
    <n v="49"/>
    <s v="M30"/>
    <s v="RSA"/>
    <s v="04:24:09"/>
    <x v="5"/>
  </r>
  <r>
    <m/>
    <s v="Zsöllei Ákos"/>
    <n v="1980"/>
    <n v="39"/>
    <s v="M40"/>
    <s v="HUN"/>
    <s v="04:41:08"/>
    <x v="6"/>
  </r>
  <r>
    <m/>
    <s v="Katus Kristóf"/>
    <n v="1974"/>
    <n v="45"/>
    <s v="M35"/>
    <s v="HUN"/>
    <s v="03:47:54"/>
    <x v="7"/>
  </r>
  <r>
    <m/>
    <s v="VINCENT, MIELLE"/>
    <n v="1960"/>
    <n v="59"/>
    <s v="M35"/>
    <s v="FRA"/>
    <s v="04:05:21"/>
    <x v="8"/>
  </r>
  <r>
    <m/>
    <s v="Bajnóczki Csongor"/>
    <n v="1954"/>
    <n v="65"/>
    <s v="M30"/>
    <s v="HUN"/>
    <s v="03:56:56"/>
    <x v="9"/>
  </r>
  <r>
    <m/>
    <s v="Roberts, Mark"/>
    <n v="1990"/>
    <n v="29"/>
    <s v="M55"/>
    <s v="GBR"/>
    <s v="03:36:44"/>
    <x v="10"/>
  </r>
  <r>
    <m/>
    <s v="Pálfi Előd"/>
    <n v="1963"/>
    <n v="56"/>
    <s v="M50"/>
    <s v="HUN"/>
    <s v="03:58:23"/>
    <x v="11"/>
  </r>
  <r>
    <m/>
    <s v="Brabrand, Kristoffer"/>
    <n v="1983"/>
    <n v="36"/>
    <s v="M35"/>
    <s v="NOR"/>
    <s v="02:49:22"/>
    <x v="12"/>
  </r>
  <r>
    <m/>
    <s v="Szlaukó Róbert"/>
    <n v="1961"/>
    <n v="58"/>
    <s v="M40"/>
    <s v="HUN"/>
    <s v="05:14:18"/>
    <x v="13"/>
  </r>
  <r>
    <m/>
    <s v="Wennerström, Per"/>
    <n v="1973"/>
    <n v="46"/>
    <s v="M45"/>
    <s v="SWE"/>
    <s v="03:23:34"/>
    <x v="14"/>
  </r>
  <r>
    <m/>
    <s v="Manduch, Jan"/>
    <n v="1990"/>
    <n v="29"/>
    <s v="M45"/>
    <s v="SVK"/>
    <s v="03:27:29"/>
    <x v="15"/>
  </r>
  <r>
    <m/>
    <s v="Jagasits Tamás"/>
    <n v="1976"/>
    <n v="43"/>
    <s v="M40"/>
    <s v="HUN"/>
    <s v="03:45:59"/>
    <x v="16"/>
  </r>
  <r>
    <m/>
    <s v="Szabó Gyula"/>
    <n v="1978"/>
    <n v="41"/>
    <s v="M30"/>
    <s v="HUN"/>
    <s v="05:26:03"/>
    <x v="17"/>
  </r>
  <r>
    <m/>
    <s v="Nour Eddin Abdul Nasser"/>
    <n v="1978"/>
    <n v="41"/>
    <s v="M60"/>
    <s v="HUN"/>
    <s v="05:11:36"/>
    <x v="18"/>
  </r>
  <r>
    <m/>
    <s v="Strasser, Tobias"/>
    <n v="1970"/>
    <n v="49"/>
    <s v="M20"/>
    <s v="GER"/>
    <s v="05:23:35"/>
    <x v="19"/>
  </r>
  <r>
    <m/>
    <s v="Molnár Péter"/>
    <n v="1974"/>
    <n v="45"/>
    <s v="M45"/>
    <s v="HUN"/>
    <s v="03:09:16"/>
    <x v="20"/>
  </r>
  <r>
    <m/>
    <s v="Shearwood, Michael"/>
    <n v="1981"/>
    <n v="38"/>
    <s v="M40"/>
    <s v="GBR"/>
    <s v="03:38:42"/>
    <x v="21"/>
  </r>
  <r>
    <m/>
    <s v="Bauer László"/>
    <n v="1974"/>
    <n v="45"/>
    <s v="M55"/>
    <s v="HUN"/>
    <s v="05:25:05"/>
    <x v="22"/>
  </r>
  <r>
    <m/>
    <s v="Kukor Dávid"/>
    <n v="1984"/>
    <n v="35"/>
    <s v="M30"/>
    <s v="HUN"/>
    <s v="03:26:35"/>
    <x v="23"/>
  </r>
  <r>
    <m/>
    <s v="MUNARI, FRANCO"/>
    <n v="1966"/>
    <n v="53"/>
    <s v="M60"/>
    <s v="ITA"/>
    <s v="04:25:34"/>
    <x v="24"/>
  </r>
  <r>
    <m/>
    <s v="Bozó-Bódi Gábor"/>
    <n v="1979"/>
    <n v="40"/>
    <s v="M25"/>
    <s v="HUN"/>
    <s v="03:47:38"/>
    <x v="25"/>
  </r>
  <r>
    <m/>
    <s v="Lukács Gábor"/>
    <n v="1986"/>
    <n v="33"/>
    <s v="M60"/>
    <s v="HUN"/>
    <s v="04:45:27"/>
    <x v="26"/>
  </r>
  <r>
    <m/>
    <s v="Seignette, Max"/>
    <n v="1984"/>
    <n v="35"/>
    <s v="M30"/>
    <s v="NED"/>
    <s v="03:09:08"/>
    <x v="27"/>
  </r>
  <r>
    <m/>
    <s v="Sasson, Nir"/>
    <n v="1983"/>
    <n v="36"/>
    <s v="M45"/>
    <s v="ISR"/>
    <s v="03:47:35"/>
    <x v="28"/>
  </r>
  <r>
    <m/>
    <s v="Wyatt, Peter dr"/>
    <n v="1983"/>
    <n v="36"/>
    <s v="M30"/>
    <s v="GBR"/>
    <s v="03:16:04"/>
    <x v="29"/>
  </r>
  <r>
    <m/>
    <s v="GAL, DARIUS"/>
    <n v="1976"/>
    <n v="43"/>
    <s v="M35"/>
    <s v="SVK"/>
    <s v="04:45:30"/>
    <x v="30"/>
  </r>
  <r>
    <m/>
    <s v="Molnár Mihály"/>
    <n v="1967"/>
    <n v="52"/>
    <s v="M55"/>
    <s v="HUN"/>
    <s v="05:11:04"/>
    <x v="31"/>
  </r>
  <r>
    <m/>
    <s v="Paggi, Patrizio"/>
    <n v="1959"/>
    <n v="60"/>
    <s v="M45"/>
    <s v="ITA"/>
    <s v="03:41:47"/>
    <x v="32"/>
  </r>
  <r>
    <m/>
    <s v="Piskla, tefan"/>
    <n v="1977"/>
    <n v="42"/>
    <s v="M35"/>
    <s v="SVK"/>
    <s v="03:25:51"/>
    <x v="33"/>
  </r>
  <r>
    <m/>
    <s v="KARAVIDAS, KONSTNATIN"/>
    <n v="1976"/>
    <n v="43"/>
    <s v="M40"/>
    <s v="GRE"/>
    <s v="04:20:27"/>
    <x v="34"/>
  </r>
  <r>
    <m/>
    <s v="Kovács Csaba"/>
    <n v="1986"/>
    <n v="33"/>
    <s v="M40"/>
    <s v="HUN"/>
    <s v="04:38:22"/>
    <x v="35"/>
  </r>
  <r>
    <m/>
    <s v="Franck, Thomas"/>
    <n v="1971"/>
    <n v="48"/>
    <s v="M55"/>
    <s v="FRA"/>
    <s v="04:20:41"/>
    <x v="36"/>
  </r>
  <r>
    <m/>
    <s v="Nagy Péter"/>
    <n v="1983"/>
    <n v="36"/>
    <s v="M40"/>
    <s v="HUN"/>
    <s v="04:00:44"/>
    <x v="37"/>
  </r>
  <r>
    <m/>
    <s v="Knezevic, Goran"/>
    <n v="1975"/>
    <n v="44"/>
    <s v="M35"/>
    <s v="SRB"/>
    <s v="04:15:52"/>
    <x v="38"/>
  </r>
  <r>
    <m/>
    <s v="Hanley, Ryan"/>
    <n v="1983"/>
    <n v="36"/>
    <s v="M30"/>
    <s v="GBR"/>
    <s v="04:35:05"/>
    <x v="39"/>
  </r>
  <r>
    <m/>
    <s v="Lückhoff, Gerhard"/>
    <n v="1969"/>
    <n v="50"/>
    <s v="M60"/>
    <s v="GER"/>
    <s v="03:29:59"/>
    <x v="40"/>
  </r>
  <r>
    <m/>
    <s v="Csiki Tas"/>
    <n v="1973"/>
    <n v="46"/>
    <s v="M30"/>
    <s v="HUN"/>
    <s v="03:40:53"/>
    <x v="41"/>
  </r>
  <r>
    <m/>
    <s v="Kládek, Attila"/>
    <n v="1988"/>
    <n v="31"/>
    <s v="M35"/>
    <s v="SVK"/>
    <s v="03:48:04"/>
    <x v="42"/>
  </r>
  <r>
    <m/>
    <s v="Flynn, Daniel"/>
    <n v="1967"/>
    <n v="52"/>
    <s v="M20"/>
    <s v="GBR"/>
    <s v="03:41:14"/>
    <x v="43"/>
  </r>
  <r>
    <m/>
    <s v="Ido, Rotman"/>
    <n v="1965"/>
    <n v="54"/>
    <s v="M45"/>
    <s v="ISR"/>
    <s v="04:16:47"/>
    <x v="44"/>
  </r>
  <r>
    <m/>
    <s v="Szilágyi Zoltán"/>
    <n v="1974"/>
    <n v="45"/>
    <s v="M45"/>
    <s v="HUN"/>
    <s v="03:25:16"/>
    <x v="45"/>
  </r>
  <r>
    <m/>
    <s v="Barta Gábor"/>
    <n v="1999"/>
    <n v="20"/>
    <s v="M25"/>
    <s v="HUN"/>
    <s v="03:08:16"/>
    <x v="46"/>
  </r>
  <r>
    <m/>
    <s v="Mankiewicz, Mariusz"/>
    <n v="1986"/>
    <n v="33"/>
    <s v="M30"/>
    <s v="POL"/>
    <s v="04:18:26"/>
    <x v="47"/>
  </r>
  <r>
    <m/>
    <s v="Czövek Andrys"/>
    <n v="1979"/>
    <n v="40"/>
    <s v="M30"/>
    <s v="HUN"/>
    <s v="04:31:30"/>
    <x v="48"/>
  </r>
  <r>
    <m/>
    <s v="Kok, Rens"/>
    <n v="1974"/>
    <n v="45"/>
    <s v="M30"/>
    <s v="NED"/>
    <s v="03:39:46"/>
    <x v="49"/>
  </r>
  <r>
    <m/>
    <s v="Webber, William"/>
    <n v="1968"/>
    <n v="51"/>
    <s v="M20"/>
    <s v="GBR"/>
    <s v="03:30:02"/>
    <x v="50"/>
  </r>
  <r>
    <m/>
    <s v="Herbay András"/>
    <n v="1978"/>
    <n v="41"/>
    <s v="M40"/>
    <s v="HUN"/>
    <s v="03:23:32"/>
    <x v="51"/>
  </r>
  <r>
    <m/>
    <s v="Ferencz Gyula"/>
    <n v="1976"/>
    <n v="43"/>
    <s v="M50"/>
    <s v="HUN"/>
    <s v="04:14:59"/>
    <x v="52"/>
  </r>
  <r>
    <m/>
    <s v="Saad, Rageb"/>
    <n v="1981"/>
    <n v="38"/>
    <s v="M30"/>
    <s v="ISR"/>
    <s v="03:54:03"/>
    <x v="53"/>
  </r>
  <r>
    <m/>
    <s v="ERDEI, NORBERT"/>
    <n v="1984"/>
    <n v="35"/>
    <s v="M45"/>
    <s v="GER"/>
    <s v="03:48:23"/>
    <x v="54"/>
  </r>
  <r>
    <m/>
    <s v="Bredács István"/>
    <n v="1982"/>
    <n v="37"/>
    <s v="M60"/>
    <s v="HUN"/>
    <s v="04:24:44"/>
    <x v="55"/>
  </r>
  <r>
    <m/>
    <s v="DIMITRIOS, KOUTSOUMPIDIS"/>
    <n v="1977"/>
    <n v="42"/>
    <s v="M40"/>
    <s v="GRE"/>
    <s v="02:50:09"/>
    <x v="56"/>
  </r>
  <r>
    <m/>
    <s v="Szappanos Tamás"/>
    <n v="1967"/>
    <n v="52"/>
    <s v="M35"/>
    <s v="HUN"/>
    <s v="03:46:23"/>
    <x v="57"/>
  </r>
  <r>
    <m/>
    <s v="Fucile, Fabrizio prof"/>
    <n v="1978"/>
    <n v="41"/>
    <s v="M55"/>
    <s v="ITA"/>
    <s v="04:05:52"/>
    <x v="58"/>
  </r>
  <r>
    <m/>
    <s v="Illés Zoltán Dávid"/>
    <n v="1962"/>
    <n v="57"/>
    <s v="M30"/>
    <s v="HUN"/>
    <s v="03:26:56"/>
    <x v="59"/>
  </r>
  <r>
    <m/>
    <s v="Berendi Dominik"/>
    <n v="1979"/>
    <n v="40"/>
    <s v="M25"/>
    <s v="HUN"/>
    <s v="04:21:51"/>
    <x v="60"/>
  </r>
  <r>
    <m/>
    <s v="VERGAUWE, LUC"/>
    <n v="1971"/>
    <n v="48"/>
    <s v="M50"/>
    <s v="BEL"/>
    <s v="04:19:35"/>
    <x v="61"/>
  </r>
  <r>
    <m/>
    <s v="Gilis, Maxim"/>
    <n v="1976"/>
    <n v="43"/>
    <s v="M30"/>
    <s v="BEL"/>
    <s v="03:35:42"/>
    <x v="62"/>
  </r>
  <r>
    <m/>
    <s v="Földes Antal Márton"/>
    <n v="1981"/>
    <n v="38"/>
    <s v="M45"/>
    <s v="HUN"/>
    <s v="03:17:48"/>
    <x v="63"/>
  </r>
  <r>
    <m/>
    <s v="Balázs Ervin"/>
    <n v="1997"/>
    <n v="22"/>
    <s v="M25"/>
    <s v="HUN"/>
    <s v="04:10:30"/>
    <x v="64"/>
  </r>
  <r>
    <m/>
    <s v="Rácz Bence"/>
    <n v="1976"/>
    <n v="43"/>
    <s v="M35"/>
    <s v="HUN"/>
    <s v="04:43:33"/>
    <x v="65"/>
  </r>
  <r>
    <m/>
    <s v="Pataki András"/>
    <n v="1987"/>
    <n v="32"/>
    <s v="M45"/>
    <s v="HUN"/>
    <s v="04:11:08"/>
    <x v="66"/>
  </r>
  <r>
    <m/>
    <s v="Done, Andrew"/>
    <n v="1981"/>
    <n v="38"/>
    <s v="M20"/>
    <s v="RSA"/>
    <s v="04:31:03"/>
    <x v="67"/>
  </r>
  <r>
    <m/>
    <s v="Béres Tamás"/>
    <n v="1992"/>
    <n v="27"/>
    <s v="M40"/>
    <s v="HUN"/>
    <s v="03:51:36"/>
    <x v="68"/>
  </r>
  <r>
    <m/>
    <s v="Hernádi Edvin"/>
    <n v="1970"/>
    <n v="49"/>
    <s v="M45"/>
    <s v="HUN"/>
    <s v="04:18:42"/>
    <x v="69"/>
  </r>
  <r>
    <m/>
    <s v="Ainscough, Tom prof"/>
    <n v="1966"/>
    <n v="53"/>
    <s v="M25"/>
    <s v="GBR"/>
    <s v="02:58:12"/>
    <x v="70"/>
  </r>
  <r>
    <m/>
    <s v="Virag Gyula"/>
    <n v="1977"/>
    <n v="42"/>
    <s v="M50"/>
    <s v="HUN"/>
    <s v="04:44:04"/>
    <x v="71"/>
  </r>
  <r>
    <m/>
    <s v="Hathi, Cameron"/>
    <n v="1976"/>
    <n v="43"/>
    <s v="M20"/>
    <s v="GBR"/>
    <s v="03:37:40"/>
    <x v="72"/>
  </r>
  <r>
    <m/>
    <s v="Nagy-Győri László"/>
    <n v="1968"/>
    <n v="51"/>
    <s v="M45"/>
    <s v="HUN"/>
    <s v="04:16:10"/>
    <x v="73"/>
  </r>
  <r>
    <m/>
    <s v="Czeglédy Krisztián"/>
    <n v="1982"/>
    <n v="37"/>
    <s v="M30"/>
    <s v="HUN"/>
    <s v="04:42:59"/>
    <x v="74"/>
  </r>
  <r>
    <m/>
    <s v="Mengyi Péter"/>
    <n v="1971"/>
    <n v="48"/>
    <s v="M35"/>
    <s v="HUN"/>
    <s v="03:47:27"/>
    <x v="75"/>
  </r>
  <r>
    <m/>
    <s v="Veress Péter"/>
    <n v="1967"/>
    <n v="52"/>
    <s v="M40"/>
    <s v="HUN"/>
    <s v="03:46:48"/>
    <x v="76"/>
  </r>
  <r>
    <m/>
    <s v="Debreczeni Bence"/>
    <n v="1992"/>
    <n v="27"/>
    <s v="M30"/>
    <s v="HUN"/>
    <s v="03:47:09"/>
    <x v="77"/>
  </r>
  <r>
    <m/>
    <s v="Brown, Laurie"/>
    <n v="1980"/>
    <n v="39"/>
    <s v="M25"/>
    <s v="GBR"/>
    <s v="03:30:51"/>
    <x v="78"/>
  </r>
  <r>
    <m/>
    <s v="Szommer Lőrinc"/>
    <n v="1974"/>
    <n v="45"/>
    <s v="M20"/>
    <s v="HUN"/>
    <s v="04:07:24"/>
    <x v="79"/>
  </r>
  <r>
    <m/>
    <s v="Lutor Tamás"/>
    <n v="1975"/>
    <n v="44"/>
    <s v="M50"/>
    <s v="HUN"/>
    <s v="04:10:54"/>
    <x v="80"/>
  </r>
  <r>
    <m/>
    <s v="Balassa Balázs"/>
    <n v="1975"/>
    <n v="44"/>
    <s v="M55"/>
    <s v="HUN"/>
    <s v="04:44:40"/>
    <x v="81"/>
  </r>
  <r>
    <m/>
    <s v="Raykov, Ivo"/>
    <n v="1979"/>
    <n v="40"/>
    <s v="M25"/>
    <s v="BUL"/>
    <s v="04:04:01"/>
    <x v="82"/>
  </r>
  <r>
    <m/>
    <s v="Hompot Ferenc"/>
    <n v="1981"/>
    <n v="38"/>
    <s v="M50"/>
    <s v="HUN"/>
    <s v="05:07:21"/>
    <x v="83"/>
  </r>
  <r>
    <m/>
    <s v="Horváth István"/>
    <n v="1989"/>
    <n v="30"/>
    <s v="M45"/>
    <s v="HUN"/>
    <s v="03:08:43"/>
    <x v="84"/>
  </r>
  <r>
    <m/>
    <s v="Vaszkó Máté"/>
    <n v="1997"/>
    <n v="22"/>
    <s v="M25"/>
    <s v="HUN"/>
    <s v="03:49:10"/>
    <x v="85"/>
  </r>
  <r>
    <m/>
    <s v="Somodi László Antal"/>
    <n v="1977"/>
    <n v="42"/>
    <s v="M45"/>
    <s v="HUN"/>
    <s v="04:58:43"/>
    <x v="86"/>
  </r>
  <r>
    <m/>
    <s v="Kovács Krisztián"/>
    <n v="1982"/>
    <n v="37"/>
    <s v="M45"/>
    <s v="HUN"/>
    <s v="04:48:13"/>
    <x v="87"/>
  </r>
  <r>
    <m/>
    <s v="Conlon, Argelnon"/>
    <n v="1977"/>
    <n v="42"/>
    <s v="M30"/>
    <s v="RSA"/>
    <s v="03:50:58"/>
    <x v="88"/>
  </r>
  <r>
    <m/>
    <s v="Tóbiás Rajmund dr"/>
    <n v="1963"/>
    <n v="56"/>
    <s v="M50"/>
    <s v="HUN"/>
    <s v="04:06:33"/>
    <x v="89"/>
  </r>
  <r>
    <m/>
    <s v="Pierre, Renauld"/>
    <n v="1978"/>
    <n v="41"/>
    <s v="M30"/>
    <s v="FRA"/>
    <s v="02:47:38"/>
    <x v="90"/>
  </r>
  <r>
    <m/>
    <s v="Green, James"/>
    <n v="1972"/>
    <n v="47"/>
    <s v="M40"/>
    <s v="GBR"/>
    <s v="03:51:07"/>
    <x v="91"/>
  </r>
  <r>
    <m/>
    <s v="Weissbrich, Alexander"/>
    <n v="1973"/>
    <n v="46"/>
    <s v="M40"/>
    <s v="GER"/>
    <s v="03:54:49"/>
    <x v="92"/>
  </r>
  <r>
    <m/>
    <s v="Khairrul Saleh, Imran"/>
    <n v="1965"/>
    <n v="54"/>
    <s v="M25"/>
    <s v="MAS"/>
    <s v="04:16:39"/>
    <x v="93"/>
  </r>
  <r>
    <m/>
    <s v="Király Béla"/>
    <n v="1976"/>
    <n v="43"/>
    <s v="M55"/>
    <s v="HUN"/>
    <s v="05:11:16"/>
    <x v="94"/>
  </r>
  <r>
    <m/>
    <s v="Rác Benedek"/>
    <n v="1994"/>
    <n v="25"/>
    <s v="M40"/>
    <s v="HUN"/>
    <s v="03:56:29"/>
    <x v="95"/>
  </r>
  <r>
    <m/>
    <s v="Loboncz Dávid"/>
    <n v="1992"/>
    <n v="27"/>
    <s v="M30"/>
    <s v="HUN"/>
    <s v="05:00:50"/>
    <x v="96"/>
  </r>
  <r>
    <m/>
    <s v="Cserpák Tamás"/>
    <n v="1982"/>
    <n v="37"/>
    <s v="M45"/>
    <s v="HUN"/>
    <s v="03:23:14"/>
    <x v="97"/>
  </r>
  <r>
    <m/>
    <s v="Adamson, Stewart"/>
    <n v="1995"/>
    <n v="24"/>
    <s v="M35"/>
    <s v="GBR"/>
    <s v="04:19:43"/>
    <x v="98"/>
  </r>
  <r>
    <m/>
    <s v="Buzadić, Srdjan"/>
    <n v="1969"/>
    <n v="50"/>
    <s v="M40"/>
    <s v="SRB"/>
    <s v="04:42:35"/>
    <x v="99"/>
  </r>
  <r>
    <m/>
    <s v="Bruck Dániel"/>
    <n v="1975"/>
    <n v="44"/>
    <s v="M25"/>
    <s v="HUN"/>
    <s v="04:39:47"/>
    <x v="100"/>
  </r>
  <r>
    <m/>
    <s v="Mészáros Andris"/>
    <n v="1976"/>
    <n v="43"/>
    <s v="M35"/>
    <s v="HUN"/>
    <s v="03:09:53"/>
    <x v="101"/>
  </r>
  <r>
    <m/>
    <s v="Michellier, Andy"/>
    <n v="1997"/>
    <n v="22"/>
    <s v="M18"/>
    <s v="FRA"/>
    <s v="03:43:54"/>
    <x v="102"/>
  </r>
  <r>
    <m/>
    <s v="Gaszner Zsolt"/>
    <n v="1975"/>
    <n v="44"/>
    <s v="M30"/>
    <s v="HUN"/>
    <s v="03:09:35"/>
    <x v="103"/>
  </r>
  <r>
    <m/>
    <s v="Cramphorn, Leigh"/>
    <n v="1963"/>
    <n v="56"/>
    <s v="M45"/>
    <s v="GBR"/>
    <s v="03:53:15"/>
    <x v="104"/>
  </r>
  <r>
    <m/>
    <s v="Pospíil, Pavel"/>
    <n v="1985"/>
    <n v="34"/>
    <s v="M40"/>
    <s v="CZE"/>
    <s v="03:04:50"/>
    <x v="105"/>
  </r>
  <r>
    <m/>
    <s v="Toth Peter"/>
    <n v="1991"/>
    <n v="28"/>
    <s v="M40"/>
    <s v="HUN"/>
    <s v="04:22:30"/>
    <x v="106"/>
  </r>
  <r>
    <m/>
    <s v="Bíró Gábor"/>
    <n v="1981"/>
    <n v="38"/>
    <s v="M40"/>
    <s v="HUN"/>
    <s v="03:41:32"/>
    <x v="107"/>
  </r>
  <r>
    <m/>
    <s v="Juhász József"/>
    <n v="1979"/>
    <n v="40"/>
    <s v="M45"/>
    <s v="HUN"/>
    <s v="04:46:55"/>
    <x v="108"/>
  </r>
  <r>
    <m/>
    <s v="Csörgő Bálint dr"/>
    <n v="1996"/>
    <n v="23"/>
    <s v="M40"/>
    <s v="HUN"/>
    <s v="03:42:12"/>
    <x v="109"/>
  </r>
  <r>
    <m/>
    <s v="Bisi Lajos"/>
    <n v="1981"/>
    <n v="38"/>
    <s v="M45"/>
    <s v="HUN"/>
    <s v="04:18:11"/>
    <x v="110"/>
  </r>
  <r>
    <m/>
    <s v="Andres, De La Pe?a Gallegos prof"/>
    <n v="1980"/>
    <n v="39"/>
    <s v="M25"/>
    <s v="MEX"/>
    <s v="03:27:24"/>
    <x v="111"/>
  </r>
  <r>
    <m/>
    <s v="Kalmár Nagy László"/>
    <n v="1959"/>
    <n v="60"/>
    <s v="M50"/>
    <s v="HUN"/>
    <s v="03:44:08"/>
    <x v="112"/>
  </r>
  <r>
    <m/>
    <s v="Kukk Tamás"/>
    <n v="1962"/>
    <n v="57"/>
    <s v="M30"/>
    <s v="HUN"/>
    <s v="04:29:09"/>
    <x v="113"/>
  </r>
  <r>
    <m/>
    <s v="Sacchi, Filippo"/>
    <n v="1968"/>
    <n v="51"/>
    <s v="M60"/>
    <s v="ITA"/>
    <s v="03:54:39"/>
    <x v="114"/>
  </r>
  <r>
    <m/>
    <s v="Domboróczki Zsolt"/>
    <n v="1970"/>
    <n v="49"/>
    <s v="M45"/>
    <s v="HUN"/>
    <s v="04:59:16"/>
    <x v="115"/>
  </r>
  <r>
    <m/>
    <s v="Lenkovics Attila"/>
    <n v="1972"/>
    <n v="47"/>
    <s v="M25"/>
    <s v="HUN"/>
    <s v="03:48:30"/>
    <x v="116"/>
  </r>
  <r>
    <m/>
    <s v="Kretovics Gusztáv"/>
    <n v="1965"/>
    <n v="54"/>
    <s v="M40"/>
    <s v="HUN"/>
    <s v="05:03:46"/>
    <x v="117"/>
  </r>
  <r>
    <m/>
    <s v="Glazachev, Evgenii"/>
    <n v="1974"/>
    <n v="45"/>
    <s v="M30"/>
    <s v="RUS"/>
    <s v="03:23:05"/>
    <x v="118"/>
  </r>
  <r>
    <m/>
    <s v="Szabó Levente"/>
    <n v="1976"/>
    <n v="43"/>
    <s v="M35"/>
    <s v="HUN"/>
    <s v="03:50:11"/>
    <x v="119"/>
  </r>
  <r>
    <m/>
    <s v="Léránt Gábor"/>
    <n v="1966"/>
    <n v="53"/>
    <s v="M45"/>
    <s v="HUN"/>
    <s v="04:43:07"/>
    <x v="120"/>
  </r>
  <r>
    <m/>
    <s v="Melotti, Marco"/>
    <n v="1988"/>
    <n v="31"/>
    <s v="M35"/>
    <s v="NED"/>
    <s v="05:14:27"/>
    <x v="121"/>
  </r>
  <r>
    <m/>
    <s v="Pap Sándor"/>
    <n v="2001"/>
    <n v="18"/>
    <s v="M60"/>
    <s v="HUN"/>
    <s v="05:31:41"/>
    <x v="122"/>
  </r>
  <r>
    <m/>
    <s v="Papp Andor"/>
    <n v="1995"/>
    <n v="24"/>
    <s v="M30"/>
    <s v="HUN"/>
    <s v="05:32:18"/>
    <x v="123"/>
  </r>
  <r>
    <m/>
    <s v="Faulks, Joshua"/>
    <n v="1968"/>
    <n v="51"/>
    <s v="M25"/>
    <s v="GBR"/>
    <s v="03:38:41"/>
    <x v="124"/>
  </r>
  <r>
    <m/>
    <s v="Góbi Gyula"/>
    <n v="1981"/>
    <n v="38"/>
    <s v="M55"/>
    <s v="HUN"/>
    <s v="04:13:03"/>
    <x v="125"/>
  </r>
  <r>
    <m/>
    <s v="Appert, Louis"/>
    <n v="1971"/>
    <n v="48"/>
    <s v="M18"/>
    <s v="GBR"/>
    <s v="04:46:10"/>
    <x v="126"/>
  </r>
  <r>
    <m/>
    <s v="Bozsó Tamás"/>
    <n v="1973"/>
    <n v="46"/>
    <s v="M30"/>
    <s v="HUN"/>
    <s v="04:48:15"/>
    <x v="127"/>
  </r>
  <r>
    <m/>
    <s v="Mikulski, Jacek"/>
    <n v="1979"/>
    <n v="40"/>
    <s v="M50"/>
    <s v="POL"/>
    <s v="03:22:26"/>
    <x v="128"/>
  </r>
  <r>
    <m/>
    <s v="Kunc, Jakub"/>
    <n v="1976"/>
    <n v="43"/>
    <s v="M35"/>
    <s v="CZE"/>
    <s v="03:44:16"/>
    <x v="129"/>
  </r>
  <r>
    <m/>
    <s v="Hall, Peter-Rory dr"/>
    <n v="1970"/>
    <n v="49"/>
    <s v="M20"/>
    <s v="GBR"/>
    <s v="02:54:01"/>
    <x v="130"/>
  </r>
  <r>
    <m/>
    <s v="Hajdu Péter"/>
    <n v="1950"/>
    <n v="69"/>
    <s v="M65"/>
    <s v="HUN"/>
    <s v="04:02:45"/>
    <x v="131"/>
  </r>
  <r>
    <m/>
    <s v="Preite, Piero"/>
    <n v="1977"/>
    <n v="42"/>
    <s v="M60"/>
    <s v="ITA"/>
    <s v="05:30:11"/>
    <x v="132"/>
  </r>
  <r>
    <m/>
    <s v="Ambler, Arthur prof"/>
    <n v="1994"/>
    <n v="25"/>
    <s v="M25"/>
    <s v="GBR"/>
    <s v="03:27:45"/>
    <x v="133"/>
  </r>
  <r>
    <m/>
    <s v="CLEPICOV, Alexei dr"/>
    <n v="1976"/>
    <n v="43"/>
    <s v="M40"/>
    <s v="MDA"/>
    <s v="03:53:51"/>
    <x v="134"/>
  </r>
  <r>
    <m/>
    <s v="Tompa Péter"/>
    <n v="1967"/>
    <n v="52"/>
    <s v="M20"/>
    <s v="HUN"/>
    <s v="04:45:38"/>
    <x v="135"/>
  </r>
  <r>
    <m/>
    <s v="Majerusz Ádám"/>
    <n v="1974"/>
    <n v="45"/>
    <s v="M20"/>
    <s v="HUN"/>
    <s v="04:18:48"/>
    <x v="136"/>
  </r>
  <r>
    <m/>
    <s v="Nagy István"/>
    <n v="1989"/>
    <n v="30"/>
    <s v="M50"/>
    <s v="HUN"/>
    <s v="04:49:29"/>
    <x v="137"/>
  </r>
  <r>
    <m/>
    <s v="van 't Verlaat, Jeroen"/>
    <n v="1984"/>
    <n v="35"/>
    <s v="M55"/>
    <s v="NED"/>
    <s v="04:58:41"/>
    <x v="138"/>
  </r>
  <r>
    <m/>
    <s v="Kurpé László dr."/>
    <n v="1987"/>
    <n v="32"/>
    <s v="M50"/>
    <s v="HUN"/>
    <s v="04:25:24"/>
    <x v="139"/>
  </r>
  <r>
    <m/>
    <s v="Kroc, Mirosław"/>
    <n v="1982"/>
    <n v="37"/>
    <s v="M45"/>
    <s v="POL"/>
    <s v="03:25:59"/>
    <x v="140"/>
  </r>
  <r>
    <m/>
    <s v="Kiss Csongor"/>
    <n v="1963"/>
    <n v="56"/>
    <s v="M25"/>
    <s v="HUN"/>
    <s v="04:12:14"/>
    <x v="141"/>
  </r>
  <r>
    <m/>
    <s v="Szekér Ferenc"/>
    <n v="1986"/>
    <n v="33"/>
    <s v="M50"/>
    <s v="HUN"/>
    <s v="03:49:02"/>
    <x v="142"/>
  </r>
  <r>
    <m/>
    <s v="Malík, David"/>
    <n v="1983"/>
    <n v="36"/>
    <s v="M25"/>
    <s v="CZE"/>
    <s v="05:02:52"/>
    <x v="143"/>
  </r>
  <r>
    <m/>
    <s v="Gavaldi János"/>
    <n v="1982"/>
    <n v="37"/>
    <s v="M35"/>
    <s v="HUN"/>
    <s v="05:49:04"/>
    <x v="144"/>
  </r>
  <r>
    <m/>
    <s v="Ujhelyi Tamás"/>
    <n v="1994"/>
    <n v="25"/>
    <s v="M45"/>
    <s v="HUN"/>
    <s v="04:58:46"/>
    <x v="145"/>
  </r>
  <r>
    <m/>
    <s v="Jurcsák Viktor"/>
    <n v="1986"/>
    <n v="33"/>
    <s v="M40"/>
    <s v="HUN"/>
    <s v="04:00:07"/>
    <x v="146"/>
  </r>
  <r>
    <m/>
    <s v="Asztalos Andras"/>
    <n v="1982"/>
    <n v="37"/>
    <s v="M35"/>
    <s v="HUN"/>
    <s v="03:43:29"/>
    <x v="147"/>
  </r>
  <r>
    <m/>
    <s v="Czaltig Zsolt"/>
    <n v="1991"/>
    <n v="28"/>
    <s v="M50"/>
    <s v="HUN"/>
    <s v="04:07:40"/>
    <x v="148"/>
  </r>
  <r>
    <m/>
    <s v="Rugg, Sam"/>
    <n v="1967"/>
    <n v="52"/>
    <s v="M25"/>
    <s v="GBR"/>
    <s v="02:56:57"/>
    <x v="149"/>
  </r>
  <r>
    <m/>
    <s v="Baksa János"/>
    <n v="1997"/>
    <n v="22"/>
    <s v="M40"/>
    <s v="HUN"/>
    <s v="04:05:56"/>
    <x v="150"/>
  </r>
  <r>
    <m/>
    <s v="Raknes, Lars Peter"/>
    <n v="1962"/>
    <n v="57"/>
    <s v="M35"/>
    <s v="NOR"/>
    <s v="02:37:20"/>
    <x v="151"/>
  </r>
  <r>
    <m/>
    <s v="Péter Kristóf dr"/>
    <n v="1966"/>
    <n v="53"/>
    <s v="M25"/>
    <s v="HUN"/>
    <s v="04:28:22"/>
    <x v="152"/>
  </r>
  <r>
    <m/>
    <s v="Albastov, Zidan"/>
    <n v="1979"/>
    <n v="40"/>
    <s v="M25"/>
    <s v="FRA"/>
    <s v="04:35:03"/>
    <x v="153"/>
  </r>
  <r>
    <m/>
    <s v="JO?O RENATO, Bainy Gomes de Pinho"/>
    <n v="1977"/>
    <n v="42"/>
    <s v="M60"/>
    <s v="BRA"/>
    <s v="03:54:46"/>
    <x v="154"/>
  </r>
  <r>
    <m/>
    <s v="GARRITSEN, LENNART"/>
    <n v="1990"/>
    <n v="29"/>
    <s v="M30"/>
    <s v="NED"/>
    <s v="03:40:20"/>
    <x v="155"/>
  </r>
  <r>
    <m/>
    <s v="Forde, Conor"/>
    <n v="1955"/>
    <n v="64"/>
    <s v="M40"/>
    <s v="IRL"/>
    <s v="03:45:13"/>
    <x v="156"/>
  </r>
  <r>
    <m/>
    <s v="Czingráber László"/>
    <n v="1955"/>
    <n v="64"/>
    <s v="M55"/>
    <s v="HUN"/>
    <s v="03:36:39"/>
    <x v="157"/>
  </r>
  <r>
    <m/>
    <s v="Sztojcsev Iván"/>
    <n v="1987"/>
    <n v="32"/>
    <s v="M35"/>
    <s v="HUN"/>
    <s v="04:12:03"/>
    <x v="158"/>
  </r>
  <r>
    <m/>
    <s v="Kluitenberg, Friso"/>
    <n v="1974"/>
    <n v="45"/>
    <s v="M30"/>
    <s v="NED"/>
    <s v="04:03:29"/>
    <x v="159"/>
  </r>
  <r>
    <m/>
    <s v="Takarics Béla"/>
    <n v="1974"/>
    <n v="45"/>
    <s v="M40"/>
    <s v="HUN"/>
    <s v="04:22:31"/>
    <x v="160"/>
  </r>
  <r>
    <m/>
    <s v="Spányik Gábor"/>
    <n v="1986"/>
    <n v="33"/>
    <s v="M45"/>
    <s v="HUN"/>
    <s v="04:14:05"/>
    <x v="161"/>
  </r>
  <r>
    <m/>
    <s v="Cox, Jack"/>
    <n v="1958"/>
    <n v="61"/>
    <s v="M20"/>
    <s v="GBR"/>
    <s v="03:37:44"/>
    <x v="162"/>
  </r>
  <r>
    <m/>
    <s v="Páyer Imre"/>
    <n v="1999"/>
    <n v="20"/>
    <s v="M45"/>
    <s v="HUN"/>
    <s v="03:59:36"/>
    <x v="163"/>
  </r>
  <r>
    <m/>
    <s v="Laczó Barnabás"/>
    <n v="1991"/>
    <n v="28"/>
    <s v="M40"/>
    <s v="HUN"/>
    <s v="03:44:36"/>
    <x v="164"/>
  </r>
  <r>
    <m/>
    <s v="Gyulai László"/>
    <n v="2001"/>
    <n v="18"/>
    <s v="M75"/>
    <s v="HUN"/>
    <s v="04:58:45"/>
    <x v="165"/>
  </r>
  <r>
    <m/>
    <s v="Macleod, Liam"/>
    <n v="1995"/>
    <n v="24"/>
    <s v="M20"/>
    <s v="GBR"/>
    <s v="04:09:57"/>
    <x v="166"/>
  </r>
  <r>
    <m/>
    <s v="Szántó János"/>
    <n v="1970"/>
    <n v="49"/>
    <s v="M45"/>
    <s v="HUN"/>
    <s v="03:43:41"/>
    <x v="167"/>
  </r>
  <r>
    <m/>
    <s v="Jakabfalvy Gábor"/>
    <n v="1982"/>
    <n v="37"/>
    <s v="M45"/>
    <s v="HUN"/>
    <s v="04:50:00"/>
    <x v="168"/>
  </r>
  <r>
    <m/>
    <s v="Eklund, Marius"/>
    <n v="1977"/>
    <n v="42"/>
    <s v="M20"/>
    <s v="NOR"/>
    <s v="03:32:54"/>
    <x v="169"/>
  </r>
  <r>
    <m/>
    <s v="Domjan Kornél"/>
    <n v="1978"/>
    <n v="41"/>
    <s v="M45"/>
    <s v="HUN"/>
    <s v="04:11:22"/>
    <x v="170"/>
  </r>
  <r>
    <m/>
    <s v="Pap Áron"/>
    <n v="1980"/>
    <n v="39"/>
    <s v="M25"/>
    <s v="HUN"/>
    <s v="04:03:23"/>
    <x v="171"/>
  </r>
  <r>
    <m/>
    <s v="Rebollo Pereira, Jose Carlos"/>
    <n v="1975"/>
    <n v="44"/>
    <s v="M60"/>
    <s v="ESP"/>
    <s v="03:55:05"/>
    <x v="172"/>
  </r>
  <r>
    <m/>
    <s v="Herbertsson, Gunnar"/>
    <n v="1973"/>
    <n v="46"/>
    <s v="M65"/>
    <s v="ISL"/>
    <s v="04:04:04"/>
    <x v="173"/>
  </r>
  <r>
    <m/>
    <s v="Vernimmen, Richard"/>
    <n v="1980"/>
    <n v="39"/>
    <s v="M50"/>
    <s v="NED"/>
    <s v="02:52:02"/>
    <x v="174"/>
  </r>
  <r>
    <m/>
    <s v="Townsend, Lewis"/>
    <n v="1957"/>
    <n v="62"/>
    <s v="M25"/>
    <s v="GBR"/>
    <s v="03:45:14"/>
    <x v="175"/>
  </r>
  <r>
    <m/>
    <s v="Clowes, Jason"/>
    <n v="1979"/>
    <n v="40"/>
    <s v="M35"/>
    <s v="NZL"/>
    <s v="03:04:23"/>
    <x v="176"/>
  </r>
  <r>
    <m/>
    <s v="Horváth Zsolt"/>
    <n v="1976"/>
    <n v="43"/>
    <s v="M50"/>
    <s v="HUN"/>
    <s v="04:34:22"/>
    <x v="177"/>
  </r>
  <r>
    <m/>
    <s v="Geesink, Derk"/>
    <n v="1978"/>
    <n v="41"/>
    <s v="M25"/>
    <s v="NED"/>
    <s v="04:56:59"/>
    <x v="178"/>
  </r>
  <r>
    <m/>
    <s v="POPELEA, VIRGIL"/>
    <n v="1978"/>
    <n v="41"/>
    <s v="M40"/>
    <s v="ROM"/>
    <s v="03:27:58"/>
    <x v="179"/>
  </r>
  <r>
    <m/>
    <s v="Havasi Ádám"/>
    <n v="1967"/>
    <n v="52"/>
    <s v="M18"/>
    <s v="HUN"/>
    <s v="04:23:00"/>
    <x v="180"/>
  </r>
  <r>
    <m/>
    <s v="Szabó Gábor"/>
    <n v="1987"/>
    <n v="32"/>
    <s v="M40"/>
    <s v="HUN"/>
    <s v="04:08:01"/>
    <x v="181"/>
  </r>
  <r>
    <m/>
    <s v="Szászi Tamás Dr."/>
    <n v="1979"/>
    <n v="40"/>
    <s v="M50"/>
    <s v="HUN"/>
    <s v="05:22:37"/>
    <x v="182"/>
  </r>
  <r>
    <m/>
    <s v="Mátyás, Norbert"/>
    <n v="1976"/>
    <n v="43"/>
    <s v="M40"/>
    <s v="ROM"/>
    <s v="03:47:11"/>
    <x v="183"/>
  </r>
  <r>
    <m/>
    <s v="MULLER, Frank"/>
    <n v="1978"/>
    <n v="41"/>
    <s v="M65"/>
    <s v="LUX"/>
    <s v="03:59:51"/>
    <x v="184"/>
  </r>
  <r>
    <m/>
    <s v="Fábik Máté"/>
    <n v="1992"/>
    <n v="27"/>
    <s v="M45"/>
    <s v="HUN"/>
    <s v="04:22:45"/>
    <x v="185"/>
  </r>
  <r>
    <m/>
    <s v="Ireland, Reece prof"/>
    <n v="1977"/>
    <n v="42"/>
    <s v="M25"/>
    <s v="NZL"/>
    <s v="03:47:26"/>
    <x v="186"/>
  </r>
  <r>
    <m/>
    <s v="Kiss Attila"/>
    <n v="1970"/>
    <n v="49"/>
    <s v="M35"/>
    <s v="HUN"/>
    <s v="04:14:57"/>
    <x v="187"/>
  </r>
  <r>
    <m/>
    <s v="Tóth Zoltán"/>
    <n v="1967"/>
    <n v="52"/>
    <s v="M45"/>
    <s v="HUN"/>
    <s v="03:45:47"/>
    <x v="188"/>
  </r>
  <r>
    <m/>
    <s v="Witkowski, Lukasz"/>
    <n v="1977"/>
    <n v="42"/>
    <s v="M40"/>
    <s v="POL"/>
    <s v="03:43:43"/>
    <x v="189"/>
  </r>
  <r>
    <m/>
    <s v="dijkstra, Mark"/>
    <n v="1975"/>
    <n v="44"/>
    <s v="M35"/>
    <s v="NED"/>
    <s v="03:33:11"/>
    <x v="190"/>
  </r>
  <r>
    <m/>
    <s v="Wiernasz, Grzegorz prof"/>
    <n v="1979"/>
    <n v="40"/>
    <s v="M45"/>
    <s v="POL"/>
    <s v="04:01:53"/>
    <x v="191"/>
  </r>
  <r>
    <m/>
    <s v="Bodor Dániel"/>
    <n v="1981"/>
    <n v="38"/>
    <s v="M18"/>
    <s v="HUN"/>
    <s v="03:40:46"/>
    <x v="192"/>
  </r>
  <r>
    <m/>
    <s v="Pásztor Attila dr."/>
    <n v="1962"/>
    <n v="57"/>
    <s v="M50"/>
    <s v="HUN"/>
    <s v="04:47:08"/>
    <x v="193"/>
  </r>
  <r>
    <m/>
    <s v="Li, CHENGBIN"/>
    <n v="1949"/>
    <n v="70"/>
    <s v="M25"/>
    <s v="CHN"/>
    <s v="05:03:29"/>
    <x v="194"/>
  </r>
  <r>
    <m/>
    <s v="Guevara, Pablo"/>
    <n v="1968"/>
    <n v="51"/>
    <s v="M45"/>
    <s v="MEX"/>
    <s v="03:49:07"/>
    <x v="195"/>
  </r>
  <r>
    <m/>
    <s v="FLORIAN, DAUBA"/>
    <n v="1971"/>
    <n v="48"/>
    <s v="M40"/>
    <s v="FRA"/>
    <s v="02:42:32"/>
    <x v="196"/>
  </r>
  <r>
    <m/>
    <s v="Howe, Paul"/>
    <n v="1976"/>
    <n v="43"/>
    <s v="M50"/>
    <s v="GBR"/>
    <s v="04:56:09"/>
    <x v="197"/>
  </r>
  <r>
    <m/>
    <s v="Kotsis Tibor"/>
    <n v="1969"/>
    <n v="50"/>
    <s v="M50"/>
    <s v="HUN"/>
    <s v="04:21:14"/>
    <x v="198"/>
  </r>
  <r>
    <m/>
    <s v="Angyal Dániel"/>
    <n v="1972"/>
    <n v="47"/>
    <s v="M20"/>
    <s v="HUN"/>
    <s v="05:30:29"/>
    <x v="199"/>
  </r>
  <r>
    <m/>
    <s v="Kiss Alajos"/>
    <n v="1973"/>
    <n v="46"/>
    <s v="M50"/>
    <s v="HUN"/>
    <s v="03:47:30"/>
    <x v="200"/>
  </r>
  <r>
    <m/>
    <s v="Berglund, Einar"/>
    <n v="1969"/>
    <n v="50"/>
    <s v="M25"/>
    <s v="SWE"/>
    <s v="03:58:48"/>
    <x v="201"/>
  </r>
  <r>
    <m/>
    <s v="Csuja Gábor"/>
    <n v="1992"/>
    <n v="27"/>
    <s v="M45"/>
    <s v="HUN"/>
    <s v="03:02:31"/>
    <x v="202"/>
  </r>
  <r>
    <m/>
    <s v="Csernus Mátyás"/>
    <n v="1959"/>
    <n v="60"/>
    <s v="M25"/>
    <s v="HUN"/>
    <s v="05:22:18"/>
    <x v="203"/>
  </r>
  <r>
    <m/>
    <s v="Koprivica, Pavle"/>
    <n v="1980"/>
    <n v="39"/>
    <s v="M18"/>
    <s v="GBR"/>
    <s v="03:56:22"/>
    <x v="204"/>
  </r>
  <r>
    <m/>
    <s v="Way, Oliver prof"/>
    <n v="1971"/>
    <n v="48"/>
    <s v="M20"/>
    <s v="GBR"/>
    <s v="03:57:32"/>
    <x v="205"/>
  </r>
  <r>
    <m/>
    <s v="Petrov, Yuri"/>
    <n v="1991"/>
    <n v="28"/>
    <s v="M30"/>
    <s v="RUS"/>
    <s v="04:08:55"/>
    <x v="206"/>
  </r>
  <r>
    <m/>
    <s v="Tuohy, Eoin"/>
    <n v="1984"/>
    <n v="35"/>
    <s v="M25"/>
    <s v="IRL"/>
    <s v="03:35:42"/>
    <x v="62"/>
  </r>
  <r>
    <m/>
    <s v="TZAMPAZAKIS, MATTHAIOS"/>
    <n v="1955"/>
    <n v="64"/>
    <s v="M50"/>
    <s v="GRE"/>
    <s v="04:00:41"/>
    <x v="207"/>
  </r>
  <r>
    <m/>
    <s v="Szentirmai Endre"/>
    <n v="1975"/>
    <n v="44"/>
    <s v="M50"/>
    <s v="HUN"/>
    <s v="04:16:33"/>
    <x v="208"/>
  </r>
  <r>
    <m/>
    <s v="Müller Viktor"/>
    <n v="1975"/>
    <n v="44"/>
    <s v="M50"/>
    <s v="HUN"/>
    <s v="04:19:19"/>
    <x v="209"/>
  </r>
  <r>
    <m/>
    <s v="Rejtő András"/>
    <n v="1973"/>
    <n v="46"/>
    <s v="M45"/>
    <s v="HUN"/>
    <s v="04:05:44"/>
    <x v="210"/>
  </r>
  <r>
    <m/>
    <s v="Santander, Damian"/>
    <n v="1967"/>
    <n v="52"/>
    <s v="M20"/>
    <s v="MEX"/>
    <s v="03:40:10"/>
    <x v="211"/>
  </r>
  <r>
    <m/>
    <s v="Halász Krisztián"/>
    <n v="1992"/>
    <n v="27"/>
    <s v="M40"/>
    <s v="HUN"/>
    <s v="03:57:51"/>
    <x v="212"/>
  </r>
  <r>
    <m/>
    <s v="Breznyán Bence"/>
    <n v="1979"/>
    <n v="40"/>
    <s v="M25"/>
    <s v="HUN"/>
    <s v="04:43:10"/>
    <x v="213"/>
  </r>
  <r>
    <m/>
    <s v="Hellum, Knut"/>
    <n v="1987"/>
    <n v="32"/>
    <s v="M55"/>
    <s v="NOR"/>
    <s v="03:22:10"/>
    <x v="214"/>
  </r>
  <r>
    <m/>
    <s v="Zsarkó-Berta László"/>
    <n v="1995"/>
    <n v="24"/>
    <s v="M45"/>
    <s v="HUN"/>
    <s v="03:33:16"/>
    <x v="215"/>
  </r>
  <r>
    <m/>
    <s v="Piszker Zoltán"/>
    <n v="1976"/>
    <n v="43"/>
    <s v="M35"/>
    <s v="HUN"/>
    <s v="05:22:34"/>
    <x v="216"/>
  </r>
  <r>
    <m/>
    <s v="Keliuh, Denis"/>
    <n v="1981"/>
    <n v="38"/>
    <s v="M40"/>
    <s v="MDA"/>
    <s v="03:53:52"/>
    <x v="217"/>
  </r>
  <r>
    <m/>
    <s v="Siemieniak, Karol"/>
    <n v="1992"/>
    <n v="27"/>
    <s v="M25"/>
    <s v="POL"/>
    <s v="03:56:48"/>
    <x v="218"/>
  </r>
  <r>
    <m/>
    <s v="Nagy Balázs"/>
    <n v="1989"/>
    <n v="30"/>
    <s v="M45"/>
    <s v="HUN"/>
    <s v="04:06:26"/>
    <x v="219"/>
  </r>
  <r>
    <m/>
    <s v="Holecz Attila"/>
    <n v="1976"/>
    <n v="43"/>
    <s v="M50"/>
    <s v="HUN"/>
    <s v="04:08:44"/>
    <x v="220"/>
  </r>
  <r>
    <m/>
    <s v="Kathan, Christoph"/>
    <n v="1980"/>
    <n v="39"/>
    <s v="M40"/>
    <s v="AUT"/>
    <s v="03:13:51"/>
    <x v="221"/>
  </r>
  <r>
    <m/>
    <s v="Crook, Dalton"/>
    <n v="1977"/>
    <n v="42"/>
    <s v="M30"/>
    <s v="GBR"/>
    <s v="03:36:34"/>
    <x v="222"/>
  </r>
  <r>
    <m/>
    <s v="Kolarovsky, Mihaly"/>
    <n v="1992"/>
    <n v="27"/>
    <s v="M60"/>
    <s v="SVK"/>
    <s v="04:22:49"/>
    <x v="223"/>
  </r>
  <r>
    <m/>
    <s v="Diószegi Béla"/>
    <n v="1977"/>
    <n v="42"/>
    <s v="M45"/>
    <s v="HUN"/>
    <s v="03:50:42"/>
    <x v="224"/>
  </r>
  <r>
    <m/>
    <s v="Babarczy Tamás"/>
    <n v="1983"/>
    <n v="36"/>
    <s v="M60"/>
    <s v="HUN"/>
    <s v="03:51:07"/>
    <x v="91"/>
  </r>
  <r>
    <m/>
    <s v="Varga Gábor"/>
    <n v="1977"/>
    <n v="42"/>
    <s v="M50"/>
    <s v="HUN"/>
    <s v="04:56:57"/>
    <x v="225"/>
  </r>
  <r>
    <m/>
    <s v="Schümann, Henry"/>
    <n v="1972"/>
    <n v="47"/>
    <s v="M20"/>
    <s v="GER"/>
    <s v="03:33:56"/>
    <x v="226"/>
  </r>
  <r>
    <m/>
    <s v="Börcsök Imre"/>
    <n v="1974"/>
    <n v="45"/>
    <s v="M45"/>
    <s v="HUN"/>
    <s v="05:12:30"/>
    <x v="227"/>
  </r>
  <r>
    <m/>
    <s v="Trella-Várhelyi Róbert"/>
    <n v="1985"/>
    <n v="34"/>
    <s v="M35"/>
    <s v="HUN"/>
    <s v="03:32:06"/>
    <x v="228"/>
  </r>
  <r>
    <m/>
    <s v="Dennis, Haskins"/>
    <n v="1993"/>
    <n v="26"/>
    <s v="M65"/>
    <s v="IRL"/>
    <s v="04:33:44"/>
    <x v="229"/>
  </r>
  <r>
    <m/>
    <s v="FEDORCZUK, MAREK"/>
    <n v="1974"/>
    <n v="45"/>
    <s v="M55"/>
    <s v="POL"/>
    <s v="04:33:02"/>
    <x v="230"/>
  </r>
  <r>
    <m/>
    <s v="Jenkei Péter"/>
    <n v="1970"/>
    <n v="49"/>
    <s v="M30"/>
    <s v="HUN"/>
    <s v="02:32:43"/>
    <x v="231"/>
  </r>
  <r>
    <m/>
    <s v="Lima, Fabio prof"/>
    <n v="1976"/>
    <n v="43"/>
    <s v="M35"/>
    <s v="POR"/>
    <s v="03:10:50"/>
    <x v="232"/>
  </r>
  <r>
    <m/>
    <s v="Tagscherer Imre"/>
    <n v="1993"/>
    <n v="26"/>
    <s v="M50"/>
    <s v="HUN"/>
    <s v="03:40:14"/>
    <x v="233"/>
  </r>
  <r>
    <m/>
    <s v="Jakab Zoltán"/>
    <n v="1991"/>
    <n v="28"/>
    <s v="M45"/>
    <s v="HUN"/>
    <s v="04:21:13"/>
    <x v="234"/>
  </r>
  <r>
    <m/>
    <s v="Hornung András"/>
    <n v="1987"/>
    <n v="32"/>
    <s v="M40"/>
    <s v="HUN"/>
    <s v="03:15:44"/>
    <x v="235"/>
  </r>
  <r>
    <m/>
    <s v="Delly Csaba"/>
    <n v="1974"/>
    <n v="45"/>
    <s v="M25"/>
    <s v="HUN"/>
    <s v="03:53:46"/>
    <x v="236"/>
  </r>
  <r>
    <m/>
    <s v="Georges, Rescoussier"/>
    <n v="1990"/>
    <n v="29"/>
    <s v="M55"/>
    <s v="FRA"/>
    <s v="04:39:21"/>
    <x v="237"/>
  </r>
  <r>
    <m/>
    <s v="Kretovics Zsolt"/>
    <n v="1974"/>
    <n v="45"/>
    <s v="M35"/>
    <s v="HUN"/>
    <s v="05:03:47"/>
    <x v="238"/>
  </r>
  <r>
    <m/>
    <s v="Ádám János Péter"/>
    <n v="1963"/>
    <n v="56"/>
    <s v="M45"/>
    <s v="HUN"/>
    <s v="04:13:44"/>
    <x v="239"/>
  </r>
  <r>
    <m/>
    <s v="Linde, Anton"/>
    <n v="1979"/>
    <n v="40"/>
    <s v="M30"/>
    <s v="RSA"/>
    <s v="04:24:09"/>
    <x v="5"/>
  </r>
  <r>
    <m/>
    <s v="Kvapil, Tomá"/>
    <n v="1988"/>
    <n v="31"/>
    <s v="M25"/>
    <s v="CZE"/>
    <s v="03:57:46"/>
    <x v="240"/>
  </r>
  <r>
    <m/>
    <s v="Daczi Imre"/>
    <n v="1968"/>
    <n v="51"/>
    <s v="M55"/>
    <s v="HUN"/>
    <s v="04:13:38"/>
    <x v="241"/>
  </r>
  <r>
    <m/>
    <s v="Sabater, Mikel"/>
    <n v="1970"/>
    <n v="49"/>
    <s v="M40"/>
    <s v="ESP"/>
    <s v="03:42:08"/>
    <x v="242"/>
  </r>
  <r>
    <m/>
    <s v="Hegedüs Péter"/>
    <n v="1968"/>
    <n v="51"/>
    <s v="M30"/>
    <s v="HUN"/>
    <s v="03:44:53"/>
    <x v="243"/>
  </r>
  <r>
    <m/>
    <s v="Putzke, Holm prof"/>
    <n v="1955"/>
    <n v="64"/>
    <s v="M50"/>
    <s v="GER"/>
    <s v="03:31:50"/>
    <x v="244"/>
  </r>
  <r>
    <m/>
    <s v="Wennerström, Per"/>
    <n v="1985"/>
    <n v="34"/>
    <s v="M45"/>
    <s v="SWE"/>
    <s v="03:23:34"/>
    <x v="14"/>
  </r>
  <r>
    <m/>
    <s v="Csőke Martin"/>
    <n v="1962"/>
    <n v="57"/>
    <s v="M20"/>
    <s v="HUN"/>
    <s v="03:26:35"/>
    <x v="23"/>
  </r>
  <r>
    <m/>
    <s v="Droogmans, Martijn"/>
    <n v="1979"/>
    <n v="40"/>
    <s v="M40"/>
    <s v="BEL"/>
    <s v="03:32:22"/>
    <x v="245"/>
  </r>
  <r>
    <m/>
    <s v="Juchniewicz, Matt"/>
    <n v="1984"/>
    <n v="35"/>
    <s v="M40"/>
    <s v="GBR"/>
    <s v="03:52:10"/>
    <x v="246"/>
  </r>
  <r>
    <m/>
    <s v="Shchori, Gal"/>
    <n v="1978"/>
    <n v="41"/>
    <s v="M30"/>
    <s v="ISR"/>
    <s v="03:23:12"/>
    <x v="247"/>
  </r>
  <r>
    <m/>
    <s v="Dévai Ádám Dominik"/>
    <n v="1955"/>
    <n v="64"/>
    <s v="M20"/>
    <s v="HUN"/>
    <s v="03:30:51"/>
    <x v="78"/>
  </r>
  <r>
    <m/>
    <s v="Zięba, Daniel"/>
    <n v="1974"/>
    <n v="45"/>
    <s v="M25"/>
    <s v="POL"/>
    <s v="03:39:45"/>
    <x v="248"/>
  </r>
  <r>
    <m/>
    <s v="Gombás Tibor"/>
    <n v="1985"/>
    <n v="34"/>
    <s v="M35"/>
    <s v="HUN"/>
    <s v="04:12:31"/>
    <x v="249"/>
  </r>
  <r>
    <m/>
    <s v="Oláh Gábor"/>
    <n v="1983"/>
    <n v="36"/>
    <s v="M35"/>
    <s v="HUN"/>
    <s v="03:33:10"/>
    <x v="250"/>
  </r>
  <r>
    <m/>
    <s v="Vincent, Quenet"/>
    <n v="1980"/>
    <n v="39"/>
    <s v="M20"/>
    <s v="FRA"/>
    <s v="05:09:49"/>
    <x v="251"/>
  </r>
  <r>
    <m/>
    <s v="Leheny, Seamus"/>
    <n v="1974"/>
    <n v="45"/>
    <s v="M45"/>
    <s v="IRL"/>
    <s v="03:46:41"/>
    <x v="252"/>
  </r>
  <r>
    <m/>
    <s v="Bódi Gergely"/>
    <n v="1965"/>
    <n v="54"/>
    <s v="M30"/>
    <s v="HUN"/>
    <s v="04:01:19"/>
    <x v="253"/>
  </r>
  <r>
    <m/>
    <s v="Ureczky Balázs"/>
    <n v="1972"/>
    <n v="47"/>
    <s v="M35"/>
    <s v="HUN"/>
    <s v="03:37:54"/>
    <x v="254"/>
  </r>
  <r>
    <m/>
    <s v="Benton, Jack dr"/>
    <n v="1972"/>
    <n v="47"/>
    <s v="M30"/>
    <s v="GBR"/>
    <s v="03:41:17"/>
    <x v="255"/>
  </r>
  <r>
    <m/>
    <s v="Versegi Zoltán"/>
    <n v="1969"/>
    <n v="50"/>
    <s v="M60"/>
    <s v="HUN"/>
    <s v="04:00:12"/>
    <x v="256"/>
  </r>
  <r>
    <m/>
    <s v="Hand, Feargal"/>
    <n v="1996"/>
    <n v="23"/>
    <s v="M30"/>
    <s v="IRL"/>
    <s v="04:01:01"/>
    <x v="257"/>
  </r>
  <r>
    <m/>
    <s v="Rábai Richárd"/>
    <n v="1959"/>
    <n v="60"/>
    <s v="M45"/>
    <s v="HUN"/>
    <s v="04:25:57"/>
    <x v="258"/>
  </r>
  <r>
    <m/>
    <s v="Nagy, Zoltán"/>
    <n v="1994"/>
    <n v="25"/>
    <s v="M50"/>
    <s v="SVK"/>
    <s v="04:25:28"/>
    <x v="259"/>
  </r>
  <r>
    <m/>
    <s v="Fodor Bertalan Balázs"/>
    <n v="1978"/>
    <n v="41"/>
    <s v="M45"/>
    <s v="HUN"/>
    <s v="04:15:26"/>
    <x v="260"/>
  </r>
  <r>
    <m/>
    <s v="Szilágyi Gergő"/>
    <n v="1980"/>
    <n v="39"/>
    <s v="M40"/>
    <s v="HUN"/>
    <s v="04:19:48"/>
    <x v="261"/>
  </r>
  <r>
    <m/>
    <s v="Ferenc Péter Muck"/>
    <n v="1959"/>
    <n v="60"/>
    <s v="M30"/>
    <s v="HUN"/>
    <s v="03:59:08"/>
    <x v="262"/>
  </r>
  <r>
    <m/>
    <s v="Farkas, Csaba"/>
    <n v="1960"/>
    <n v="59"/>
    <s v="M35"/>
    <s v="ROM"/>
    <s v="04:56:37"/>
    <x v="263"/>
  </r>
  <r>
    <m/>
    <s v="Gálfi Zsolt"/>
    <n v="1989"/>
    <n v="30"/>
    <s v="M30"/>
    <s v="HUN"/>
    <s v="04:11:51"/>
    <x v="264"/>
  </r>
  <r>
    <m/>
    <s v="Jeffrey, Qin"/>
    <n v="1972"/>
    <n v="47"/>
    <s v="M45"/>
    <s v="CHN"/>
    <s v="03:38:12"/>
    <x v="265"/>
  </r>
  <r>
    <m/>
    <s v="Bak Szabolcs"/>
    <n v="1979"/>
    <n v="40"/>
    <s v="M25"/>
    <s v="HUN"/>
    <s v="03:09:06"/>
    <x v="266"/>
  </r>
  <r>
    <m/>
    <s v="Győrffy András"/>
    <n v="1978"/>
    <n v="41"/>
    <s v="M45"/>
    <s v="HUN"/>
    <s v="04:14:16"/>
    <x v="267"/>
  </r>
  <r>
    <m/>
    <s v="Csikós Tamás"/>
    <n v="1980"/>
    <n v="39"/>
    <s v="M30"/>
    <s v="HUN"/>
    <s v="04:14:59"/>
    <x v="52"/>
  </r>
  <r>
    <m/>
    <s v="Foo, Loon Wei"/>
    <n v="1976"/>
    <n v="43"/>
    <s v="M20"/>
    <s v="SIN"/>
    <s v="03:14:50"/>
    <x v="268"/>
  </r>
  <r>
    <m/>
    <s v="Agong, David Apassnaba"/>
    <n v="1985"/>
    <n v="34"/>
    <s v="M25"/>
    <s v="GER"/>
    <s v="04:55:49"/>
    <x v="269"/>
  </r>
  <r>
    <m/>
    <s v="Martin, Riccardo"/>
    <n v="1972"/>
    <n v="47"/>
    <s v="M25"/>
    <s v="ITA"/>
    <s v="03:59:22"/>
    <x v="270"/>
  </r>
  <r>
    <m/>
    <s v="Lalande, Thibault"/>
    <n v="1985"/>
    <n v="34"/>
    <s v="M20"/>
    <s v="FRA"/>
    <s v="03:26:57"/>
    <x v="271"/>
  </r>
  <r>
    <m/>
    <s v="Bódai Nimród"/>
    <n v="1969"/>
    <n v="50"/>
    <s v="M25"/>
    <s v="HUN"/>
    <s v="03:45:41"/>
    <x v="272"/>
  </r>
  <r>
    <m/>
    <s v="Stadlbauer, Xaver-Paul"/>
    <n v="1962"/>
    <n v="57"/>
    <s v="M25"/>
    <s v="AUT"/>
    <s v="02:53:18"/>
    <x v="273"/>
  </r>
  <r>
    <m/>
    <s v="Kim, Changhun"/>
    <n v="1989"/>
    <n v="30"/>
    <s v="M45"/>
    <s v="KOR"/>
    <s v="03:34:04"/>
    <x v="274"/>
  </r>
  <r>
    <m/>
    <s v="Pizarro, Francisco prof"/>
    <n v="1975"/>
    <n v="44"/>
    <s v="M40"/>
    <s v="CHI"/>
    <s v="03:43:59"/>
    <x v="275"/>
  </r>
  <r>
    <m/>
    <s v="Zarella, John"/>
    <n v="1985"/>
    <n v="34"/>
    <s v="M20"/>
    <s v="USA"/>
    <s v="04:22:25"/>
    <x v="276"/>
  </r>
  <r>
    <m/>
    <s v="Lökösházi Béla"/>
    <n v="1993"/>
    <n v="26"/>
    <s v="M45"/>
    <s v="HUN"/>
    <s v="04:03:14"/>
    <x v="277"/>
  </r>
  <r>
    <m/>
    <s v="Chitoriski, Lochlan prof"/>
    <n v="1974"/>
    <n v="45"/>
    <s v="M30"/>
    <s v="GBR"/>
    <s v="03:54:04"/>
    <x v="278"/>
  </r>
  <r>
    <m/>
    <s v="Érsek Péter"/>
    <n v="1980"/>
    <n v="39"/>
    <s v="M45"/>
    <s v="HUN"/>
    <s v="03:55:18"/>
    <x v="279"/>
  </r>
  <r>
    <m/>
    <s v="Fee, Adam"/>
    <n v="1961"/>
    <n v="58"/>
    <s v="M18"/>
    <s v="IRL"/>
    <s v="05:01:11"/>
    <x v="280"/>
  </r>
  <r>
    <m/>
    <s v="CAPPELLA, EMANUELE"/>
    <n v="1969"/>
    <n v="50"/>
    <s v="M45"/>
    <s v="ITA"/>
    <s v="03:30:08"/>
    <x v="281"/>
  </r>
  <r>
    <m/>
    <s v="Wahid, Kamran"/>
    <n v="1983"/>
    <n v="36"/>
    <s v="M30"/>
    <s v="PAK"/>
    <s v="03:47:35"/>
    <x v="28"/>
  </r>
  <r>
    <m/>
    <s v="Mendel Dániel"/>
    <n v="1985"/>
    <n v="34"/>
    <s v="M35"/>
    <s v="HUN"/>
    <s v="03:31:34"/>
    <x v="282"/>
  </r>
  <r>
    <m/>
    <s v="Harty, William"/>
    <n v="1967"/>
    <n v="52"/>
    <s v="M25"/>
    <s v="AUS"/>
    <s v="03:51:53"/>
    <x v="283"/>
  </r>
  <r>
    <m/>
    <s v="Khazanehdari, Jamshid"/>
    <n v="1981"/>
    <n v="38"/>
    <s v="M65"/>
    <s v="GBR"/>
    <s v="04:11:03"/>
    <x v="284"/>
  </r>
  <r>
    <m/>
    <s v="Knowles, Ben"/>
    <n v="1971"/>
    <n v="48"/>
    <s v="M25"/>
    <s v="GBR"/>
    <s v="05:31:20"/>
    <x v="285"/>
  </r>
  <r>
    <m/>
    <s v="Rive, Charlie"/>
    <n v="1973"/>
    <n v="46"/>
    <s v="M20"/>
    <m/>
    <s v="02:52:07"/>
    <x v="286"/>
  </r>
  <r>
    <m/>
    <s v="Kane, Noel"/>
    <n v="1976"/>
    <n v="43"/>
    <s v="M30"/>
    <s v="IRL"/>
    <s v="04:14:30"/>
    <x v="287"/>
  </r>
  <r>
    <m/>
    <s v="Udvari Szabolcs"/>
    <n v="1948"/>
    <n v="71"/>
    <s v="M50"/>
    <s v="HUN"/>
    <s v="03:32:53"/>
    <x v="288"/>
  </r>
  <r>
    <m/>
    <s v="Casey, Daniel"/>
    <n v="1976"/>
    <n v="43"/>
    <s v="M20"/>
    <s v="IRL"/>
    <s v="04:46:39"/>
    <x v="289"/>
  </r>
  <r>
    <m/>
    <s v="Kerekes Máté"/>
    <n v="1986"/>
    <n v="33"/>
    <s v="M25"/>
    <s v="HUN"/>
    <s v="05:13:03"/>
    <x v="290"/>
  </r>
  <r>
    <m/>
    <s v="Kosdi-Kovács Márton"/>
    <n v="1965"/>
    <n v="54"/>
    <s v="M25"/>
    <s v="HUN"/>
    <s v="02:55:38"/>
    <x v="291"/>
  </r>
  <r>
    <m/>
    <s v="Chua, Charlie"/>
    <n v="1964"/>
    <n v="55"/>
    <s v="M20"/>
    <s v="SIN"/>
    <s v="04:13:25"/>
    <x v="292"/>
  </r>
  <r>
    <m/>
    <s v="Szekretár János"/>
    <n v="1968"/>
    <n v="51"/>
    <s v="M35"/>
    <s v="HUN"/>
    <s v="05:35:13"/>
    <x v="293"/>
  </r>
  <r>
    <m/>
    <s v="Jakub, liwiński dr"/>
    <n v="1971"/>
    <n v="48"/>
    <s v="M40"/>
    <s v="POL"/>
    <s v="04:06:29"/>
    <x v="294"/>
  </r>
  <r>
    <m/>
    <s v="Zádori Ferenc"/>
    <n v="1969"/>
    <n v="50"/>
    <s v="M30"/>
    <s v="HUN"/>
    <s v="03:34:05"/>
    <x v="295"/>
  </r>
  <r>
    <m/>
    <s v="Hudetz András"/>
    <n v="1991"/>
    <n v="28"/>
    <s v="M45"/>
    <s v="HUN"/>
    <s v="05:17:45"/>
    <x v="296"/>
  </r>
  <r>
    <m/>
    <s v="Llewellyn, Neal prof"/>
    <n v="1967"/>
    <n v="52"/>
    <s v="M20"/>
    <s v="GBR"/>
    <s v="03:36:31"/>
    <x v="297"/>
  </r>
  <r>
    <m/>
    <s v="Mózes Károly"/>
    <n v="1963"/>
    <n v="56"/>
    <s v="M35"/>
    <s v="HUN"/>
    <s v="03:59:12"/>
    <x v="298"/>
  </r>
  <r>
    <m/>
    <s v="Kovács Krisztián"/>
    <n v="1971"/>
    <n v="48"/>
    <s v="M30"/>
    <s v="HUN"/>
    <s v="04:02:49"/>
    <x v="299"/>
  </r>
  <r>
    <m/>
    <s v="Marceau, Jean-Louis"/>
    <n v="1985"/>
    <n v="34"/>
    <s v="M55"/>
    <s v="FRA"/>
    <s v="04:43:57"/>
    <x v="300"/>
  </r>
  <r>
    <m/>
    <s v="Cayir, Ali"/>
    <n v="1970"/>
    <n v="49"/>
    <s v="M45"/>
    <s v="BEL"/>
    <s v="03:21:33"/>
    <x v="301"/>
  </r>
  <r>
    <m/>
    <s v="Kun Fülöp"/>
    <n v="1968"/>
    <n v="51"/>
    <s v="M35"/>
    <s v="HUN"/>
    <s v="04:02:09"/>
    <x v="302"/>
  </r>
  <r>
    <m/>
    <s v="Borbás Péter István"/>
    <n v="1963"/>
    <n v="56"/>
    <s v="M40"/>
    <s v="HUN"/>
    <s v="05:12:09"/>
    <x v="303"/>
  </r>
  <r>
    <m/>
    <s v="Nádró Csaba"/>
    <n v="1995"/>
    <n v="24"/>
    <s v="M35"/>
    <s v="HUN"/>
    <s v="04:59:54"/>
    <x v="304"/>
  </r>
  <r>
    <m/>
    <s v="Kasza László"/>
    <n v="1958"/>
    <n v="61"/>
    <s v="M65"/>
    <s v="HUN"/>
    <s v="05:06:36"/>
    <x v="305"/>
  </r>
  <r>
    <m/>
    <s v="Nagy István"/>
    <n v="1975"/>
    <n v="44"/>
    <s v="M35"/>
    <s v="HUN"/>
    <s v="03:09:06"/>
    <x v="266"/>
  </r>
  <r>
    <m/>
    <s v="Lénárt Viktor"/>
    <n v="1971"/>
    <n v="48"/>
    <s v="M40"/>
    <s v="HUN"/>
    <s v="04:24:22"/>
    <x v="306"/>
  </r>
  <r>
    <m/>
    <s v="András Ákos"/>
    <n v="1981"/>
    <n v="38"/>
    <s v="M30"/>
    <s v="HUN"/>
    <s v="03:22:24"/>
    <x v="307"/>
  </r>
  <r>
    <m/>
    <s v="File Balázs"/>
    <n v="1975"/>
    <n v="44"/>
    <s v="M40"/>
    <s v="HUN"/>
    <s v="03:28:44"/>
    <x v="308"/>
  </r>
  <r>
    <m/>
    <s v="Kecskeméti György"/>
    <n v="1979"/>
    <n v="40"/>
    <s v="M50"/>
    <s v="HUN"/>
    <s v="04:38:21"/>
    <x v="309"/>
  </r>
  <r>
    <m/>
    <s v="Brzeski, Dawid"/>
    <n v="1983"/>
    <n v="36"/>
    <s v="M40"/>
    <s v="POL"/>
    <s v="03:54:15"/>
    <x v="310"/>
  </r>
  <r>
    <m/>
    <s v="Recski Ferenc"/>
    <n v="1966"/>
    <n v="53"/>
    <s v="M40"/>
    <s v="HUN"/>
    <s v="04:12:55"/>
    <x v="311"/>
  </r>
  <r>
    <m/>
    <s v="Béres Bálint"/>
    <n v="1974"/>
    <n v="45"/>
    <s v="M25"/>
    <s v="HUN"/>
    <s v="04:14:54"/>
    <x v="312"/>
  </r>
  <r>
    <m/>
    <s v="Anderlik Attila Lajos"/>
    <n v="1984"/>
    <n v="35"/>
    <s v="M50"/>
    <s v="HUN"/>
    <s v="04:13:40"/>
    <x v="313"/>
  </r>
  <r>
    <m/>
    <s v="Imre, Tomá"/>
    <n v="1982"/>
    <n v="37"/>
    <s v="M35"/>
    <s v="SVK"/>
    <s v="03:02:51"/>
    <x v="314"/>
  </r>
  <r>
    <m/>
    <s v="Gyurin Attila"/>
    <n v="1979"/>
    <n v="40"/>
    <s v="M30"/>
    <s v="HUN"/>
    <s v="03:26:44"/>
    <x v="315"/>
  </r>
  <r>
    <m/>
    <s v="Fallon, Martin prof"/>
    <n v="1973"/>
    <n v="46"/>
    <s v="M20"/>
    <s v="IRL"/>
    <s v="05:13:51"/>
    <x v="316"/>
  </r>
  <r>
    <m/>
    <s v="Lökösházi Béla"/>
    <n v="1970"/>
    <n v="49"/>
    <s v="M20"/>
    <s v="HUN"/>
    <s v="04:03:14"/>
    <x v="277"/>
  </r>
  <r>
    <m/>
    <s v="Gémes Levente"/>
    <n v="1977"/>
    <n v="42"/>
    <s v="M20"/>
    <s v="HUN"/>
    <s v="03:54:01"/>
    <x v="317"/>
  </r>
  <r>
    <m/>
    <s v="Németh Kálmán"/>
    <n v="1968"/>
    <n v="51"/>
    <s v="M40"/>
    <s v="HUN"/>
    <s v="04:02:27"/>
    <x v="318"/>
  </r>
  <r>
    <m/>
    <s v="Kieran, Palmer"/>
    <n v="1985"/>
    <n v="34"/>
    <s v="M25"/>
    <s v="GBR"/>
    <s v="04:28:38"/>
    <x v="319"/>
  </r>
  <r>
    <m/>
    <s v="Bakó Attila"/>
    <n v="1984"/>
    <n v="35"/>
    <s v="M40"/>
    <s v="HUN"/>
    <s v="03:59:49"/>
    <x v="320"/>
  </r>
  <r>
    <m/>
    <s v="Sebők László"/>
    <n v="1982"/>
    <n v="37"/>
    <s v="M40"/>
    <s v="HUN"/>
    <s v="04:32:27"/>
    <x v="321"/>
  </r>
  <r>
    <m/>
    <s v="Grassy Krisztián"/>
    <n v="1986"/>
    <n v="33"/>
    <s v="M45"/>
    <s v="HUN"/>
    <s v="04:01:55"/>
    <x v="322"/>
  </r>
  <r>
    <m/>
    <s v="Szentes Gergely"/>
    <n v="1960"/>
    <n v="59"/>
    <s v="M50"/>
    <s v="HUN"/>
    <s v="05:01:03"/>
    <x v="323"/>
  </r>
  <r>
    <m/>
    <s v="Elizek Viktor"/>
    <n v="1969"/>
    <n v="50"/>
    <s v="M25"/>
    <s v="HUN"/>
    <s v="04:15:49"/>
    <x v="324"/>
  </r>
  <r>
    <m/>
    <s v="Horwitz, Noah prof"/>
    <n v="1982"/>
    <n v="37"/>
    <s v="M20"/>
    <s v="NED"/>
    <s v="03:56:11"/>
    <x v="325"/>
  </r>
  <r>
    <m/>
    <s v="Nagy Attila"/>
    <n v="1968"/>
    <n v="51"/>
    <s v="M45"/>
    <s v="HUN"/>
    <s v="04:46:26"/>
    <x v="326"/>
  </r>
  <r>
    <m/>
    <s v="Varga Márton Dr."/>
    <n v="1966"/>
    <n v="53"/>
    <s v="M45"/>
    <s v="HUN"/>
    <s v="03:36:34"/>
    <x v="222"/>
  </r>
  <r>
    <m/>
    <s v="Tóth Károly Béla"/>
    <n v="1975"/>
    <n v="44"/>
    <s v="M25"/>
    <s v="HUN"/>
    <s v="04:20:36"/>
    <x v="327"/>
  </r>
  <r>
    <m/>
    <s v="Tüske László"/>
    <n v="1979"/>
    <n v="40"/>
    <s v="M45"/>
    <s v="HUN"/>
    <s v="04:08:25"/>
    <x v="328"/>
  </r>
  <r>
    <m/>
    <s v="Meffan, Samuel"/>
    <n v="1974"/>
    <n v="45"/>
    <s v="M25"/>
    <s v="GBR"/>
    <s v="04:54:20"/>
    <x v="329"/>
  </r>
  <r>
    <m/>
    <s v="Tabányi Gábor"/>
    <n v="1979"/>
    <n v="40"/>
    <s v="M40"/>
    <s v="HUN"/>
    <s v="03:44:36"/>
    <x v="164"/>
  </r>
  <r>
    <m/>
    <s v="Schárer Sándor"/>
    <n v="1994"/>
    <n v="25"/>
    <s v="M45"/>
    <s v="HUN"/>
    <s v="04:46:58"/>
    <x v="330"/>
  </r>
  <r>
    <m/>
    <s v="Szoboszlai Gáspár István"/>
    <n v="1993"/>
    <n v="26"/>
    <s v="M50"/>
    <s v="HUN"/>
    <s v="05:33:08"/>
    <x v="331"/>
  </r>
  <r>
    <m/>
    <s v="Bíró Balázs"/>
    <n v="1977"/>
    <n v="42"/>
    <s v="M40"/>
    <s v="HUN"/>
    <s v="05:02:44"/>
    <x v="332"/>
  </r>
  <r>
    <m/>
    <s v="Fási István Róbert"/>
    <n v="1978"/>
    <n v="41"/>
    <s v="M40"/>
    <s v="HUN"/>
    <s v="04:47:14"/>
    <x v="333"/>
  </r>
  <r>
    <m/>
    <s v="david, cusanno"/>
    <n v="1978"/>
    <n v="41"/>
    <s v="M55"/>
    <s v="FRA"/>
    <s v="04:32:32"/>
    <x v="334"/>
  </r>
  <r>
    <m/>
    <s v="Farkas Gábor"/>
    <n v="1988"/>
    <n v="31"/>
    <s v="M35"/>
    <s v="HUN"/>
    <s v="04:25:21"/>
    <x v="335"/>
  </r>
  <r>
    <m/>
    <s v="Wilding, Benjamin"/>
    <n v="1976"/>
    <n v="43"/>
    <s v="M18"/>
    <s v="GBR"/>
    <s v="03:23:05"/>
    <x v="118"/>
  </r>
  <r>
    <m/>
    <s v="Gonzalez Unanua, Jose Javier"/>
    <n v="1965"/>
    <n v="54"/>
    <s v="M50"/>
    <s v="ESP"/>
    <s v="04:11:56"/>
    <x v="336"/>
  </r>
  <r>
    <m/>
    <s v="Szalai Laszlo"/>
    <n v="1974"/>
    <n v="45"/>
    <s v="M30"/>
    <s v="HUN"/>
    <s v="05:22:40"/>
    <x v="337"/>
  </r>
  <r>
    <m/>
    <s v="lasarte, ismael"/>
    <n v="1951"/>
    <n v="68"/>
    <s v="M50"/>
    <s v="ESP"/>
    <s v="03:44:21"/>
    <x v="338"/>
  </r>
  <r>
    <m/>
    <s v="Kozma Zsolt dr"/>
    <n v="1970"/>
    <n v="49"/>
    <s v="M55"/>
    <s v="HUN"/>
    <s v="04:00:54"/>
    <x v="339"/>
  </r>
  <r>
    <m/>
    <s v="Farkass Ábel"/>
    <n v="1993"/>
    <n v="26"/>
    <s v="M25"/>
    <s v="HUN"/>
    <s v="03:27:19"/>
    <x v="340"/>
  </r>
  <r>
    <m/>
    <s v="Lloyd, Samuel"/>
    <n v="1981"/>
    <n v="38"/>
    <s v="M40"/>
    <s v="USA"/>
    <s v="04:25:17"/>
    <x v="341"/>
  </r>
  <r>
    <m/>
    <s v="Charlop, Avi"/>
    <n v="1967"/>
    <n v="52"/>
    <s v="M40"/>
    <s v="ISR"/>
    <s v="03:56:39"/>
    <x v="342"/>
  </r>
  <r>
    <m/>
    <s v="Péter, Dániel dr"/>
    <n v="1965"/>
    <n v="54"/>
    <s v="M35"/>
    <s v="GER"/>
    <s v="03:28:53"/>
    <x v="343"/>
  </r>
  <r>
    <m/>
    <s v="Darabos Bence"/>
    <n v="1969"/>
    <n v="50"/>
    <s v="M30"/>
    <s v="HUN"/>
    <s v="04:15:35"/>
    <x v="344"/>
  </r>
  <r>
    <m/>
    <s v="Mitchell, Oli"/>
    <n v="1981"/>
    <n v="38"/>
    <s v="M35"/>
    <s v="GBR"/>
    <s v="04:33:17"/>
    <x v="345"/>
  </r>
  <r>
    <m/>
    <s v="Rajkó Tamás"/>
    <n v="1989"/>
    <n v="30"/>
    <s v="M55"/>
    <s v="HUN"/>
    <s v="05:30:10"/>
    <x v="346"/>
  </r>
  <r>
    <m/>
    <s v="Horváth Zsolt István"/>
    <n v="1973"/>
    <n v="46"/>
    <s v="M55"/>
    <s v="HUN"/>
    <s v="04:02:48"/>
    <x v="347"/>
  </r>
  <r>
    <m/>
    <s v="Gojdár Lóránt Balázs dr"/>
    <n v="1978"/>
    <n v="41"/>
    <s v="M25"/>
    <s v="HUN"/>
    <s v="05:33:19"/>
    <x v="348"/>
  </r>
  <r>
    <m/>
    <s v="Badura, Michal"/>
    <n v="1972"/>
    <n v="47"/>
    <s v="M45"/>
    <s v="POL"/>
    <s v="03:57:49"/>
    <x v="349"/>
  </r>
  <r>
    <m/>
    <s v="Smaldon, Michael"/>
    <n v="1979"/>
    <n v="40"/>
    <s v="M40"/>
    <s v="GBR"/>
    <s v="03:25:52"/>
    <x v="350"/>
  </r>
  <r>
    <m/>
    <s v="Kardoss Bence"/>
    <n v="1972"/>
    <n v="47"/>
    <s v="M20"/>
    <s v="HUN"/>
    <s v="04:36:48"/>
    <x v="351"/>
  </r>
  <r>
    <m/>
    <s v="Hadam, Ryszard"/>
    <n v="1994"/>
    <n v="25"/>
    <s v="M50"/>
    <s v="POL"/>
    <s v="04:48:56"/>
    <x v="352"/>
  </r>
  <r>
    <m/>
    <s v="Aradi-Hankó Péter"/>
    <n v="1974"/>
    <n v="45"/>
    <s v="M35"/>
    <s v="HUN"/>
    <s v="03:41:48"/>
    <x v="353"/>
  </r>
  <r>
    <m/>
    <s v="Rupnik, Janusz"/>
    <n v="1967"/>
    <n v="52"/>
    <s v="M50"/>
    <s v="POL"/>
    <s v="04:32:44"/>
    <x v="354"/>
  </r>
  <r>
    <m/>
    <s v="Short, Dan"/>
    <n v="1974"/>
    <n v="45"/>
    <s v="M25"/>
    <s v="GBR"/>
    <s v="03:29:16"/>
    <x v="355"/>
  </r>
  <r>
    <m/>
    <s v="Tshimbalanga, Jason"/>
    <n v="1971"/>
    <n v="48"/>
    <s v="M30"/>
    <s v="GBR"/>
    <s v="03:55:23"/>
    <x v="356"/>
  </r>
  <r>
    <m/>
    <s v="Illés Ádám"/>
    <n v="1973"/>
    <n v="46"/>
    <s v="M30"/>
    <s v="HUN"/>
    <s v="05:26:56"/>
    <x v="357"/>
  </r>
  <r>
    <m/>
    <s v="Sharif, Aboelnaga"/>
    <n v="1964"/>
    <n v="55"/>
    <s v="M50"/>
    <s v="USA"/>
    <s v="03:11:01"/>
    <x v="358"/>
  </r>
  <r>
    <m/>
    <s v="Vrontakis, Iraklis"/>
    <n v="1996"/>
    <n v="23"/>
    <s v="M45"/>
    <s v="GRE"/>
    <s v="03:39:37"/>
    <x v="359"/>
  </r>
  <r>
    <m/>
    <s v="Bart, van Brussel"/>
    <n v="1985"/>
    <n v="34"/>
    <s v="M25"/>
    <s v="NED"/>
    <s v="04:55:45"/>
    <x v="360"/>
  </r>
  <r>
    <m/>
    <s v="Lee, Yue Heng"/>
    <n v="1990"/>
    <n v="29"/>
    <s v="M20"/>
    <s v="SIN"/>
    <s v="05:21:27"/>
    <x v="361"/>
  </r>
  <r>
    <m/>
    <s v="Bartnicki, Jakub"/>
    <n v="1992"/>
    <n v="27"/>
    <s v="M25"/>
    <s v="POL"/>
    <s v="03:29:26"/>
    <x v="362"/>
  </r>
  <r>
    <m/>
    <s v="Herbay Dávid"/>
    <n v="1986"/>
    <n v="33"/>
    <s v="M35"/>
    <s v="HUN"/>
    <s v="05:18:44"/>
    <x v="363"/>
  </r>
  <r>
    <m/>
    <s v="Remport Gábor"/>
    <n v="1952"/>
    <n v="67"/>
    <s v="M45"/>
    <s v="HUN"/>
    <s v="04:12:11"/>
    <x v="364"/>
  </r>
  <r>
    <m/>
    <s v="Baker, Joseph"/>
    <n v="1973"/>
    <n v="46"/>
    <s v="M20"/>
    <s v="GBR"/>
    <s v="04:53:13"/>
    <x v="365"/>
  </r>
  <r>
    <m/>
    <s v="Mátray Ádám Balázs"/>
    <n v="1985"/>
    <n v="34"/>
    <s v="M35"/>
    <s v="HUN"/>
    <s v="03:58:26"/>
    <x v="366"/>
  </r>
  <r>
    <m/>
    <s v="Pap Áron"/>
    <n v="1990"/>
    <n v="29"/>
    <s v="M25"/>
    <s v="HUN"/>
    <s v="04:03:23"/>
    <x v="171"/>
  </r>
  <r>
    <m/>
    <s v="Zeller Róbert"/>
    <n v="1991"/>
    <n v="28"/>
    <s v="M55"/>
    <s v="HUN"/>
    <s v="04:58:43"/>
    <x v="86"/>
  </r>
  <r>
    <m/>
    <s v="Maxence, LOIRE"/>
    <n v="1963"/>
    <n v="56"/>
    <s v="M30"/>
    <s v="FRA"/>
    <s v="03:58:03"/>
    <x v="367"/>
  </r>
  <r>
    <m/>
    <s v="Kozma Géza"/>
    <n v="1997"/>
    <n v="22"/>
    <s v="M50"/>
    <s v="HUN"/>
    <s v="05:24:04"/>
    <x v="368"/>
  </r>
  <r>
    <m/>
    <s v="Noam, Ben Zimra prof"/>
    <n v="1985"/>
    <n v="34"/>
    <s v="M25"/>
    <s v="ISR"/>
    <s v="03:47:36"/>
    <x v="369"/>
  </r>
  <r>
    <m/>
    <s v="Haidu, Gyula"/>
    <n v="1972"/>
    <n v="47"/>
    <s v="M45"/>
    <s v="ROM"/>
    <s v="03:49:03"/>
    <x v="370"/>
  </r>
  <r>
    <m/>
    <s v="Metzger Balázs"/>
    <n v="1980"/>
    <n v="39"/>
    <s v="M45"/>
    <s v="HUN"/>
    <s v="03:41:18"/>
    <x v="371"/>
  </r>
  <r>
    <m/>
    <s v="Pljesovszki Roland"/>
    <n v="1973"/>
    <n v="46"/>
    <s v="M30"/>
    <s v="HUN"/>
    <s v="05:14:57"/>
    <x v="372"/>
  </r>
  <r>
    <m/>
    <s v="Kaszab Máté"/>
    <n v="1970"/>
    <n v="49"/>
    <s v="M30"/>
    <s v="HUN"/>
    <s v="04:38:50"/>
    <x v="373"/>
  </r>
  <r>
    <m/>
    <s v="Vásárhelyi Máté"/>
    <n v="1973"/>
    <n v="46"/>
    <s v="M20"/>
    <s v="HUN"/>
    <s v="02:29:36"/>
    <x v="374"/>
  </r>
  <r>
    <m/>
    <s v="Tanárki Mihály"/>
    <n v="1982"/>
    <n v="37"/>
    <s v="M35"/>
    <s v="HUN"/>
    <s v="03:48:24"/>
    <x v="375"/>
  </r>
  <r>
    <m/>
    <s v="Kövér Balázs"/>
    <n v="1988"/>
    <n v="31"/>
    <s v="M45"/>
    <s v="HUN"/>
    <s v="03:14:58"/>
    <x v="376"/>
  </r>
  <r>
    <m/>
    <s v="Szekeres Gabor"/>
    <n v="1972"/>
    <n v="47"/>
    <s v="M40"/>
    <s v="HUN"/>
    <s v="03:40:42"/>
    <x v="377"/>
  </r>
  <r>
    <m/>
    <s v="Olofsson, Jonas"/>
    <n v="1986"/>
    <n v="33"/>
    <s v="M30"/>
    <s v="SWE"/>
    <s v="03:51:07"/>
    <x v="91"/>
  </r>
  <r>
    <m/>
    <s v="Bakk, Jutas"/>
    <n v="1974"/>
    <n v="45"/>
    <s v="M40"/>
    <s v="ROM"/>
    <s v="04:38:55"/>
    <x v="378"/>
  </r>
  <r>
    <m/>
    <s v="Balogh Benjamin"/>
    <n v="1954"/>
    <n v="65"/>
    <s v="M30"/>
    <s v="HUN"/>
    <s v="03:27:28"/>
    <x v="379"/>
  </r>
  <r>
    <m/>
    <s v="Fenyvesi Ákos"/>
    <n v="1988"/>
    <n v="31"/>
    <s v="M25"/>
    <s v="HUN"/>
    <s v="03:57:22"/>
    <x v="380"/>
  </r>
  <r>
    <m/>
    <s v="Benedek Marcell"/>
    <n v="1995"/>
    <n v="24"/>
    <s v="M25"/>
    <s v="HUN"/>
    <s v="03:25:40"/>
    <x v="381"/>
  </r>
  <r>
    <m/>
    <s v="Matveiev, Oleksandr"/>
    <n v="1979"/>
    <n v="40"/>
    <s v="M35"/>
    <s v="UKR"/>
    <s v="04:27:48"/>
    <x v="382"/>
  </r>
  <r>
    <m/>
    <s v="Concas, Antonio prof"/>
    <n v="1980"/>
    <n v="39"/>
    <s v="M50"/>
    <s v="ITA"/>
    <s v="04:05:28"/>
    <x v="383"/>
  </r>
  <r>
    <m/>
    <s v="Beke Károly"/>
    <n v="1975"/>
    <n v="44"/>
    <s v="M40"/>
    <s v="HUN"/>
    <s v="04:45:59"/>
    <x v="384"/>
  </r>
  <r>
    <m/>
    <s v="Wolniaczyk, Marcin"/>
    <n v="1972"/>
    <n v="47"/>
    <s v="M45"/>
    <s v="POL"/>
    <s v="03:27:03"/>
    <x v="385"/>
  </r>
  <r>
    <m/>
    <s v="Cseke Ádám"/>
    <n v="1970"/>
    <n v="49"/>
    <s v="M25"/>
    <s v="HUN"/>
    <s v="03:39:29"/>
    <x v="386"/>
  </r>
  <r>
    <m/>
    <s v="Lilik Ádám"/>
    <n v="1975"/>
    <n v="44"/>
    <s v="M35"/>
    <s v="HUN"/>
    <s v="03:29:36"/>
    <x v="387"/>
  </r>
  <r>
    <m/>
    <s v="Johnson, Alexander"/>
    <n v="1977"/>
    <n v="42"/>
    <s v="M35"/>
    <s v="GBR"/>
    <s v="04:31:05"/>
    <x v="388"/>
  </r>
  <r>
    <m/>
    <s v="Juhász Balázs"/>
    <n v="1972"/>
    <n v="47"/>
    <s v="M30"/>
    <s v="HUN"/>
    <s v="03:56:20"/>
    <x v="389"/>
  </r>
  <r>
    <m/>
    <s v="Garbacz Máté Soma"/>
    <n v="1968"/>
    <n v="51"/>
    <s v="M20"/>
    <s v="HUN"/>
    <s v="04:41:33"/>
    <x v="390"/>
  </r>
  <r>
    <m/>
    <s v="Pipis László"/>
    <n v="1979"/>
    <n v="40"/>
    <s v="M50"/>
    <s v="HUN"/>
    <s v="03:48:32"/>
    <x v="391"/>
  </r>
  <r>
    <m/>
    <s v="Antović, Vladimir"/>
    <n v="1966"/>
    <n v="53"/>
    <s v="M50"/>
    <s v="SRB"/>
    <s v="03:08:46"/>
    <x v="392"/>
  </r>
  <r>
    <m/>
    <s v="Akpojaro, Princeton"/>
    <n v="1953"/>
    <n v="66"/>
    <s v="M55"/>
    <s v="GBR"/>
    <s v="04:00:07"/>
    <x v="146"/>
  </r>
  <r>
    <m/>
    <s v="Pető Attila"/>
    <n v="1977"/>
    <n v="42"/>
    <s v="M35"/>
    <s v="HUN"/>
    <s v="05:25:11"/>
    <x v="393"/>
  </r>
  <r>
    <m/>
    <s v="Patakfalvi Zsolt dr"/>
    <n v="1967"/>
    <n v="52"/>
    <s v="M50"/>
    <s v="HUN"/>
    <s v="04:16:31"/>
    <x v="394"/>
  </r>
  <r>
    <m/>
    <s v="Sipos Sándor"/>
    <n v="1979"/>
    <n v="40"/>
    <s v="M65"/>
    <s v="HUN"/>
    <s v="04:23:06"/>
    <x v="395"/>
  </r>
  <r>
    <m/>
    <s v="Morin, Philippe"/>
    <n v="1990"/>
    <n v="29"/>
    <s v="M50"/>
    <s v="FRA"/>
    <s v="04:16:25"/>
    <x v="396"/>
  </r>
  <r>
    <m/>
    <s v="Antal István"/>
    <n v="1972"/>
    <n v="47"/>
    <s v="M50"/>
    <s v="HUN"/>
    <s v="03:39:41"/>
    <x v="397"/>
  </r>
  <r>
    <m/>
    <s v="Böhm, Patrick"/>
    <n v="1975"/>
    <n v="44"/>
    <s v="M50"/>
    <s v="GER"/>
    <s v="04:46:12"/>
    <x v="398"/>
  </r>
  <r>
    <m/>
    <s v="Csík Szabolcs dr."/>
    <n v="1977"/>
    <n v="42"/>
    <s v="M45"/>
    <s v="HUN"/>
    <s v="04:08:20"/>
    <x v="399"/>
  </r>
  <r>
    <m/>
    <s v="O'Neill, Callum"/>
    <n v="1959"/>
    <n v="60"/>
    <s v="M25"/>
    <s v="GBR"/>
    <s v="03:58:34"/>
    <x v="400"/>
  </r>
  <r>
    <m/>
    <s v="Bodnár Krisztián"/>
    <n v="1983"/>
    <n v="36"/>
    <s v="M20"/>
    <s v="HUN"/>
    <s v="04:54:46"/>
    <x v="401"/>
  </r>
  <r>
    <m/>
    <s v="Magyar Zoltán"/>
    <n v="1981"/>
    <n v="38"/>
    <s v="M45"/>
    <s v="HUN"/>
    <s v="04:49:41"/>
    <x v="402"/>
  </r>
  <r>
    <m/>
    <s v="Breglovics Milán"/>
    <n v="1973"/>
    <n v="46"/>
    <s v="M40"/>
    <s v="HUN"/>
    <s v="04:13:35"/>
    <x v="403"/>
  </r>
  <r>
    <m/>
    <s v="Amaral Fonseca, Antonio Miguel"/>
    <n v="1969"/>
    <n v="50"/>
    <s v="M45"/>
    <s v="POR"/>
    <s v="03:33:05"/>
    <x v="404"/>
  </r>
  <r>
    <m/>
    <s v="Csecsetka Dániel"/>
    <n v="1976"/>
    <n v="43"/>
    <s v="M35"/>
    <s v="HUN"/>
    <s v="05:03:47"/>
    <x v="238"/>
  </r>
  <r>
    <m/>
    <s v="Samhaber, Christof"/>
    <n v="1990"/>
    <n v="29"/>
    <s v="M50"/>
    <s v="AUT"/>
    <s v="03:56:33"/>
    <x v="405"/>
  </r>
  <r>
    <m/>
    <s v="Weinberger Tamás"/>
    <n v="1982"/>
    <n v="37"/>
    <s v="M45"/>
    <s v="HUN"/>
    <s v="05:07:21"/>
    <x v="83"/>
  </r>
  <r>
    <m/>
    <s v="Öhman, Marcus prof"/>
    <n v="1962"/>
    <n v="57"/>
    <s v="M35"/>
    <s v="SWE"/>
    <s v="03:54:45"/>
    <x v="406"/>
  </r>
  <r>
    <m/>
    <s v="Kariniemi, Roope"/>
    <n v="1976"/>
    <n v="43"/>
    <s v="M20"/>
    <s v="FIN"/>
    <s v="02:51:59"/>
    <x v="407"/>
  </r>
  <r>
    <m/>
    <s v="Larsen, Jonas"/>
    <n v="1976"/>
    <n v="43"/>
    <s v="M25"/>
    <s v="DEN"/>
    <s v="04:17:29"/>
    <x v="408"/>
  </r>
  <r>
    <m/>
    <s v="Debreczeni Dávid"/>
    <n v="1968"/>
    <n v="51"/>
    <s v="M20"/>
    <s v="HUN"/>
    <s v="04:30:09"/>
    <x v="409"/>
  </r>
  <r>
    <m/>
    <s v="Pop Péter"/>
    <n v="1968"/>
    <n v="51"/>
    <s v="M35"/>
    <s v="HUN"/>
    <s v="03:25:56"/>
    <x v="410"/>
  </r>
  <r>
    <m/>
    <s v="Somogyi Zsolt"/>
    <n v="1985"/>
    <n v="34"/>
    <s v="M55"/>
    <s v="HUN"/>
    <s v="04:38:16"/>
    <x v="411"/>
  </r>
  <r>
    <m/>
    <s v="Mikecz András"/>
    <n v="1977"/>
    <n v="42"/>
    <s v="M50"/>
    <s v="HUN"/>
    <s v="04:59:45"/>
    <x v="412"/>
  </r>
  <r>
    <m/>
    <s v="Józsa Péter"/>
    <n v="1981"/>
    <n v="38"/>
    <s v="M40"/>
    <s v="HUN"/>
    <s v="03:25:40"/>
    <x v="381"/>
  </r>
  <r>
    <m/>
    <s v="Koch Kristóf dr"/>
    <n v="1996"/>
    <n v="23"/>
    <s v="M25"/>
    <s v="HUN"/>
    <s v="03:28:10"/>
    <x v="413"/>
  </r>
  <r>
    <m/>
    <s v="Reisz Attila"/>
    <n v="1968"/>
    <n v="51"/>
    <s v="M50"/>
    <s v="HUN"/>
    <s v="03:55:46"/>
    <x v="414"/>
  </r>
  <r>
    <m/>
    <s v="Furdan Dániel"/>
    <n v="1978"/>
    <n v="41"/>
    <s v="M40"/>
    <s v="HUN"/>
    <s v="05:08:31"/>
    <x v="415"/>
  </r>
  <r>
    <m/>
    <s v="Giuricich, Luca"/>
    <n v="1979"/>
    <n v="40"/>
    <s v="M25"/>
    <s v="RSA"/>
    <s v="03:18:23"/>
    <x v="416"/>
  </r>
  <r>
    <m/>
    <s v="Steinbach Marcell"/>
    <n v="1977"/>
    <n v="42"/>
    <s v="M25"/>
    <s v="HUN"/>
    <s v="03:16:15"/>
    <x v="417"/>
  </r>
  <r>
    <m/>
    <s v="Panka Dániel"/>
    <n v="1957"/>
    <n v="62"/>
    <s v="M30"/>
    <s v="HUN"/>
    <s v="03:46:01"/>
    <x v="418"/>
  </r>
  <r>
    <m/>
    <s v="Kőhegyi Máté"/>
    <n v="1981"/>
    <n v="38"/>
    <s v="M25"/>
    <s v="HUN"/>
    <s v="04:31:06"/>
    <x v="419"/>
  </r>
  <r>
    <m/>
    <s v="Kanyó Balázs"/>
    <n v="1983"/>
    <n v="36"/>
    <s v="M35"/>
    <s v="HUN"/>
    <s v="04:32:39"/>
    <x v="420"/>
  </r>
  <r>
    <m/>
    <s v="Spriggs, Josh"/>
    <n v="1960"/>
    <n v="59"/>
    <s v="M20"/>
    <s v="GBR"/>
    <s v="04:15:36"/>
    <x v="421"/>
  </r>
  <r>
    <m/>
    <s v="Hunt, Richard"/>
    <n v="1973"/>
    <n v="46"/>
    <s v="M50"/>
    <s v="GBR"/>
    <s v="04:32:42"/>
    <x v="422"/>
  </r>
  <r>
    <m/>
    <s v="Burián András"/>
    <n v="1980"/>
    <n v="39"/>
    <s v="M50"/>
    <s v="HUN"/>
    <s v="03:51:33"/>
    <x v="423"/>
  </r>
  <r>
    <m/>
    <s v="O kane, Philip"/>
    <n v="1976"/>
    <n v="43"/>
    <s v="M30"/>
    <s v="IRL"/>
    <s v="04:27:27"/>
    <x v="424"/>
  </r>
  <r>
    <m/>
    <s v="Rosenberg, Julius"/>
    <n v="1977"/>
    <n v="42"/>
    <s v="M20"/>
    <s v="GER"/>
    <s v="04:32:15"/>
    <x v="425"/>
  </r>
  <r>
    <m/>
    <s v="Farkas Pál"/>
    <n v="1990"/>
    <n v="29"/>
    <s v="M35"/>
    <s v="HUN"/>
    <s v="03:05:17"/>
    <x v="426"/>
  </r>
  <r>
    <m/>
    <s v="Pajerich Péter"/>
    <n v="1980"/>
    <n v="39"/>
    <s v="M35"/>
    <s v="HUN"/>
    <s v="04:41:08"/>
    <x v="6"/>
  </r>
  <r>
    <m/>
    <s v="Tamás Csaba Gergely"/>
    <n v="1967"/>
    <n v="52"/>
    <s v="M45"/>
    <s v="HUN"/>
    <s v="03:48:19"/>
    <x v="427"/>
  </r>
  <r>
    <m/>
    <s v="Barber, Harry"/>
    <n v="1968"/>
    <n v="51"/>
    <s v="M25"/>
    <s v="GBR"/>
    <s v="04:05:20"/>
    <x v="428"/>
  </r>
  <r>
    <m/>
    <s v="Kertics Herbert"/>
    <n v="1951"/>
    <n v="68"/>
    <s v="M40"/>
    <s v="HUN"/>
    <s v="04:51:05"/>
    <x v="429"/>
  </r>
  <r>
    <m/>
    <s v="Mortelette, Alexandre"/>
    <n v="1976"/>
    <n v="43"/>
    <s v="M30"/>
    <s v="FRA"/>
    <s v="04:08:15"/>
    <x v="430"/>
  </r>
  <r>
    <m/>
    <s v="Lütolf, Brian"/>
    <n v="1970"/>
    <n v="49"/>
    <s v="M30"/>
    <s v="SUI"/>
    <s v="04:05:39"/>
    <x v="431"/>
  </r>
  <r>
    <m/>
    <s v="Konstantakopoulos, Aristotelis"/>
    <n v="1962"/>
    <n v="57"/>
    <s v="M50"/>
    <s v="GRE"/>
    <s v="04:46:05"/>
    <x v="432"/>
  </r>
  <r>
    <m/>
    <s v="Paggi, Patrizio"/>
    <n v="1975"/>
    <n v="44"/>
    <s v="M45"/>
    <s v="ITA"/>
    <s v="03:41:47"/>
    <x v="32"/>
  </r>
  <r>
    <m/>
    <s v="Zelenský, Filip"/>
    <n v="1968"/>
    <n v="51"/>
    <s v="M30"/>
    <s v="SVK"/>
    <s v="03:15:00"/>
    <x v="433"/>
  </r>
  <r>
    <m/>
    <s v="Bilik Péter"/>
    <n v="1991"/>
    <n v="28"/>
    <s v="M25"/>
    <s v="HUN"/>
    <s v="04:00:42"/>
    <x v="434"/>
  </r>
  <r>
    <m/>
    <s v="Kovács László"/>
    <n v="1958"/>
    <n v="61"/>
    <s v="M35"/>
    <s v="HUN"/>
    <s v="03:19:11"/>
    <x v="435"/>
  </r>
  <r>
    <m/>
    <s v="Baranyi Roland"/>
    <n v="1984"/>
    <n v="35"/>
    <s v="M30"/>
    <s v="HUN"/>
    <s v="03:48:48"/>
    <x v="436"/>
  </r>
  <r>
    <m/>
    <s v="Lakatos Balázs"/>
    <n v="1994"/>
    <n v="25"/>
    <s v="M25"/>
    <s v="HUN"/>
    <s v="03:57:17"/>
    <x v="437"/>
  </r>
  <r>
    <m/>
    <s v="Nagy Ádám László"/>
    <n v="1976"/>
    <n v="43"/>
    <s v="M35"/>
    <s v="HUN"/>
    <s v="04:13:09"/>
    <x v="438"/>
  </r>
  <r>
    <m/>
    <s v="Katona György"/>
    <n v="1979"/>
    <n v="40"/>
    <s v="M30"/>
    <s v="HUN"/>
    <s v="03:33:55"/>
    <x v="439"/>
  </r>
  <r>
    <m/>
    <s v="Gmyzo, Vasilii"/>
    <n v="1992"/>
    <n v="27"/>
    <s v="M40"/>
    <s v="RUS"/>
    <s v="05:32:41"/>
    <x v="440"/>
  </r>
  <r>
    <m/>
    <s v="Nash, Tom"/>
    <n v="1976"/>
    <n v="43"/>
    <s v="M25"/>
    <s v="GBR"/>
    <s v="03:55:59"/>
    <x v="441"/>
  </r>
  <r>
    <m/>
    <s v="Tarjányi Attila"/>
    <n v="1989"/>
    <n v="30"/>
    <s v="M45"/>
    <s v="HUN"/>
    <s v="04:13:59"/>
    <x v="442"/>
  </r>
  <r>
    <m/>
    <s v="Farkas Szabolcs"/>
    <n v="1982"/>
    <n v="37"/>
    <s v="M30"/>
    <s v="HUN"/>
    <s v="03:28:03"/>
    <x v="443"/>
  </r>
  <r>
    <m/>
    <s v="Tischer, Stefan"/>
    <n v="1973"/>
    <n v="46"/>
    <s v="M40"/>
    <s v="GER"/>
    <s v="04:43:32"/>
    <x v="444"/>
  </r>
  <r>
    <m/>
    <s v="Janes, Christopher"/>
    <n v="1988"/>
    <n v="31"/>
    <s v="M20"/>
    <s v="GBR"/>
    <s v="04:11:07"/>
    <x v="445"/>
  </r>
  <r>
    <m/>
    <s v="Budavári Zoltán"/>
    <n v="1984"/>
    <n v="35"/>
    <s v="M45"/>
    <s v="HUN"/>
    <s v="03:58:48"/>
    <x v="201"/>
  </r>
  <r>
    <m/>
    <s v="LESCOAT, Philippe"/>
    <n v="2000"/>
    <n v="19"/>
    <s v="M55"/>
    <s v="FRA"/>
    <s v="04:30:05"/>
    <x v="446"/>
  </r>
  <r>
    <m/>
    <s v="Nagy Izsó"/>
    <n v="1980"/>
    <n v="39"/>
    <s v="M40"/>
    <s v="HUN"/>
    <s v="05:19:07"/>
    <x v="447"/>
  </r>
  <r>
    <m/>
    <s v="Kirzner, Igor prof"/>
    <n v="1964"/>
    <n v="55"/>
    <s v="M30"/>
    <s v="ISR"/>
    <s v="04:19:18"/>
    <x v="448"/>
  </r>
  <r>
    <m/>
    <s v="Czesznak Zoltán"/>
    <n v="1980"/>
    <n v="39"/>
    <s v="M45"/>
    <s v="HUN"/>
    <s v="05:19:00"/>
    <x v="449"/>
  </r>
  <r>
    <m/>
    <s v="Luangphetcharat, Songkij"/>
    <n v="1978"/>
    <n v="41"/>
    <s v="M35"/>
    <s v="THA"/>
    <s v="04:49:02"/>
    <x v="450"/>
  </r>
  <r>
    <m/>
    <s v="Kamierczak, Karol"/>
    <n v="1987"/>
    <n v="32"/>
    <s v="M25"/>
    <s v="POL"/>
    <s v="05:18:29"/>
    <x v="451"/>
  </r>
  <r>
    <m/>
    <s v="Dean, Lloyd"/>
    <n v="1986"/>
    <n v="33"/>
    <s v="M40"/>
    <s v="GBR"/>
    <s v="05:39:40"/>
    <x v="452"/>
  </r>
  <r>
    <m/>
    <s v="Cameron, Thomas"/>
    <n v="1967"/>
    <n v="52"/>
    <s v="M20"/>
    <s v="GBR"/>
    <s v="04:25:52"/>
    <x v="453"/>
  </r>
  <r>
    <m/>
    <s v="Gaston, David"/>
    <n v="2000"/>
    <n v="19"/>
    <s v="M40"/>
    <s v="USA"/>
    <s v="03:35:03"/>
    <x v="454"/>
  </r>
  <r>
    <m/>
    <s v="Patos Attila"/>
    <n v="1971"/>
    <n v="48"/>
    <s v="M45"/>
    <s v="HUN"/>
    <s v="03:37:04"/>
    <x v="455"/>
  </r>
  <r>
    <m/>
    <s v="Goosmann, Malthe"/>
    <n v="1958"/>
    <n v="61"/>
    <s v="M25"/>
    <s v="DEN"/>
    <s v="03:58:11"/>
    <x v="456"/>
  </r>
  <r>
    <m/>
    <s v="Varga István János"/>
    <n v="1985"/>
    <n v="34"/>
    <s v="M35"/>
    <s v="HUN"/>
    <s v="04:58:53"/>
    <x v="457"/>
  </r>
  <r>
    <m/>
    <s v="Horváth Attila"/>
    <n v="1974"/>
    <n v="45"/>
    <s v="M45"/>
    <s v="HUN"/>
    <s v="03:48:53"/>
    <x v="458"/>
  </r>
  <r>
    <m/>
    <s v="Whittaker-Axon, Max"/>
    <n v="2000"/>
    <n v="19"/>
    <s v="M20"/>
    <s v="GBR"/>
    <s v="05:01:00"/>
    <x v="459"/>
  </r>
  <r>
    <m/>
    <s v="Smith, Jackson"/>
    <n v="1975"/>
    <n v="44"/>
    <s v="M25"/>
    <s v="AUS"/>
    <s v="03:22:51"/>
    <x v="460"/>
  </r>
  <r>
    <m/>
    <s v="Dr. Kovács Tamás"/>
    <n v="1979"/>
    <n v="40"/>
    <s v="M40"/>
    <s v="HUN"/>
    <s v="05:13:38"/>
    <x v="461"/>
  </r>
  <r>
    <m/>
    <s v="Thomson, Gilbert"/>
    <n v="1982"/>
    <n v="37"/>
    <s v="M25"/>
    <s v="GBR"/>
    <s v="03:27:30"/>
    <x v="462"/>
  </r>
  <r>
    <m/>
    <s v="Parker, Frederick"/>
    <n v="1976"/>
    <n v="43"/>
    <s v="M18"/>
    <s v="GBR"/>
    <s v="03:50:51"/>
    <x v="463"/>
  </r>
  <r>
    <m/>
    <s v="Borbély Imre Attila"/>
    <n v="1987"/>
    <n v="32"/>
    <s v="M55"/>
    <s v="HUN"/>
    <s v="04:22:10"/>
    <x v="464"/>
  </r>
  <r>
    <m/>
    <s v="Robinson, Philip"/>
    <n v="1977"/>
    <n v="42"/>
    <s v="M55"/>
    <s v="GBR"/>
    <s v="04:24:14"/>
    <x v="465"/>
  </r>
  <r>
    <m/>
    <s v="Hamilton, Patrick"/>
    <n v="1961"/>
    <n v="58"/>
    <s v="M50"/>
    <s v="IRL"/>
    <s v="03:18:56"/>
    <x v="466"/>
  </r>
  <r>
    <m/>
    <s v="Bos, Sean William"/>
    <n v="1970"/>
    <n v="49"/>
    <s v="M30"/>
    <s v="RSA"/>
    <s v="03:10:46"/>
    <x v="467"/>
  </r>
  <r>
    <m/>
    <s v="Pongrácz Márton"/>
    <n v="1971"/>
    <n v="48"/>
    <s v="M25"/>
    <s v="HUN"/>
    <s v="04:03:38"/>
    <x v="468"/>
  </r>
  <r>
    <m/>
    <s v="Kocsis Richárd"/>
    <n v="1977"/>
    <n v="42"/>
    <s v="M30"/>
    <s v="HUN"/>
    <s v="03:15:32"/>
    <x v="469"/>
  </r>
  <r>
    <m/>
    <s v="Lowley James"/>
    <n v="1983"/>
    <n v="36"/>
    <s v="M25"/>
    <s v="HUN"/>
    <s v="03:28:03"/>
    <x v="443"/>
  </r>
  <r>
    <m/>
    <s v="Révai József"/>
    <n v="1972"/>
    <n v="47"/>
    <s v="M45"/>
    <s v="HUN"/>
    <s v="04:03:28"/>
    <x v="470"/>
  </r>
  <r>
    <m/>
    <s v="Cindrić, Igor"/>
    <n v="1980"/>
    <n v="39"/>
    <s v="M40"/>
    <s v="CRO"/>
    <s v="03:38:44"/>
    <x v="471"/>
  </r>
  <r>
    <m/>
    <s v="Áncsán István"/>
    <n v="1979"/>
    <n v="40"/>
    <s v="M50"/>
    <s v="HUN"/>
    <s v="03:43:39"/>
    <x v="472"/>
  </r>
  <r>
    <m/>
    <s v="Gajdos Imre"/>
    <n v="1990"/>
    <n v="29"/>
    <s v="M35"/>
    <s v="HUN"/>
    <s v="03:46:58"/>
    <x v="473"/>
  </r>
  <r>
    <m/>
    <s v="Jack, Elworthy"/>
    <n v="1989"/>
    <n v="30"/>
    <s v="M30"/>
    <s v="GBR"/>
    <s v="04:41:39"/>
    <x v="474"/>
  </r>
  <r>
    <m/>
    <s v="Zeleke, Samuel"/>
    <n v="1974"/>
    <n v="45"/>
    <s v="M20"/>
    <s v="IRL"/>
    <s v="04:09:05"/>
    <x v="475"/>
  </r>
  <r>
    <m/>
    <s v="Németh Lajos"/>
    <n v="1972"/>
    <n v="47"/>
    <s v="M40"/>
    <s v="HUN"/>
    <s v="04:45:37"/>
    <x v="476"/>
  </r>
  <r>
    <m/>
    <s v="Vaz, Tiago"/>
    <n v="1987"/>
    <n v="32"/>
    <s v="M40"/>
    <s v="POR"/>
    <s v="03:30:36"/>
    <x v="477"/>
  </r>
  <r>
    <m/>
    <s v="Mészáros Márk dr."/>
    <n v="1971"/>
    <n v="48"/>
    <s v="M35"/>
    <s v="HUN"/>
    <s v="05:02:33"/>
    <x v="478"/>
  </r>
  <r>
    <m/>
    <s v="Bangha Tamás Krisztián"/>
    <n v="1989"/>
    <n v="30"/>
    <s v="M45"/>
    <s v="HUN"/>
    <s v="04:04:12"/>
    <x v="479"/>
  </r>
  <r>
    <m/>
    <s v="Ruskó Richárd"/>
    <n v="1992"/>
    <n v="27"/>
    <s v="M35"/>
    <s v="HUN"/>
    <s v="04:35:18"/>
    <x v="480"/>
  </r>
  <r>
    <m/>
    <s v="Skobrák Dénes"/>
    <n v="1976"/>
    <n v="43"/>
    <s v="M35"/>
    <s v="HUN"/>
    <s v="03:58:07"/>
    <x v="481"/>
  </r>
  <r>
    <m/>
    <s v="Stummer Balázs"/>
    <n v="1985"/>
    <n v="34"/>
    <s v="M40"/>
    <s v="HUN"/>
    <s v="04:08:46"/>
    <x v="482"/>
  </r>
  <r>
    <m/>
    <s v="Ruiz de Leon Consuegra, Isaac"/>
    <n v="1991"/>
    <n v="28"/>
    <s v="M45"/>
    <s v="ESP"/>
    <s v="03:55:45"/>
    <x v="483"/>
  </r>
  <r>
    <m/>
    <s v="Beamonte Córdoba, Eduardo dr"/>
    <n v="1981"/>
    <n v="38"/>
    <s v="M55"/>
    <s v="ESP"/>
    <s v="04:39:36"/>
    <x v="484"/>
  </r>
  <r>
    <m/>
    <s v="Békési Bálint"/>
    <n v="1988"/>
    <n v="31"/>
    <s v="M20"/>
    <s v="HUN"/>
    <s v="04:38:24"/>
    <x v="485"/>
  </r>
  <r>
    <m/>
    <s v="Summers, Richard"/>
    <n v="1990"/>
    <n v="29"/>
    <s v="M65"/>
    <s v="GBR"/>
    <s v="04:59:24"/>
    <x v="486"/>
  </r>
  <r>
    <m/>
    <s v="CORDOBES ACEDO, JOSE LUIS"/>
    <n v="1983"/>
    <n v="36"/>
    <s v="M55"/>
    <s v="ESP"/>
    <s v="03:40:43"/>
    <x v="487"/>
  </r>
  <r>
    <m/>
    <s v="Klint, Kasper"/>
    <n v="1990"/>
    <n v="29"/>
    <s v="M40"/>
    <s v="DEN"/>
    <s v="04:13:47"/>
    <x v="488"/>
  </r>
  <r>
    <m/>
    <s v="Szikszai István"/>
    <n v="1960"/>
    <n v="59"/>
    <s v="M35"/>
    <s v="HUN"/>
    <s v="04:05:32"/>
    <x v="489"/>
  </r>
  <r>
    <m/>
    <s v="Baixauli, Javier"/>
    <n v="1969"/>
    <n v="50"/>
    <s v="M50"/>
    <s v="ESP"/>
    <s v="03:09:39"/>
    <x v="490"/>
  </r>
  <r>
    <m/>
    <s v="Mocsári Sándor"/>
    <n v="1973"/>
    <n v="46"/>
    <s v="M50"/>
    <s v="HUN"/>
    <s v="04:10:50"/>
    <x v="491"/>
  </r>
  <r>
    <m/>
    <s v="CHIARAMONTE, IVAN ANTONIO ANDREA prof"/>
    <n v="1972"/>
    <n v="47"/>
    <s v="M55"/>
    <s v="ITA"/>
    <s v="05:24:50"/>
    <x v="492"/>
  </r>
  <r>
    <m/>
    <s v="Borbás János"/>
    <n v="1975"/>
    <n v="44"/>
    <s v="M30"/>
    <s v="HUN"/>
    <s v="04:06:52"/>
    <x v="493"/>
  </r>
  <r>
    <m/>
    <s v="Kazmierczak, Pawel dr"/>
    <n v="1979"/>
    <n v="40"/>
    <s v="M50"/>
    <s v="POL"/>
    <s v="04:43:25"/>
    <x v="494"/>
  </r>
  <r>
    <m/>
    <s v="Mussini, Marco"/>
    <n v="1992"/>
    <n v="27"/>
    <s v="M45"/>
    <s v="ITA"/>
    <s v="04:56:12"/>
    <x v="495"/>
  </r>
  <r>
    <m/>
    <s v="Gombai János"/>
    <n v="1983"/>
    <n v="36"/>
    <s v="M45"/>
    <s v="HUN"/>
    <s v="04:18:07"/>
    <x v="496"/>
  </r>
  <r>
    <m/>
    <s v="Daniel Bozsoki"/>
    <n v="1990"/>
    <n v="29"/>
    <s v="M30"/>
    <s v="HUN"/>
    <s v="04:15:00"/>
    <x v="497"/>
  </r>
  <r>
    <m/>
    <s v="Ennis, Oliver"/>
    <n v="1982"/>
    <n v="37"/>
    <s v="M25"/>
    <s v="GBR"/>
    <s v="04:29:54"/>
    <x v="498"/>
  </r>
  <r>
    <m/>
    <s v="Wołowski, Lech dr"/>
    <n v="1977"/>
    <n v="42"/>
    <s v="M45"/>
    <s v="POL"/>
    <s v="03:42:05"/>
    <x v="499"/>
  </r>
  <r>
    <m/>
    <s v="Kovacik, Michal"/>
    <n v="1973"/>
    <n v="46"/>
    <s v="M40"/>
    <s v="SVK"/>
    <s v="03:59:18"/>
    <x v="500"/>
  </r>
  <r>
    <m/>
    <s v="Pis Sándor"/>
    <n v="1982"/>
    <n v="37"/>
    <s v="M55"/>
    <s v="HUN"/>
    <s v="03:58:22"/>
    <x v="501"/>
  </r>
  <r>
    <m/>
    <s v="Herbert Gyula"/>
    <n v="1967"/>
    <n v="52"/>
    <s v="M25"/>
    <s v="HUN"/>
    <s v="04:53:42"/>
    <x v="502"/>
  </r>
  <r>
    <m/>
    <s v="Turi Gábor"/>
    <n v="1974"/>
    <n v="45"/>
    <s v="M45"/>
    <s v="HUN"/>
    <s v="03:08:11"/>
    <x v="503"/>
  </r>
  <r>
    <m/>
    <s v="György Péter"/>
    <n v="1970"/>
    <n v="49"/>
    <s v="M25"/>
    <s v="HUN"/>
    <s v="04:08:09"/>
    <x v="504"/>
  </r>
  <r>
    <m/>
    <s v="Ashton, Neil"/>
    <n v="1978"/>
    <n v="41"/>
    <s v="M55"/>
    <s v="GBR"/>
    <s v="04:45:22"/>
    <x v="505"/>
  </r>
  <r>
    <m/>
    <s v="Csató Gergő"/>
    <n v="1969"/>
    <n v="50"/>
    <s v="M35"/>
    <s v="HUN"/>
    <s v="04:43:13"/>
    <x v="506"/>
  </r>
  <r>
    <m/>
    <s v="Tóth Gábor"/>
    <n v="1994"/>
    <n v="25"/>
    <s v="M45"/>
    <s v="HUN"/>
    <s v="05:12:05"/>
    <x v="507"/>
  </r>
  <r>
    <m/>
    <s v="Kálmán Balázs"/>
    <n v="1969"/>
    <n v="50"/>
    <s v="M45"/>
    <s v="HUN"/>
    <s v="04:31:42"/>
    <x v="508"/>
  </r>
  <r>
    <m/>
    <s v="Bernáth Bence dr"/>
    <n v="1987"/>
    <n v="32"/>
    <s v="M30"/>
    <s v="HUN"/>
    <s v="04:20:00"/>
    <x v="509"/>
  </r>
  <r>
    <m/>
    <s v="Berzi Zoltán"/>
    <n v="1975"/>
    <n v="44"/>
    <s v="M40"/>
    <s v="HUN"/>
    <s v="04:53:47"/>
    <x v="510"/>
  </r>
  <r>
    <m/>
    <s v="Rozgonyi Zoltán Attila"/>
    <n v="1983"/>
    <n v="36"/>
    <s v="M45"/>
    <s v="HUN"/>
    <s v="03:37:48"/>
    <x v="511"/>
  </r>
  <r>
    <m/>
    <s v="Kahr, Manuel"/>
    <n v="1977"/>
    <n v="42"/>
    <s v="M30"/>
    <s v="AUT"/>
    <s v="02:43:36"/>
    <x v="512"/>
  </r>
  <r>
    <m/>
    <s v="Franck, CHENU"/>
    <n v="1991"/>
    <n v="28"/>
    <s v="M55"/>
    <s v="FRA"/>
    <s v="04:20:54"/>
    <x v="513"/>
  </r>
  <r>
    <m/>
    <s v="GONZALEZ HERNANDEZ, ANTONIO"/>
    <n v="1987"/>
    <n v="32"/>
    <s v="M55"/>
    <s v="ESP"/>
    <s v="05:00:02"/>
    <x v="514"/>
  </r>
  <r>
    <m/>
    <s v="Kráž, Jakub"/>
    <n v="1989"/>
    <n v="30"/>
    <s v="M35"/>
    <s v="SVK"/>
    <s v="03:34:42"/>
    <x v="515"/>
  </r>
  <r>
    <m/>
    <s v="Martínez, Javier"/>
    <n v="1979"/>
    <n v="40"/>
    <s v="M35"/>
    <s v="COL"/>
    <s v="03:54:42"/>
    <x v="516"/>
  </r>
  <r>
    <m/>
    <s v="Valkó Bence"/>
    <n v="1966"/>
    <n v="53"/>
    <s v="M20"/>
    <s v="HUN"/>
    <s v="04:34:15"/>
    <x v="517"/>
  </r>
  <r>
    <m/>
    <s v="Low, Jonathan"/>
    <n v="1978"/>
    <n v="41"/>
    <s v="M20"/>
    <s v="SIN"/>
    <s v="02:59:02"/>
    <x v="518"/>
  </r>
  <r>
    <m/>
    <s v="Pintér Ferenc"/>
    <n v="1992"/>
    <n v="27"/>
    <s v="M40"/>
    <s v="HUN"/>
    <s v="03:59:47"/>
    <x v="519"/>
  </r>
  <r>
    <m/>
    <s v="Palumby László Tamás"/>
    <n v="1979"/>
    <n v="40"/>
    <s v="M50"/>
    <s v="HUN"/>
    <s v="04:47:55"/>
    <x v="520"/>
  </r>
  <r>
    <m/>
    <s v="Balatbat, Reynaldo"/>
    <n v="1970"/>
    <n v="49"/>
    <s v="M55"/>
    <s v="CAN"/>
    <s v="03:47:14"/>
    <x v="521"/>
  </r>
  <r>
    <m/>
    <s v="Sáfrány Csaba"/>
    <n v="1961"/>
    <n v="58"/>
    <s v="M40"/>
    <s v="HUN"/>
    <s v="04:43:50"/>
    <x v="522"/>
  </r>
  <r>
    <m/>
    <s v="Bólya Olivér"/>
    <n v="1977"/>
    <n v="42"/>
    <s v="M30"/>
    <s v="HUN"/>
    <s v="02:58:06"/>
    <x v="523"/>
  </r>
  <r>
    <m/>
    <s v="Gaudefroy, Frédéric"/>
    <n v="1983"/>
    <n v="36"/>
    <s v="M55"/>
    <s v="FRA"/>
    <s v="03:50:14"/>
    <x v="524"/>
  </r>
  <r>
    <m/>
    <s v="Molnár Tamás"/>
    <n v="1951"/>
    <n v="68"/>
    <s v="M40"/>
    <s v="HUN"/>
    <s v="04:46:32"/>
    <x v="525"/>
  </r>
  <r>
    <m/>
    <s v="Serra, Angelo"/>
    <n v="1969"/>
    <n v="50"/>
    <s v="M65"/>
    <s v="ITA"/>
    <s v="04:27:59"/>
    <x v="526"/>
  </r>
  <r>
    <m/>
    <s v="Amaan, Ghafoor"/>
    <n v="1973"/>
    <n v="46"/>
    <s v="M25"/>
    <s v="GBR"/>
    <s v="04:59:19"/>
    <x v="527"/>
  </r>
  <r>
    <m/>
    <s v="Greenwood, Louis"/>
    <n v="1982"/>
    <n v="37"/>
    <s v="M18"/>
    <s v="GBR"/>
    <s v="03:35:32"/>
    <x v="528"/>
  </r>
  <r>
    <m/>
    <s v="Dziewonski Michal"/>
    <n v="1982"/>
    <n v="37"/>
    <s v="M25"/>
    <s v="HUN"/>
    <s v="03:53:34"/>
    <x v="529"/>
  </r>
  <r>
    <m/>
    <s v="Boros Máté"/>
    <n v="1987"/>
    <n v="32"/>
    <s v="M30"/>
    <s v="HUN"/>
    <s v="03:57:47"/>
    <x v="530"/>
  </r>
  <r>
    <m/>
    <s v="Toth Gabor"/>
    <n v="1947"/>
    <n v="72"/>
    <s v="M45"/>
    <s v="HUN"/>
    <s v="05:17:55"/>
    <x v="531"/>
  </r>
  <r>
    <m/>
    <s v="Zhang, Alexandre"/>
    <n v="1977"/>
    <n v="42"/>
    <s v="M25"/>
    <s v="FRA"/>
    <s v="03:32:33"/>
    <x v="532"/>
  </r>
  <r>
    <m/>
    <s v="Andrei, Negru"/>
    <n v="1986"/>
    <n v="33"/>
    <s v="M25"/>
    <s v="ROM"/>
    <s v="03:31:42"/>
    <x v="533"/>
  </r>
  <r>
    <m/>
    <s v="Dobos Kristóf"/>
    <n v="1996"/>
    <n v="23"/>
    <s v="M30"/>
    <s v="HUN"/>
    <s v="03:55:43"/>
    <x v="534"/>
  </r>
  <r>
    <m/>
    <s v="Doig, Marcus dr"/>
    <n v="1967"/>
    <n v="52"/>
    <s v="M30"/>
    <s v="GBR"/>
    <s v="03:41:51"/>
    <x v="535"/>
  </r>
  <r>
    <m/>
    <s v="Rojas, Nestor Luciano"/>
    <n v="1991"/>
    <n v="28"/>
    <s v="M35"/>
    <s v="ARG"/>
    <s v="03:10:06"/>
    <x v="536"/>
  </r>
  <r>
    <m/>
    <s v="Stewart-Clark, Barney"/>
    <n v="1992"/>
    <n v="27"/>
    <s v="M18"/>
    <s v="GBR"/>
    <s v="04:00:14"/>
    <x v="537"/>
  </r>
  <r>
    <m/>
    <s v="Cserháti Vencel"/>
    <n v="1978"/>
    <n v="41"/>
    <s v="M50"/>
    <s v="HUN"/>
    <s v="04:58:57"/>
    <x v="538"/>
  </r>
  <r>
    <m/>
    <s v="Sand, H?vard Lyngvi"/>
    <n v="1988"/>
    <n v="31"/>
    <s v="M40"/>
    <s v="NOR"/>
    <s v="03:15:54"/>
    <x v="539"/>
  </r>
  <r>
    <m/>
    <s v="Kovács Dániel"/>
    <n v="1975"/>
    <n v="44"/>
    <s v="M40"/>
    <s v="HUN"/>
    <s v="03:46:01"/>
    <x v="418"/>
  </r>
  <r>
    <m/>
    <s v="Fekete András dr."/>
    <n v="1969"/>
    <n v="50"/>
    <s v="M50"/>
    <s v="HUN"/>
    <s v="04:14:26"/>
    <x v="540"/>
  </r>
  <r>
    <m/>
    <s v="Megyesi Tamás"/>
    <n v="1964"/>
    <n v="55"/>
    <s v="M40"/>
    <s v="HUN"/>
    <s v="05:00:29"/>
    <x v="541"/>
  </r>
  <r>
    <m/>
    <s v="Amedu, Akoji"/>
    <n v="1975"/>
    <n v="44"/>
    <s v="M45"/>
    <s v="NGR"/>
    <s v="05:32:27"/>
    <x v="542"/>
  </r>
  <r>
    <m/>
    <s v="Gergely Nickl"/>
    <n v="1986"/>
    <n v="33"/>
    <s v="M25"/>
    <s v="HUN"/>
    <s v="04:28:21"/>
    <x v="543"/>
  </r>
  <r>
    <m/>
    <s v="Béres Tamás"/>
    <n v="1980"/>
    <n v="39"/>
    <s v="M40"/>
    <s v="HUN"/>
    <s v="03:51:36"/>
    <x v="68"/>
  </r>
  <r>
    <m/>
    <s v="Zimner, Steffen"/>
    <n v="1957"/>
    <n v="62"/>
    <s v="M55"/>
    <s v="GER"/>
    <s v="03:57:14"/>
    <x v="544"/>
  </r>
  <r>
    <m/>
    <s v="Arnau, Zarzo Rascón"/>
    <n v="1976"/>
    <n v="43"/>
    <s v="M20"/>
    <s v="ESP"/>
    <s v="04:00:42"/>
    <x v="434"/>
  </r>
  <r>
    <m/>
    <s v="Guiney, Dermot prof"/>
    <n v="1963"/>
    <n v="56"/>
    <s v="M50"/>
    <s v="IRL"/>
    <s v="04:43:18"/>
    <x v="545"/>
  </r>
  <r>
    <m/>
    <s v="Kollias, Nikos"/>
    <n v="1977"/>
    <n v="42"/>
    <s v="M45"/>
    <s v="GRE"/>
    <s v="03:18:55"/>
    <x v="546"/>
  </r>
  <r>
    <m/>
    <s v="Faragó Balázs"/>
    <n v="1969"/>
    <n v="50"/>
    <s v="M35"/>
    <s v="HUN"/>
    <s v="04:39:21"/>
    <x v="237"/>
  </r>
  <r>
    <m/>
    <s v="nicolas, RUTER"/>
    <n v="1979"/>
    <n v="40"/>
    <s v="M45"/>
    <s v="FRA"/>
    <s v="04:35:43"/>
    <x v="547"/>
  </r>
  <r>
    <m/>
    <s v="Balázsi Csaba"/>
    <n v="1961"/>
    <n v="58"/>
    <s v="M30"/>
    <s v="HUN"/>
    <s v="05:12:57"/>
    <x v="548"/>
  </r>
  <r>
    <m/>
    <s v="Ismail, Kadioglu prof"/>
    <n v="1958"/>
    <n v="61"/>
    <s v="M45"/>
    <s v="BEL"/>
    <s v="03:34:17"/>
    <x v="549"/>
  </r>
  <r>
    <m/>
    <s v="ALMAS, JOSE"/>
    <n v="1980"/>
    <n v="39"/>
    <s v="M50"/>
    <s v="POR"/>
    <s v="03:58:48"/>
    <x v="201"/>
  </r>
  <r>
    <m/>
    <s v="Rizescu, Robert"/>
    <n v="1967"/>
    <n v="52"/>
    <s v="M45"/>
    <s v="ROM"/>
    <s v="05:10:34"/>
    <x v="550"/>
  </r>
  <r>
    <m/>
    <s v="Varga Zoltán"/>
    <n v="1978"/>
    <n v="41"/>
    <s v="M30"/>
    <s v="HUN"/>
    <s v="03:01:59"/>
    <x v="551"/>
  </r>
  <r>
    <m/>
    <s v="Komár Zsolt"/>
    <n v="1978"/>
    <n v="41"/>
    <s v="M50"/>
    <s v="HUN"/>
    <s v="04:30:22"/>
    <x v="552"/>
  </r>
  <r>
    <m/>
    <s v="Nagy Zoltán"/>
    <n v="1970"/>
    <n v="49"/>
    <s v="M40"/>
    <s v="HUN"/>
    <s v="03:54:28"/>
    <x v="553"/>
  </r>
  <r>
    <m/>
    <s v="Kovács Márton"/>
    <n v="1987"/>
    <n v="32"/>
    <s v="M18"/>
    <s v="HUN"/>
    <s v="04:31:58"/>
    <x v="554"/>
  </r>
  <r>
    <m/>
    <s v="Gaál Zoltán"/>
    <n v="1986"/>
    <n v="33"/>
    <s v="M40"/>
    <s v="HUN"/>
    <s v="04:53:26"/>
    <x v="555"/>
  </r>
  <r>
    <m/>
    <s v="Szabó László"/>
    <n v="1983"/>
    <n v="36"/>
    <s v="M65"/>
    <s v="HUN"/>
    <s v="04:25:23"/>
    <x v="556"/>
  </r>
  <r>
    <m/>
    <s v="Maidell, Daniel dr"/>
    <n v="1970"/>
    <n v="49"/>
    <s v="M45"/>
    <s v="SWE"/>
    <s v="03:44:53"/>
    <x v="243"/>
  </r>
  <r>
    <m/>
    <s v="Benedek Dávid"/>
    <n v="1986"/>
    <n v="33"/>
    <s v="M30"/>
    <s v="HUN"/>
    <s v="04:17:56"/>
    <x v="557"/>
  </r>
  <r>
    <m/>
    <s v="Volák Sándor"/>
    <n v="1960"/>
    <n v="59"/>
    <s v="M40"/>
    <s v="HUN"/>
    <s v="04:59:56"/>
    <x v="558"/>
  </r>
  <r>
    <m/>
    <s v="Piszter Gergely"/>
    <n v="1964"/>
    <n v="55"/>
    <s v="M40"/>
    <s v="HUN"/>
    <s v="03:55:02"/>
    <x v="559"/>
  </r>
  <r>
    <m/>
    <s v="Gugleta, Uros"/>
    <n v="1982"/>
    <n v="37"/>
    <s v="M20"/>
    <s v="SRB"/>
    <s v="04:58:22"/>
    <x v="560"/>
  </r>
  <r>
    <m/>
    <s v="Abdul Latiff, Mirza Bin"/>
    <n v="1968"/>
    <n v="51"/>
    <s v="M20"/>
    <s v="SIN"/>
    <s v="04:22:34"/>
    <x v="561"/>
  </r>
  <r>
    <m/>
    <s v="Kupsza András"/>
    <n v="1975"/>
    <n v="44"/>
    <s v="M45"/>
    <s v="HUN"/>
    <s v="04:36:20"/>
    <x v="562"/>
  </r>
  <r>
    <m/>
    <s v="Lovasi Zsolt"/>
    <n v="1964"/>
    <n v="55"/>
    <s v="M45"/>
    <s v="HUN"/>
    <s v="05:10:26"/>
    <x v="563"/>
  </r>
  <r>
    <m/>
    <s v="Horvay Balázs"/>
    <n v="1976"/>
    <n v="43"/>
    <s v="M25"/>
    <s v="HUN"/>
    <s v="03:10:43"/>
    <x v="564"/>
  </r>
  <r>
    <m/>
    <s v="Mariucci, Roberto"/>
    <n v="1977"/>
    <n v="42"/>
    <s v="M50"/>
    <s v="ITA"/>
    <s v="03:34:18"/>
    <x v="565"/>
  </r>
  <r>
    <m/>
    <s v="Iván Bence"/>
    <n v="1982"/>
    <n v="37"/>
    <s v="M25"/>
    <s v="HUN"/>
    <s v="04:40:55"/>
    <x v="566"/>
  </r>
  <r>
    <m/>
    <s v="LINTON, RICKY"/>
    <n v="1984"/>
    <n v="35"/>
    <s v="M45"/>
    <s v="GBR"/>
    <s v="04:39:05"/>
    <x v="567"/>
  </r>
  <r>
    <m/>
    <s v="Gencsy Zoltán"/>
    <n v="1976"/>
    <n v="43"/>
    <s v="M35"/>
    <s v="HUN"/>
    <s v="04:35:20"/>
    <x v="568"/>
  </r>
  <r>
    <m/>
    <s v="Huller Fülöp"/>
    <n v="1961"/>
    <n v="58"/>
    <s v="M20"/>
    <s v="HUN"/>
    <s v="04:16:24"/>
    <x v="569"/>
  </r>
  <r>
    <m/>
    <s v="Vig Levente"/>
    <n v="1974"/>
    <n v="45"/>
    <s v="M25"/>
    <s v="HUN"/>
    <s v="03:39:29"/>
    <x v="386"/>
  </r>
  <r>
    <m/>
    <s v="Altanov, Boris"/>
    <n v="1979"/>
    <n v="40"/>
    <s v="M25"/>
    <s v="BUL"/>
    <s v="03:40:43"/>
    <x v="487"/>
  </r>
  <r>
    <m/>
    <s v="Rózsa Tamás"/>
    <n v="1955"/>
    <n v="64"/>
    <s v="M45"/>
    <s v="HUN"/>
    <s v="04:54:31"/>
    <x v="570"/>
  </r>
  <r>
    <m/>
    <s v="Dejonckheere, Simon"/>
    <n v="1985"/>
    <n v="34"/>
    <s v="M25"/>
    <s v="BEL"/>
    <s v="03:55:27"/>
    <x v="571"/>
  </r>
  <r>
    <m/>
    <s v="Soon, Yung"/>
    <n v="1972"/>
    <n v="47"/>
    <s v="M20"/>
    <s v="SIN"/>
    <s v="05:30:47"/>
    <x v="572"/>
  </r>
  <r>
    <m/>
    <s v="Bak Szabolcs"/>
    <n v="1992"/>
    <n v="27"/>
    <s v="M25"/>
    <s v="HUN"/>
    <s v="03:09:06"/>
    <x v="266"/>
  </r>
  <r>
    <m/>
    <s v="Jenkinson, William"/>
    <n v="1977"/>
    <n v="42"/>
    <s v="M20"/>
    <s v="GBR"/>
    <s v="03:40:01"/>
    <x v="573"/>
  </r>
  <r>
    <m/>
    <s v="Karlsen, Sebastian"/>
    <n v="1979"/>
    <n v="40"/>
    <s v="M30"/>
    <s v="NOR"/>
    <s v="03:10:04"/>
    <x v="574"/>
  </r>
  <r>
    <m/>
    <s v="AK, EMRE"/>
    <n v="1975"/>
    <n v="44"/>
    <s v="M30"/>
    <s v="TUR"/>
    <s v="03:53:34"/>
    <x v="529"/>
  </r>
  <r>
    <m/>
    <s v="REQUIN, Christophe"/>
    <n v="1958"/>
    <n v="61"/>
    <s v="M50"/>
    <s v="FRA"/>
    <s v="03:45:18"/>
    <x v="575"/>
  </r>
  <r>
    <m/>
    <s v="Markót András"/>
    <n v="1997"/>
    <n v="22"/>
    <s v="M45"/>
    <s v="HUN"/>
    <s v="04:22:48"/>
    <x v="576"/>
  </r>
  <r>
    <m/>
    <s v="Corcoran, Séadh"/>
    <n v="1994"/>
    <n v="25"/>
    <s v="M20"/>
    <s v="IRL"/>
    <s v="04:24:10"/>
    <x v="577"/>
  </r>
  <r>
    <m/>
    <s v="Sidó Attila"/>
    <n v="1993"/>
    <n v="26"/>
    <s v="M30"/>
    <s v="HUN"/>
    <s v="04:00:30"/>
    <x v="578"/>
  </r>
  <r>
    <m/>
    <s v="Cozza, Fedele prof"/>
    <n v="1983"/>
    <n v="36"/>
    <s v="M45"/>
    <s v="ITA"/>
    <s v="04:43:42"/>
    <x v="579"/>
  </r>
  <r>
    <m/>
    <s v="WINTGENS, ROMAIN"/>
    <n v="1977"/>
    <n v="42"/>
    <s v="M20"/>
    <s v="FRA"/>
    <s v="04:00:07"/>
    <x v="146"/>
  </r>
  <r>
    <m/>
    <s v="Szamosi Szabolcs"/>
    <n v="1961"/>
    <n v="58"/>
    <s v="M45"/>
    <s v="HUN"/>
    <s v="04:20:20"/>
    <x v="580"/>
  </r>
  <r>
    <m/>
    <s v="Soltész Márk Mihály"/>
    <n v="1979"/>
    <n v="40"/>
    <s v="M45"/>
    <s v="HUN"/>
    <s v="05:18:20"/>
    <x v="581"/>
  </r>
  <r>
    <m/>
    <s v="Jablonski, Martin"/>
    <n v="1986"/>
    <n v="33"/>
    <s v="M30"/>
    <s v="POL"/>
    <s v="03:57:44"/>
    <x v="582"/>
  </r>
  <r>
    <m/>
    <s v="Schwender, Fabian"/>
    <n v="1973"/>
    <n v="46"/>
    <s v="M30"/>
    <s v="SUI"/>
    <s v="03:47:51"/>
    <x v="583"/>
  </r>
  <r>
    <m/>
    <s v="Vaz Vignolo, Carlos"/>
    <n v="1995"/>
    <n v="24"/>
    <s v="M45"/>
    <s v="MOZ"/>
    <s v="03:59:00"/>
    <x v="584"/>
  </r>
  <r>
    <m/>
    <s v="Hamvas Péter"/>
    <n v="1986"/>
    <n v="33"/>
    <s v="M45"/>
    <s v="HUN"/>
    <s v="03:49:00"/>
    <x v="585"/>
  </r>
  <r>
    <m/>
    <s v="Nagy Dániel"/>
    <n v="1990"/>
    <n v="29"/>
    <s v="M30"/>
    <s v="HUN"/>
    <s v="03:18:35"/>
    <x v="586"/>
  </r>
  <r>
    <m/>
    <s v="Fiore, Raffaele prof"/>
    <n v="1979"/>
    <n v="40"/>
    <s v="M60"/>
    <s v="ITA"/>
    <s v="05:12:02"/>
    <x v="587"/>
  </r>
  <r>
    <m/>
    <s v="Németh Balázs"/>
    <n v="1968"/>
    <n v="51"/>
    <s v="M40"/>
    <s v="HUN"/>
    <s v="04:19:10"/>
    <x v="588"/>
  </r>
  <r>
    <m/>
    <s v="Randrup, Johnny"/>
    <n v="1992"/>
    <n v="27"/>
    <s v="M45"/>
    <s v="DEN"/>
    <s v="03:25:13"/>
    <x v="589"/>
  </r>
  <r>
    <m/>
    <s v="Kápolnás József"/>
    <n v="1984"/>
    <n v="35"/>
    <s v="M45"/>
    <s v="HUN"/>
    <s v="03:43:04"/>
    <x v="590"/>
  </r>
  <r>
    <m/>
    <s v="Camas Alcaide, Fernando prof"/>
    <n v="1992"/>
    <n v="27"/>
    <s v="M55"/>
    <s v="ESP"/>
    <s v="04:19:00"/>
    <x v="591"/>
  </r>
  <r>
    <m/>
    <s v="Foglár Gábor"/>
    <n v="1961"/>
    <n v="58"/>
    <s v="M35"/>
    <s v="HUN"/>
    <s v="05:21:04"/>
    <x v="592"/>
  </r>
  <r>
    <m/>
    <s v="Spalevic, Radovan"/>
    <n v="1995"/>
    <n v="24"/>
    <s v="M30"/>
    <s v="DEN"/>
    <s v="03:43:46"/>
    <x v="593"/>
  </r>
  <r>
    <m/>
    <s v="Váradi Gábor"/>
    <n v="1988"/>
    <n v="31"/>
    <s v="M45"/>
    <s v="HUN"/>
    <s v="04:40:27"/>
    <x v="594"/>
  </r>
  <r>
    <m/>
    <s v="Pucci, Elia prof"/>
    <n v="1961"/>
    <n v="58"/>
    <s v="M30"/>
    <s v="ITA"/>
    <s v="02:57:02"/>
    <x v="595"/>
  </r>
  <r>
    <m/>
    <s v="Martin, Cuisy"/>
    <n v="1994"/>
    <n v="25"/>
    <s v="M25"/>
    <s v="FRA"/>
    <s v="03:16:43"/>
    <x v="596"/>
  </r>
  <r>
    <m/>
    <s v="Wintersteller, Claus"/>
    <n v="1989"/>
    <n v="30"/>
    <s v="M30"/>
    <s v="AUT"/>
    <s v="03:56:54"/>
    <x v="597"/>
  </r>
  <r>
    <m/>
    <s v="Takács Sándor"/>
    <n v="1979"/>
    <n v="40"/>
    <s v="M50"/>
    <s v="HUN"/>
    <s v="04:15:12"/>
    <x v="598"/>
  </r>
  <r>
    <m/>
    <s v="Azzini, Davide Stefano Renato"/>
    <n v="1970"/>
    <n v="49"/>
    <s v="M25"/>
    <s v="ITA"/>
    <s v="03:59:20"/>
    <x v="599"/>
  </r>
  <r>
    <m/>
    <s v="Sándor Miklós"/>
    <n v="1982"/>
    <n v="37"/>
    <s v="M40"/>
    <s v="HUN"/>
    <s v="04:28:23"/>
    <x v="600"/>
  </r>
  <r>
    <m/>
    <s v="Szczepański, Marcin"/>
    <n v="1976"/>
    <n v="43"/>
    <s v="M35"/>
    <s v="POL"/>
    <s v="04:21:09"/>
    <x v="601"/>
  </r>
  <r>
    <m/>
    <s v="OBrien, Garth"/>
    <n v="1976"/>
    <n v="43"/>
    <s v="M45"/>
    <s v="AUS"/>
    <s v="04:05:15"/>
    <x v="602"/>
  </r>
  <r>
    <m/>
    <s v="Kreso, Velimir"/>
    <n v="1977"/>
    <n v="42"/>
    <s v="M30"/>
    <s v="CRO"/>
    <s v="03:22:44"/>
    <x v="603"/>
  </r>
  <r>
    <m/>
    <s v="Fazekas Ottó"/>
    <n v="1955"/>
    <n v="64"/>
    <s v="M45"/>
    <s v="HUN"/>
    <s v="03:32:21"/>
    <x v="604"/>
  </r>
  <r>
    <m/>
    <s v="Ascard, Martin"/>
    <n v="1985"/>
    <n v="34"/>
    <s v="M30"/>
    <s v="SWE"/>
    <s v="04:07:01"/>
    <x v="605"/>
  </r>
  <r>
    <m/>
    <s v="Rojewski, Lukasz prof"/>
    <n v="1990"/>
    <n v="29"/>
    <s v="M20"/>
    <s v="POL"/>
    <s v="04:25:20"/>
    <x v="606"/>
  </r>
  <r>
    <m/>
    <s v="Shchori, Gal"/>
    <n v="1979"/>
    <n v="40"/>
    <s v="M30"/>
    <s v="ISR"/>
    <s v="03:23:12"/>
    <x v="247"/>
  </r>
  <r>
    <m/>
    <s v="Hackl Mihály ifj"/>
    <n v="1983"/>
    <n v="36"/>
    <s v="M40"/>
    <s v="HUN"/>
    <s v="03:40:34"/>
    <x v="607"/>
  </r>
  <r>
    <m/>
    <s v="Gombár Zoltán"/>
    <n v="1994"/>
    <n v="25"/>
    <s v="M55"/>
    <s v="HUN"/>
    <s v="03:55:03"/>
    <x v="608"/>
  </r>
  <r>
    <m/>
    <s v="Jenei Attila"/>
    <n v="1986"/>
    <n v="33"/>
    <s v="M50"/>
    <s v="HUN"/>
    <s v="05:03:20"/>
    <x v="609"/>
  </r>
  <r>
    <m/>
    <s v="Kerényi Levente"/>
    <n v="1976"/>
    <n v="43"/>
    <s v="M25"/>
    <s v="HUN"/>
    <s v="05:02:56"/>
    <x v="610"/>
  </r>
  <r>
    <m/>
    <s v="Nagy Gábor"/>
    <n v="1980"/>
    <n v="39"/>
    <s v="M45"/>
    <s v="HUN"/>
    <s v="03:51:46"/>
    <x v="611"/>
  </r>
  <r>
    <m/>
    <s v="Groesbeek, Michel"/>
    <n v="1988"/>
    <n v="31"/>
    <s v="M55"/>
    <s v="NED"/>
    <s v="04:18:27"/>
    <x v="612"/>
  </r>
  <r>
    <m/>
    <s v="Kovács, Előd"/>
    <n v="1966"/>
    <n v="53"/>
    <s v="M35"/>
    <s v="ROM"/>
    <s v="03:39:31"/>
    <x v="613"/>
  </r>
  <r>
    <m/>
    <s v="Horvay Balázs"/>
    <n v="1984"/>
    <n v="35"/>
    <s v="M25"/>
    <s v="HUN"/>
    <s v="03:10:43"/>
    <x v="564"/>
  </r>
  <r>
    <m/>
    <s v="David, Hitchen"/>
    <n v="1980"/>
    <n v="39"/>
    <s v="M30"/>
    <s v="GBR"/>
    <s v="03:48:55"/>
    <x v="614"/>
  </r>
  <r>
    <m/>
    <s v="Fehér Dániel"/>
    <n v="1990"/>
    <n v="29"/>
    <s v="M25"/>
    <s v="HUN"/>
    <s v="03:49:49"/>
    <x v="615"/>
  </r>
  <r>
    <m/>
    <s v="Bödör Tamás"/>
    <n v="1977"/>
    <n v="42"/>
    <s v="M50"/>
    <s v="HUN"/>
    <s v="03:46:40"/>
    <x v="616"/>
  </r>
  <r>
    <m/>
    <s v="FERNANDEZ GONZALEZ, EMILIO prof"/>
    <n v="1978"/>
    <n v="41"/>
    <s v="M55"/>
    <s v="ESP"/>
    <s v="03:53:20"/>
    <x v="617"/>
  </r>
  <r>
    <m/>
    <s v="FU, LEI"/>
    <n v="1992"/>
    <n v="27"/>
    <s v="M30"/>
    <s v="CHN"/>
    <s v="02:58:23"/>
    <x v="618"/>
  </r>
  <r>
    <m/>
    <s v="Dove, Daniel"/>
    <n v="1978"/>
    <n v="41"/>
    <s v="M25"/>
    <s v="GBR"/>
    <s v="04:08:28"/>
    <x v="619"/>
  </r>
  <r>
    <m/>
    <s v="Misoczki László"/>
    <n v="1969"/>
    <n v="50"/>
    <s v="M50"/>
    <s v="HUN"/>
    <s v="04:21:40"/>
    <x v="620"/>
  </r>
  <r>
    <m/>
    <s v="Kuznik, Kasper"/>
    <n v="1994"/>
    <n v="25"/>
    <s v="M25"/>
    <s v="POL"/>
    <s v="03:14:03"/>
    <x v="621"/>
  </r>
  <r>
    <m/>
    <s v="Verdeyen, Kris"/>
    <n v="1990"/>
    <n v="29"/>
    <s v="M35"/>
    <s v="BEL"/>
    <s v="04:01:12"/>
    <x v="622"/>
  </r>
  <r>
    <m/>
    <s v="Bánfai Károly"/>
    <n v="1966"/>
    <n v="53"/>
    <s v="M40"/>
    <s v="HUN"/>
    <s v="03:21:28"/>
    <x v="623"/>
  </r>
  <r>
    <m/>
    <s v="RAFFERTY, Colin"/>
    <n v="1987"/>
    <n v="32"/>
    <s v="M40"/>
    <s v="IRL"/>
    <s v="03:31:56"/>
    <x v="624"/>
  </r>
  <r>
    <m/>
    <s v="Buyse, Geert"/>
    <n v="1990"/>
    <n v="29"/>
    <s v="M60"/>
    <s v="BEL"/>
    <s v="04:32:28"/>
    <x v="625"/>
  </r>
  <r>
    <m/>
    <s v="Hambuch Bertold"/>
    <n v="1960"/>
    <n v="59"/>
    <s v="M25"/>
    <s v="HUN"/>
    <s v="03:40:51"/>
    <x v="626"/>
  </r>
  <r>
    <m/>
    <s v="Toplak Béla"/>
    <n v="1996"/>
    <n v="23"/>
    <s v="M50"/>
    <s v="HUN"/>
    <s v="03:45:33"/>
    <x v="627"/>
  </r>
  <r>
    <m/>
    <s v="Tóth Dávid István"/>
    <n v="1987"/>
    <n v="32"/>
    <s v="M25"/>
    <s v="HUN"/>
    <s v="04:25:02"/>
    <x v="628"/>
  </r>
  <r>
    <m/>
    <s v="Nentwich, Steve"/>
    <n v="1992"/>
    <n v="27"/>
    <s v="M45"/>
    <s v="GER"/>
    <s v="04:28:39"/>
    <x v="629"/>
  </r>
  <r>
    <m/>
    <s v="Herbay András"/>
    <n v="1994"/>
    <n v="25"/>
    <s v="M40"/>
    <s v="HUN"/>
    <s v="03:23:32"/>
    <x v="51"/>
  </r>
  <r>
    <m/>
    <s v="Kopečný, Denis"/>
    <n v="1970"/>
    <n v="49"/>
    <s v="M40"/>
    <s v="SVK"/>
    <s v="04:01:47"/>
    <x v="630"/>
  </r>
  <r>
    <m/>
    <s v="Jean-Christophe, LAZARD"/>
    <n v="1977"/>
    <n v="42"/>
    <s v="M55"/>
    <s v="FRA"/>
    <s v="03:35:24"/>
    <x v="631"/>
  </r>
  <r>
    <m/>
    <s v="Gosztonyi Zsombor"/>
    <n v="1963"/>
    <n v="56"/>
    <s v="M20"/>
    <s v="HUN"/>
    <s v="04:01:01"/>
    <x v="257"/>
  </r>
  <r>
    <m/>
    <s v="Zabihi, Behrooz"/>
    <n v="1978"/>
    <n v="41"/>
    <s v="M45"/>
    <s v="ITA"/>
    <s v="02:52:25"/>
    <x v="632"/>
  </r>
  <r>
    <m/>
    <s v="Branković, Djordje"/>
    <n v="1971"/>
    <n v="48"/>
    <s v="M40"/>
    <s v="SRB"/>
    <s v="04:24:03"/>
    <x v="633"/>
  </r>
  <r>
    <m/>
    <s v="Santana, Sebastian"/>
    <n v="1978"/>
    <n v="41"/>
    <s v="M25"/>
    <s v="DOM"/>
    <s v="04:47:31"/>
    <x v="634"/>
  </r>
  <r>
    <m/>
    <s v="Bartus Ferenc"/>
    <n v="1987"/>
    <n v="32"/>
    <s v="M45"/>
    <s v="HUN"/>
    <s v="03:19:05"/>
    <x v="635"/>
  </r>
  <r>
    <m/>
    <s v="Jackson, Mark"/>
    <n v="1965"/>
    <n v="54"/>
    <s v="M45"/>
    <s v="GBR"/>
    <s v="04:14:16"/>
    <x v="267"/>
  </r>
  <r>
    <m/>
    <s v="NOLSOE, AMUNDUR"/>
    <n v="1981"/>
    <n v="38"/>
    <s v="M55"/>
    <s v="DEN"/>
    <s v="03:51:20"/>
    <x v="636"/>
  </r>
  <r>
    <m/>
    <s v="Keller Elek"/>
    <n v="1991"/>
    <n v="28"/>
    <s v="M45"/>
    <s v="HUN"/>
    <s v="03:28:35"/>
    <x v="637"/>
  </r>
  <r>
    <m/>
    <s v="Farkas Tamás"/>
    <n v="1983"/>
    <n v="36"/>
    <s v="M55"/>
    <s v="HUN"/>
    <s v="04:53:48"/>
    <x v="638"/>
  </r>
  <r>
    <m/>
    <s v="Grieve, Robert"/>
    <n v="1992"/>
    <n v="27"/>
    <s v="M50"/>
    <s v="GBR"/>
    <s v="05:26:10"/>
    <x v="639"/>
  </r>
  <r>
    <m/>
    <s v="Christensen, Bjorn"/>
    <n v="1981"/>
    <n v="38"/>
    <s v="M50"/>
    <s v="NOR"/>
    <s v="03:09:03"/>
    <x v="640"/>
  </r>
  <r>
    <m/>
    <s v="Filippov, Anton"/>
    <n v="1992"/>
    <n v="27"/>
    <s v="M30"/>
    <s v="RUS"/>
    <s v="04:02:25"/>
    <x v="641"/>
  </r>
  <r>
    <m/>
    <s v="Juchniewicz, Matt"/>
    <n v="1974"/>
    <n v="45"/>
    <s v="M40"/>
    <s v="GBR"/>
    <s v="03:52:10"/>
    <x v="246"/>
  </r>
  <r>
    <m/>
    <s v="Bielan, Daniel"/>
    <n v="1974"/>
    <n v="45"/>
    <s v="M30"/>
    <s v="CZE"/>
    <s v="03:43:02"/>
    <x v="642"/>
  </r>
  <r>
    <m/>
    <s v="PICKAVET, Geert"/>
    <n v="1989"/>
    <n v="30"/>
    <s v="M50"/>
    <s v="BEL"/>
    <s v="04:13:45"/>
    <x v="643"/>
  </r>
  <r>
    <m/>
    <s v="Prigyeni László"/>
    <n v="1972"/>
    <n v="47"/>
    <s v="M50"/>
    <s v="HUN"/>
    <s v="04:43:49"/>
    <x v="644"/>
  </r>
  <r>
    <m/>
    <s v="Wilding, Benjamin"/>
    <n v="1963"/>
    <n v="56"/>
    <s v="M18"/>
    <s v="GBR"/>
    <s v="03:23:05"/>
    <x v="118"/>
  </r>
  <r>
    <m/>
    <s v="Juhász Tamás"/>
    <n v="1977"/>
    <n v="42"/>
    <s v="M25"/>
    <s v="HUN"/>
    <s v="05:13:15"/>
    <x v="645"/>
  </r>
  <r>
    <m/>
    <s v="Tamás István"/>
    <n v="1982"/>
    <n v="37"/>
    <s v="M65"/>
    <s v="HUN"/>
    <s v="04:42:29"/>
    <x v="646"/>
  </r>
  <r>
    <m/>
    <s v="Kudrycki, Jakub"/>
    <n v="1991"/>
    <n v="28"/>
    <s v="M50"/>
    <s v="POL"/>
    <s v="03:56:24"/>
    <x v="647"/>
  </r>
  <r>
    <m/>
    <s v="Zoltai Zsolt"/>
    <n v="1990"/>
    <n v="29"/>
    <s v="M25"/>
    <s v="HUN"/>
    <s v="03:23:23"/>
    <x v="648"/>
  </r>
  <r>
    <m/>
    <s v="Kiss László"/>
    <n v="1990"/>
    <n v="29"/>
    <s v="M60"/>
    <s v="HUN"/>
    <s v="04:13:29"/>
    <x v="649"/>
  </r>
  <r>
    <m/>
    <s v="MORVANT, KEVIN"/>
    <n v="1964"/>
    <n v="55"/>
    <s v="M40"/>
    <s v="FRA"/>
    <s v="04:20:35"/>
    <x v="650"/>
  </r>
  <r>
    <m/>
    <s v="Agócs Róbert"/>
    <n v="1988"/>
    <n v="31"/>
    <s v="M45"/>
    <s v="HUN"/>
    <s v="04:46:33"/>
    <x v="651"/>
  </r>
  <r>
    <m/>
    <s v="Pártay Róbert Dénes"/>
    <n v="1967"/>
    <n v="52"/>
    <s v="M30"/>
    <s v="HUN"/>
    <s v="03:59:03"/>
    <x v="652"/>
  </r>
  <r>
    <m/>
    <s v="Varga Lőrinc"/>
    <n v="1986"/>
    <n v="33"/>
    <s v="M45"/>
    <s v="HUN"/>
    <s v="05:23:47"/>
    <x v="653"/>
  </r>
  <r>
    <m/>
    <s v="Jepsen, Henrik Berg"/>
    <n v="1977"/>
    <n v="42"/>
    <s v="M35"/>
    <s v="DEN"/>
    <s v="03:22:00"/>
    <x v="654"/>
  </r>
  <r>
    <m/>
    <s v="Hrustinszky Zsolt"/>
    <n v="1978"/>
    <n v="41"/>
    <s v="M50"/>
    <s v="HUN"/>
    <s v="05:04:06"/>
    <x v="655"/>
  </r>
  <r>
    <m/>
    <s v="JANIK, ROMAN"/>
    <n v="1980"/>
    <n v="39"/>
    <s v="M70"/>
    <s v="POL"/>
    <s v="05:36:00"/>
    <x v="656"/>
  </r>
  <r>
    <m/>
    <s v="DE LA RIMADA MANELLA, CARLOS JAVIER"/>
    <n v="1976"/>
    <n v="43"/>
    <s v="M55"/>
    <s v="ESP"/>
    <s v="03:40:43"/>
    <x v="487"/>
  </r>
  <r>
    <m/>
    <s v="Buday, Jozef"/>
    <n v="1993"/>
    <n v="26"/>
    <s v="M40"/>
    <s v="SVK"/>
    <s v="03:19:45"/>
    <x v="657"/>
  </r>
  <r>
    <m/>
    <s v="Szalmási Dániel"/>
    <n v="1986"/>
    <n v="33"/>
    <s v="M25"/>
    <s v="HUN"/>
    <s v="05:03:42"/>
    <x v="658"/>
  </r>
  <r>
    <m/>
    <s v="Forrai Miklós"/>
    <n v="1980"/>
    <n v="39"/>
    <s v="M35"/>
    <s v="HUN"/>
    <s v="04:15:46"/>
    <x v="659"/>
  </r>
  <r>
    <m/>
    <s v="Pym, Cameron"/>
    <n v="1992"/>
    <n v="27"/>
    <s v="M30"/>
    <s v="GBR"/>
    <s v="04:02:56"/>
    <x v="660"/>
  </r>
  <r>
    <m/>
    <s v="Macleod, Alistair"/>
    <n v="1971"/>
    <n v="48"/>
    <s v="M60"/>
    <s v="GBR"/>
    <s v="04:32:47"/>
    <x v="661"/>
  </r>
  <r>
    <m/>
    <s v="Brájer Attila"/>
    <n v="1990"/>
    <n v="29"/>
    <s v="M35"/>
    <s v="HUN"/>
    <s v="03:51:37"/>
    <x v="662"/>
  </r>
  <r>
    <m/>
    <s v="ebek, Duan"/>
    <n v="1971"/>
    <n v="48"/>
    <s v="M50"/>
    <s v="CZE"/>
    <s v="04:16:01"/>
    <x v="663"/>
  </r>
  <r>
    <m/>
    <s v="McAlpin, Andrew"/>
    <n v="1994"/>
    <n v="25"/>
    <s v="M25"/>
    <s v="GBR"/>
    <s v="03:25:34"/>
    <x v="664"/>
  </r>
  <r>
    <m/>
    <s v="Mohri Szirusz"/>
    <n v="1982"/>
    <n v="37"/>
    <s v="M20"/>
    <s v="HUN"/>
    <s v="04:02:16"/>
    <x v="665"/>
  </r>
  <r>
    <m/>
    <s v="Way, Matt"/>
    <n v="1984"/>
    <n v="35"/>
    <s v="M50"/>
    <s v="GBR"/>
    <s v="04:17:24"/>
    <x v="666"/>
  </r>
  <r>
    <m/>
    <s v="Babiak, Marek"/>
    <n v="1974"/>
    <n v="45"/>
    <s v="M40"/>
    <s v="SVK"/>
    <s v="04:13:56"/>
    <x v="667"/>
  </r>
  <r>
    <m/>
    <s v="Dózsa Gergely"/>
    <n v="1985"/>
    <n v="34"/>
    <s v="M45"/>
    <s v="HUN"/>
    <s v="03:56:57"/>
    <x v="668"/>
  </r>
  <r>
    <m/>
    <s v="Telek Gábor"/>
    <n v="1963"/>
    <n v="56"/>
    <s v="M40"/>
    <s v="HUN"/>
    <s v="04:09:13"/>
    <x v="669"/>
  </r>
  <r>
    <m/>
    <s v="Ferenczi Zsombor"/>
    <n v="1980"/>
    <n v="39"/>
    <s v="M25"/>
    <s v="HUN"/>
    <s v="04:28:42"/>
    <x v="670"/>
  </r>
  <r>
    <m/>
    <s v="Lam, Benjamin"/>
    <n v="1966"/>
    <n v="53"/>
    <s v="M25"/>
    <s v="DEN"/>
    <s v="02:55:56"/>
    <x v="671"/>
  </r>
  <r>
    <m/>
    <s v="Nagy István"/>
    <n v="1968"/>
    <n v="51"/>
    <s v="M40"/>
    <s v="HUN"/>
    <s v="03:16:21"/>
    <x v="672"/>
  </r>
  <r>
    <m/>
    <s v="Hieu, Tran"/>
    <n v="1989"/>
    <n v="30"/>
    <s v="M20"/>
    <s v="USA"/>
    <s v="04:28:17"/>
    <x v="673"/>
  </r>
  <r>
    <m/>
    <s v="Malblanc, Richard prof"/>
    <n v="1973"/>
    <n v="46"/>
    <s v="M55"/>
    <s v="FRA"/>
    <s v="03:22:59"/>
    <x v="674"/>
  </r>
  <r>
    <m/>
    <s v="Molnár Gábor"/>
    <n v="1979"/>
    <n v="40"/>
    <s v="M45"/>
    <s v="HUN"/>
    <s v="03:50:54"/>
    <x v="675"/>
  </r>
  <r>
    <m/>
    <s v="Versényi Péter"/>
    <n v="1977"/>
    <n v="42"/>
    <s v="M25"/>
    <s v="HUN"/>
    <s v="03:56:40"/>
    <x v="676"/>
  </r>
  <r>
    <m/>
    <s v="Schachter, Asaf"/>
    <n v="1985"/>
    <n v="34"/>
    <s v="M45"/>
    <s v="ISR"/>
    <s v="04:40:15"/>
    <x v="677"/>
  </r>
  <r>
    <m/>
    <s v="Perez sedano, Diego"/>
    <n v="1970"/>
    <n v="49"/>
    <s v="M50"/>
    <s v="ESP"/>
    <s v="03:49:37"/>
    <x v="678"/>
  </r>
  <r>
    <m/>
    <s v="Hoarton, George"/>
    <n v="1956"/>
    <n v="63"/>
    <s v="M25"/>
    <s v="GBR"/>
    <s v="03:27:00"/>
    <x v="679"/>
  </r>
  <r>
    <m/>
    <s v="Tumuluri, Ramana"/>
    <n v="1977"/>
    <n v="42"/>
    <s v="M50"/>
    <s v="USA"/>
    <s v="03:57:37"/>
    <x v="680"/>
  </r>
  <r>
    <m/>
    <s v="Visy Géza"/>
    <n v="1994"/>
    <n v="25"/>
    <s v="M45"/>
    <s v="HUN"/>
    <s v="04:18:57"/>
    <x v="681"/>
  </r>
  <r>
    <m/>
    <s v="Korim Zsolt"/>
    <n v="1994"/>
    <n v="25"/>
    <s v="M45"/>
    <s v="HUN"/>
    <s v="04:35:12"/>
    <x v="682"/>
  </r>
  <r>
    <m/>
    <s v="Füle Zsolt"/>
    <n v="1985"/>
    <n v="34"/>
    <s v="M45"/>
    <s v="HUN"/>
    <s v="03:34:02"/>
    <x v="683"/>
  </r>
  <r>
    <m/>
    <s v="Quagini, Davide"/>
    <n v="1980"/>
    <n v="39"/>
    <s v="M20"/>
    <s v="ITA"/>
    <s v="03:16:28"/>
    <x v="684"/>
  </r>
  <r>
    <m/>
    <s v="Urbán Zsolt"/>
    <n v="1979"/>
    <n v="40"/>
    <s v="M50"/>
    <s v="HUN"/>
    <s v="03:17:30"/>
    <x v="685"/>
  </r>
  <r>
    <m/>
    <s v="Horváth Péter"/>
    <n v="1957"/>
    <n v="62"/>
    <s v="M45"/>
    <s v="HUN"/>
    <s v="04:14:58"/>
    <x v="686"/>
  </r>
  <r>
    <m/>
    <s v="Nádasdi Gábor"/>
    <n v="1971"/>
    <n v="48"/>
    <s v="M50"/>
    <s v="HUN"/>
    <s v="04:55:25"/>
    <x v="687"/>
  </r>
  <r>
    <m/>
    <s v="Henézi Ferenc Róbert"/>
    <n v="1990"/>
    <n v="29"/>
    <s v="M45"/>
    <s v="HUN"/>
    <s v="04:31:33"/>
    <x v="688"/>
  </r>
  <r>
    <m/>
    <s v="Trunk Milán"/>
    <n v="1950"/>
    <n v="69"/>
    <s v="M35"/>
    <s v="HUN"/>
    <s v="03:56:34"/>
    <x v="689"/>
  </r>
  <r>
    <m/>
    <s v="Israeli, Moshe"/>
    <n v="1984"/>
    <n v="35"/>
    <s v="M45"/>
    <s v="ISR"/>
    <s v="03:51:30"/>
    <x v="690"/>
  </r>
  <r>
    <m/>
    <s v="Papp Norbert"/>
    <n v="1977"/>
    <n v="42"/>
    <s v="M40"/>
    <s v="HUN"/>
    <s v="03:27:30"/>
    <x v="462"/>
  </r>
  <r>
    <m/>
    <s v="Keresztes Zoltan"/>
    <n v="1985"/>
    <n v="34"/>
    <s v="M40"/>
    <s v="HUN"/>
    <s v="04:12:52"/>
    <x v="691"/>
  </r>
  <r>
    <m/>
    <s v="Jezsó Bence"/>
    <n v="1970"/>
    <n v="49"/>
    <s v="M25"/>
    <s v="HUN"/>
    <s v="03:46:41"/>
    <x v="252"/>
  </r>
  <r>
    <m/>
    <s v="Kruis, Jeffrey"/>
    <n v="1978"/>
    <n v="41"/>
    <s v="M30"/>
    <s v="NED"/>
    <s v="03:44:30"/>
    <x v="692"/>
  </r>
  <r>
    <m/>
    <s v="Pásztor Csaba"/>
    <n v="1976"/>
    <n v="43"/>
    <s v="M40"/>
    <s v="HUN"/>
    <s v="04:07:05"/>
    <x v="693"/>
  </r>
  <r>
    <m/>
    <s v="Szerencse Ákos"/>
    <n v="1968"/>
    <n v="51"/>
    <s v="M25"/>
    <s v="HUN"/>
    <s v="04:38:08"/>
    <x v="694"/>
  </r>
  <r>
    <m/>
    <s v="Sharif, Aboelnaga"/>
    <n v="1953"/>
    <n v="66"/>
    <s v="M50"/>
    <s v="USA"/>
    <s v="03:11:01"/>
    <x v="358"/>
  </r>
  <r>
    <m/>
    <s v="BREZNEN, IGOR"/>
    <n v="1966"/>
    <n v="53"/>
    <s v="M45"/>
    <s v="SVK"/>
    <s v="04:15:47"/>
    <x v="695"/>
  </r>
  <r>
    <m/>
    <s v="Silva, Diogo"/>
    <n v="1978"/>
    <n v="41"/>
    <s v="M30"/>
    <s v="POR"/>
    <s v="03:16:47"/>
    <x v="696"/>
  </r>
  <r>
    <m/>
    <s v="KIM, MAN DEUK dr"/>
    <n v="1974"/>
    <n v="45"/>
    <s v="M50"/>
    <s v="KOR"/>
    <s v="04:09:53"/>
    <x v="697"/>
  </r>
  <r>
    <m/>
    <s v="Keiler, Bernhard"/>
    <n v="1975"/>
    <n v="44"/>
    <s v="M65"/>
    <s v="AUT"/>
    <s v="05:24:40"/>
    <x v="698"/>
  </r>
  <r>
    <m/>
    <s v="zagoni csaba"/>
    <n v="1957"/>
    <n v="62"/>
    <s v="M40"/>
    <s v="HUN"/>
    <s v="03:37:36"/>
    <x v="699"/>
  </r>
  <r>
    <m/>
    <s v="Kruppa István Gábor"/>
    <n v="1972"/>
    <n v="47"/>
    <s v="M35"/>
    <s v="HUN"/>
    <s v="04:19:00"/>
    <x v="591"/>
  </r>
  <r>
    <m/>
    <s v="Virág Péter"/>
    <n v="1964"/>
    <n v="55"/>
    <s v="M40"/>
    <s v="HUN"/>
    <s v="04:16:26"/>
    <x v="700"/>
  </r>
  <r>
    <m/>
    <s v="Tóth Szilárd"/>
    <n v="1973"/>
    <n v="46"/>
    <s v="M45"/>
    <s v="HUN"/>
    <s v="04:25:44"/>
    <x v="701"/>
  </r>
  <r>
    <m/>
    <s v="Forczek István"/>
    <n v="1968"/>
    <n v="51"/>
    <s v="M25"/>
    <s v="HUN"/>
    <s v="04:56:25"/>
    <x v="702"/>
  </r>
  <r>
    <m/>
    <s v="LIBERNA, ZENON"/>
    <n v="1974"/>
    <n v="45"/>
    <s v="M65"/>
    <s v="POL"/>
    <s v="04:25:51"/>
    <x v="703"/>
  </r>
  <r>
    <m/>
    <s v="Petresevics Róbert"/>
    <n v="1958"/>
    <n v="61"/>
    <s v="M55"/>
    <s v="HUN"/>
    <s v="04:31:06"/>
    <x v="419"/>
  </r>
  <r>
    <m/>
    <s v="Peyer Zoltán"/>
    <n v="1977"/>
    <n v="42"/>
    <s v="M40"/>
    <s v="HUN"/>
    <s v="03:44:08"/>
    <x v="112"/>
  </r>
  <r>
    <m/>
    <s v="Macišg, Krzysztof"/>
    <n v="1976"/>
    <n v="43"/>
    <s v="M35"/>
    <s v="POL"/>
    <s v="03:00:33"/>
    <x v="704"/>
  </r>
  <r>
    <m/>
    <s v="Jánosi Balázs"/>
    <n v="1969"/>
    <n v="50"/>
    <s v="M45"/>
    <s v="HUN"/>
    <s v="04:44:07"/>
    <x v="705"/>
  </r>
  <r>
    <m/>
    <s v="Michel, Malet"/>
    <n v="1995"/>
    <n v="24"/>
    <s v="M65"/>
    <s v="SUI"/>
    <s v="04:58:21"/>
    <x v="706"/>
  </r>
  <r>
    <m/>
    <s v="Horváth József"/>
    <n v="1987"/>
    <n v="32"/>
    <s v="M45"/>
    <s v="HUN"/>
    <s v="04:58:54"/>
    <x v="707"/>
  </r>
  <r>
    <m/>
    <s v="FERRIS, Marc"/>
    <n v="1975"/>
    <n v="44"/>
    <s v="M50"/>
    <s v="FRA"/>
    <s v="03:50:26"/>
    <x v="708"/>
  </r>
  <r>
    <m/>
    <s v="Stengl, Christian"/>
    <n v="1972"/>
    <n v="47"/>
    <s v="M45"/>
    <s v="GER"/>
    <s v="04:26:09"/>
    <x v="709"/>
  </r>
  <r>
    <m/>
    <s v="COLLETTE, Sébastien"/>
    <n v="1976"/>
    <n v="43"/>
    <s v="M45"/>
    <s v="FRA"/>
    <s v="03:55:40"/>
    <x v="710"/>
  </r>
  <r>
    <m/>
    <s v="Willis, David"/>
    <n v="1990"/>
    <n v="29"/>
    <s v="M45"/>
    <s v="GBR"/>
    <s v="04:50:15"/>
    <x v="711"/>
  </r>
  <r>
    <m/>
    <s v="Ward, Andy prof"/>
    <n v="1976"/>
    <n v="43"/>
    <s v="M50"/>
    <s v="GBR"/>
    <s v="03:28:32"/>
    <x v="712"/>
  </r>
  <r>
    <m/>
    <s v="CORNILLEAU, SEBASTIEN"/>
    <n v="1998"/>
    <n v="21"/>
    <s v="M55"/>
    <s v="FRA"/>
    <s v="03:48:36"/>
    <x v="713"/>
  </r>
  <r>
    <m/>
    <s v="Kárpáti Milán"/>
    <n v="1988"/>
    <n v="31"/>
    <s v="M20"/>
    <s v="HUN"/>
    <s v="04:29:39"/>
    <x v="714"/>
  </r>
  <r>
    <m/>
    <s v="Kiss István Elek"/>
    <n v="1967"/>
    <n v="52"/>
    <s v="M40"/>
    <s v="HUN"/>
    <s v="04:45:26"/>
    <x v="715"/>
  </r>
  <r>
    <m/>
    <s v="Bakondi Péter"/>
    <n v="1968"/>
    <n v="51"/>
    <s v="M25"/>
    <s v="HUN"/>
    <s v="02:55:00"/>
    <x v="716"/>
  </r>
  <r>
    <m/>
    <s v="Galbovy Szabolcs"/>
    <n v="1980"/>
    <n v="39"/>
    <s v="M30"/>
    <s v="HUN"/>
    <s v="04:00:56"/>
    <x v="717"/>
  </r>
  <r>
    <m/>
    <s v="Luká, Tkáč"/>
    <n v="1979"/>
    <n v="40"/>
    <s v="M35"/>
    <s v="SVK"/>
    <s v="03:46:11"/>
    <x v="718"/>
  </r>
  <r>
    <m/>
    <s v="Tóth Tamás"/>
    <n v="1997"/>
    <n v="22"/>
    <s v="M45"/>
    <s v="HUN"/>
    <s v="03:49:41"/>
    <x v="719"/>
  </r>
  <r>
    <m/>
    <s v="Dennis, Mark prof"/>
    <n v="1999"/>
    <n v="20"/>
    <s v="M20"/>
    <s v="IRL"/>
    <s v="03:39:54"/>
    <x v="720"/>
  </r>
  <r>
    <m/>
    <s v="Beczek, Łukasz"/>
    <n v="1943"/>
    <n v="76"/>
    <s v="M30"/>
    <s v="POL"/>
    <s v="04:25:49"/>
    <x v="721"/>
  </r>
  <r>
    <m/>
    <s v="LIBERNA, ZENON"/>
    <n v="1990"/>
    <n v="29"/>
    <s v="M65"/>
    <s v="POL"/>
    <s v="04:25:51"/>
    <x v="703"/>
  </r>
  <r>
    <m/>
    <s v="Hanna, David"/>
    <n v="1976"/>
    <n v="43"/>
    <s v="M55"/>
    <s v="IRL"/>
    <s v="04:04:05"/>
    <x v="722"/>
  </r>
  <r>
    <m/>
    <s v="Taylor, James prof"/>
    <n v="1982"/>
    <n v="37"/>
    <s v="M30"/>
    <s v="GBR"/>
    <s v="03:55:38"/>
    <x v="723"/>
  </r>
  <r>
    <m/>
    <s v="Ribeiro Agostinho, Peterson"/>
    <n v="1970"/>
    <n v="49"/>
    <s v="M40"/>
    <s v="BRA"/>
    <s v="04:25:39"/>
    <x v="724"/>
  </r>
  <r>
    <m/>
    <s v="Gander, Simon"/>
    <n v="1995"/>
    <n v="24"/>
    <s v="M25"/>
    <s v="ITA"/>
    <s v="03:10:16"/>
    <x v="725"/>
  </r>
  <r>
    <m/>
    <s v="Norman, Swithun"/>
    <n v="1968"/>
    <n v="51"/>
    <s v="M20"/>
    <s v="GBR"/>
    <s v="03:56:31"/>
    <x v="726"/>
  </r>
  <r>
    <m/>
    <s v="Norton, Conner"/>
    <n v="1968"/>
    <n v="51"/>
    <s v="M30"/>
    <s v="USA"/>
    <s v="04:57:30"/>
    <x v="727"/>
  </r>
  <r>
    <m/>
    <s v="Chapman, John"/>
    <n v="1976"/>
    <n v="43"/>
    <s v="M55"/>
    <s v="IRL"/>
    <s v="04:11:07"/>
    <x v="445"/>
  </r>
  <r>
    <m/>
    <s v="Puha, Dávid"/>
    <n v="1963"/>
    <n v="56"/>
    <s v="M35"/>
    <s v="SVK"/>
    <s v="04:40:50"/>
    <x v="728"/>
  </r>
  <r>
    <m/>
    <s v="Muldrew, Edward"/>
    <n v="1989"/>
    <n v="30"/>
    <s v="M25"/>
    <s v="GBR"/>
    <s v="03:33:05"/>
    <x v="404"/>
  </r>
  <r>
    <m/>
    <s v="Pozsgai Mihály"/>
    <n v="1973"/>
    <n v="46"/>
    <s v="M30"/>
    <s v="HUN"/>
    <s v="05:11:24"/>
    <x v="729"/>
  </r>
  <r>
    <m/>
    <s v="Martínez, Aníbal"/>
    <n v="1989"/>
    <n v="30"/>
    <s v="M60"/>
    <s v="COL"/>
    <s v="03:43:17"/>
    <x v="730"/>
  </r>
  <r>
    <m/>
    <s v="Rimár Zsolt"/>
    <n v="1969"/>
    <n v="50"/>
    <s v="M55"/>
    <s v="HUN"/>
    <s v="03:29:13"/>
    <x v="731"/>
  </r>
  <r>
    <m/>
    <s v="Kiepsel, David"/>
    <n v="1982"/>
    <n v="37"/>
    <s v="M40"/>
    <s v="GER"/>
    <s v="03:57:46"/>
    <x v="240"/>
  </r>
  <r>
    <m/>
    <s v="Papp László"/>
    <n v="1964"/>
    <n v="55"/>
    <s v="M50"/>
    <s v="HUN"/>
    <s v="04:02:28"/>
    <x v="732"/>
  </r>
  <r>
    <m/>
    <s v="Gyarfas, Juraj"/>
    <n v="1972"/>
    <n v="47"/>
    <s v="M40"/>
    <s v="SVK"/>
    <s v="05:00:59"/>
    <x v="733"/>
  </r>
  <r>
    <m/>
    <s v="Gál József"/>
    <n v="1959"/>
    <n v="60"/>
    <s v="M45"/>
    <s v="HUN"/>
    <s v="04:03:06"/>
    <x v="734"/>
  </r>
  <r>
    <m/>
    <s v="Tamás Pál"/>
    <n v="1982"/>
    <n v="37"/>
    <s v="M40"/>
    <s v="HUN"/>
    <s v="04:01:55"/>
    <x v="322"/>
  </r>
  <r>
    <m/>
    <s v="Csató Gábor dr"/>
    <n v="1963"/>
    <n v="56"/>
    <s v="M40"/>
    <s v="HUN"/>
    <s v="03:56:14"/>
    <x v="735"/>
  </r>
  <r>
    <m/>
    <s v="Roberts, Louis prof"/>
    <n v="1971"/>
    <n v="48"/>
    <s v="M20"/>
    <s v="GBR"/>
    <s v="04:24:35"/>
    <x v="736"/>
  </r>
  <r>
    <m/>
    <s v="Nedjalkov Balázs"/>
    <n v="1980"/>
    <n v="39"/>
    <s v="M45"/>
    <s v="HUN"/>
    <s v="03:28:44"/>
    <x v="308"/>
  </r>
  <r>
    <m/>
    <s v="Sivo, Giovanni"/>
    <n v="1974"/>
    <n v="45"/>
    <s v="M45"/>
    <s v="ITA"/>
    <s v="03:53:27"/>
    <x v="737"/>
  </r>
  <r>
    <m/>
    <s v="Chase, Cole"/>
    <n v="1978"/>
    <n v="41"/>
    <s v="M25"/>
    <s v="GBR"/>
    <s v="03:37:46"/>
    <x v="738"/>
  </r>
  <r>
    <m/>
    <s v="Öhlund, Claes"/>
    <n v="1979"/>
    <n v="40"/>
    <s v="M40"/>
    <s v="SWE"/>
    <s v="04:01:01"/>
    <x v="257"/>
  </r>
  <r>
    <m/>
    <s v="Garamszegi László"/>
    <n v="1986"/>
    <n v="33"/>
    <s v="M45"/>
    <s v="HUN"/>
    <s v="04:37:31"/>
    <x v="739"/>
  </r>
  <r>
    <m/>
    <s v="Arie, Tomer"/>
    <n v="1972"/>
    <n v="47"/>
    <s v="M20"/>
    <s v="ISR"/>
    <s v="03:55:38"/>
    <x v="723"/>
  </r>
  <r>
    <m/>
    <s v="Ignácz Attila dr."/>
    <n v="1977"/>
    <n v="42"/>
    <s v="M55"/>
    <s v="HUN"/>
    <s v="05:11:55"/>
    <x v="740"/>
  </r>
  <r>
    <m/>
    <s v="Bjorgan, Johnny"/>
    <n v="1981"/>
    <n v="38"/>
    <s v="M50"/>
    <s v="NOR"/>
    <s v="04:24:52"/>
    <x v="741"/>
  </r>
  <r>
    <m/>
    <s v="Whatmore, Daniel"/>
    <n v="1978"/>
    <n v="41"/>
    <s v="M20"/>
    <s v="GBR"/>
    <s v="03:08:42"/>
    <x v="742"/>
  </r>
  <r>
    <m/>
    <s v="Mátyás Dávid"/>
    <n v="1987"/>
    <n v="32"/>
    <s v="M20"/>
    <s v="HUN"/>
    <s v="04:01:54"/>
    <x v="743"/>
  </r>
  <r>
    <m/>
    <s v="Christensen, Tommy"/>
    <n v="1988"/>
    <n v="31"/>
    <s v="M50"/>
    <s v="NOR"/>
    <s v="03:23:02"/>
    <x v="744"/>
  </r>
  <r>
    <m/>
    <s v="Mócz Gábor"/>
    <n v="1991"/>
    <n v="28"/>
    <s v="M45"/>
    <s v="HUN"/>
    <s v="03:51:35"/>
    <x v="745"/>
  </r>
  <r>
    <m/>
    <s v="Pajor Zoltán"/>
    <n v="1989"/>
    <n v="30"/>
    <s v="M45"/>
    <s v="HUN"/>
    <s v="04:13:33"/>
    <x v="746"/>
  </r>
  <r>
    <m/>
    <s v="Hajzer János"/>
    <n v="1975"/>
    <n v="44"/>
    <s v="M25"/>
    <s v="HUN"/>
    <s v="03:56:19"/>
    <x v="747"/>
  </r>
  <r>
    <m/>
    <s v="Schuch Tamás"/>
    <n v="1990"/>
    <n v="29"/>
    <s v="M55"/>
    <s v="HUN"/>
    <s v="04:54:24"/>
    <x v="748"/>
  </r>
  <r>
    <m/>
    <s v="Vida Ádám"/>
    <n v="1983"/>
    <n v="36"/>
    <s v="M30"/>
    <s v="HUN"/>
    <s v="04:39:16"/>
    <x v="749"/>
  </r>
  <r>
    <m/>
    <s v="Bates, Tom"/>
    <n v="1974"/>
    <n v="45"/>
    <s v="M35"/>
    <s v="GBR"/>
    <s v="03:34:56"/>
    <x v="750"/>
  </r>
  <r>
    <m/>
    <s v="Ujhelyi Tamás"/>
    <n v="1995"/>
    <n v="24"/>
    <s v="M45"/>
    <s v="HUN"/>
    <s v="05:34:57"/>
    <x v="751"/>
  </r>
  <r>
    <m/>
    <s v="Hanna, David"/>
    <n v="1986"/>
    <n v="33"/>
    <s v="M55"/>
    <s v="IRL"/>
    <s v="04:04:05"/>
    <x v="722"/>
  </r>
  <r>
    <m/>
    <s v="Chen, Bryan"/>
    <n v="1976"/>
    <n v="43"/>
    <s v="M55"/>
    <s v="USA"/>
    <s v="03:43:31"/>
    <x v="752"/>
  </r>
  <r>
    <m/>
    <s v="Greasley, Jamie prof"/>
    <n v="1999"/>
    <n v="20"/>
    <s v="M30"/>
    <s v="GBR"/>
    <s v="03:54:04"/>
    <x v="278"/>
  </r>
  <r>
    <m/>
    <s v="Cseresznyés Dániel"/>
    <n v="1979"/>
    <n v="40"/>
    <s v="M35"/>
    <s v="HUN"/>
    <s v="03:46:48"/>
    <x v="76"/>
  </r>
  <r>
    <m/>
    <s v="Dóczé, Edmund"/>
    <n v="1979"/>
    <n v="40"/>
    <s v="M50"/>
    <s v="SVK"/>
    <s v="03:35:02"/>
    <x v="753"/>
  </r>
  <r>
    <m/>
    <s v="Sturges, Alex"/>
    <n v="1977"/>
    <n v="42"/>
    <s v="M20"/>
    <s v="IRL"/>
    <s v="05:16:29"/>
    <x v="754"/>
  </r>
  <r>
    <m/>
    <s v="Kucharik, Jiri"/>
    <n v="1976"/>
    <n v="43"/>
    <s v="M30"/>
    <s v="CZE"/>
    <s v="03:05:22"/>
    <x v="755"/>
  </r>
  <r>
    <m/>
    <s v="Mikulski, Jacek"/>
    <n v="1955"/>
    <n v="64"/>
    <s v="M50"/>
    <s v="POL"/>
    <s v="03:22:26"/>
    <x v="128"/>
  </r>
  <r>
    <m/>
    <s v="CASADO RODRIGUEZ, ADOLFO"/>
    <n v="1995"/>
    <n v="24"/>
    <s v="M55"/>
    <s v="ESP"/>
    <s v="03:58:55"/>
    <x v="756"/>
  </r>
  <r>
    <m/>
    <s v="Rodrigo, Perez Boysselle"/>
    <n v="1982"/>
    <n v="37"/>
    <s v="M40"/>
    <s v="MEX"/>
    <s v="03:30:01"/>
    <x v="757"/>
  </r>
  <r>
    <m/>
    <s v="Károlyi Attila"/>
    <n v="1968"/>
    <n v="51"/>
    <s v="M25"/>
    <s v="HUN"/>
    <s v="03:32:55"/>
    <x v="758"/>
  </r>
  <r>
    <m/>
    <s v="Mattia, Marchi"/>
    <n v="1970"/>
    <n v="49"/>
    <s v="M35"/>
    <s v="ITA"/>
    <s v="03:53:05"/>
    <x v="759"/>
  </r>
  <r>
    <m/>
    <s v="Hegedüs Levente"/>
    <n v="1980"/>
    <n v="39"/>
    <s v="M30"/>
    <s v="HUN"/>
    <s v="02:59:01"/>
    <x v="760"/>
  </r>
  <r>
    <m/>
    <s v="Polyánki Bence"/>
    <n v="1993"/>
    <n v="26"/>
    <s v="M20"/>
    <s v="HUN"/>
    <s v="02:38:43"/>
    <x v="761"/>
  </r>
  <r>
    <m/>
    <s v="Di Palma, Nicola"/>
    <n v="1986"/>
    <n v="33"/>
    <s v="M25"/>
    <s v="ITA"/>
    <s v="03:08:02"/>
    <x v="762"/>
  </r>
  <r>
    <m/>
    <s v="Pitcher, Braden"/>
    <n v="1968"/>
    <n v="51"/>
    <s v="M25"/>
    <s v="AUS"/>
    <s v="03:05:43"/>
    <x v="763"/>
  </r>
  <r>
    <m/>
    <s v="Rigó Béla"/>
    <n v="1990"/>
    <n v="29"/>
    <s v="M45"/>
    <s v="HUN"/>
    <s v="04:00:36"/>
    <x v="764"/>
  </r>
  <r>
    <m/>
    <s v="Franck, Rescoussier"/>
    <n v="1978"/>
    <n v="41"/>
    <s v="M50"/>
    <s v="FRA"/>
    <s v="04:39:22"/>
    <x v="765"/>
  </r>
  <r>
    <m/>
    <s v="Nyéki Gábor"/>
    <n v="1992"/>
    <n v="27"/>
    <s v="M40"/>
    <s v="HUN"/>
    <s v="03:49:55"/>
    <x v="766"/>
  </r>
  <r>
    <m/>
    <s v="Meszaros Peter id"/>
    <n v="1985"/>
    <n v="34"/>
    <s v="M45"/>
    <s v="HUN"/>
    <s v="03:18:35"/>
    <x v="586"/>
  </r>
  <r>
    <m/>
    <s v="Angaroni, Enrico prof"/>
    <n v="1971"/>
    <n v="48"/>
    <s v="M30"/>
    <s v="ITA"/>
    <s v="03:41:21"/>
    <x v="767"/>
  </r>
  <r>
    <m/>
    <s v="Lestar, Robert"/>
    <n v="1993"/>
    <n v="26"/>
    <s v="M50"/>
    <s v="AUT"/>
    <s v="03:57:18"/>
    <x v="768"/>
  </r>
  <r>
    <m/>
    <s v="Cernat, Danut"/>
    <n v="1977"/>
    <n v="42"/>
    <s v="M50"/>
    <s v="ROM"/>
    <s v="04:33:54"/>
    <x v="769"/>
  </r>
  <r>
    <m/>
    <s v="Skrodzki Andrzej"/>
    <n v="1971"/>
    <n v="48"/>
    <s v="M20"/>
    <s v="HUN"/>
    <s v="04:02:45"/>
    <x v="131"/>
  </r>
  <r>
    <m/>
    <s v="HERVE, RAMAT"/>
    <n v="1975"/>
    <n v="44"/>
    <s v="M50"/>
    <s v="FRA"/>
    <s v="04:29:01"/>
    <x v="770"/>
  </r>
  <r>
    <m/>
    <s v="Konkoly Gergely"/>
    <n v="1970"/>
    <n v="49"/>
    <s v="M40"/>
    <s v="HUN"/>
    <s v="03:55:37"/>
    <x v="771"/>
  </r>
  <r>
    <m/>
    <s v="Hajnal Balázs"/>
    <n v="1973"/>
    <n v="46"/>
    <s v="M50"/>
    <s v="HUN"/>
    <s v="04:38:56"/>
    <x v="772"/>
  </r>
  <r>
    <m/>
    <s v="Chan, Alan"/>
    <n v="1977"/>
    <n v="42"/>
    <s v="M20"/>
    <s v="SIN"/>
    <s v="05:31:36"/>
    <x v="773"/>
  </r>
  <r>
    <m/>
    <s v="Saey, Dennis"/>
    <n v="1944"/>
    <n v="75"/>
    <s v="M35"/>
    <s v="BEL"/>
    <s v="04:08:21"/>
    <x v="774"/>
  </r>
  <r>
    <m/>
    <s v="Simonyik Levente"/>
    <n v="1981"/>
    <n v="38"/>
    <s v="M18"/>
    <s v="HUN"/>
    <s v="04:00:52"/>
    <x v="775"/>
  </r>
  <r>
    <m/>
    <s v="Bronlund, Petter"/>
    <n v="1980"/>
    <n v="39"/>
    <s v="M25"/>
    <s v="NOR"/>
    <s v="04:29:05"/>
    <x v="776"/>
  </r>
  <r>
    <m/>
    <s v="BUCKTOWAR, RALPH"/>
    <n v="1971"/>
    <n v="48"/>
    <s v="M40"/>
    <s v="FRA"/>
    <s v="03:28:06"/>
    <x v="777"/>
  </r>
  <r>
    <m/>
    <s v="Penka, Wolfgang"/>
    <n v="1986"/>
    <n v="33"/>
    <s v="M65"/>
    <s v="AUT"/>
    <s v="05:32:50"/>
    <x v="778"/>
  </r>
  <r>
    <m/>
    <s v="Briac, Andrei"/>
    <n v="1983"/>
    <n v="36"/>
    <s v="M20"/>
    <s v="ROM"/>
    <s v="04:13:38"/>
    <x v="241"/>
  </r>
  <r>
    <m/>
    <s v="Maroda Máté"/>
    <n v="1959"/>
    <n v="60"/>
    <s v="M20"/>
    <s v="HUN"/>
    <s v="04:26:20"/>
    <x v="779"/>
  </r>
  <r>
    <m/>
    <s v="Louwagie Sapena, Ruben"/>
    <n v="1988"/>
    <n v="31"/>
    <s v="M25"/>
    <s v="ESP"/>
    <s v="03:07:39"/>
    <x v="780"/>
  </r>
  <r>
    <m/>
    <s v="Weiß, Ricardo"/>
    <n v="1975"/>
    <n v="44"/>
    <s v="M40"/>
    <s v="GER"/>
    <s v="03:16:22"/>
    <x v="781"/>
  </r>
  <r>
    <m/>
    <s v="Limp Dávid"/>
    <n v="1976"/>
    <n v="43"/>
    <s v="M35"/>
    <s v="HUN"/>
    <s v="04:00:38"/>
    <x v="782"/>
  </r>
  <r>
    <m/>
    <s v="Vadkerti Csaba"/>
    <n v="1985"/>
    <n v="34"/>
    <s v="M50"/>
    <s v="HUN"/>
    <s v="03:53:19"/>
    <x v="783"/>
  </r>
  <r>
    <m/>
    <s v="Lenstra, Jelmer-Joost"/>
    <n v="1981"/>
    <n v="38"/>
    <s v="M30"/>
    <s v="NED"/>
    <s v="02:45:55"/>
    <x v="784"/>
  </r>
  <r>
    <m/>
    <s v="Baukó Ferenc"/>
    <n v="1973"/>
    <n v="46"/>
    <s v="M45"/>
    <s v="HUN"/>
    <s v="04:10:12"/>
    <x v="785"/>
  </r>
  <r>
    <m/>
    <s v="Magyar Csaba"/>
    <n v="1973"/>
    <n v="46"/>
    <s v="M45"/>
    <s v="HUN"/>
    <s v="05:06:27"/>
    <x v="786"/>
  </r>
  <r>
    <m/>
    <s v="Suchna, Jiří"/>
    <n v="1981"/>
    <n v="38"/>
    <s v="M40"/>
    <s v="CZE"/>
    <s v="03:49:51"/>
    <x v="787"/>
  </r>
  <r>
    <m/>
    <s v="Turcsi László"/>
    <n v="1980"/>
    <n v="39"/>
    <s v="M45"/>
    <s v="HUN"/>
    <s v="03:55:19"/>
    <x v="788"/>
  </r>
  <r>
    <m/>
    <s v="Görgényi-Nagy Szabolcs"/>
    <n v="1976"/>
    <n v="43"/>
    <s v="M40"/>
    <s v="HUN"/>
    <s v="04:49:56"/>
    <x v="789"/>
  </r>
  <r>
    <m/>
    <s v="Reszegi Sándor"/>
    <n v="1974"/>
    <n v="45"/>
    <s v="M40"/>
    <s v="HUN"/>
    <s v="05:40:35"/>
    <x v="790"/>
  </r>
  <r>
    <m/>
    <s v="Németh Nándor Dr."/>
    <n v="1967"/>
    <n v="52"/>
    <s v="M45"/>
    <s v="HUN"/>
    <s v="03:36:19"/>
    <x v="791"/>
  </r>
  <r>
    <m/>
    <s v="Kralován Árpád"/>
    <n v="1971"/>
    <n v="48"/>
    <s v="M45"/>
    <s v="HUN"/>
    <s v="03:28:52"/>
    <x v="792"/>
  </r>
  <r>
    <m/>
    <s v="Martin, Connan"/>
    <n v="1954"/>
    <n v="65"/>
    <s v="M20"/>
    <s v="FRA"/>
    <s v="05:10:23"/>
    <x v="793"/>
  </r>
  <r>
    <m/>
    <s v="Both Szabolcs"/>
    <n v="1987"/>
    <n v="32"/>
    <s v="M40"/>
    <s v="HUN"/>
    <s v="05:32:48"/>
    <x v="794"/>
  </r>
  <r>
    <m/>
    <s v="Kovács Attila"/>
    <n v="1968"/>
    <n v="51"/>
    <s v="M25"/>
    <s v="HUN"/>
    <s v="04:00:42"/>
    <x v="434"/>
  </r>
  <r>
    <m/>
    <s v="Bognár Károly"/>
    <n v="1975"/>
    <n v="44"/>
    <s v="M40"/>
    <s v="HUN"/>
    <s v="04:27:50"/>
    <x v="795"/>
  </r>
  <r>
    <m/>
    <s v="Molnár Ferenc"/>
    <n v="1968"/>
    <n v="51"/>
    <s v="M40"/>
    <s v="HUN"/>
    <s v="04:47:59"/>
    <x v="796"/>
  </r>
  <r>
    <m/>
    <s v="Pacifero, Giuliano"/>
    <n v="1970"/>
    <n v="49"/>
    <s v="M65"/>
    <s v="ITA"/>
    <s v="04:58:11"/>
    <x v="797"/>
  </r>
  <r>
    <m/>
    <s v="Bíró Krisztián"/>
    <n v="1963"/>
    <n v="56"/>
    <s v="M20"/>
    <s v="HUN"/>
    <s v="04:22:24"/>
    <x v="798"/>
  </r>
  <r>
    <m/>
    <s v="Bajdik János"/>
    <n v="1982"/>
    <n v="37"/>
    <s v="M45"/>
    <s v="HUN"/>
    <s v="02:58:22"/>
    <x v="799"/>
  </r>
  <r>
    <m/>
    <s v="Marwane, Benakki"/>
    <n v="1972"/>
    <n v="47"/>
    <s v="M25"/>
    <s v="MAR"/>
    <s v="03:26:04"/>
    <x v="800"/>
  </r>
  <r>
    <m/>
    <s v="Sándor Csaba"/>
    <n v="1965"/>
    <n v="54"/>
    <s v="M40"/>
    <s v="HUN"/>
    <s v="04:32:42"/>
    <x v="422"/>
  </r>
  <r>
    <m/>
    <s v="László Péter"/>
    <n v="1988"/>
    <n v="31"/>
    <s v="M25"/>
    <s v="HUN"/>
    <s v="03:47:21"/>
    <x v="801"/>
  </r>
  <r>
    <m/>
    <s v="Lajarige, William"/>
    <n v="1973"/>
    <n v="46"/>
    <s v="M18"/>
    <s v="GBR"/>
    <s v="04:00:15"/>
    <x v="802"/>
  </r>
  <r>
    <m/>
    <s v="CERISIER, William"/>
    <n v="1986"/>
    <n v="33"/>
    <s v="M30"/>
    <s v="FRA"/>
    <s v="03:14:57"/>
    <x v="803"/>
  </r>
  <r>
    <m/>
    <s v="Casiraghi, Gilberto"/>
    <n v="1959"/>
    <n v="60"/>
    <s v="M55"/>
    <s v="ITA"/>
    <s v="03:15:44"/>
    <x v="235"/>
  </r>
  <r>
    <m/>
    <s v="Petrovay Zoltán"/>
    <n v="1962"/>
    <n v="57"/>
    <s v="M50"/>
    <s v="HUN"/>
    <s v="05:03:04"/>
    <x v="804"/>
  </r>
  <r>
    <m/>
    <s v="Juhász Péter"/>
    <n v="1988"/>
    <n v="31"/>
    <s v="M45"/>
    <s v="HUN"/>
    <s v="05:15:12"/>
    <x v="805"/>
  </r>
  <r>
    <m/>
    <s v="Horváth István"/>
    <n v="1975"/>
    <n v="44"/>
    <s v="M65"/>
    <s v="HUN"/>
    <s v="04:24:16"/>
    <x v="806"/>
  </r>
  <r>
    <m/>
    <s v="Szekeres András"/>
    <n v="1969"/>
    <n v="50"/>
    <s v="M25"/>
    <s v="HUN"/>
    <s v="04:29:35"/>
    <x v="807"/>
  </r>
  <r>
    <m/>
    <s v="Kim, Changwook"/>
    <n v="1989"/>
    <n v="30"/>
    <s v="M40"/>
    <s v="KOR"/>
    <s v="04:07:56"/>
    <x v="808"/>
  </r>
  <r>
    <m/>
    <s v="Szabó Zoltán"/>
    <n v="1960"/>
    <n v="59"/>
    <s v="M55"/>
    <s v="HUN"/>
    <s v="04:13:10"/>
    <x v="809"/>
  </r>
  <r>
    <m/>
    <s v="Siskov, Vasilij"/>
    <n v="1984"/>
    <n v="35"/>
    <s v="M30"/>
    <s v="HUN"/>
    <s v="04:28:08"/>
    <x v="810"/>
  </r>
  <r>
    <m/>
    <s v="Kaali, Daniel"/>
    <n v="1982"/>
    <n v="37"/>
    <s v="M40"/>
    <s v="HUN"/>
    <s v="03:15:06"/>
    <x v="811"/>
  </r>
  <r>
    <m/>
    <s v="Tóth Zoltán"/>
    <n v="1976"/>
    <n v="43"/>
    <s v="M40"/>
    <s v="HUN"/>
    <s v="04:26:24"/>
    <x v="812"/>
  </r>
  <r>
    <m/>
    <s v="Torsnes, Sindre"/>
    <n v="1988"/>
    <n v="31"/>
    <s v="M30"/>
    <s v="FRA"/>
    <s v="03:25:18"/>
    <x v="813"/>
  </r>
  <r>
    <m/>
    <s v="Wołowski, Lech dr"/>
    <n v="1977"/>
    <n v="42"/>
    <s v="M45"/>
    <s v="SRB"/>
    <s v="03:42:05"/>
    <x v="499"/>
  </r>
  <r>
    <m/>
    <s v="Pelle Laszlo"/>
    <n v="1992"/>
    <n v="27"/>
    <s v="M50"/>
    <s v="IRL"/>
    <s v="04:24:08"/>
    <x v="814"/>
  </r>
  <r>
    <m/>
    <s v="Francisco J., Ruz"/>
    <n v="1971"/>
    <n v="48"/>
    <s v="M50"/>
    <s v="HUN"/>
    <s v="04:35:46"/>
    <x v="815"/>
  </r>
  <r>
    <m/>
    <s v="Ágoston Márton"/>
    <n v="1977"/>
    <n v="42"/>
    <s v="M30"/>
    <s v="DEN"/>
    <s v="04:07:44"/>
    <x v="816"/>
  </r>
  <r>
    <m/>
    <s v="Sivó Balázs"/>
    <n v="1974"/>
    <n v="45"/>
    <s v="M20"/>
    <s v="HUN"/>
    <s v="04:47:08"/>
    <x v="193"/>
  </r>
  <r>
    <m/>
    <s v="Nicolas, Carbon"/>
    <n v="1959"/>
    <n v="60"/>
    <s v="M25"/>
    <s v="HUN"/>
    <s v="03:49:31"/>
    <x v="817"/>
  </r>
  <r>
    <m/>
    <s v="Baráth Péter"/>
    <n v="1967"/>
    <n v="52"/>
    <s v="M45"/>
    <s v="GER"/>
    <s v="04:27:28"/>
    <x v="818"/>
  </r>
  <r>
    <m/>
    <s v="Varga János"/>
    <n v="1989"/>
    <n v="30"/>
    <s v="M45"/>
    <s v="UKR"/>
    <s v="04:37:14"/>
    <x v="819"/>
  </r>
  <r>
    <m/>
    <s v="Sylvain, Ducat"/>
    <n v="1973"/>
    <n v="46"/>
    <s v="M25"/>
    <s v="LIB"/>
    <s v="03:57:11"/>
    <x v="820"/>
  </r>
  <r>
    <m/>
    <s v="Ivancso, Béla dr."/>
    <n v="1971"/>
    <n v="48"/>
    <s v="M40"/>
    <s v="HUN"/>
    <s v="03:34:15"/>
    <x v="821"/>
  </r>
  <r>
    <m/>
    <s v="Papai Laszlo"/>
    <n v="1984"/>
    <n v="35"/>
    <s v="M70"/>
    <s v="GER"/>
    <s v="03:59:10"/>
    <x v="822"/>
  </r>
  <r>
    <m/>
    <s v="Kónya Benedek"/>
    <n v="1996"/>
    <n v="23"/>
    <s v="M25"/>
    <s v="POL"/>
    <s v="03:59:48"/>
    <x v="823"/>
  </r>
  <r>
    <m/>
    <s v="F?rlie, Asbj?rn"/>
    <n v="1964"/>
    <n v="55"/>
    <s v="M55"/>
    <s v="HUN"/>
    <s v="03:33:56"/>
    <x v="226"/>
  </r>
  <r>
    <m/>
    <s v="Guilhem, Maxime ifj"/>
    <n v="1979"/>
    <n v="40"/>
    <s v="M30"/>
    <s v="HUN"/>
    <s v="04:18:37"/>
    <x v="824"/>
  </r>
  <r>
    <m/>
    <s v="Watson, Tom"/>
    <n v="1978"/>
    <n v="41"/>
    <s v="M20"/>
    <s v="HUN"/>
    <s v="03:51:31"/>
    <x v="825"/>
  </r>
  <r>
    <m/>
    <s v="Tóth Adam"/>
    <n v="1975"/>
    <n v="44"/>
    <s v="M35"/>
    <s v="HUN"/>
    <s v="03:33:28"/>
    <x v="826"/>
  </r>
  <r>
    <m/>
    <s v="da Cruz Almeida, Jo?o Pedro Afonso"/>
    <n v="1976"/>
    <n v="43"/>
    <s v="M25"/>
    <s v="HUN"/>
    <s v="03:49:21"/>
    <x v="827"/>
  </r>
  <r>
    <m/>
    <s v="Cantave, Day dr"/>
    <n v="1975"/>
    <n v="44"/>
    <s v="M20"/>
    <s v="HUN"/>
    <s v="03:17:24"/>
    <x v="828"/>
  </r>
  <r>
    <m/>
    <s v="Henrik, Ljung"/>
    <n v="1984"/>
    <n v="35"/>
    <s v="M50"/>
    <s v="HUN"/>
    <s v="03:40:58"/>
    <x v="829"/>
  </r>
  <r>
    <m/>
    <s v="Dövényi-Nagy Ferenc"/>
    <n v="1975"/>
    <n v="44"/>
    <s v="M40"/>
    <s v="HUN"/>
    <s v="03:46:31"/>
    <x v="830"/>
  </r>
  <r>
    <m/>
    <s v="BARDELOT, Stéphane"/>
    <n v="1976"/>
    <n v="43"/>
    <s v="M50"/>
    <s v="JPN"/>
    <s v="03:49:31"/>
    <x v="817"/>
  </r>
  <r>
    <m/>
    <s v="Jánosi Péter"/>
    <n v="1981"/>
    <n v="38"/>
    <s v="M45"/>
    <s v="GBR"/>
    <s v="04:35:28"/>
    <x v="831"/>
  </r>
  <r>
    <m/>
    <s v="Vigh Péter"/>
    <n v="1972"/>
    <n v="47"/>
    <s v="M35"/>
    <s v="HUN"/>
    <s v="03:09:09"/>
    <x v="832"/>
  </r>
  <r>
    <m/>
    <s v="Remac, Milan dr"/>
    <n v="1968"/>
    <n v="51"/>
    <s v="M40"/>
    <s v="GER"/>
    <s v="03:48:14"/>
    <x v="833"/>
  </r>
  <r>
    <m/>
    <s v="Kagan, Ryszard"/>
    <n v="1983"/>
    <n v="36"/>
    <s v="M65"/>
    <s v="HUN"/>
    <s v="04:16:15"/>
    <x v="834"/>
  </r>
  <r>
    <m/>
    <s v="Ferrebee James"/>
    <n v="1973"/>
    <n v="46"/>
    <s v="M40"/>
    <s v="RUS"/>
    <s v="04:42:00"/>
    <x v="835"/>
  </r>
  <r>
    <m/>
    <s v="Sarty, Robert"/>
    <n v="1984"/>
    <n v="35"/>
    <s v="M25"/>
    <s v="HUN"/>
    <s v="03:04:49"/>
    <x v="836"/>
  </r>
  <r>
    <m/>
    <s v="Benedek Martin"/>
    <n v="1962"/>
    <n v="57"/>
    <s v="M25"/>
    <s v="GER"/>
    <s v="05:25:17"/>
    <x v="837"/>
  </r>
  <r>
    <m/>
    <s v="Parkes, Harvey"/>
    <n v="1977"/>
    <n v="42"/>
    <s v="M20"/>
    <s v="HUN"/>
    <s v="03:35:09"/>
    <x v="838"/>
  </r>
  <r>
    <m/>
    <s v="Sebők Attila"/>
    <n v="1976"/>
    <n v="43"/>
    <s v="M40"/>
    <s v="HUN"/>
    <s v="03:56:05"/>
    <x v="839"/>
  </r>
  <r>
    <m/>
    <s v="Dimény Lóránt"/>
    <n v="1972"/>
    <n v="47"/>
    <s v="M40"/>
    <s v="HUN"/>
    <s v="04:00:20"/>
    <x v="840"/>
  </r>
  <r>
    <m/>
    <s v="Pataki Tamás"/>
    <n v="1956"/>
    <n v="63"/>
    <s v="M30"/>
    <s v="HUN"/>
    <s v="04:55:44"/>
    <x v="841"/>
  </r>
  <r>
    <m/>
    <s v="Hugo, Willemet"/>
    <n v="1974"/>
    <n v="45"/>
    <s v="M20"/>
    <s v="POR"/>
    <s v="03:30:22"/>
    <x v="842"/>
  </r>
  <r>
    <m/>
    <s v="Kovács, Tamás"/>
    <n v="1971"/>
    <n v="48"/>
    <s v="M35"/>
    <s v="JPN"/>
    <s v="03:38:23"/>
    <x v="843"/>
  </r>
  <r>
    <m/>
    <s v="Borbély Imre"/>
    <n v="1978"/>
    <n v="41"/>
    <s v="M65"/>
    <s v="HUN"/>
    <s v="05:00:50"/>
    <x v="96"/>
  </r>
  <r>
    <m/>
    <s v="Dudás Péter"/>
    <n v="1971"/>
    <n v="48"/>
    <s v="M40"/>
    <s v="HUN"/>
    <s v="03:28:03"/>
    <x v="443"/>
  </r>
  <r>
    <m/>
    <s v="Schwartz-Nagy Attila"/>
    <n v="1968"/>
    <n v="51"/>
    <s v="M35"/>
    <s v="HUN"/>
    <s v="03:41:56"/>
    <x v="844"/>
  </r>
  <r>
    <m/>
    <s v="Gelányi Attila"/>
    <n v="1967"/>
    <n v="52"/>
    <s v="M45"/>
    <s v="HUN"/>
    <s v="04:59:24"/>
    <x v="486"/>
  </r>
  <r>
    <m/>
    <s v="Kovács Árpád Csaba"/>
    <n v="1970"/>
    <n v="49"/>
    <s v="M20"/>
    <s v="HUN"/>
    <s v="03:44:44"/>
    <x v="845"/>
  </r>
  <r>
    <m/>
    <s v="Vajda György"/>
    <n v="1983"/>
    <n v="36"/>
    <s v="M55"/>
    <s v="HUN"/>
    <s v="04:44:54"/>
    <x v="846"/>
  </r>
  <r>
    <m/>
    <s v="BARBONE, DOMENICO"/>
    <n v="1967"/>
    <n v="52"/>
    <s v="M45"/>
    <s v="FRA"/>
    <s v="03:43:07"/>
    <x v="847"/>
  </r>
  <r>
    <m/>
    <s v="Wiatrowski, Andrzej"/>
    <n v="1970"/>
    <n v="49"/>
    <s v="M45"/>
    <s v="HUN"/>
    <s v="03:48:03"/>
    <x v="848"/>
  </r>
  <r>
    <m/>
    <s v="Gonçalves, Jorge prof"/>
    <n v="1989"/>
    <n v="30"/>
    <s v="M40"/>
    <s v="HUN"/>
    <s v="03:45:05"/>
    <x v="849"/>
  </r>
  <r>
    <m/>
    <s v="Kálló Gábor"/>
    <n v="1973"/>
    <n v="46"/>
    <s v="M30"/>
    <s v="HUN"/>
    <s v="05:07:37"/>
    <x v="850"/>
  </r>
  <r>
    <m/>
    <s v="Wester, Andreas"/>
    <n v="1980"/>
    <n v="39"/>
    <s v="M45"/>
    <s v="HUN"/>
    <s v="04:08:24"/>
    <x v="851"/>
  </r>
  <r>
    <m/>
    <s v="Ugolini, Luigino"/>
    <n v="1976"/>
    <n v="43"/>
    <s v="M55"/>
    <s v="FRA"/>
    <s v="03:57:06"/>
    <x v="852"/>
  </r>
  <r>
    <m/>
    <s v="Harbinja, Jasmin"/>
    <n v="1979"/>
    <n v="40"/>
    <s v="M40"/>
    <s v="HUN"/>
    <s v="04:10:01"/>
    <x v="853"/>
  </r>
  <r>
    <m/>
    <s v="Suha Viktor"/>
    <n v="1959"/>
    <n v="60"/>
    <s v="M20"/>
    <s v="HUN"/>
    <s v="05:35:27"/>
    <x v="854"/>
  </r>
  <r>
    <m/>
    <s v="Gambarana, Bruno"/>
    <n v="1966"/>
    <n v="53"/>
    <s v="M50"/>
    <s v="HUN"/>
    <s v="03:57:45"/>
    <x v="855"/>
  </r>
  <r>
    <m/>
    <s v="Drandic, Sandi"/>
    <n v="1990"/>
    <n v="29"/>
    <s v="M45"/>
    <s v="SVK"/>
    <s v="03:25:22"/>
    <x v="856"/>
  </r>
  <r>
    <m/>
    <s v="Sudjunadi, Wisakasuta"/>
    <n v="1970"/>
    <n v="49"/>
    <s v="M50"/>
    <s v="BEL"/>
    <s v="03:56:37"/>
    <x v="857"/>
  </r>
  <r>
    <m/>
    <s v="Wéninger Ákos"/>
    <n v="1979"/>
    <n v="40"/>
    <s v="M40"/>
    <s v="HUN"/>
    <s v="03:50:15"/>
    <x v="858"/>
  </r>
  <r>
    <m/>
    <s v="Yliluoma, Ville"/>
    <n v="1971"/>
    <n v="48"/>
    <s v="M35"/>
    <s v="HUN"/>
    <s v="03:02:04"/>
    <x v="859"/>
  </r>
  <r>
    <m/>
    <s v="Fazakas Zsolt"/>
    <n v="1999"/>
    <n v="20"/>
    <s v="M50"/>
    <s v="HUN"/>
    <s v="03:05:49"/>
    <x v="860"/>
  </r>
  <r>
    <m/>
    <s v="Sipos Szabolcs"/>
    <n v="1984"/>
    <n v="35"/>
    <s v="M40"/>
    <s v="HUN"/>
    <s v="05:00:27"/>
    <x v="861"/>
  </r>
  <r>
    <m/>
    <s v="Kerényi Levente"/>
    <n v="1974"/>
    <n v="45"/>
    <s v="M25"/>
    <s v="POL"/>
    <s v="05:02:56"/>
    <x v="610"/>
  </r>
  <r>
    <m/>
    <s v="Baranyai Levente"/>
    <n v="1965"/>
    <n v="54"/>
    <s v="M25"/>
    <s v="GER"/>
    <s v="04:15:44"/>
    <x v="862"/>
  </r>
  <r>
    <m/>
    <s v="Ács Gábor"/>
    <n v="1961"/>
    <n v="58"/>
    <s v="M35"/>
    <s v="HUN"/>
    <s v="04:13:46"/>
    <x v="863"/>
  </r>
  <r>
    <m/>
    <s v="Harestad, Snorre Alm"/>
    <n v="1980"/>
    <n v="39"/>
    <s v="M30"/>
    <s v="HUN"/>
    <s v="04:40:54"/>
    <x v="864"/>
  </r>
  <r>
    <m/>
    <s v="László Tibor"/>
    <n v="1981"/>
    <n v="38"/>
    <s v="M30"/>
    <s v="HUN"/>
    <s v="04:00:58"/>
    <x v="865"/>
  </r>
  <r>
    <m/>
    <s v="Leclerc, Jean-Pierre"/>
    <n v="1964"/>
    <n v="55"/>
    <s v="M60"/>
    <s v="HUN"/>
    <s v="03:28:07"/>
    <x v="866"/>
  </r>
  <r>
    <m/>
    <s v="David, Kadar"/>
    <n v="1998"/>
    <n v="21"/>
    <s v="M25"/>
    <s v="HUN"/>
    <s v="04:23:43"/>
    <x v="867"/>
  </r>
  <r>
    <m/>
    <s v="Szalkay Attila Kázmér"/>
    <n v="1999"/>
    <n v="20"/>
    <s v="M50"/>
    <s v="HUN"/>
    <s v="05:25:53"/>
    <x v="868"/>
  </r>
  <r>
    <m/>
    <s v="Alimzhan uulu, Esen jr"/>
    <n v="1978"/>
    <n v="41"/>
    <s v="M25"/>
    <s v="HUN"/>
    <s v="05:03:32"/>
    <x v="869"/>
  </r>
  <r>
    <m/>
    <s v="Wojciechowski, Tomasz"/>
    <n v="1965"/>
    <n v="54"/>
    <s v="M45"/>
    <s v="HUN"/>
    <s v="03:18:34"/>
    <x v="870"/>
  </r>
  <r>
    <m/>
    <s v="Mocsári Gyula"/>
    <n v="1987"/>
    <n v="32"/>
    <s v="M50"/>
    <s v="UKR"/>
    <s v="03:57:32"/>
    <x v="205"/>
  </r>
  <r>
    <m/>
    <s v="Kiss Ottó"/>
    <n v="1970"/>
    <n v="49"/>
    <s v="M40"/>
    <s v="HUN"/>
    <s v="04:35:57"/>
    <x v="871"/>
  </r>
  <r>
    <m/>
    <s v="Kiss Attila"/>
    <n v="1971"/>
    <n v="48"/>
    <s v="M40"/>
    <s v="HUN"/>
    <s v="04:03:05"/>
    <x v="872"/>
  </r>
  <r>
    <m/>
    <s v="Szabó-Lőrincz Ádám"/>
    <n v="1968"/>
    <n v="51"/>
    <s v="M18"/>
    <s v="HUN"/>
    <s v="05:31:32"/>
    <x v="873"/>
  </r>
  <r>
    <m/>
    <s v="Vass János"/>
    <n v="1991"/>
    <n v="28"/>
    <s v="M55"/>
    <s v="HUN"/>
    <s v="04:50:33"/>
    <x v="874"/>
  </r>
  <r>
    <m/>
    <s v="Lakkas, Theo"/>
    <n v="1963"/>
    <n v="56"/>
    <s v="M40"/>
    <s v="HUN"/>
    <s v="05:03:09"/>
    <x v="875"/>
  </r>
  <r>
    <m/>
    <s v="Szőcs, Attila-Zsolt dr"/>
    <n v="1963"/>
    <n v="56"/>
    <s v="M30"/>
    <s v="HUN"/>
    <s v="02:57:15"/>
    <x v="876"/>
  </r>
  <r>
    <m/>
    <s v="Sterckx, Peter"/>
    <n v="1984"/>
    <n v="35"/>
    <s v="M40"/>
    <s v="HUN"/>
    <s v="03:18:30"/>
    <x v="877"/>
  </r>
  <r>
    <m/>
    <s v="Sulák Zsolt"/>
    <n v="1961"/>
    <n v="58"/>
    <s v="M40"/>
    <s v="USA"/>
    <s v="03:19:15"/>
    <x v="878"/>
  </r>
  <r>
    <m/>
    <s v="Szabó Gergő"/>
    <n v="1989"/>
    <n v="30"/>
    <s v="M25"/>
    <s v="HUN"/>
    <s v="04:44:03"/>
    <x v="879"/>
  </r>
  <r>
    <m/>
    <s v="Garbani, Marvin"/>
    <n v="1980"/>
    <n v="39"/>
    <s v="M30"/>
    <s v="HUN"/>
    <s v="04:03:45"/>
    <x v="880"/>
  </r>
  <r>
    <m/>
    <s v="Ligeti András"/>
    <n v="1979"/>
    <n v="40"/>
    <s v="M45"/>
    <s v="HUN"/>
    <s v="02:54:31"/>
    <x v="881"/>
  </r>
  <r>
    <m/>
    <s v="PANICO, GIUSEPPE"/>
    <n v="1984"/>
    <n v="35"/>
    <s v="M55"/>
    <s v="HUN"/>
    <s v="04:36:24"/>
    <x v="882"/>
  </r>
  <r>
    <m/>
    <s v="Benkics Péter"/>
    <n v="1980"/>
    <n v="39"/>
    <s v="M40"/>
    <s v="HUN"/>
    <s v="04:20:35"/>
    <x v="650"/>
  </r>
  <r>
    <m/>
    <s v="van Zanden, Menno"/>
    <n v="1974"/>
    <n v="45"/>
    <s v="M45"/>
    <s v="HUN"/>
    <s v="03:54:34"/>
    <x v="883"/>
  </r>
  <r>
    <m/>
    <s v="Ronchi, Erwin"/>
    <n v="1990"/>
    <n v="29"/>
    <s v="M45"/>
    <s v="HUN"/>
    <s v="03:23:08"/>
    <x v="884"/>
  </r>
  <r>
    <m/>
    <s v="Lantos Bence"/>
    <n v="1969"/>
    <n v="50"/>
    <s v="M35"/>
    <s v="HUN"/>
    <s v="05:00:45"/>
    <x v="885"/>
  </r>
  <r>
    <m/>
    <s v="Courtnadge, Philip"/>
    <n v="1987"/>
    <n v="32"/>
    <s v="M55"/>
    <s v="HUN"/>
    <s v="03:46:24"/>
    <x v="886"/>
  </r>
  <r>
    <m/>
    <s v="Mouhali, Liam"/>
    <n v="1961"/>
    <n v="58"/>
    <s v="M20"/>
    <s v="ESP"/>
    <s v="04:27:55"/>
    <x v="887"/>
  </r>
  <r>
    <m/>
    <s v="Ibos Igor"/>
    <n v="1990"/>
    <n v="29"/>
    <s v="M65"/>
    <s v="HUN"/>
    <s v="04:33:23"/>
    <x v="888"/>
  </r>
  <r>
    <m/>
    <s v="Kószó Péter"/>
    <n v="1990"/>
    <n v="29"/>
    <s v="M45"/>
    <s v="HUN"/>
    <s v="04:42:48"/>
    <x v="889"/>
  </r>
  <r>
    <m/>
    <s v="Hertelendy Márton Maximilián"/>
    <n v="1972"/>
    <n v="47"/>
    <s v="M25"/>
    <s v="CZE"/>
    <s v="04:45:30"/>
    <x v="30"/>
  </r>
  <r>
    <m/>
    <s v="Richter, Thorsten"/>
    <n v="1980"/>
    <n v="39"/>
    <s v="M40"/>
    <s v="HUN"/>
    <s v="03:53:38"/>
    <x v="890"/>
  </r>
  <r>
    <m/>
    <s v="Vermes Balázs"/>
    <n v="1970"/>
    <n v="49"/>
    <s v="M25"/>
    <s v="GBR"/>
    <s v="04:19:35"/>
    <x v="61"/>
  </r>
  <r>
    <m/>
    <s v="Gavula Sándor"/>
    <n v="1975"/>
    <n v="44"/>
    <s v="M45"/>
    <s v="MLT"/>
    <s v="05:00:38"/>
    <x v="891"/>
  </r>
  <r>
    <m/>
    <s v="Stoichkov, Nikolay"/>
    <n v="1994"/>
    <n v="25"/>
    <s v="M35"/>
    <s v="GBR"/>
    <s v="03:49:36"/>
    <x v="892"/>
  </r>
  <r>
    <m/>
    <s v="Kányási István"/>
    <n v="1954"/>
    <n v="65"/>
    <s v="M40"/>
    <s v="POL"/>
    <s v="04:08:54"/>
    <x v="893"/>
  </r>
  <r>
    <m/>
    <s v="Benedek-Rápolti, Vajk"/>
    <n v="1968"/>
    <n v="51"/>
    <s v="M40"/>
    <s v="HUN"/>
    <s v="04:11:04"/>
    <x v="894"/>
  </r>
  <r>
    <m/>
    <s v="Murkin, Keith"/>
    <n v="1967"/>
    <n v="52"/>
    <s v="M55"/>
    <s v="NED"/>
    <s v="03:58:56"/>
    <x v="895"/>
  </r>
  <r>
    <m/>
    <s v="Csizér Márton"/>
    <n v="1967"/>
    <n v="52"/>
    <s v="M45"/>
    <s v="SWE"/>
    <s v="04:19:45"/>
    <x v="896"/>
  </r>
  <r>
    <m/>
    <s v="Baranek, Lukas"/>
    <n v="1995"/>
    <n v="24"/>
    <s v="M40"/>
    <s v="FRA"/>
    <s v="04:29:28"/>
    <x v="897"/>
  </r>
  <r>
    <m/>
    <s v="Baranyai Balázs"/>
    <n v="1984"/>
    <n v="35"/>
    <s v="M45"/>
    <s v="HUN"/>
    <s v="03:28:03"/>
    <x v="443"/>
  </r>
  <r>
    <m/>
    <s v="Nijborg, Jarno"/>
    <n v="1976"/>
    <n v="43"/>
    <s v="M30"/>
    <s v="HUN"/>
    <s v="04:00:50"/>
    <x v="898"/>
  </r>
  <r>
    <m/>
    <s v="Hugyecz András"/>
    <n v="1983"/>
    <n v="36"/>
    <s v="M40"/>
    <s v="FRA"/>
    <s v="05:04:11"/>
    <x v="899"/>
  </r>
  <r>
    <m/>
    <s v="Babos Mátyás Market"/>
    <n v="1968"/>
    <n v="51"/>
    <s v="M30"/>
    <s v="HUN"/>
    <s v="03:08:41"/>
    <x v="900"/>
  </r>
  <r>
    <m/>
    <s v="Nyist Gábor"/>
    <n v="1973"/>
    <n v="46"/>
    <s v="M50"/>
    <s v="BEL"/>
    <s v="05:01:35"/>
    <x v="901"/>
  </r>
  <r>
    <m/>
    <s v="Davidson, Gary"/>
    <n v="1979"/>
    <n v="40"/>
    <s v="M50"/>
    <s v="HUN"/>
    <s v="03:32:19"/>
    <x v="902"/>
  </r>
  <r>
    <m/>
    <s v="Zelnis, Daniel"/>
    <n v="1983"/>
    <n v="36"/>
    <s v="M25"/>
    <s v="HUN"/>
    <s v="04:00:54"/>
    <x v="339"/>
  </r>
  <r>
    <m/>
    <s v="ALGECIRAS, JOSE"/>
    <n v="1973"/>
    <n v="46"/>
    <s v="M65"/>
    <s v="HUN"/>
    <s v="05:00:01"/>
    <x v="903"/>
  </r>
  <r>
    <m/>
    <s v="O'Halloran, Damien"/>
    <n v="1997"/>
    <n v="22"/>
    <s v="M40"/>
    <s v="HUN"/>
    <s v="04:26:16"/>
    <x v="904"/>
  </r>
  <r>
    <m/>
    <s v="Gyávol, Roland"/>
    <n v="1973"/>
    <n v="46"/>
    <s v="M35"/>
    <s v="POL"/>
    <s v="04:45:01"/>
    <x v="905"/>
  </r>
  <r>
    <m/>
    <s v="Bugovics Péter"/>
    <n v="1976"/>
    <n v="43"/>
    <s v="M25"/>
    <s v="GBR"/>
    <s v="04:58:43"/>
    <x v="86"/>
  </r>
  <r>
    <m/>
    <s v="Romeo, Bougon"/>
    <n v="1979"/>
    <n v="40"/>
    <s v="M20"/>
    <s v="HUN"/>
    <s v="03:56:46"/>
    <x v="906"/>
  </r>
  <r>
    <m/>
    <s v="Rubóczki Béla ifj"/>
    <n v="1972"/>
    <n v="47"/>
    <s v="M50"/>
    <s v="HUN"/>
    <s v="04:05:19"/>
    <x v="907"/>
  </r>
  <r>
    <m/>
    <s v="Benkő Ádám"/>
    <n v="1985"/>
    <n v="34"/>
    <s v="M35"/>
    <s v="HUN"/>
    <s v="04:40:11"/>
    <x v="908"/>
  </r>
  <r>
    <m/>
    <s v="Jurecska Áron"/>
    <n v="1983"/>
    <n v="36"/>
    <s v="M20"/>
    <s v="HUN"/>
    <s v="03:35:06"/>
    <x v="909"/>
  </r>
  <r>
    <m/>
    <s v="Tánczos-Szabó Tamás"/>
    <n v="1977"/>
    <n v="42"/>
    <s v="M45"/>
    <s v="HUN"/>
    <s v="04:12:58"/>
    <x v="910"/>
  </r>
  <r>
    <m/>
    <s v="Gellén László"/>
    <n v="1980"/>
    <n v="39"/>
    <s v="M45"/>
    <s v="HUN"/>
    <s v="04:11:11"/>
    <x v="911"/>
  </r>
  <r>
    <m/>
    <s v="Sabri, Beqiri"/>
    <n v="1995"/>
    <n v="24"/>
    <s v="M35"/>
    <s v="GER"/>
    <s v="03:38:58"/>
    <x v="912"/>
  </r>
  <r>
    <m/>
    <s v="Mcinerney, Liam"/>
    <n v="1969"/>
    <n v="50"/>
    <s v="M30"/>
    <s v="HUN"/>
    <s v="04:37:59"/>
    <x v="913"/>
  </r>
  <r>
    <m/>
    <s v="Szabados Balázs"/>
    <n v="1968"/>
    <n v="51"/>
    <s v="M35"/>
    <s v="HUN"/>
    <s v="03:58:08"/>
    <x v="914"/>
  </r>
  <r>
    <m/>
    <s v="Soós Elek"/>
    <n v="1945"/>
    <n v="74"/>
    <s v="M50"/>
    <s v="ITA"/>
    <s v="04:15:39"/>
    <x v="915"/>
  </r>
  <r>
    <m/>
    <s v="Kiss Mátyás"/>
    <n v="1991"/>
    <n v="28"/>
    <s v="M25"/>
    <s v="HUN"/>
    <s v="04:40:29"/>
    <x v="916"/>
  </r>
  <r>
    <m/>
    <s v="ROMERO RUIZ, FRANCISCO"/>
    <n v="1977"/>
    <n v="42"/>
    <s v="M65"/>
    <s v="HUN"/>
    <s v="05:00:02"/>
    <x v="514"/>
  </r>
  <r>
    <m/>
    <s v="Bálint Zoltán"/>
    <n v="1982"/>
    <n v="37"/>
    <s v="M45"/>
    <s v="HUN"/>
    <s v="03:10:35"/>
    <x v="917"/>
  </r>
  <r>
    <m/>
    <s v="Seignette, Max"/>
    <n v="1970"/>
    <n v="49"/>
    <s v="M30"/>
    <s v="HUN"/>
    <s v="03:09:08"/>
    <x v="27"/>
  </r>
  <r>
    <m/>
    <s v="Gebal, Adam"/>
    <n v="1972"/>
    <n v="47"/>
    <s v="M35"/>
    <s v="HUN"/>
    <s v="03:18:08"/>
    <x v="918"/>
  </r>
  <r>
    <m/>
    <s v="Karkatzoulis, Panagiotis prof"/>
    <n v="1994"/>
    <n v="25"/>
    <s v="M35"/>
    <s v="HUN"/>
    <s v="03:26:43"/>
    <x v="919"/>
  </r>
  <r>
    <m/>
    <s v="Tóth Péter"/>
    <n v="1982"/>
    <n v="37"/>
    <s v="M35"/>
    <s v="HUN"/>
    <s v="03:26:30"/>
    <x v="920"/>
  </r>
  <r>
    <m/>
    <s v="Peck, Crispin"/>
    <n v="1973"/>
    <n v="46"/>
    <s v="M60"/>
    <s v="HUN"/>
    <s v="03:57:06"/>
    <x v="852"/>
  </r>
  <r>
    <m/>
    <s v="Papp Tuma Attila"/>
    <n v="1991"/>
    <n v="28"/>
    <s v="M55"/>
    <s v="HUN"/>
    <s v="04:58:38"/>
    <x v="921"/>
  </r>
  <r>
    <m/>
    <s v="Rahim, Ziyad"/>
    <n v="1991"/>
    <n v="28"/>
    <s v="M50"/>
    <s v="GBR"/>
    <s v="05:24:52"/>
    <x v="922"/>
  </r>
  <r>
    <m/>
    <s v="Huang, Junbo"/>
    <n v="1989"/>
    <n v="30"/>
    <s v="M25"/>
    <s v="HUN"/>
    <s v="05:35:28"/>
    <x v="923"/>
  </r>
  <r>
    <m/>
    <s v="Portin, Kaj"/>
    <n v="1964"/>
    <n v="55"/>
    <s v="M55"/>
    <s v="HUN"/>
    <s v="03:37:41"/>
    <x v="924"/>
  </r>
  <r>
    <m/>
    <s v="Szabó Zsolt"/>
    <n v="1976"/>
    <n v="43"/>
    <s v="M45"/>
    <s v="HUN"/>
    <s v="03:54:03"/>
    <x v="53"/>
  </r>
  <r>
    <m/>
    <s v="Nylund, Jesper"/>
    <n v="1988"/>
    <n v="31"/>
    <s v="M35"/>
    <s v="HUN"/>
    <s v="04:19:09"/>
    <x v="925"/>
  </r>
  <r>
    <m/>
    <s v="Miklós, Tamás"/>
    <n v="1986"/>
    <n v="33"/>
    <s v="M40"/>
    <s v="HUN"/>
    <s v="04:08:58"/>
    <x v="926"/>
  </r>
  <r>
    <m/>
    <s v="Polhammer Zsolt"/>
    <n v="1978"/>
    <n v="41"/>
    <s v="M40"/>
    <s v="HUN"/>
    <s v="05:03:45"/>
    <x v="927"/>
  </r>
  <r>
    <m/>
    <s v="Machado, Francisco"/>
    <n v="1994"/>
    <n v="25"/>
    <s v="M45"/>
    <s v="BEL"/>
    <s v="03:34:14"/>
    <x v="928"/>
  </r>
  <r>
    <m/>
    <s v="Juhász Ádám"/>
    <n v="1963"/>
    <n v="56"/>
    <s v="M45"/>
    <s v="ITA"/>
    <s v="04:56:27"/>
    <x v="929"/>
  </r>
  <r>
    <m/>
    <s v="Bergermayer, Thomas"/>
    <n v="1969"/>
    <n v="50"/>
    <s v="M35"/>
    <s v="HUN"/>
    <s v="03:10:26"/>
    <x v="930"/>
  </r>
  <r>
    <m/>
    <s v="Szczygieł, Mateusz"/>
    <n v="1967"/>
    <n v="52"/>
    <s v="M30"/>
    <s v="GER"/>
    <s v="03:43:46"/>
    <x v="593"/>
  </r>
  <r>
    <m/>
    <s v="Gyarmati Erik"/>
    <n v="1976"/>
    <n v="43"/>
    <s v="M45"/>
    <s v="BEL"/>
    <s v="03:16:28"/>
    <x v="684"/>
  </r>
  <r>
    <m/>
    <s v="Magyar Márk"/>
    <n v="1992"/>
    <n v="27"/>
    <s v="M20"/>
    <s v="GBR"/>
    <s v="03:55:18"/>
    <x v="279"/>
  </r>
  <r>
    <m/>
    <s v="Kedziora, Cedric"/>
    <n v="1974"/>
    <n v="45"/>
    <s v="M40"/>
    <s v="HUN"/>
    <s v="04:11:12"/>
    <x v="931"/>
  </r>
  <r>
    <m/>
    <s v="Budil, Jan"/>
    <n v="1970"/>
    <n v="49"/>
    <s v="M55"/>
    <s v="HUN"/>
    <s v="03:23:21"/>
    <x v="932"/>
  </r>
  <r>
    <m/>
    <s v="Dieter, Frank"/>
    <n v="1990"/>
    <n v="29"/>
    <s v="M60"/>
    <s v="HUN"/>
    <s v="04:31:52"/>
    <x v="933"/>
  </r>
  <r>
    <m/>
    <s v="Kéki Tamás"/>
    <n v="1984"/>
    <n v="35"/>
    <s v="M30"/>
    <s v="GBR"/>
    <s v="02:37:28"/>
    <x v="934"/>
  </r>
  <r>
    <m/>
    <s v="Thierry, Guéna"/>
    <n v="1993"/>
    <n v="26"/>
    <s v="M45"/>
    <s v="HUN"/>
    <s v="04:23:55"/>
    <x v="935"/>
  </r>
  <r>
    <m/>
    <s v="Magalh?es, José"/>
    <n v="1970"/>
    <n v="49"/>
    <s v="M55"/>
    <s v="HUN"/>
    <s v="04:02:17"/>
    <x v="936"/>
  </r>
  <r>
    <m/>
    <s v="Gustavsson, Glenn"/>
    <n v="1989"/>
    <n v="30"/>
    <s v="M55"/>
    <s v="FRA"/>
    <s v="04:20:48"/>
    <x v="937"/>
  </r>
  <r>
    <m/>
    <s v="Nagy Gábor Balázs"/>
    <n v="1970"/>
    <n v="49"/>
    <s v="M18"/>
    <s v="POL"/>
    <s v="05:28:01"/>
    <x v="938"/>
  </r>
  <r>
    <m/>
    <s v="Asensio Garcia, David"/>
    <n v="1974"/>
    <n v="45"/>
    <s v="M50"/>
    <s v="HUN"/>
    <s v="03:25:55"/>
    <x v="939"/>
  </r>
  <r>
    <m/>
    <s v="alsop, Jack"/>
    <n v="1984"/>
    <n v="35"/>
    <s v="M20"/>
    <s v="RUS"/>
    <s v="04:58:41"/>
    <x v="138"/>
  </r>
  <r>
    <m/>
    <s v="Mazzotta, Alfredo"/>
    <n v="1975"/>
    <n v="44"/>
    <s v="M40"/>
    <s v="HUN"/>
    <s v="03:28:24"/>
    <x v="940"/>
  </r>
  <r>
    <m/>
    <s v="Módra György"/>
    <n v="1973"/>
    <n v="46"/>
    <s v="M40"/>
    <s v="HUN"/>
    <s v="03:23:38"/>
    <x v="941"/>
  </r>
  <r>
    <m/>
    <s v="Meszleny Zsolt"/>
    <n v="1983"/>
    <n v="36"/>
    <s v="M40"/>
    <s v="GBR"/>
    <s v="03:54:25"/>
    <x v="942"/>
  </r>
  <r>
    <m/>
    <s v="Kardos Péter"/>
    <n v="1989"/>
    <n v="30"/>
    <s v="M45"/>
    <s v="HUN"/>
    <s v="04:08:45"/>
    <x v="943"/>
  </r>
  <r>
    <m/>
    <s v="Gemmell, Stephen"/>
    <n v="1983"/>
    <n v="36"/>
    <s v="M25"/>
    <s v="HUN"/>
    <s v="03:37:41"/>
    <x v="924"/>
  </r>
  <r>
    <m/>
    <s v="Hergesheimer, Jonathan"/>
    <n v="1988"/>
    <n v="31"/>
    <s v="M30"/>
    <s v="SUI"/>
    <s v="04:19:38"/>
    <x v="944"/>
  </r>
  <r>
    <m/>
    <s v="Ruszin Mihály"/>
    <n v="1968"/>
    <n v="51"/>
    <s v="M40"/>
    <s v="HUN"/>
    <s v="04:54:17"/>
    <x v="945"/>
  </r>
  <r>
    <m/>
    <s v="Kóczián Tibor"/>
    <n v="1995"/>
    <n v="24"/>
    <s v="M55"/>
    <s v="HUN"/>
    <s v="03:53:53"/>
    <x v="946"/>
  </r>
  <r>
    <m/>
    <s v="Tóth István"/>
    <n v="1987"/>
    <n v="32"/>
    <s v="M45"/>
    <s v="HUN"/>
    <s v="05:13:52"/>
    <x v="947"/>
  </r>
  <r>
    <m/>
    <s v="Fakoya, Oluwatobi Charles"/>
    <n v="1989"/>
    <n v="30"/>
    <s v="M20"/>
    <s v="HUN"/>
    <s v="05:06:59"/>
    <x v="948"/>
  </r>
  <r>
    <m/>
    <s v="Krupa, Zbigniew"/>
    <n v="1999"/>
    <n v="20"/>
    <s v="M45"/>
    <s v="HUN"/>
    <s v="04:24:45"/>
    <x v="949"/>
  </r>
  <r>
    <m/>
    <s v="Tóth József"/>
    <n v="1977"/>
    <n v="42"/>
    <s v="M45"/>
    <s v="HUN"/>
    <s v="04:50:32"/>
    <x v="950"/>
  </r>
  <r>
    <m/>
    <s v="Maninger, Florian"/>
    <n v="1977"/>
    <n v="42"/>
    <s v="M25"/>
    <s v="HUN"/>
    <s v="03:43:29"/>
    <x v="147"/>
  </r>
  <r>
    <m/>
    <s v="Miklós Péter"/>
    <n v="1978"/>
    <n v="41"/>
    <s v="M40"/>
    <s v="HUN"/>
    <s v="03:55:07"/>
    <x v="951"/>
  </r>
  <r>
    <m/>
    <s v="Fodor Pál Zoltán"/>
    <n v="1967"/>
    <n v="52"/>
    <s v="M50"/>
    <s v="SCO"/>
    <s v="04:10:44"/>
    <x v="952"/>
  </r>
  <r>
    <m/>
    <s v="COLACI, GREGORIO"/>
    <n v="1995"/>
    <n v="24"/>
    <s v="M35"/>
    <s v="HUN"/>
    <s v="03:35:25"/>
    <x v="953"/>
  </r>
  <r>
    <m/>
    <s v="Szász Norbert"/>
    <n v="1978"/>
    <n v="41"/>
    <s v="M45"/>
    <s v="SVK"/>
    <s v="03:28:57"/>
    <x v="954"/>
  </r>
  <r>
    <m/>
    <s v="Gyulai Dávid"/>
    <n v="1994"/>
    <n v="25"/>
    <s v="M40"/>
    <s v="UKR"/>
    <s v="04:28:01"/>
    <x v="955"/>
  </r>
  <r>
    <m/>
    <s v="BEATRIX, Charles jr"/>
    <n v="1983"/>
    <n v="36"/>
    <s v="M25"/>
    <s v="FRA"/>
    <s v="02:50:40"/>
    <x v="956"/>
  </r>
  <r>
    <m/>
    <s v="Rückert, Thomas"/>
    <n v="1967"/>
    <n v="52"/>
    <s v="M35"/>
    <s v="CRO"/>
    <s v="04:12:10"/>
    <x v="957"/>
  </r>
  <r>
    <m/>
    <s v="Szikszai Ferenc ifj"/>
    <n v="1976"/>
    <n v="43"/>
    <s v="M45"/>
    <s v="ESP"/>
    <s v="03:39:49"/>
    <x v="958"/>
  </r>
  <r>
    <m/>
    <s v="Resz András"/>
    <n v="1962"/>
    <n v="57"/>
    <s v="M45"/>
    <s v="SWE"/>
    <s v="03:44:20"/>
    <x v="959"/>
  </r>
  <r>
    <m/>
    <s v="Daws, Peter"/>
    <n v="1993"/>
    <n v="26"/>
    <s v="M70"/>
    <s v="HUN"/>
    <s v="04:54:54"/>
    <x v="960"/>
  </r>
  <r>
    <m/>
    <s v="Benedek Csaba"/>
    <n v="1965"/>
    <n v="54"/>
    <s v="M25"/>
    <s v="HUN"/>
    <s v="04:08:35"/>
    <x v="961"/>
  </r>
  <r>
    <m/>
    <s v="PASOTTO, CORRADO"/>
    <n v="1977"/>
    <n v="42"/>
    <s v="M60"/>
    <s v="HUN"/>
    <s v="04:12:56"/>
    <x v="962"/>
  </r>
  <r>
    <m/>
    <s v="Oláh Attila"/>
    <n v="1963"/>
    <n v="56"/>
    <s v="M45"/>
    <s v="FRA"/>
    <s v="03:46:49"/>
    <x v="963"/>
  </r>
  <r>
    <m/>
    <s v="Mészáros Máté"/>
    <n v="1978"/>
    <n v="41"/>
    <s v="M35"/>
    <s v="GBR"/>
    <s v="04:12:38"/>
    <x v="964"/>
  </r>
  <r>
    <m/>
    <s v="JUAN CARLOS, VILLALBA ANAYA"/>
    <n v="1990"/>
    <n v="29"/>
    <s v="M55"/>
    <s v="HUN"/>
    <s v="04:40:52"/>
    <x v="965"/>
  </r>
  <r>
    <m/>
    <s v="Bestford, Daryl"/>
    <n v="1974"/>
    <n v="45"/>
    <s v="M35"/>
    <s v="IRL"/>
    <s v="04:40:12"/>
    <x v="966"/>
  </r>
  <r>
    <m/>
    <s v="Baruti, Kastriot"/>
    <n v="1974"/>
    <n v="45"/>
    <s v="M50"/>
    <s v="LIT"/>
    <s v="03:30:38"/>
    <x v="967"/>
  </r>
  <r>
    <m/>
    <s v="Bíró András"/>
    <n v="1985"/>
    <n v="34"/>
    <s v="M18"/>
    <s v="HUN"/>
    <s v="03:36:08"/>
    <x v="968"/>
  </r>
  <r>
    <m/>
    <s v="Schaller, Ringo"/>
    <n v="1992"/>
    <n v="27"/>
    <s v="M50"/>
    <s v="IRL"/>
    <s v="03:52:06"/>
    <x v="969"/>
  </r>
  <r>
    <m/>
    <s v="Horváth Márk dr"/>
    <n v="1981"/>
    <n v="38"/>
    <s v="M25"/>
    <s v="HUN"/>
    <s v="04:00:42"/>
    <x v="434"/>
  </r>
  <r>
    <m/>
    <s v="Lenti József"/>
    <n v="1977"/>
    <n v="42"/>
    <s v="M45"/>
    <s v="HUN"/>
    <s v="03:07:56"/>
    <x v="970"/>
  </r>
  <r>
    <m/>
    <s v="Pajor Attila"/>
    <n v="1984"/>
    <n v="35"/>
    <s v="M45"/>
    <s v="HUN"/>
    <s v="03:39:46"/>
    <x v="49"/>
  </r>
  <r>
    <m/>
    <s v="Huszák Tamás"/>
    <n v="1991"/>
    <n v="28"/>
    <s v="M35"/>
    <s v="HUN"/>
    <s v="03:59:00"/>
    <x v="584"/>
  </r>
  <r>
    <m/>
    <s v="DUVILLIER, Sébastien"/>
    <n v="1975"/>
    <n v="44"/>
    <s v="M50"/>
    <s v="GBR"/>
    <s v="03:49:14"/>
    <x v="971"/>
  </r>
  <r>
    <m/>
    <s v="Silóczki József"/>
    <n v="1981"/>
    <n v="38"/>
    <s v="M35"/>
    <s v="HUN"/>
    <s v="04:28:57"/>
    <x v="972"/>
  </r>
  <r>
    <m/>
    <s v="Csontos Balázs"/>
    <n v="1962"/>
    <n v="57"/>
    <s v="M40"/>
    <s v="HUN"/>
    <s v="04:16:09"/>
    <x v="973"/>
  </r>
  <r>
    <m/>
    <s v="Matuk Bálint"/>
    <n v="1995"/>
    <n v="24"/>
    <s v="M40"/>
    <s v="HUN"/>
    <s v="04:26:07"/>
    <x v="974"/>
  </r>
  <r>
    <m/>
    <s v="Lin, Yusheng"/>
    <n v="1981"/>
    <n v="38"/>
    <s v="M45"/>
    <s v="HUN"/>
    <s v="04:13:48"/>
    <x v="975"/>
  </r>
  <r>
    <m/>
    <s v="Tal, Sasson"/>
    <n v="1974"/>
    <n v="45"/>
    <s v="M40"/>
    <s v="NOR"/>
    <s v="03:25:51"/>
    <x v="33"/>
  </r>
  <r>
    <m/>
    <s v="Prajczer Péter Ferenc"/>
    <n v="1951"/>
    <n v="68"/>
    <s v="M35"/>
    <s v="DEN"/>
    <s v="04:23:12"/>
    <x v="976"/>
  </r>
  <r>
    <m/>
    <s v="Smith, Jackson"/>
    <n v="1984"/>
    <n v="35"/>
    <s v="M25"/>
    <s v="NED"/>
    <s v="03:22:51"/>
    <x v="460"/>
  </r>
  <r>
    <m/>
    <s v="Carpentsier, Fredrik"/>
    <n v="1962"/>
    <n v="57"/>
    <s v="M50"/>
    <s v="GBR"/>
    <s v="03:05:06"/>
    <x v="977"/>
  </r>
  <r>
    <m/>
    <s v="Móró István"/>
    <n v="1974"/>
    <n v="45"/>
    <s v="M45"/>
    <s v="HUN"/>
    <s v="03:41:49"/>
    <x v="978"/>
  </r>
  <r>
    <m/>
    <s v="Gasparics Gábor"/>
    <n v="1991"/>
    <n v="28"/>
    <s v="M40"/>
    <s v="HUN"/>
    <s v="05:16:13"/>
    <x v="979"/>
  </r>
  <r>
    <m/>
    <s v="Humphries, Joseph"/>
    <n v="1984"/>
    <n v="35"/>
    <s v="M25"/>
    <s v="HUN"/>
    <s v="03:29:06"/>
    <x v="980"/>
  </r>
  <r>
    <m/>
    <s v="Csikós Bálint dr"/>
    <n v="1983"/>
    <n v="36"/>
    <s v="M25"/>
    <s v="HUN"/>
    <s v="04:30:15"/>
    <x v="981"/>
  </r>
  <r>
    <m/>
    <s v="Zimmermann, Martin"/>
    <n v="1980"/>
    <n v="39"/>
    <s v="M25"/>
    <s v="HUN"/>
    <s v="04:31:24"/>
    <x v="982"/>
  </r>
  <r>
    <m/>
    <s v="Horváth Péter"/>
    <n v="1978"/>
    <n v="41"/>
    <s v="M50"/>
    <s v="HUN"/>
    <s v="03:47:19"/>
    <x v="983"/>
  </r>
  <r>
    <m/>
    <s v="Stich Milán"/>
    <n v="1980"/>
    <n v="39"/>
    <s v="M20"/>
    <s v="HUN"/>
    <s v="04:12:07"/>
    <x v="984"/>
  </r>
  <r>
    <m/>
    <s v="Warne, Tom"/>
    <n v="1983"/>
    <n v="36"/>
    <s v="M25"/>
    <s v="HUN"/>
    <s v="04:37:59"/>
    <x v="913"/>
  </r>
  <r>
    <m/>
    <s v="Farkas Máté"/>
    <n v="1986"/>
    <n v="33"/>
    <s v="M30"/>
    <s v="POL"/>
    <s v="02:57:06"/>
    <x v="985"/>
  </r>
  <r>
    <m/>
    <s v="Bakó Bálint"/>
    <n v="1979"/>
    <n v="40"/>
    <s v="M30"/>
    <s v="HUN"/>
    <s v="03:02:19"/>
    <x v="986"/>
  </r>
  <r>
    <m/>
    <s v="Vágási Tibor"/>
    <n v="1961"/>
    <n v="58"/>
    <s v="M45"/>
    <s v="ITA"/>
    <s v="04:44:14"/>
    <x v="987"/>
  </r>
  <r>
    <m/>
    <s v="Füki Gyula"/>
    <n v="1991"/>
    <n v="28"/>
    <s v="M50"/>
    <s v="HUN"/>
    <s v="03:58:43"/>
    <x v="988"/>
  </r>
  <r>
    <m/>
    <s v="Lewis, Martin"/>
    <n v="1983"/>
    <n v="36"/>
    <s v="M30"/>
    <s v="HUN"/>
    <s v="04:03:00"/>
    <x v="989"/>
  </r>
  <r>
    <m/>
    <s v="Makkos Lóránt"/>
    <n v="1977"/>
    <n v="42"/>
    <s v="M45"/>
    <s v="HUN"/>
    <s v="03:55:27"/>
    <x v="571"/>
  </r>
  <r>
    <m/>
    <s v="Alt Gábor"/>
    <n v="1977"/>
    <n v="42"/>
    <s v="M40"/>
    <s v="HUN"/>
    <s v="04:16:37"/>
    <x v="990"/>
  </r>
  <r>
    <m/>
    <s v="Horváth Bence"/>
    <n v="1992"/>
    <n v="27"/>
    <s v="M30"/>
    <s v="POL"/>
    <s v="03:50:45"/>
    <x v="991"/>
  </r>
  <r>
    <m/>
    <s v="Marcus, De Gennes"/>
    <n v="1972"/>
    <n v="47"/>
    <s v="M20"/>
    <s v="GRE"/>
    <s v="04:41:44"/>
    <x v="992"/>
  </r>
  <r>
    <m/>
    <s v="Durucz István"/>
    <n v="1978"/>
    <n v="41"/>
    <s v="M45"/>
    <s v="UKR"/>
    <s v="03:50:50"/>
    <x v="993"/>
  </r>
  <r>
    <m/>
    <s v="Dienes Csaba"/>
    <n v="1985"/>
    <n v="34"/>
    <s v="M35"/>
    <s v="RUS"/>
    <s v="03:29:21"/>
    <x v="994"/>
  </r>
  <r>
    <m/>
    <s v="Blastik Mátyás"/>
    <n v="1969"/>
    <n v="50"/>
    <s v="M40"/>
    <s v="GER"/>
    <s v="03:39:56"/>
    <x v="995"/>
  </r>
  <r>
    <m/>
    <s v="Balogh Roland"/>
    <n v="1976"/>
    <n v="43"/>
    <s v="M35"/>
    <s v="ITA"/>
    <s v="03:09:20"/>
    <x v="996"/>
  </r>
  <r>
    <m/>
    <s v="abete, miguel prof"/>
    <n v="1974"/>
    <n v="45"/>
    <s v="M25"/>
    <s v="IRL"/>
    <s v="03:48:16"/>
    <x v="997"/>
  </r>
  <r>
    <m/>
    <s v="Pirga, Marcin"/>
    <n v="1975"/>
    <n v="44"/>
    <s v="M25"/>
    <s v="SUI"/>
    <s v="04:17:02"/>
    <x v="998"/>
  </r>
  <r>
    <m/>
    <s v="Kecskés Ádám"/>
    <n v="1958"/>
    <n v="61"/>
    <s v="M20"/>
    <s v="FIN"/>
    <s v="05:25:43"/>
    <x v="999"/>
  </r>
  <r>
    <m/>
    <s v="Prigyeni Tibor"/>
    <n v="1988"/>
    <n v="31"/>
    <s v="M45"/>
    <s v="HUN"/>
    <s v="04:43:51"/>
    <x v="1000"/>
  </r>
  <r>
    <m/>
    <s v="Goldie, Christopher"/>
    <n v="1993"/>
    <n v="26"/>
    <s v="M25"/>
    <s v="ESP"/>
    <s v="05:21:57"/>
    <x v="1001"/>
  </r>
  <r>
    <m/>
    <s v="Várföldi Krisztián"/>
    <n v="1979"/>
    <n v="40"/>
    <s v="M35"/>
    <s v="HUN"/>
    <s v="04:31:29"/>
    <x v="1002"/>
  </r>
  <r>
    <m/>
    <s v="Thomas, Roef"/>
    <n v="1975"/>
    <n v="44"/>
    <s v="M25"/>
    <s v="BEL"/>
    <s v="04:28:33"/>
    <x v="1003"/>
  </r>
  <r>
    <m/>
    <s v="Weisz László"/>
    <n v="1975"/>
    <n v="44"/>
    <s v="M55"/>
    <s v="HUN"/>
    <s v="05:13:32"/>
    <x v="1004"/>
  </r>
  <r>
    <m/>
    <s v="Jámbor Marcell"/>
    <n v="1965"/>
    <n v="54"/>
    <s v="M20"/>
    <s v="POL"/>
    <s v="04:56:40"/>
    <x v="1005"/>
  </r>
  <r>
    <m/>
    <s v="TAHA, GAMAL EL DIN"/>
    <n v="1988"/>
    <n v="31"/>
    <s v="M60"/>
    <s v="GBR"/>
    <s v="03:27:16"/>
    <x v="1006"/>
  </r>
  <r>
    <m/>
    <s v="Szeibel Máté"/>
    <n v="1979"/>
    <n v="40"/>
    <s v="M30"/>
    <s v="HUN"/>
    <s v="05:01:54"/>
    <x v="1007"/>
  </r>
  <r>
    <m/>
    <s v="Sódor Ádám Dr."/>
    <n v="1990"/>
    <n v="29"/>
    <s v="M45"/>
    <s v="HUN"/>
    <s v="03:54:14"/>
    <x v="1008"/>
  </r>
  <r>
    <m/>
    <s v="Zsirai László dr."/>
    <n v="1990"/>
    <n v="29"/>
    <s v="M50"/>
    <s v="NED"/>
    <s v="04:33:55"/>
    <x v="1009"/>
  </r>
  <r>
    <m/>
    <s v="Tóth Gábor"/>
    <n v="1993"/>
    <n v="26"/>
    <s v="M40"/>
    <s v="THA"/>
    <s v="05:03:12"/>
    <x v="1010"/>
  </r>
  <r>
    <m/>
    <s v="Gazdic, Mirza"/>
    <n v="1973"/>
    <n v="46"/>
    <s v="M25"/>
    <s v="DEN"/>
    <s v="03:35:04"/>
    <x v="1011"/>
  </r>
  <r>
    <m/>
    <s v="Feichter, Erich"/>
    <n v="1970"/>
    <n v="49"/>
    <s v="M65"/>
    <s v="HUN"/>
    <s v="03:54:52"/>
    <x v="1012"/>
  </r>
  <r>
    <m/>
    <s v="Gyenis Dániel"/>
    <n v="1981"/>
    <n v="38"/>
    <s v="M30"/>
    <s v="HUN"/>
    <s v="04:01:25"/>
    <x v="1013"/>
  </r>
  <r>
    <m/>
    <s v="Haven, Peter"/>
    <n v="1993"/>
    <n v="26"/>
    <s v="M60"/>
    <s v="HUN"/>
    <s v="04:21:52"/>
    <x v="1014"/>
  </r>
  <r>
    <m/>
    <s v="Bartlett, Joseph"/>
    <n v="1983"/>
    <n v="36"/>
    <s v="M20"/>
    <s v="HUN"/>
    <s v="02:38:36"/>
    <x v="1015"/>
  </r>
  <r>
    <m/>
    <s v="Hajdu Tibor"/>
    <n v="1976"/>
    <n v="43"/>
    <s v="M35"/>
    <s v="DEN"/>
    <s v="04:16:19"/>
    <x v="1016"/>
  </r>
  <r>
    <m/>
    <s v="Homoki Mark"/>
    <n v="1979"/>
    <n v="40"/>
    <s v="M30"/>
    <s v="HUN"/>
    <s v="03:14:01"/>
    <x v="1017"/>
  </r>
  <r>
    <m/>
    <s v="Fabók János"/>
    <n v="1975"/>
    <n v="44"/>
    <s v="M45"/>
    <s v="SRB"/>
    <s v="05:02:39"/>
    <x v="1018"/>
  </r>
  <r>
    <m/>
    <s v="Malblanc, Richard prof"/>
    <n v="1974"/>
    <n v="45"/>
    <s v="M55"/>
    <s v="CZE"/>
    <s v="03:22:59"/>
    <x v="674"/>
  </r>
  <r>
    <m/>
    <s v="Beaudoire, Teddy"/>
    <n v="1975"/>
    <n v="44"/>
    <s v="M40"/>
    <s v="HUN"/>
    <s v="04:43:59"/>
    <x v="1019"/>
  </r>
  <r>
    <m/>
    <s v="Enzsöl Ákos"/>
    <n v="1997"/>
    <n v="22"/>
    <s v="M30"/>
    <s v="GBR"/>
    <s v="04:28:22"/>
    <x v="152"/>
  </r>
  <r>
    <m/>
    <s v="Séner Gergő"/>
    <n v="1975"/>
    <n v="44"/>
    <s v="M30"/>
    <s v="GER"/>
    <s v="05:18:38"/>
    <x v="1020"/>
  </r>
  <r>
    <m/>
    <s v="Schaller, Ringo"/>
    <n v="1959"/>
    <n v="60"/>
    <s v="M50"/>
    <s v="HUN"/>
    <s v="03:52:06"/>
    <x v="969"/>
  </r>
  <r>
    <m/>
    <s v="Finta Kolos"/>
    <n v="1989"/>
    <n v="30"/>
    <s v="M30"/>
    <s v="HKG"/>
    <s v="04:23:31"/>
    <x v="1021"/>
  </r>
  <r>
    <m/>
    <s v="Szoleczky Péter"/>
    <n v="1973"/>
    <n v="46"/>
    <s v="M35"/>
    <s v="HUN"/>
    <s v="04:39:52"/>
    <x v="1022"/>
  </r>
  <r>
    <m/>
    <s v="Smits, Matthijs jr"/>
    <n v="1977"/>
    <n v="42"/>
    <s v="M25"/>
    <s v="HUN"/>
    <s v="03:40:40"/>
    <x v="1023"/>
  </r>
  <r>
    <m/>
    <s v="Paulinyi Endre"/>
    <n v="1956"/>
    <n v="63"/>
    <s v="M50"/>
    <s v="ITA"/>
    <s v="03:56:09"/>
    <x v="1024"/>
  </r>
  <r>
    <m/>
    <s v="Bjoerlo, Geir Jota"/>
    <n v="1969"/>
    <n v="50"/>
    <s v="M50"/>
    <s v="FRA"/>
    <s v="04:17:16"/>
    <x v="1025"/>
  </r>
  <r>
    <m/>
    <s v="Vucinac, Stefan"/>
    <n v="1976"/>
    <n v="43"/>
    <s v="M20"/>
    <s v="HUN"/>
    <s v="03:45:18"/>
    <x v="575"/>
  </r>
  <r>
    <m/>
    <s v="Davies, Adam"/>
    <n v="1984"/>
    <n v="35"/>
    <s v="M45"/>
    <s v="HUN"/>
    <s v="03:23:18"/>
    <x v="1026"/>
  </r>
  <r>
    <m/>
    <s v="Triglianos, Athos jr"/>
    <n v="1976"/>
    <n v="43"/>
    <s v="M20"/>
    <s v="HUN"/>
    <s v="03:37:44"/>
    <x v="162"/>
  </r>
  <r>
    <m/>
    <s v="Herman Károly"/>
    <n v="1989"/>
    <n v="30"/>
    <s v="M55"/>
    <s v="HUN"/>
    <s v="04:18:24"/>
    <x v="1027"/>
  </r>
  <r>
    <m/>
    <s v="Ormonde, Brian"/>
    <n v="1966"/>
    <n v="53"/>
    <s v="M50"/>
    <s v="HUN"/>
    <s v="04:39:00"/>
    <x v="1028"/>
  </r>
  <r>
    <m/>
    <s v="Mc Auliffe, liam"/>
    <n v="1985"/>
    <n v="34"/>
    <s v="M40"/>
    <s v="HUN"/>
    <s v="03:56:57"/>
    <x v="668"/>
  </r>
  <r>
    <m/>
    <s v="Richards, Cian"/>
    <n v="1977"/>
    <n v="42"/>
    <s v="M25"/>
    <s v="HUN"/>
    <s v="02:57:37"/>
    <x v="1029"/>
  </r>
  <r>
    <m/>
    <s v="Faragó Roland"/>
    <n v="1981"/>
    <n v="38"/>
    <s v="M35"/>
    <s v="ROM"/>
    <s v="03:00:40"/>
    <x v="1030"/>
  </r>
  <r>
    <m/>
    <s v="Rasztovich Gyula"/>
    <n v="1975"/>
    <n v="44"/>
    <s v="M40"/>
    <s v="HUN"/>
    <s v="03:35:18"/>
    <x v="1031"/>
  </r>
  <r>
    <m/>
    <s v="Szalay Miklós"/>
    <n v="1993"/>
    <n v="26"/>
    <s v="M35"/>
    <s v="POL"/>
    <s v="04:12:24"/>
    <x v="1032"/>
  </r>
  <r>
    <m/>
    <s v="Bulfinsky, Mihai"/>
    <n v="1970"/>
    <n v="49"/>
    <s v="M65"/>
    <s v="HUN"/>
    <s v="05:09:39"/>
    <x v="1033"/>
  </r>
  <r>
    <m/>
    <s v="Solti Péter"/>
    <n v="1972"/>
    <n v="47"/>
    <s v="M40"/>
    <s v="HUN"/>
    <s v="03:17:32"/>
    <x v="1034"/>
  </r>
  <r>
    <m/>
    <s v="Koós Sándor"/>
    <n v="1972"/>
    <n v="47"/>
    <s v="M40"/>
    <s v="SLO"/>
    <s v="04:09:47"/>
    <x v="1035"/>
  </r>
  <r>
    <m/>
    <s v="Boudier, Stephane"/>
    <n v="1976"/>
    <n v="43"/>
    <s v="M50"/>
    <s v="HUN"/>
    <s v="03:14:45"/>
    <x v="1036"/>
  </r>
  <r>
    <m/>
    <s v="Dobi Zsigmond"/>
    <n v="1991"/>
    <n v="28"/>
    <s v="M50"/>
    <s v="BEL"/>
    <s v="04:06:30"/>
    <x v="1037"/>
  </r>
  <r>
    <m/>
    <s v="Veeneman, Mads"/>
    <n v="1983"/>
    <n v="36"/>
    <s v="M25"/>
    <s v="HUN"/>
    <s v="03:47:22"/>
    <x v="1038"/>
  </r>
  <r>
    <m/>
    <s v="Tóth Péter Tamás"/>
    <n v="1986"/>
    <n v="33"/>
    <s v="M40"/>
    <s v="SVK"/>
    <s v="03:23:12"/>
    <x v="247"/>
  </r>
  <r>
    <m/>
    <s v="Eynon, Arthur"/>
    <n v="1962"/>
    <n v="57"/>
    <s v="M20"/>
    <s v="HUN"/>
    <s v="04:22:10"/>
    <x v="464"/>
  </r>
  <r>
    <m/>
    <s v="Kovács Kristóf"/>
    <n v="1992"/>
    <n v="27"/>
    <s v="M20"/>
    <s v="NED"/>
    <s v="04:24:27"/>
    <x v="1039"/>
  </r>
  <r>
    <m/>
    <s v="Budenszki Péter"/>
    <n v="1975"/>
    <n v="44"/>
    <s v="M50"/>
    <s v="POL"/>
    <s v="04:11:27"/>
    <x v="1040"/>
  </r>
  <r>
    <m/>
    <s v="Móró István"/>
    <n v="1963"/>
    <n v="56"/>
    <s v="M45"/>
    <s v="HUN"/>
    <s v="03:41:49"/>
    <x v="978"/>
  </r>
  <r>
    <m/>
    <s v="Balfour, Luke"/>
    <n v="1970"/>
    <n v="49"/>
    <s v="M25"/>
    <s v="ESP"/>
    <s v="03:59:08"/>
    <x v="262"/>
  </r>
  <r>
    <m/>
    <s v="Helle Olav"/>
    <n v="1959"/>
    <n v="60"/>
    <s v="M30"/>
    <s v="SLO"/>
    <s v="04:15:34"/>
    <x v="1041"/>
  </r>
  <r>
    <m/>
    <s v="Györgyi Ádám István"/>
    <n v="1976"/>
    <n v="43"/>
    <s v="M20"/>
    <s v="HUN"/>
    <s v="04:59:14"/>
    <x v="1042"/>
  </r>
  <r>
    <m/>
    <s v="HATAKEYAMA, JUNYA"/>
    <n v="1985"/>
    <n v="34"/>
    <s v="M35"/>
    <s v="HUN"/>
    <s v="04:41:08"/>
    <x v="6"/>
  </r>
  <r>
    <m/>
    <s v="Mosonczki Péter"/>
    <n v="1977"/>
    <n v="42"/>
    <s v="M40"/>
    <s v="HUN"/>
    <s v="04:59:24"/>
    <x v="486"/>
  </r>
  <r>
    <m/>
    <s v="Schindler József"/>
    <n v="1995"/>
    <n v="24"/>
    <s v="M30"/>
    <s v="ESP"/>
    <s v="03:30:55"/>
    <x v="1043"/>
  </r>
  <r>
    <m/>
    <s v="Elsholtz László"/>
    <n v="1967"/>
    <n v="52"/>
    <s v="M40"/>
    <s v="FRA"/>
    <s v="03:28:23"/>
    <x v="1044"/>
  </r>
  <r>
    <m/>
    <s v="Szabó András"/>
    <n v="1992"/>
    <n v="27"/>
    <s v="M40"/>
    <s v="HUN"/>
    <s v="03:37:11"/>
    <x v="1045"/>
  </r>
  <r>
    <m/>
    <s v="Giappichini, Alessandro"/>
    <n v="1964"/>
    <n v="55"/>
    <s v="M55"/>
    <s v="FRA"/>
    <s v="05:18:01"/>
    <x v="1046"/>
  </r>
  <r>
    <m/>
    <s v="Hricisák László"/>
    <n v="1975"/>
    <n v="44"/>
    <s v="M35"/>
    <s v="HUN"/>
    <s v="04:42:49"/>
    <x v="1047"/>
  </r>
  <r>
    <m/>
    <s v="LI, Shuo"/>
    <n v="1981"/>
    <n v="38"/>
    <s v="M35"/>
    <s v="HUN"/>
    <s v="03:17:41"/>
    <x v="1048"/>
  </r>
  <r>
    <m/>
    <s v="Rózenthál Zoltán"/>
    <n v="1990"/>
    <n v="29"/>
    <s v="M55"/>
    <s v="GER"/>
    <s v="04:27:48"/>
    <x v="382"/>
  </r>
  <r>
    <m/>
    <s v="Horvátth Balázs"/>
    <n v="1975"/>
    <n v="44"/>
    <s v="M50"/>
    <s v="SUI"/>
    <s v="05:16:32"/>
    <x v="1049"/>
  </r>
  <r>
    <m/>
    <s v="Ostojic Mihailo"/>
    <n v="1971"/>
    <n v="48"/>
    <s v="M25"/>
    <s v="HUN"/>
    <s v="03:41:42"/>
    <x v="1050"/>
  </r>
  <r>
    <m/>
    <s v="Szabó Patrik"/>
    <n v="1985"/>
    <n v="34"/>
    <s v="M30"/>
    <s v="FIN"/>
    <s v="05:18:17"/>
    <x v="1051"/>
  </r>
  <r>
    <m/>
    <s v="Day, Dominic"/>
    <n v="1989"/>
    <n v="30"/>
    <s v="M25"/>
    <s v="BEL"/>
    <s v="03:48:42"/>
    <x v="1052"/>
  </r>
  <r>
    <m/>
    <s v="Valovics Márton"/>
    <n v="1962"/>
    <n v="57"/>
    <s v="M30"/>
    <s v="RSA"/>
    <s v="03:53:59"/>
    <x v="1053"/>
  </r>
  <r>
    <m/>
    <s v="Benitez Romero, Alan Michel"/>
    <n v="1972"/>
    <n v="47"/>
    <s v="M25"/>
    <s v="FIN"/>
    <s v="04:01:16"/>
    <x v="1054"/>
  </r>
  <r>
    <m/>
    <s v="Gherzan, Theodor"/>
    <n v="1971"/>
    <n v="48"/>
    <s v="M30"/>
    <s v="HUN"/>
    <s v="03:34:37"/>
    <x v="1055"/>
  </r>
  <r>
    <m/>
    <s v="DURSI, STEFANO"/>
    <n v="1982"/>
    <n v="37"/>
    <s v="M45"/>
    <s v="HUN"/>
    <s v="03:37:25"/>
    <x v="1056"/>
  </r>
  <r>
    <m/>
    <s v="Robb, David"/>
    <n v="1980"/>
    <n v="39"/>
    <s v="M25"/>
    <s v="HUN"/>
    <s v="04:08:36"/>
    <x v="1057"/>
  </r>
  <r>
    <m/>
    <s v="Miholcsek Zsolt"/>
    <n v="1975"/>
    <n v="44"/>
    <s v="M40"/>
    <s v="HUN"/>
    <s v="04:03:21"/>
    <x v="1058"/>
  </r>
  <r>
    <m/>
    <s v="Maros Tamás dr"/>
    <n v="1972"/>
    <n v="47"/>
    <s v="M45"/>
    <s v="HUN"/>
    <s v="04:28:36"/>
    <x v="1059"/>
  </r>
  <r>
    <m/>
    <s v="Faragó István"/>
    <n v="1974"/>
    <n v="45"/>
    <s v="M30"/>
    <s v="HUN"/>
    <s v="04:38:21"/>
    <x v="309"/>
  </r>
  <r>
    <m/>
    <s v="Szirmai Péter"/>
    <n v="1964"/>
    <n v="55"/>
    <s v="M45"/>
    <s v="FRA"/>
    <s v="02:52:45"/>
    <x v="1060"/>
  </r>
  <r>
    <m/>
    <s v="Hanssen, Henning"/>
    <n v="1958"/>
    <n v="61"/>
    <s v="M40"/>
    <s v="ROM"/>
    <s v="02:59:38"/>
    <x v="1061"/>
  </r>
  <r>
    <m/>
    <s v="Turner John"/>
    <n v="1969"/>
    <n v="50"/>
    <s v="M70"/>
    <s v="HUN"/>
    <s v="05:08:27"/>
    <x v="1062"/>
  </r>
  <r>
    <m/>
    <s v="Kiss, Roman"/>
    <n v="1956"/>
    <n v="63"/>
    <s v="M45"/>
    <s v="FRA"/>
    <s v="03:37:41"/>
    <x v="924"/>
  </r>
  <r>
    <m/>
    <s v="Riseborough, Russell"/>
    <n v="1960"/>
    <n v="59"/>
    <s v="M55"/>
    <s v="HUN"/>
    <s v="03:55:05"/>
    <x v="172"/>
  </r>
  <r>
    <m/>
    <s v="Winters, Robertus"/>
    <n v="1980"/>
    <n v="39"/>
    <s v="M45"/>
    <s v="HUN"/>
    <s v="04:34:09"/>
    <x v="1063"/>
  </r>
  <r>
    <m/>
    <s v="REPECKI, MARCIN"/>
    <n v="1985"/>
    <n v="34"/>
    <s v="M50"/>
    <s v="POL"/>
    <s v="03:19:51"/>
    <x v="1064"/>
  </r>
  <r>
    <m/>
    <s v="Reith Péter"/>
    <n v="1998"/>
    <n v="21"/>
    <s v="M30"/>
    <s v="HUN"/>
    <s v="04:05:08"/>
    <x v="1065"/>
  </r>
  <r>
    <m/>
    <s v="Pető András"/>
    <n v="1975"/>
    <n v="44"/>
    <s v="M45"/>
    <s v="ARG"/>
    <s v="03:25:20"/>
    <x v="1066"/>
  </r>
  <r>
    <m/>
    <s v="Hortobágyi Péter Szabolcs"/>
    <n v="1968"/>
    <n v="51"/>
    <s v="M40"/>
    <s v="HUN"/>
    <s v="04:26:19"/>
    <x v="1067"/>
  </r>
  <r>
    <m/>
    <s v="Donelan, Sam"/>
    <n v="1992"/>
    <n v="27"/>
    <s v="M25"/>
    <s v="HUN"/>
    <s v="03:30:09"/>
    <x v="1068"/>
  </r>
  <r>
    <m/>
    <s v="Jobbágy Zoltán"/>
    <n v="1973"/>
    <n v="46"/>
    <s v="M45"/>
    <s v="HUN"/>
    <s v="03:38:28"/>
    <x v="1069"/>
  </r>
  <r>
    <m/>
    <s v="Batra, David"/>
    <n v="1965"/>
    <n v="54"/>
    <s v="M45"/>
    <s v="FRA"/>
    <s v="03:33:15"/>
    <x v="1070"/>
  </r>
  <r>
    <m/>
    <s v="Bordoniqi, Granit"/>
    <n v="1979"/>
    <n v="40"/>
    <s v="M30"/>
    <s v="HUN"/>
    <s v="03:51:09"/>
    <x v="1071"/>
  </r>
  <r>
    <m/>
    <s v="Franke Marcell"/>
    <n v="1981"/>
    <n v="38"/>
    <s v="M30"/>
    <s v="ESP"/>
    <s v="03:58:57"/>
    <x v="1072"/>
  </r>
  <r>
    <m/>
    <s v="Tordai Ádám"/>
    <n v="1980"/>
    <n v="39"/>
    <s v="M30"/>
    <s v="HUN"/>
    <s v="03:01:50"/>
    <x v="1073"/>
  </r>
  <r>
    <m/>
    <s v="Dobrosavljević, Slavia"/>
    <n v="1959"/>
    <n v="60"/>
    <s v="M50"/>
    <s v="HUN"/>
    <s v="04:09:56"/>
    <x v="1074"/>
  </r>
  <r>
    <m/>
    <s v="Brejcha, Martin"/>
    <n v="1982"/>
    <n v="37"/>
    <s v="M45"/>
    <s v="HUN"/>
    <s v="03:50:46"/>
    <x v="1075"/>
  </r>
  <r>
    <m/>
    <s v="Gebauer Ervin"/>
    <n v="1977"/>
    <n v="42"/>
    <s v="M20"/>
    <s v="HUN"/>
    <s v="04:15:47"/>
    <x v="695"/>
  </r>
  <r>
    <m/>
    <s v="Le Roux Alain dr"/>
    <n v="1981"/>
    <n v="38"/>
    <s v="M25"/>
    <s v="HUN"/>
    <s v="03:46:39"/>
    <x v="1076"/>
  </r>
  <r>
    <m/>
    <s v="Csiszár Krisztián"/>
    <n v="1989"/>
    <n v="30"/>
    <s v="M45"/>
    <s v="RUS"/>
    <s v="03:54:44"/>
    <x v="1077"/>
  </r>
  <r>
    <m/>
    <s v="Freiberger, Werner"/>
    <n v="1968"/>
    <n v="51"/>
    <s v="M60"/>
    <s v="HUN"/>
    <s v="04:05:18"/>
    <x v="1078"/>
  </r>
  <r>
    <m/>
    <s v="Stafiej, Mariusz"/>
    <n v="1966"/>
    <n v="53"/>
    <s v="M55"/>
    <s v="FRA"/>
    <s v="03:34:19"/>
    <x v="1079"/>
  </r>
  <r>
    <m/>
    <s v="Narman, Alin"/>
    <n v="1980"/>
    <n v="39"/>
    <s v="M25"/>
    <s v="HUN"/>
    <s v="04:08:44"/>
    <x v="220"/>
  </r>
  <r>
    <m/>
    <s v="Gregor Péter"/>
    <n v="1964"/>
    <n v="55"/>
    <s v="M45"/>
    <s v="SWE"/>
    <s v="03:39:57"/>
    <x v="1080"/>
  </r>
  <r>
    <m/>
    <s v="Forgáč, Matú"/>
    <n v="1976"/>
    <n v="43"/>
    <s v="M40"/>
    <s v="HUN"/>
    <s v="02:50:06"/>
    <x v="1081"/>
  </r>
  <r>
    <m/>
    <s v="Carvalh?o, Fernando"/>
    <n v="1964"/>
    <n v="55"/>
    <s v="M40"/>
    <s v="HUN"/>
    <s v="03:51:32"/>
    <x v="1082"/>
  </r>
  <r>
    <m/>
    <s v="Gregárik Krisztián"/>
    <n v="1989"/>
    <n v="30"/>
    <s v="M45"/>
    <s v="HUN"/>
    <s v="04:13:04"/>
    <x v="1083"/>
  </r>
  <r>
    <m/>
    <s v="Szerencsi Attila"/>
    <n v="1976"/>
    <n v="43"/>
    <s v="M50"/>
    <s v="HUN"/>
    <s v="04:33:50"/>
    <x v="1084"/>
  </r>
  <r>
    <m/>
    <s v="Berencsi Tamás"/>
    <n v="1957"/>
    <n v="62"/>
    <s v="M40"/>
    <s v="GBR"/>
    <s v="04:52:02"/>
    <x v="1085"/>
  </r>
  <r>
    <m/>
    <s v="Pető György"/>
    <n v="1991"/>
    <n v="28"/>
    <s v="M40"/>
    <s v="HUN"/>
    <s v="04:02:07"/>
    <x v="1086"/>
  </r>
  <r>
    <m/>
    <s v="GIANLUCA, FUNES dr"/>
    <n v="1968"/>
    <n v="51"/>
    <s v="M50"/>
    <s v="GBR"/>
    <s v="04:12:26"/>
    <x v="1087"/>
  </r>
  <r>
    <m/>
    <s v="Potocsnik Károly"/>
    <n v="1987"/>
    <n v="32"/>
    <s v="M40"/>
    <s v="HUN"/>
    <s v="04:58:04"/>
    <x v="1088"/>
  </r>
  <r>
    <m/>
    <s v="Zadworny, Ireneusz"/>
    <n v="1968"/>
    <n v="51"/>
    <s v="M55"/>
    <s v="GER"/>
    <s v="04:16:00"/>
    <x v="1089"/>
  </r>
  <r>
    <m/>
    <s v="Mucsi Krisztián"/>
    <n v="1997"/>
    <n v="22"/>
    <s v="M25"/>
    <s v="HUN"/>
    <s v="04:49:12"/>
    <x v="1090"/>
  </r>
  <r>
    <m/>
    <s v="Fényes Szabolcs"/>
    <n v="1973"/>
    <n v="46"/>
    <s v="M30"/>
    <s v="HUN"/>
    <s v="04:13:26"/>
    <x v="1091"/>
  </r>
  <r>
    <m/>
    <s v="Pardoe, Liam"/>
    <n v="1965"/>
    <n v="54"/>
    <s v="M30"/>
    <s v="NED"/>
    <s v="04:17:06"/>
    <x v="1092"/>
  </r>
  <r>
    <m/>
    <s v="Tokmantcev, Anatolii prof"/>
    <n v="1979"/>
    <n v="40"/>
    <s v="M35"/>
    <s v="HUN"/>
    <s v="03:25:27"/>
    <x v="1093"/>
  </r>
  <r>
    <m/>
    <s v="Schreij, Jos"/>
    <n v="1984"/>
    <n v="35"/>
    <s v="M30"/>
    <s v="ROM"/>
    <s v="03:37:02"/>
    <x v="1094"/>
  </r>
  <r>
    <m/>
    <s v="Adam, Russell"/>
    <n v="1962"/>
    <n v="57"/>
    <s v="M35"/>
    <s v="HUN"/>
    <s v="04:40:38"/>
    <x v="1095"/>
  </r>
  <r>
    <m/>
    <s v="Stampf Péter"/>
    <n v="1975"/>
    <n v="44"/>
    <s v="M40"/>
    <s v="HUN"/>
    <s v="03:38:58"/>
    <x v="912"/>
  </r>
  <r>
    <m/>
    <s v="Zsöllei Kálmán"/>
    <n v="1972"/>
    <n v="47"/>
    <s v="M40"/>
    <s v="HUN"/>
    <s v="04:54:43"/>
    <x v="1096"/>
  </r>
  <r>
    <m/>
    <s v="Komlósi Szabolcs"/>
    <n v="1964"/>
    <n v="55"/>
    <s v="M45"/>
    <s v="HUN"/>
    <s v="04:05:41"/>
    <x v="1097"/>
  </r>
  <r>
    <m/>
    <s v="MOREL, François-Xavier"/>
    <n v="1981"/>
    <n v="38"/>
    <s v="M45"/>
    <s v="TWN"/>
    <s v="04:55:13"/>
    <x v="1098"/>
  </r>
  <r>
    <m/>
    <s v="Domonkos, Alexander"/>
    <n v="1961"/>
    <n v="58"/>
    <s v="M35"/>
    <s v="HUN"/>
    <s v="03:40:49"/>
    <x v="1099"/>
  </r>
  <r>
    <m/>
    <s v="Lakatos János"/>
    <n v="1989"/>
    <n v="30"/>
    <s v="M30"/>
    <s v="HUN"/>
    <s v="03:07:07"/>
    <x v="1100"/>
  </r>
  <r>
    <m/>
    <s v="Kovács Ádám"/>
    <n v="1963"/>
    <n v="56"/>
    <s v="M30"/>
    <s v="HUN"/>
    <s v="03:34:43"/>
    <x v="1101"/>
  </r>
  <r>
    <m/>
    <s v="Julian, Joachim"/>
    <n v="1991"/>
    <n v="28"/>
    <s v="M20"/>
    <s v="NED"/>
    <s v="04:00:37"/>
    <x v="1102"/>
  </r>
  <r>
    <m/>
    <s v="Somogyi Balázs"/>
    <n v="1991"/>
    <n v="28"/>
    <s v="M45"/>
    <s v="HUN"/>
    <s v="05:23:59"/>
    <x v="1103"/>
  </r>
  <r>
    <m/>
    <s v="Czifra Szabolcs"/>
    <n v="1966"/>
    <n v="53"/>
    <s v="M45"/>
    <s v="HUN"/>
    <s v="04:20:00"/>
    <x v="509"/>
  </r>
  <r>
    <m/>
    <s v="Soós Ádám István dr."/>
    <n v="1969"/>
    <n v="50"/>
    <s v="M35"/>
    <s v="HUN"/>
    <s v="05:15:00"/>
    <x v="1104"/>
  </r>
  <r>
    <m/>
    <s v="Ribier, Bruno"/>
    <n v="1969"/>
    <n v="50"/>
    <s v="M30"/>
    <s v="HUN"/>
    <s v="02:58:45"/>
    <x v="1105"/>
  </r>
  <r>
    <m/>
    <s v="Török Zoltán"/>
    <n v="1989"/>
    <n v="30"/>
    <s v="M45"/>
    <s v="POL"/>
    <s v="04:26:01"/>
    <x v="1106"/>
  </r>
  <r>
    <m/>
    <s v="Sim, Ban leng"/>
    <n v="1982"/>
    <n v="37"/>
    <s v="M45"/>
    <s v="FRA"/>
    <s v="03:55:24"/>
    <x v="1107"/>
  </r>
  <r>
    <m/>
    <s v="Simonics Martin Balázs"/>
    <n v="1984"/>
    <n v="35"/>
    <s v="M20"/>
    <s v="CHN"/>
    <s v="04:57:00"/>
    <x v="1108"/>
  </r>
  <r>
    <m/>
    <s v="Bán Gergely"/>
    <n v="1982"/>
    <n v="37"/>
    <s v="M40"/>
    <s v="GBR"/>
    <s v="03:23:03"/>
    <x v="1109"/>
  </r>
  <r>
    <m/>
    <s v="Santens, Frederic"/>
    <n v="1979"/>
    <n v="40"/>
    <s v="M50"/>
    <s v="HUN"/>
    <s v="04:42:20"/>
    <x v="1110"/>
  </r>
  <r>
    <m/>
    <s v="Selzer, Yoram"/>
    <n v="1982"/>
    <n v="37"/>
    <s v="M55"/>
    <s v="HUN"/>
    <s v="04:31:51"/>
    <x v="1111"/>
  </r>
  <r>
    <m/>
    <s v="koflanc, Davorin"/>
    <n v="1979"/>
    <n v="40"/>
    <s v="M45"/>
    <s v="ESP"/>
    <s v="03:29:54"/>
    <x v="1112"/>
  </r>
  <r>
    <m/>
    <s v="GALLAGHER, COLM prof"/>
    <n v="1974"/>
    <n v="45"/>
    <s v="M40"/>
    <s v="HUN"/>
    <s v="03:34:22"/>
    <x v="1113"/>
  </r>
  <r>
    <m/>
    <s v="Tóth András"/>
    <n v="1969"/>
    <n v="50"/>
    <s v="M45"/>
    <s v="HUN"/>
    <s v="04:21:48"/>
    <x v="1114"/>
  </r>
  <r>
    <m/>
    <s v="Janovics György"/>
    <n v="1980"/>
    <n v="39"/>
    <s v="M50"/>
    <s v="HUN"/>
    <s v="04:58:06"/>
    <x v="1115"/>
  </r>
  <r>
    <m/>
    <s v="Leow, Jermaine"/>
    <n v="1968"/>
    <n v="51"/>
    <s v="M40"/>
    <s v="GBR"/>
    <s v="03:54:38"/>
    <x v="1116"/>
  </r>
  <r>
    <m/>
    <s v="Berti, Nicola dr"/>
    <n v="1959"/>
    <n v="60"/>
    <s v="M25"/>
    <s v="HUN"/>
    <s v="03:05:20"/>
    <x v="1117"/>
  </r>
  <r>
    <m/>
    <s v="Doig, Marcus dr"/>
    <n v="1984"/>
    <n v="35"/>
    <s v="M30"/>
    <s v="HUN"/>
    <s v="03:41:51"/>
    <x v="535"/>
  </r>
  <r>
    <m/>
    <s v="Sipter László"/>
    <n v="1999"/>
    <n v="20"/>
    <s v="M40"/>
    <s v="NED"/>
    <s v="04:07:20"/>
    <x v="1118"/>
  </r>
  <r>
    <m/>
    <s v="Manzini, Riccardo"/>
    <n v="1977"/>
    <n v="42"/>
    <s v="M40"/>
    <s v="HUN"/>
    <s v="03:49:34"/>
    <x v="1119"/>
  </r>
  <r>
    <m/>
    <s v="Németh László"/>
    <n v="1962"/>
    <n v="57"/>
    <s v="M45"/>
    <s v="GBR"/>
    <s v="04:02:06"/>
    <x v="1120"/>
  </r>
  <r>
    <m/>
    <s v="Johnstone, Scott"/>
    <n v="1972"/>
    <n v="47"/>
    <s v="M30"/>
    <s v="HUN"/>
    <s v="04:14:26"/>
    <x v="540"/>
  </r>
  <r>
    <m/>
    <s v="Dando, Bryan"/>
    <n v="1983"/>
    <n v="36"/>
    <s v="M40"/>
    <s v="HUN"/>
    <s v="04:43:04"/>
    <x v="1121"/>
  </r>
  <r>
    <m/>
    <s v="Debski, Andrzej prof"/>
    <n v="1979"/>
    <n v="40"/>
    <s v="M45"/>
    <s v="BRA"/>
    <s v="03:52:13"/>
    <x v="1122"/>
  </r>
  <r>
    <m/>
    <s v="Almási Csaba Sándor"/>
    <n v="1949"/>
    <n v="70"/>
    <s v="M35"/>
    <s v="NED"/>
    <s v="04:02:38"/>
    <x v="1123"/>
  </r>
  <r>
    <m/>
    <s v="Popken, Hans"/>
    <n v="1981"/>
    <n v="38"/>
    <s v="M55"/>
    <s v="HUN"/>
    <s v="04:40:12"/>
    <x v="966"/>
  </r>
  <r>
    <m/>
    <s v="Tóth Barnabás"/>
    <n v="1973"/>
    <n v="46"/>
    <s v="M30"/>
    <s v="HUN"/>
    <s v="03:39:33"/>
    <x v="1124"/>
  </r>
  <r>
    <m/>
    <s v="Veszeli Dániel"/>
    <n v="1968"/>
    <n v="51"/>
    <s v="M40"/>
    <s v="HUN"/>
    <s v="04:21:19"/>
    <x v="1125"/>
  </r>
  <r>
    <m/>
    <s v="Olmeda Alvarez, Luis"/>
    <n v="1988"/>
    <n v="31"/>
    <s v="M60"/>
    <s v="HUN"/>
    <s v="04:36:32"/>
    <x v="1126"/>
  </r>
  <r>
    <m/>
    <s v="Edwards, Gethin"/>
    <n v="1977"/>
    <n v="42"/>
    <s v="M45"/>
    <s v="HUN"/>
    <s v="02:52:26"/>
    <x v="1127"/>
  </r>
  <r>
    <m/>
    <s v="Rausch Bence"/>
    <n v="1992"/>
    <n v="27"/>
    <s v="M20"/>
    <s v="SWE"/>
    <s v="05:26:11"/>
    <x v="1128"/>
  </r>
  <r>
    <m/>
    <s v="Kenyeres József"/>
    <n v="1974"/>
    <n v="45"/>
    <s v="M55"/>
    <s v="HUN"/>
    <s v="04:40:43"/>
    <x v="1129"/>
  </r>
  <r>
    <m/>
    <s v="Börcsök Ferenc"/>
    <n v="1976"/>
    <n v="43"/>
    <s v="M25"/>
    <s v="SVK"/>
    <s v="03:52:02"/>
    <x v="1130"/>
  </r>
  <r>
    <m/>
    <s v="Donnelly, Lucas"/>
    <n v="1976"/>
    <n v="43"/>
    <s v="M18"/>
    <s v="HUN"/>
    <s v="04:24:47"/>
    <x v="1131"/>
  </r>
  <r>
    <m/>
    <s v="Rivero, Diego"/>
    <n v="1975"/>
    <n v="44"/>
    <s v="M35"/>
    <s v="HUN"/>
    <s v="03:33:51"/>
    <x v="1132"/>
  </r>
  <r>
    <m/>
    <s v="Kovács Bence"/>
    <n v="1984"/>
    <n v="35"/>
    <s v="M30"/>
    <s v="HUN"/>
    <s v="04:17:43"/>
    <x v="1133"/>
  </r>
  <r>
    <m/>
    <s v="Brouwer, Olivier"/>
    <n v="1985"/>
    <n v="34"/>
    <s v="M40"/>
    <s v="CHN"/>
    <s v="03:16:35"/>
    <x v="1134"/>
  </r>
  <r>
    <m/>
    <s v="Kochan, Radim"/>
    <n v="1984"/>
    <n v="35"/>
    <s v="M25"/>
    <s v="HUN"/>
    <s v="03:03:03"/>
    <x v="1135"/>
  </r>
  <r>
    <m/>
    <s v="Pető, Dávid"/>
    <n v="1962"/>
    <n v="57"/>
    <s v="M45"/>
    <s v="HUN"/>
    <s v="03:26:22"/>
    <x v="1136"/>
  </r>
  <r>
    <m/>
    <s v="Holmes, Lewis prof"/>
    <n v="1998"/>
    <n v="21"/>
    <s v="M25"/>
    <s v="HUN"/>
    <s v="03:41:02"/>
    <x v="1137"/>
  </r>
  <r>
    <m/>
    <s v="Zandegiacomo De Zorzi, Francesco"/>
    <n v="1959"/>
    <n v="60"/>
    <s v="M50"/>
    <s v="HUN"/>
    <s v="04:14:54"/>
    <x v="312"/>
  </r>
  <r>
    <m/>
    <s v="Kovács Péter"/>
    <n v="1995"/>
    <n v="24"/>
    <s v="M45"/>
    <s v="POL"/>
    <s v="05:01:58"/>
    <x v="1138"/>
  </r>
  <r>
    <m/>
    <s v="Debski, Andrzej prof"/>
    <n v="1970"/>
    <n v="49"/>
    <s v="M45"/>
    <s v="HUN"/>
    <s v="03:52:13"/>
    <x v="1122"/>
  </r>
  <r>
    <m/>
    <s v="Filipszki János"/>
    <n v="1974"/>
    <n v="45"/>
    <s v="M30"/>
    <s v="HUN"/>
    <s v="04:01:10"/>
    <x v="1139"/>
  </r>
  <r>
    <m/>
    <s v="Baranyi Gergely dr."/>
    <n v="1972"/>
    <n v="47"/>
    <s v="M40"/>
    <s v="HUN"/>
    <s v="03:41:29"/>
    <x v="1140"/>
  </r>
  <r>
    <m/>
    <s v="Récsányi József"/>
    <n v="1981"/>
    <n v="38"/>
    <s v="M55"/>
    <s v="HUN"/>
    <s v="04:49:19"/>
    <x v="1141"/>
  </r>
  <r>
    <m/>
    <s v="Stelli Tibor"/>
    <n v="1967"/>
    <n v="52"/>
    <s v="M45"/>
    <s v="SWE"/>
    <s v="03:54:43"/>
    <x v="1142"/>
  </r>
  <r>
    <m/>
    <s v="Kosztya Botond"/>
    <n v="1983"/>
    <n v="36"/>
    <s v="M45"/>
    <s v="HUN"/>
    <s v="04:39:43"/>
    <x v="1143"/>
  </r>
  <r>
    <m/>
    <s v="Rácz István"/>
    <n v="1975"/>
    <n v="44"/>
    <s v="M40"/>
    <s v="HUN"/>
    <s v="04:33:57"/>
    <x v="1144"/>
  </r>
  <r>
    <m/>
    <s v="Szűrös József"/>
    <n v="1975"/>
    <n v="44"/>
    <s v="M40"/>
    <s v="HUN"/>
    <s v="04:17:38"/>
    <x v="1145"/>
  </r>
  <r>
    <m/>
    <s v="Rácz Rodrigó"/>
    <n v="1970"/>
    <n v="49"/>
    <s v="M40"/>
    <s v="HUN"/>
    <s v="03:45:04"/>
    <x v="1146"/>
  </r>
  <r>
    <m/>
    <s v="Ivády Péter"/>
    <n v="1994"/>
    <n v="25"/>
    <s v="M35"/>
    <s v="AUS"/>
    <s v="03:55:42"/>
    <x v="1147"/>
  </r>
  <r>
    <m/>
    <s v="Stojkovič, David"/>
    <n v="1980"/>
    <n v="39"/>
    <s v="M20"/>
    <s v="HUN"/>
    <s v="03:35:42"/>
    <x v="62"/>
  </r>
  <r>
    <m/>
    <s v="Br?ndum, Frederik"/>
    <n v="1968"/>
    <n v="51"/>
    <s v="M25"/>
    <s v="HUN"/>
    <s v="03:54:46"/>
    <x v="154"/>
  </r>
  <r>
    <m/>
    <s v="Kópiás Balázs"/>
    <n v="1977"/>
    <n v="42"/>
    <s v="M45"/>
    <s v="HUN"/>
    <s v="03:29:34"/>
    <x v="1148"/>
  </r>
  <r>
    <m/>
    <s v="Nacci, Amedeo prof"/>
    <n v="1992"/>
    <n v="27"/>
    <s v="M30"/>
    <s v="HUN"/>
    <s v="03:32:51"/>
    <x v="1149"/>
  </r>
  <r>
    <m/>
    <s v="Thuen, ?ivind Christian"/>
    <n v="1971"/>
    <n v="48"/>
    <s v="M40"/>
    <s v="HUN"/>
    <s v="02:57:20"/>
    <x v="1150"/>
  </r>
  <r>
    <m/>
    <s v="Palmer, Oscar"/>
    <n v="1976"/>
    <n v="43"/>
    <s v="M25"/>
    <s v="HUN"/>
    <s v="02:58:37"/>
    <x v="1151"/>
  </r>
  <r>
    <m/>
    <s v="Kabata, Jakub"/>
    <n v="1969"/>
    <n v="50"/>
    <s v="M30"/>
    <s v="FRA"/>
    <s v="03:26:44"/>
    <x v="315"/>
  </r>
  <r>
    <m/>
    <s v="Crockatt, James"/>
    <n v="1977"/>
    <n v="42"/>
    <s v="M30"/>
    <s v="POR"/>
    <s v="05:20:47"/>
    <x v="1152"/>
  </r>
  <r>
    <m/>
    <s v="Zsinór Gábor"/>
    <n v="1974"/>
    <n v="45"/>
    <s v="M40"/>
    <s v="HUN"/>
    <s v="04:23:20"/>
    <x v="1153"/>
  </r>
  <r>
    <m/>
    <s v="Ács István Győző"/>
    <n v="1984"/>
    <n v="35"/>
    <s v="M65"/>
    <s v="RUS"/>
    <s v="04:34:33"/>
    <x v="1154"/>
  </r>
  <r>
    <m/>
    <s v="Surányi Máté"/>
    <n v="1987"/>
    <n v="32"/>
    <s v="M30"/>
    <s v="HUN"/>
    <s v="04:49:36"/>
    <x v="1155"/>
  </r>
  <r>
    <m/>
    <s v="Kovács Attila"/>
    <n v="1993"/>
    <n v="26"/>
    <s v="M50"/>
    <s v="NZL"/>
    <s v="04:10:11"/>
    <x v="1156"/>
  </r>
  <r>
    <m/>
    <s v="FAC, MATEUSZ"/>
    <n v="1974"/>
    <n v="45"/>
    <s v="M40"/>
    <s v="HUN"/>
    <s v="04:10:21"/>
    <x v="1157"/>
  </r>
  <r>
    <m/>
    <s v="Puskás Mihály"/>
    <n v="1975"/>
    <n v="44"/>
    <s v="M45"/>
    <s v="ITA"/>
    <s v="04:37:56"/>
    <x v="1158"/>
  </r>
  <r>
    <m/>
    <s v="Csizmadia Máté"/>
    <n v="1975"/>
    <n v="44"/>
    <s v="M30"/>
    <s v="HUN"/>
    <s v="05:17:09"/>
    <x v="1159"/>
  </r>
  <r>
    <m/>
    <s v="Horváth Péter dr."/>
    <n v="1991"/>
    <n v="28"/>
    <s v="M50"/>
    <s v="GBR"/>
    <s v="03:59:00"/>
    <x v="584"/>
  </r>
  <r>
    <m/>
    <s v="Shaboo, Nishwan prof"/>
    <n v="1961"/>
    <n v="58"/>
    <s v="M55"/>
    <s v="IND"/>
    <s v="04:08:21"/>
    <x v="774"/>
  </r>
  <r>
    <m/>
    <s v="Sundström Henrik"/>
    <n v="1977"/>
    <n v="42"/>
    <s v="M45"/>
    <s v="HUN"/>
    <s v="04:31:42"/>
    <x v="508"/>
  </r>
  <r>
    <m/>
    <s v="Halmosi Gábor"/>
    <n v="1989"/>
    <n v="30"/>
    <s v="M40"/>
    <s v="HUN"/>
    <s v="03:09:21"/>
    <x v="1160"/>
  </r>
  <r>
    <m/>
    <s v="Kilebu, Johannes"/>
    <n v="1980"/>
    <n v="39"/>
    <s v="M20"/>
    <s v="HUN"/>
    <s v="03:31:11"/>
    <x v="1161"/>
  </r>
  <r>
    <m/>
    <s v="Pap Zsombor"/>
    <n v="1996"/>
    <n v="23"/>
    <s v="M25"/>
    <s v="GBR"/>
    <s v="03:47:53"/>
    <x v="1162"/>
  </r>
  <r>
    <m/>
    <s v="Molnár Bence"/>
    <n v="1974"/>
    <n v="45"/>
    <s v="M18"/>
    <s v="HUN"/>
    <s v="03:30:20"/>
    <x v="1163"/>
  </r>
  <r>
    <m/>
    <s v="Kóczán Tamás"/>
    <n v="1963"/>
    <n v="56"/>
    <s v="M30"/>
    <s v="POL"/>
    <s v="04:02:44"/>
    <x v="1164"/>
  </r>
  <r>
    <m/>
    <s v="Uzseka Dániel"/>
    <n v="1975"/>
    <n v="44"/>
    <s v="M25"/>
    <s v="HUN"/>
    <s v="04:19:04"/>
    <x v="1165"/>
  </r>
  <r>
    <m/>
    <s v="perez jimenez, jose luis dr"/>
    <n v="1981"/>
    <n v="38"/>
    <s v="M50"/>
    <s v="HUN"/>
    <s v="04:25:28"/>
    <x v="259"/>
  </r>
  <r>
    <m/>
    <s v="Darko, Balić"/>
    <n v="1962"/>
    <n v="57"/>
    <s v="M40"/>
    <s v="NED"/>
    <s v="03:22:21"/>
    <x v="1166"/>
  </r>
  <r>
    <m/>
    <s v="Gordos Árpád Mihály"/>
    <n v="1987"/>
    <n v="32"/>
    <s v="M25"/>
    <s v="HUN"/>
    <s v="03:37:50"/>
    <x v="1167"/>
  </r>
  <r>
    <m/>
    <s v="Reinumägi, Risto"/>
    <n v="1983"/>
    <n v="36"/>
    <s v="M30"/>
    <s v="HUN"/>
    <s v="03:44:41"/>
    <x v="1168"/>
  </r>
  <r>
    <m/>
    <s v="sébastien, le corre"/>
    <n v="1977"/>
    <n v="42"/>
    <s v="M45"/>
    <s v="HUN"/>
    <s v="03:23:20"/>
    <x v="1169"/>
  </r>
  <r>
    <m/>
    <s v="Dehbi, Joan"/>
    <n v="1976"/>
    <n v="43"/>
    <s v="M35"/>
    <s v="GBR"/>
    <s v="04:06:02"/>
    <x v="1170"/>
  </r>
  <r>
    <m/>
    <s v="Velencei Félix"/>
    <n v="1978"/>
    <n v="41"/>
    <s v="M50"/>
    <s v="HUN"/>
    <s v="04:13:50"/>
    <x v="1171"/>
  </r>
  <r>
    <m/>
    <s v="Saliamanovitch, Dmitri"/>
    <n v="1993"/>
    <n v="26"/>
    <s v="M50"/>
    <s v="RUS"/>
    <s v="02:54:30"/>
    <x v="1172"/>
  </r>
  <r>
    <m/>
    <s v="MEző Dávid"/>
    <n v="1977"/>
    <n v="42"/>
    <s v="M25"/>
    <s v="HUN"/>
    <s v="03:53:51"/>
    <x v="134"/>
  </r>
  <r>
    <m/>
    <s v="Kerekes László"/>
    <n v="1979"/>
    <n v="40"/>
    <s v="M30"/>
    <s v="HUN"/>
    <s v="03:28:04"/>
    <x v="1173"/>
  </r>
  <r>
    <m/>
    <s v="Duffy, Senan"/>
    <n v="1964"/>
    <n v="55"/>
    <s v="M20"/>
    <s v="BRA"/>
    <s v="03:54:01"/>
    <x v="317"/>
  </r>
  <r>
    <m/>
    <s v="Manjunath, Srivijay"/>
    <n v="1991"/>
    <n v="28"/>
    <s v="M25"/>
    <s v="HUN"/>
    <s v="04:01:56"/>
    <x v="1174"/>
  </r>
  <r>
    <m/>
    <s v="Filloramo, Sergio"/>
    <n v="1970"/>
    <n v="49"/>
    <s v="M50"/>
    <s v="GBR"/>
    <s v="04:38:16"/>
    <x v="411"/>
  </r>
  <r>
    <m/>
    <s v="Rasmussen, Peter"/>
    <n v="1967"/>
    <n v="52"/>
    <s v="M35"/>
    <s v="ESP"/>
    <s v="03:05:22"/>
    <x v="755"/>
  </r>
  <r>
    <m/>
    <s v="Laakkonen, Jukka"/>
    <n v="1985"/>
    <n v="34"/>
    <s v="M40"/>
    <s v="HUN"/>
    <s v="03:05:47"/>
    <x v="1175"/>
  </r>
  <r>
    <m/>
    <s v="Büki Dávid"/>
    <n v="1993"/>
    <n v="26"/>
    <s v="M25"/>
    <s v="HUN"/>
    <s v="04:54:58"/>
    <x v="1176"/>
  </r>
  <r>
    <m/>
    <s v="Harris, Ashley"/>
    <n v="1995"/>
    <n v="24"/>
    <s v="M18"/>
    <s v="HUN"/>
    <s v="04:26:07"/>
    <x v="974"/>
  </r>
  <r>
    <m/>
    <s v="Bertha Gábor"/>
    <n v="1981"/>
    <n v="38"/>
    <s v="M30"/>
    <s v="FRA"/>
    <s v="02:59:18"/>
    <x v="1177"/>
  </r>
  <r>
    <m/>
    <s v="Fövényi Zsombor"/>
    <n v="1981"/>
    <n v="38"/>
    <s v="M20"/>
    <s v="POL"/>
    <s v="03:58:43"/>
    <x v="988"/>
  </r>
  <r>
    <m/>
    <s v="Rohr, Maximilian"/>
    <n v="1975"/>
    <n v="44"/>
    <s v="M20"/>
    <s v="HUN"/>
    <s v="03:40:46"/>
    <x v="192"/>
  </r>
  <r>
    <m/>
    <s v="Fehér Lajos"/>
    <n v="1982"/>
    <n v="37"/>
    <s v="M45"/>
    <s v="HUN"/>
    <s v="03:33:00"/>
    <x v="1178"/>
  </r>
  <r>
    <m/>
    <s v="Harangi Lajos"/>
    <n v="1962"/>
    <n v="57"/>
    <s v="M30"/>
    <s v="HUN"/>
    <s v="05:30:01"/>
    <x v="1179"/>
  </r>
  <r>
    <m/>
    <s v="Kis Márkó"/>
    <n v="1983"/>
    <n v="36"/>
    <s v="M25"/>
    <s v="HUN"/>
    <s v="03:49:15"/>
    <x v="1180"/>
  </r>
  <r>
    <m/>
    <s v="Nagy István"/>
    <n v="1971"/>
    <n v="48"/>
    <s v="M45"/>
    <s v="DEN"/>
    <s v="04:38:22"/>
    <x v="35"/>
  </r>
  <r>
    <m/>
    <s v="Feldhoffer József"/>
    <n v="1991"/>
    <n v="28"/>
    <s v="M30"/>
    <s v="HUN"/>
    <s v="04:02:41"/>
    <x v="1181"/>
  </r>
  <r>
    <m/>
    <s v="CONNAN, JULIEN"/>
    <n v="1988"/>
    <n v="31"/>
    <s v="M45"/>
    <s v="MEX"/>
    <s v="05:28:10"/>
    <x v="1182"/>
  </r>
  <r>
    <m/>
    <s v="Sáfián László"/>
    <n v="1983"/>
    <n v="36"/>
    <s v="M35"/>
    <s v="HUN"/>
    <s v="03:55:38"/>
    <x v="723"/>
  </r>
  <r>
    <m/>
    <s v="Florent, Bassani prof"/>
    <n v="1990"/>
    <n v="29"/>
    <s v="M35"/>
    <s v="RUS"/>
    <s v="03:40:40"/>
    <x v="1023"/>
  </r>
  <r>
    <m/>
    <s v="Bossen, Henrik"/>
    <n v="1968"/>
    <n v="51"/>
    <s v="M50"/>
    <s v="IRL"/>
    <s v="04:19:55"/>
    <x v="1183"/>
  </r>
  <r>
    <m/>
    <s v="Hawkins, Max"/>
    <n v="1989"/>
    <n v="30"/>
    <s v="M20"/>
    <s v="RUS"/>
    <s v="05:19:58"/>
    <x v="1184"/>
  </r>
  <r>
    <m/>
    <s v="golner, Tihomir prof"/>
    <n v="1961"/>
    <n v="58"/>
    <s v="M45"/>
    <s v="BEL"/>
    <s v="03:16:39"/>
    <x v="1185"/>
  </r>
  <r>
    <m/>
    <s v="Veerman, Alexander"/>
    <n v="1967"/>
    <n v="52"/>
    <s v="M55"/>
    <s v="GER"/>
    <s v="04:03:34"/>
    <x v="1186"/>
  </r>
  <r>
    <m/>
    <s v="Ugodi Zoltán"/>
    <n v="1991"/>
    <n v="28"/>
    <s v="M40"/>
    <s v="HUN"/>
    <s v="04:33:58"/>
    <x v="1187"/>
  </r>
  <r>
    <m/>
    <s v="Tramontini Zsolt"/>
    <n v="1959"/>
    <n v="60"/>
    <s v="M45"/>
    <s v="HUN"/>
    <s v="05:25:08"/>
    <x v="1188"/>
  </r>
  <r>
    <m/>
    <s v="Ghezzi, Giampiero"/>
    <n v="1995"/>
    <n v="24"/>
    <s v="M65"/>
    <s v="GBR"/>
    <s v="04:23:12"/>
    <x v="976"/>
  </r>
  <r>
    <m/>
    <s v="Borruat, Matthieu"/>
    <n v="1982"/>
    <n v="37"/>
    <s v="M40"/>
    <s v="POL"/>
    <s v="04:44:53"/>
    <x v="1189"/>
  </r>
  <r>
    <m/>
    <s v="Auer Márk"/>
    <n v="1982"/>
    <n v="37"/>
    <s v="M18"/>
    <s v="HUN"/>
    <s v="04:46:00"/>
    <x v="1190"/>
  </r>
  <r>
    <m/>
    <s v="Oláh Csaba"/>
    <n v="1977"/>
    <n v="42"/>
    <s v="M50"/>
    <s v="HUN"/>
    <s v="05:17:04"/>
    <x v="1191"/>
  </r>
  <r>
    <m/>
    <s v="Christensen, Morten Herget dr"/>
    <n v="1984"/>
    <n v="35"/>
    <s v="M40"/>
    <s v="HUN"/>
    <s v="03:39:35"/>
    <x v="1192"/>
  </r>
  <r>
    <m/>
    <s v="Stummer András"/>
    <n v="1971"/>
    <n v="48"/>
    <s v="M35"/>
    <s v="GBR"/>
    <s v="04:46:07"/>
    <x v="1193"/>
  </r>
  <r>
    <m/>
    <s v="Szabo Balazs"/>
    <n v="1978"/>
    <n v="41"/>
    <s v="M50"/>
    <s v="SVK"/>
    <s v="03:41:56"/>
    <x v="844"/>
  </r>
  <r>
    <m/>
    <s v="Gál, Lóránt"/>
    <n v="2000"/>
    <n v="19"/>
    <s v="M35"/>
    <s v="HUN"/>
    <s v="04:17:09"/>
    <x v="1194"/>
  </r>
  <r>
    <m/>
    <s v="Vencel Mészáros"/>
    <n v="1980"/>
    <n v="39"/>
    <s v="M20"/>
    <s v="SVK"/>
    <s v="03:41:23"/>
    <x v="1195"/>
  </r>
  <r>
    <m/>
    <s v="Major József"/>
    <n v="1992"/>
    <n v="27"/>
    <s v="M35"/>
    <s v="HUN"/>
    <s v="04:57:40"/>
    <x v="1196"/>
  </r>
  <r>
    <m/>
    <s v="Kenyeres Bálint"/>
    <n v="1986"/>
    <n v="33"/>
    <s v="M25"/>
    <s v="HUN"/>
    <s v="03:40:37"/>
    <x v="1197"/>
  </r>
  <r>
    <m/>
    <s v="Szakács Sándor Zsolt"/>
    <n v="1966"/>
    <n v="53"/>
    <s v="M30"/>
    <s v="GBR"/>
    <s v="03:14:57"/>
    <x v="803"/>
  </r>
  <r>
    <m/>
    <s v="Taddeo, Fulvio"/>
    <n v="1969"/>
    <n v="50"/>
    <s v="M60"/>
    <s v="HUN"/>
    <s v="03:32:22"/>
    <x v="245"/>
  </r>
  <r>
    <m/>
    <s v="Izsó László"/>
    <n v="1984"/>
    <n v="35"/>
    <s v="M45"/>
    <s v="HUN"/>
    <s v="05:03:05"/>
    <x v="1198"/>
  </r>
  <r>
    <m/>
    <s v="Weixler, Manfred"/>
    <n v="1979"/>
    <n v="40"/>
    <s v="M45"/>
    <s v="HUN"/>
    <s v="03:37:38"/>
    <x v="1199"/>
  </r>
  <r>
    <m/>
    <s v="Márkus György"/>
    <n v="1977"/>
    <n v="42"/>
    <s v="M40"/>
    <s v="POL"/>
    <s v="03:59:34"/>
    <x v="1200"/>
  </r>
  <r>
    <m/>
    <s v="Campolo, Filippo prof"/>
    <n v="1977"/>
    <n v="42"/>
    <s v="M35"/>
    <s v="HUN"/>
    <s v="03:55:32"/>
    <x v="1201"/>
  </r>
  <r>
    <m/>
    <s v="Retek Zoltán"/>
    <n v="1992"/>
    <n v="27"/>
    <s v="M55"/>
    <s v="FRA"/>
    <s v="03:53:53"/>
    <x v="946"/>
  </r>
  <r>
    <m/>
    <s v="Gönczöl Csaba"/>
    <n v="1976"/>
    <n v="43"/>
    <s v="M40"/>
    <s v="POL"/>
    <s v="03:57:15"/>
    <x v="1202"/>
  </r>
  <r>
    <m/>
    <s v="Csizmadia Csaba"/>
    <n v="1970"/>
    <n v="49"/>
    <s v="M35"/>
    <s v="FRA"/>
    <s v="04:23:43"/>
    <x v="867"/>
  </r>
  <r>
    <m/>
    <s v="Pitz Tamás"/>
    <n v="1984"/>
    <n v="35"/>
    <s v="M50"/>
    <s v="HUN"/>
    <s v="04:15:30"/>
    <x v="1203"/>
  </r>
  <r>
    <m/>
    <s v="Erskine, Timmy"/>
    <n v="1994"/>
    <n v="25"/>
    <s v="M20"/>
    <s v="HUN"/>
    <s v="04:43:36"/>
    <x v="1204"/>
  </r>
  <r>
    <m/>
    <s v="WINTGENS, ADRIEN"/>
    <n v="1982"/>
    <n v="37"/>
    <s v="M18"/>
    <s v="HUN"/>
    <s v="04:53:13"/>
    <x v="365"/>
  </r>
  <r>
    <m/>
    <s v="Debreczeni Károly Balázs"/>
    <n v="1971"/>
    <n v="48"/>
    <s v="M20"/>
    <s v="HUN"/>
    <s v="05:03:10"/>
    <x v="1205"/>
  </r>
  <r>
    <m/>
    <s v="Halmosi Gábor"/>
    <n v="1978"/>
    <n v="41"/>
    <s v="M40"/>
    <s v="HUN"/>
    <s v="03:09:21"/>
    <x v="1160"/>
  </r>
  <r>
    <m/>
    <s v="Regős Norbert dr."/>
    <n v="1975"/>
    <n v="44"/>
    <s v="M45"/>
    <s v="CZE"/>
    <s v="03:43:10"/>
    <x v="1206"/>
  </r>
  <r>
    <m/>
    <s v="Mochulskii, Stanislav"/>
    <n v="1957"/>
    <n v="62"/>
    <s v="M40"/>
    <s v="ITA"/>
    <s v="03:43:35"/>
    <x v="1207"/>
  </r>
  <r>
    <m/>
    <s v="Juhos Gábor"/>
    <n v="1973"/>
    <n v="46"/>
    <s v="M55"/>
    <s v="ITA"/>
    <s v="03:48:57"/>
    <x v="1208"/>
  </r>
  <r>
    <m/>
    <s v="Doherty, Andrew"/>
    <n v="1967"/>
    <n v="52"/>
    <s v="M30"/>
    <s v="HUN"/>
    <s v="03:58:14"/>
    <x v="1209"/>
  </r>
  <r>
    <m/>
    <s v="Takács Nándor"/>
    <n v="1969"/>
    <n v="50"/>
    <s v="M25"/>
    <s v="ITA"/>
    <s v="04:41:13"/>
    <x v="1210"/>
  </r>
  <r>
    <m/>
    <s v="Harvie, John"/>
    <n v="1987"/>
    <n v="32"/>
    <s v="M50"/>
    <s v="FRA"/>
    <s v="04:54:48"/>
    <x v="1211"/>
  </r>
  <r>
    <m/>
    <s v="Manev, Vihren"/>
    <n v="1982"/>
    <n v="37"/>
    <s v="M40"/>
    <s v="HUN"/>
    <s v="04:00:26"/>
    <x v="1212"/>
  </r>
  <r>
    <m/>
    <s v="Borbély Tamás"/>
    <n v="1974"/>
    <n v="45"/>
    <s v="M50"/>
    <s v="GBR"/>
    <s v="03:57:34"/>
    <x v="1213"/>
  </r>
  <r>
    <m/>
    <s v="Sancilio, Alexis"/>
    <n v="1956"/>
    <n v="63"/>
    <s v="M35"/>
    <s v="HUN"/>
    <s v="03:43:57"/>
    <x v="1214"/>
  </r>
  <r>
    <m/>
    <s v="Hartung Tamás"/>
    <n v="1980"/>
    <n v="39"/>
    <s v="M35"/>
    <s v="GER"/>
    <s v="03:44:15"/>
    <x v="1215"/>
  </r>
  <r>
    <m/>
    <s v="Williamson, Jack"/>
    <n v="1991"/>
    <n v="28"/>
    <s v="M25"/>
    <s v="HUN"/>
    <s v="03:33:40"/>
    <x v="1216"/>
  </r>
  <r>
    <m/>
    <s v="Pajter Zoltán"/>
    <n v="1971"/>
    <n v="48"/>
    <s v="M45"/>
    <s v="AUT"/>
    <s v="04:47:31"/>
    <x v="634"/>
  </r>
  <r>
    <m/>
    <s v="Woodward, Thomas"/>
    <n v="1988"/>
    <n v="31"/>
    <s v="M25"/>
    <s v="HUN"/>
    <s v="03:50:53"/>
    <x v="1217"/>
  </r>
  <r>
    <m/>
    <s v="Rasmussen, Thomas dr"/>
    <n v="1992"/>
    <n v="27"/>
    <s v="M45"/>
    <s v="HUN"/>
    <s v="03:10:27"/>
    <x v="1218"/>
  </r>
  <r>
    <m/>
    <s v="Hoffmann, Günther"/>
    <n v="1964"/>
    <n v="55"/>
    <s v="M60"/>
    <s v="GER"/>
    <s v="04:26:16"/>
    <x v="904"/>
  </r>
  <r>
    <m/>
    <s v="Dombay Gábor"/>
    <n v="1973"/>
    <n v="46"/>
    <s v="M50"/>
    <s v="HUN"/>
    <s v="03:46:58"/>
    <x v="473"/>
  </r>
  <r>
    <m/>
    <s v="Mándity Róbert"/>
    <n v="1969"/>
    <n v="50"/>
    <s v="M50"/>
    <s v="HUN"/>
    <s v="04:37:17"/>
    <x v="1219"/>
  </r>
  <r>
    <m/>
    <s v="Horvay Ákos"/>
    <n v="1970"/>
    <n v="49"/>
    <s v="M20"/>
    <s v="HUN"/>
    <s v="03:10:43"/>
    <x v="564"/>
  </r>
  <r>
    <m/>
    <s v="Verba László"/>
    <n v="1970"/>
    <n v="49"/>
    <s v="M40"/>
    <s v="NED"/>
    <s v="04:38:45"/>
    <x v="1220"/>
  </r>
  <r>
    <m/>
    <s v="Varga Viktor"/>
    <n v="1975"/>
    <n v="44"/>
    <s v="M35"/>
    <s v="HUN"/>
    <s v="04:08:37"/>
    <x v="1221"/>
  </r>
  <r>
    <m/>
    <s v="paolinetti, kevin"/>
    <n v="1975"/>
    <n v="44"/>
    <s v="M35"/>
    <s v="SCO"/>
    <s v="03:40:45"/>
    <x v="1222"/>
  </r>
  <r>
    <m/>
    <s v="Bognár Attila"/>
    <n v="1994"/>
    <n v="25"/>
    <s v="M55"/>
    <s v="HUN"/>
    <s v="03:45:12"/>
    <x v="1223"/>
  </r>
  <r>
    <m/>
    <s v="Kőnig Ferenc"/>
    <n v="1973"/>
    <n v="46"/>
    <s v="M45"/>
    <s v="HUN"/>
    <s v="04:02:41"/>
    <x v="1181"/>
  </r>
  <r>
    <m/>
    <s v="Mezősi György"/>
    <n v="1988"/>
    <n v="31"/>
    <s v="M45"/>
    <s v="HUN"/>
    <s v="04:23:54"/>
    <x v="1224"/>
  </r>
  <r>
    <m/>
    <s v="Fónad Péter"/>
    <n v="1969"/>
    <n v="50"/>
    <s v="M40"/>
    <s v="CRO"/>
    <s v="03:50:05"/>
    <x v="1225"/>
  </r>
  <r>
    <m/>
    <s v="Grabiec, Piotr"/>
    <n v="1994"/>
    <n v="25"/>
    <s v="M35"/>
    <s v="NED"/>
    <s v="04:43:56"/>
    <x v="1226"/>
  </r>
  <r>
    <m/>
    <s v="Pyrgidis, Nikos dr"/>
    <n v="1974"/>
    <n v="45"/>
    <s v="M25"/>
    <s v="HUN"/>
    <s v="03:57:56"/>
    <x v="1227"/>
  </r>
  <r>
    <m/>
    <s v="Stummer Ernő"/>
    <n v="1970"/>
    <n v="49"/>
    <s v="M40"/>
    <s v="HUN"/>
    <s v="05:00:54"/>
    <x v="1228"/>
  </r>
  <r>
    <m/>
    <s v="Rodriguez, Herminio"/>
    <n v="1991"/>
    <n v="28"/>
    <s v="M55"/>
    <s v="HUN"/>
    <s v="03:37:40"/>
    <x v="72"/>
  </r>
  <r>
    <m/>
    <s v="Mayer, Erik"/>
    <n v="1990"/>
    <n v="29"/>
    <s v="M35"/>
    <s v="HUN"/>
    <s v="03:15:47"/>
    <x v="1229"/>
  </r>
  <r>
    <m/>
    <s v="Wimmer, Thomas"/>
    <n v="1965"/>
    <n v="54"/>
    <s v="M55"/>
    <s v="GER"/>
    <s v="03:41:27"/>
    <x v="1230"/>
  </r>
  <r>
    <m/>
    <s v="Pouzet, Martin"/>
    <n v="1968"/>
    <n v="51"/>
    <s v="M35"/>
    <s v="HUN"/>
    <s v="03:56:08"/>
    <x v="1231"/>
  </r>
  <r>
    <m/>
    <s v="Csontos Márton"/>
    <n v="1989"/>
    <n v="30"/>
    <s v="M25"/>
    <s v="HUN"/>
    <s v="03:48:03"/>
    <x v="848"/>
  </r>
  <r>
    <m/>
    <s v="Sarok Ferenc"/>
    <n v="1977"/>
    <n v="42"/>
    <s v="M30"/>
    <s v="HUN"/>
    <s v="03:13:41"/>
    <x v="1232"/>
  </r>
  <r>
    <m/>
    <s v="Hug Dominik"/>
    <n v="1978"/>
    <n v="41"/>
    <s v="M30"/>
    <s v="HUN"/>
    <s v="03:44:15"/>
    <x v="1215"/>
  </r>
  <r>
    <m/>
    <s v="Karli Márton"/>
    <n v="1985"/>
    <n v="34"/>
    <s v="M18"/>
    <s v="GER"/>
    <s v="03:46:31"/>
    <x v="830"/>
  </r>
  <r>
    <m/>
    <s v="Cazorla Quiroga, Oscar"/>
    <n v="1976"/>
    <n v="43"/>
    <s v="M40"/>
    <s v="HUN"/>
    <s v="03:29:13"/>
    <x v="731"/>
  </r>
  <r>
    <m/>
    <s v="Banerjee, Aryaman"/>
    <n v="1948"/>
    <n v="71"/>
    <s v="M25"/>
    <s v="FRA"/>
    <s v="04:20:49"/>
    <x v="1233"/>
  </r>
  <r>
    <m/>
    <s v="Ferreira, Luis"/>
    <n v="1988"/>
    <n v="31"/>
    <s v="M55"/>
    <s v="HUN"/>
    <s v="05:08:09"/>
    <x v="1234"/>
  </r>
  <r>
    <m/>
    <s v="Smith-Adams, Jamie"/>
    <n v="1976"/>
    <n v="43"/>
    <s v="M20"/>
    <s v="HUN"/>
    <s v="04:22:46"/>
    <x v="1235"/>
  </r>
  <r>
    <m/>
    <s v="Uzcategui, Rafael"/>
    <n v="1980"/>
    <n v="39"/>
    <s v="M25"/>
    <s v="SVK"/>
    <s v="03:19:57"/>
    <x v="1236"/>
  </r>
  <r>
    <m/>
    <s v="Graham, Henry"/>
    <n v="1976"/>
    <n v="43"/>
    <s v="M30"/>
    <s v="HUN"/>
    <s v="03:31:36"/>
    <x v="1237"/>
  </r>
  <r>
    <m/>
    <s v="Stalevski, Darko"/>
    <n v="1980"/>
    <n v="39"/>
    <s v="M45"/>
    <s v="CZE"/>
    <s v="04:44:00"/>
    <x v="1238"/>
  </r>
  <r>
    <m/>
    <s v="Tóth Roland"/>
    <n v="1972"/>
    <n v="47"/>
    <s v="M25"/>
    <s v="HUN"/>
    <s v="04:21:17"/>
    <x v="1239"/>
  </r>
  <r>
    <m/>
    <s v="Szalay János"/>
    <n v="1985"/>
    <n v="34"/>
    <s v="M30"/>
    <s v="HUN"/>
    <s v="04:18:08"/>
    <x v="1240"/>
  </r>
  <r>
    <m/>
    <s v="Sinka András"/>
    <n v="1983"/>
    <n v="36"/>
    <s v="M30"/>
    <s v="HUN"/>
    <s v="03:06:04"/>
    <x v="1241"/>
  </r>
  <r>
    <m/>
    <s v="Balazs, Zoltan"/>
    <n v="1976"/>
    <n v="43"/>
    <s v="M30"/>
    <s v="HUN"/>
    <s v="04:23:01"/>
    <x v="1242"/>
  </r>
  <r>
    <m/>
    <s v="Vukic, Domagoj dr"/>
    <n v="1986"/>
    <n v="33"/>
    <s v="M35"/>
    <s v="POL"/>
    <s v="03:21:29"/>
    <x v="1243"/>
  </r>
  <r>
    <m/>
    <s v="Andersson, Emil"/>
    <n v="1978"/>
    <n v="41"/>
    <s v="M25"/>
    <s v="CHN"/>
    <s v="04:05:57"/>
    <x v="1244"/>
  </r>
  <r>
    <m/>
    <s v="Tóth Attila"/>
    <n v="1969"/>
    <n v="50"/>
    <s v="M40"/>
    <s v="HUN"/>
    <s v="03:50:43"/>
    <x v="1245"/>
  </r>
  <r>
    <m/>
    <s v="Imecs Ádám"/>
    <n v="1968"/>
    <n v="51"/>
    <s v="M35"/>
    <s v="DEN"/>
    <s v="03:33:26"/>
    <x v="1246"/>
  </r>
  <r>
    <m/>
    <s v="Vág János ifj"/>
    <n v="1983"/>
    <n v="36"/>
    <s v="M25"/>
    <s v="HUN"/>
    <s v="03:21:33"/>
    <x v="301"/>
  </r>
  <r>
    <m/>
    <s v="Shuldham, Michael"/>
    <n v="1980"/>
    <n v="39"/>
    <s v="M25"/>
    <s v="HUN"/>
    <s v="03:53:37"/>
    <x v="1247"/>
  </r>
  <r>
    <m/>
    <s v="Gazda, Martin"/>
    <n v="1971"/>
    <n v="48"/>
    <s v="M55"/>
    <s v="HUN"/>
    <s v="05:13:20"/>
    <x v="1248"/>
  </r>
  <r>
    <m/>
    <s v="Putt, Stephen"/>
    <n v="1990"/>
    <n v="29"/>
    <s v="M35"/>
    <s v="HUN"/>
    <s v="05:27:38"/>
    <x v="1249"/>
  </r>
  <r>
    <m/>
    <s v="Széplaki Norbert"/>
    <n v="1973"/>
    <n v="46"/>
    <s v="M45"/>
    <s v="DEN"/>
    <s v="03:14:20"/>
    <x v="1250"/>
  </r>
  <r>
    <m/>
    <s v="Töltési László"/>
    <n v="1966"/>
    <n v="53"/>
    <s v="M50"/>
    <s v="ITA"/>
    <s v="04:59:50"/>
    <x v="1251"/>
  </r>
  <r>
    <m/>
    <s v="ISHIOKA, Kazuki"/>
    <n v="1987"/>
    <n v="32"/>
    <s v="M35"/>
    <s v="HUN"/>
    <s v="02:52:49"/>
    <x v="1252"/>
  </r>
  <r>
    <m/>
    <s v="Mozheyko, Valery"/>
    <n v="1987"/>
    <n v="32"/>
    <s v="M45"/>
    <s v="GBR"/>
    <s v="03:50:22"/>
    <x v="1253"/>
  </r>
  <r>
    <m/>
    <s v="BRCKOVIĆ, DAMIR"/>
    <n v="1993"/>
    <n v="26"/>
    <s v="M55"/>
    <s v="HUN"/>
    <s v="03:48:09"/>
    <x v="1254"/>
  </r>
  <r>
    <m/>
    <s v="Drobilits Ferenc"/>
    <n v="1989"/>
    <n v="30"/>
    <s v="M40"/>
    <s v="UKR"/>
    <s v="04:17:06"/>
    <x v="1092"/>
  </r>
  <r>
    <m/>
    <s v="Tózsa Balázs"/>
    <n v="1971"/>
    <n v="48"/>
    <s v="M30"/>
    <s v="SVK"/>
    <s v="02:59:04"/>
    <x v="1255"/>
  </r>
  <r>
    <m/>
    <s v="Kovács Bence Áron"/>
    <n v="1952"/>
    <n v="67"/>
    <s v="M20"/>
    <s v="FRA"/>
    <s v="05:19:15"/>
    <x v="1256"/>
  </r>
  <r>
    <m/>
    <s v="Rudner Dávid"/>
    <n v="1977"/>
    <n v="42"/>
    <s v="M20"/>
    <s v="GBR"/>
    <s v="04:10:08"/>
    <x v="1257"/>
  </r>
  <r>
    <m/>
    <s v="Kis Gábor"/>
    <n v="1972"/>
    <n v="47"/>
    <s v="M45"/>
    <s v="HUN"/>
    <s v="03:28:50"/>
    <x v="1258"/>
  </r>
  <r>
    <m/>
    <s v="Noakes, Ilyas"/>
    <n v="1977"/>
    <n v="42"/>
    <s v="M20"/>
    <s v="HUN"/>
    <s v="05:09:19"/>
    <x v="1259"/>
  </r>
  <r>
    <m/>
    <s v="Pócsik Zoltán"/>
    <n v="1974"/>
    <n v="45"/>
    <s v="M40"/>
    <s v="HUN"/>
    <s v="03:47:38"/>
    <x v="25"/>
  </r>
  <r>
    <m/>
    <s v="Pechl Ferenc"/>
    <n v="1983"/>
    <n v="36"/>
    <s v="M50"/>
    <s v="FRA"/>
    <s v="03:48:11"/>
    <x v="1260"/>
  </r>
  <r>
    <m/>
    <s v="Szendrey Kálmán"/>
    <n v="1975"/>
    <n v="44"/>
    <s v="M40"/>
    <s v="HUN"/>
    <s v="05:09:11"/>
    <x v="1261"/>
  </r>
  <r>
    <m/>
    <s v="Lukácsy Gergő"/>
    <n v="1992"/>
    <n v="27"/>
    <s v="M40"/>
    <s v="HUN"/>
    <s v="04:53:28"/>
    <x v="1262"/>
  </r>
  <r>
    <m/>
    <s v="Lengyel István"/>
    <n v="1983"/>
    <n v="36"/>
    <s v="M60"/>
    <s v="FRA"/>
    <s v="04:41:51"/>
    <x v="1263"/>
  </r>
  <r>
    <m/>
    <s v="Kiss Attila"/>
    <n v="1987"/>
    <n v="32"/>
    <s v="M25"/>
    <s v="CZE"/>
    <s v="02:57:21"/>
    <x v="1264"/>
  </r>
  <r>
    <m/>
    <s v="Southam, Matt"/>
    <n v="1976"/>
    <n v="43"/>
    <s v="M35"/>
    <s v="HUN"/>
    <s v="03:36:42"/>
    <x v="1265"/>
  </r>
  <r>
    <m/>
    <s v="Hornyák Bence"/>
    <n v="1982"/>
    <n v="37"/>
    <s v="M30"/>
    <s v="HUN"/>
    <s v="03:41:42"/>
    <x v="1050"/>
  </r>
  <r>
    <m/>
    <s v="Grant-Conlin, Elliot"/>
    <n v="1976"/>
    <n v="43"/>
    <s v="M25"/>
    <s v="POL"/>
    <s v="03:49:51"/>
    <x v="787"/>
  </r>
  <r>
    <m/>
    <s v="Hegedűs Balázs"/>
    <n v="1985"/>
    <n v="34"/>
    <s v="M35"/>
    <s v="GBR"/>
    <s v="04:19:21"/>
    <x v="1266"/>
  </r>
  <r>
    <m/>
    <s v="Pataki Zoltán"/>
    <n v="1978"/>
    <n v="41"/>
    <s v="M40"/>
    <s v="HUN"/>
    <s v="03:41:03"/>
    <x v="1267"/>
  </r>
  <r>
    <m/>
    <s v="Wyrzykowski, Tomasz"/>
    <n v="1972"/>
    <n v="47"/>
    <s v="M50"/>
    <s v="GER"/>
    <s v="04:14:42"/>
    <x v="1268"/>
  </r>
  <r>
    <m/>
    <s v="Yordanov, Miroslav"/>
    <n v="1976"/>
    <n v="43"/>
    <s v="M45"/>
    <s v="HUN"/>
    <s v="04:20:40"/>
    <x v="1269"/>
  </r>
  <r>
    <m/>
    <s v="Sütő Norbert"/>
    <n v="1993"/>
    <n v="26"/>
    <s v="M35"/>
    <s v="HUN"/>
    <s v="03:18:58"/>
    <x v="1270"/>
  </r>
  <r>
    <m/>
    <s v="Benakis, Pavlos prof"/>
    <n v="1980"/>
    <n v="39"/>
    <s v="M40"/>
    <s v="HUN"/>
    <s v="03:53:51"/>
    <x v="134"/>
  </r>
  <r>
    <m/>
    <s v="Major Balázs"/>
    <n v="1978"/>
    <n v="41"/>
    <s v="M45"/>
    <s v="HUN"/>
    <s v="03:51:32"/>
    <x v="1082"/>
  </r>
  <r>
    <m/>
    <s v="Szlávik Bence"/>
    <n v="1977"/>
    <n v="42"/>
    <s v="M30"/>
    <s v="HUN"/>
    <s v="03:56:21"/>
    <x v="1271"/>
  </r>
  <r>
    <m/>
    <s v="Győrfi Gergely"/>
    <n v="1973"/>
    <n v="46"/>
    <s v="M30"/>
    <s v="HUN"/>
    <s v="04:01:13"/>
    <x v="1272"/>
  </r>
  <r>
    <m/>
    <s v="Bán Gergely"/>
    <n v="1982"/>
    <n v="37"/>
    <s v="M40"/>
    <s v="HUN"/>
    <s v="03:23:03"/>
    <x v="1109"/>
  </r>
  <r>
    <m/>
    <s v="GAVRIELIDES, EVAGORAS"/>
    <n v="1963"/>
    <n v="56"/>
    <s v="M55"/>
    <s v="FIN"/>
    <s v="04:40:01"/>
    <x v="1273"/>
  </r>
  <r>
    <m/>
    <s v="László-Varga, Zoltán"/>
    <n v="1987"/>
    <n v="32"/>
    <s v="M50"/>
    <s v="HUN"/>
    <s v="03:05:54"/>
    <x v="1274"/>
  </r>
  <r>
    <m/>
    <s v="Fürjes Csaba"/>
    <n v="1979"/>
    <n v="40"/>
    <s v="M50"/>
    <s v="HUN"/>
    <s v="03:32:44"/>
    <x v="1275"/>
  </r>
  <r>
    <m/>
    <s v="De Sausmarez, Peter"/>
    <n v="1983"/>
    <n v="36"/>
    <s v="M25"/>
    <s v="CZE"/>
    <s v="02:59:21"/>
    <x v="1276"/>
  </r>
  <r>
    <m/>
    <s v="Lebarbé, Yannick"/>
    <n v="1961"/>
    <n v="58"/>
    <s v="M50"/>
    <s v="FRA"/>
    <s v="04:40:04"/>
    <x v="1277"/>
  </r>
  <r>
    <m/>
    <s v="Szalay Krisztián"/>
    <n v="1977"/>
    <n v="42"/>
    <s v="M50"/>
    <s v="HUN"/>
    <s v="05:30:16"/>
    <x v="1278"/>
  </r>
  <r>
    <m/>
    <s v="Rodolphe, ARCONTE"/>
    <n v="1975"/>
    <n v="44"/>
    <s v="M35"/>
    <s v="HUN"/>
    <s v="04:11:49"/>
    <x v="1279"/>
  </r>
  <r>
    <m/>
    <s v="Bori János"/>
    <n v="1971"/>
    <n v="48"/>
    <s v="M40"/>
    <s v="HUN"/>
    <s v="04:13:13"/>
    <x v="1280"/>
  </r>
  <r>
    <m/>
    <s v="Kakasy Gergely"/>
    <n v="1971"/>
    <n v="48"/>
    <s v="M45"/>
    <s v="GRE"/>
    <s v="05:17:51"/>
    <x v="1281"/>
  </r>
  <r>
    <m/>
    <s v="Somogyi Dániel"/>
    <n v="1963"/>
    <n v="56"/>
    <s v="M40"/>
    <s v="HUN"/>
    <s v="03:34:38"/>
    <x v="1282"/>
  </r>
  <r>
    <m/>
    <s v="binner, agustin dr"/>
    <n v="1973"/>
    <n v="46"/>
    <s v="M55"/>
    <s v="HUN"/>
    <s v="04:03:57"/>
    <x v="1283"/>
  </r>
  <r>
    <m/>
    <s v="Molnár Damján"/>
    <n v="1992"/>
    <n v="27"/>
    <s v="M25"/>
    <s v="FRA"/>
    <s v="03:59:14"/>
    <x v="1284"/>
  </r>
  <r>
    <m/>
    <s v="Novák Géza Attila"/>
    <n v="1978"/>
    <n v="41"/>
    <s v="M40"/>
    <s v="HUN"/>
    <s v="04:24:55"/>
    <x v="1285"/>
  </r>
  <r>
    <m/>
    <s v="Pekker Róbert"/>
    <n v="1978"/>
    <n v="41"/>
    <s v="M30"/>
    <s v="HUN"/>
    <s v="04:33:01"/>
    <x v="1286"/>
  </r>
  <r>
    <m/>
    <s v="Svejda, Jakub"/>
    <n v="1967"/>
    <n v="52"/>
    <s v="M45"/>
    <s v="GBR"/>
    <s v="03:50:51"/>
    <x v="463"/>
  </r>
  <r>
    <m/>
    <s v="Székely Attila"/>
    <n v="1976"/>
    <n v="43"/>
    <s v="M45"/>
    <s v="HUN"/>
    <s v="03:55:18"/>
    <x v="279"/>
  </r>
  <r>
    <m/>
    <s v="Arciszewski, Marcin"/>
    <n v="1985"/>
    <n v="34"/>
    <s v="M45"/>
    <s v="HUN"/>
    <s v="03:23:04"/>
    <x v="1287"/>
  </r>
  <r>
    <m/>
    <s v="Berényi Gergely"/>
    <n v="1979"/>
    <n v="40"/>
    <s v="M40"/>
    <s v="HUN"/>
    <s v="04:05:10"/>
    <x v="1288"/>
  </r>
  <r>
    <m/>
    <s v="Libresco, Jacques"/>
    <n v="1984"/>
    <n v="35"/>
    <s v="M25"/>
    <s v="GBR"/>
    <s v="03:10:01"/>
    <x v="1289"/>
  </r>
  <r>
    <m/>
    <s v="Nejstgaard, Christopher"/>
    <n v="1963"/>
    <n v="56"/>
    <s v="M20"/>
    <s v="GRE"/>
    <s v="03:10:23"/>
    <x v="1290"/>
  </r>
  <r>
    <m/>
    <s v="Bulitka László ifj"/>
    <n v="1973"/>
    <n v="46"/>
    <s v="M30"/>
    <s v="HUN"/>
    <s v="05:37:47"/>
    <x v="1291"/>
  </r>
  <r>
    <m/>
    <s v="Mészáros Zsolt dr"/>
    <n v="1972"/>
    <n v="47"/>
    <s v="M50"/>
    <s v="HUN"/>
    <s v="04:15:56"/>
    <x v="1292"/>
  </r>
  <r>
    <m/>
    <s v="Kancsár Tamás"/>
    <n v="1970"/>
    <n v="49"/>
    <s v="M40"/>
    <s v="HUN"/>
    <s v="05:14:58"/>
    <x v="1293"/>
  </r>
  <r>
    <m/>
    <s v="Yann, Vicherat"/>
    <n v="1982"/>
    <n v="37"/>
    <s v="M45"/>
    <s v="HUN"/>
    <s v="04:09:00"/>
    <x v="1294"/>
  </r>
  <r>
    <m/>
    <s v="Willemin, Jordan"/>
    <n v="1978"/>
    <n v="41"/>
    <s v="M30"/>
    <s v="HUN"/>
    <s v="04:42:26"/>
    <x v="1295"/>
  </r>
  <r>
    <m/>
    <s v="Prisznyák Gábor"/>
    <n v="1984"/>
    <n v="35"/>
    <s v="M30"/>
    <s v="FRA"/>
    <s v="02:53:44"/>
    <x v="1296"/>
  </r>
  <r>
    <m/>
    <s v="Takács András"/>
    <n v="1976"/>
    <n v="43"/>
    <s v="M55"/>
    <s v="HUN"/>
    <s v="03:40:47"/>
    <x v="1297"/>
  </r>
  <r>
    <m/>
    <s v="Turchányi Miklós"/>
    <n v="1998"/>
    <n v="21"/>
    <s v="M45"/>
    <s v="ITA"/>
    <s v="03:00:53"/>
    <x v="1298"/>
  </r>
  <r>
    <m/>
    <s v="Saliga Ákos"/>
    <n v="1973"/>
    <n v="46"/>
    <s v="M45"/>
    <s v="HUN"/>
    <s v="04:12:44"/>
    <x v="1299"/>
  </r>
  <r>
    <m/>
    <s v="Tóth János"/>
    <n v="1972"/>
    <n v="47"/>
    <s v="M25"/>
    <s v="HUN"/>
    <s v="02:58:38"/>
    <x v="1300"/>
  </r>
  <r>
    <m/>
    <s v="Nilsen, Sigve prof"/>
    <n v="1987"/>
    <n v="32"/>
    <s v="M35"/>
    <s v="HUN"/>
    <s v="04:09:37"/>
    <x v="1301"/>
  </r>
  <r>
    <m/>
    <s v="Czermann Olivér"/>
    <n v="1989"/>
    <n v="30"/>
    <s v="M20"/>
    <s v="HUN"/>
    <s v="04:01:08"/>
    <x v="1302"/>
  </r>
  <r>
    <m/>
    <s v="Szabó Péter"/>
    <n v="1986"/>
    <n v="33"/>
    <s v="M40"/>
    <s v="HUN"/>
    <s v="03:57:33"/>
    <x v="1303"/>
  </r>
  <r>
    <m/>
    <s v="Józsa Péter"/>
    <n v="1973"/>
    <n v="46"/>
    <s v="M45"/>
    <s v="POL"/>
    <s v="03:53:25"/>
    <x v="1304"/>
  </r>
  <r>
    <m/>
    <s v="Görcs Zoltán"/>
    <n v="1950"/>
    <n v="69"/>
    <s v="M50"/>
    <s v="HUN"/>
    <s v="04:12:09"/>
    <x v="1305"/>
  </r>
  <r>
    <m/>
    <s v="Olesen, Alexander Vium"/>
    <n v="1969"/>
    <n v="50"/>
    <s v="M25"/>
    <s v="HUN"/>
    <s v="03:40:55"/>
    <x v="1306"/>
  </r>
  <r>
    <m/>
    <s v="Lund-Ravn, Thomas prof"/>
    <n v="1978"/>
    <n v="41"/>
    <s v="M50"/>
    <s v="HUN"/>
    <s v="03:51:58"/>
    <x v="1307"/>
  </r>
  <r>
    <m/>
    <s v="Victor, MAINGAULT"/>
    <n v="1997"/>
    <n v="22"/>
    <s v="M30"/>
    <s v="HUN"/>
    <s v="03:50:28"/>
    <x v="1308"/>
  </r>
  <r>
    <m/>
    <s v="Viale, Patrice"/>
    <n v="1985"/>
    <n v="34"/>
    <s v="M50"/>
    <s v="AUT"/>
    <s v="03:00:24"/>
    <x v="1309"/>
  </r>
  <r>
    <m/>
    <s v="Spasojević, Goran"/>
    <n v="1978"/>
    <n v="41"/>
    <s v="M40"/>
    <s v="HUN"/>
    <s v="04:05:12"/>
    <x v="1310"/>
  </r>
  <r>
    <m/>
    <s v="Krejčí, Matěj"/>
    <n v="1973"/>
    <n v="46"/>
    <s v="M18"/>
    <s v="HUN"/>
    <s v="03:56:32"/>
    <x v="1311"/>
  </r>
  <r>
    <m/>
    <s v="PODDIGHE, GAVINO"/>
    <n v="1987"/>
    <n v="32"/>
    <s v="M45"/>
    <s v="HUN"/>
    <s v="04:07:06"/>
    <x v="1312"/>
  </r>
  <r>
    <m/>
    <s v="Ihantoja, matti"/>
    <n v="1965"/>
    <n v="54"/>
    <s v="M40"/>
    <s v="GBR"/>
    <s v="05:12:12"/>
    <x v="1313"/>
  </r>
  <r>
    <m/>
    <s v="Orosz Dániel"/>
    <n v="2000"/>
    <n v="19"/>
    <s v="M20"/>
    <s v="HUN"/>
    <s v="04:10:14"/>
    <x v="1314"/>
  </r>
  <r>
    <m/>
    <s v="Gruber István"/>
    <n v="1977"/>
    <n v="42"/>
    <s v="M45"/>
    <s v="GER"/>
    <s v="04:46:27"/>
    <x v="1315"/>
  </r>
  <r>
    <m/>
    <s v="Kovács Zoltán József"/>
    <n v="1969"/>
    <n v="50"/>
    <s v="M45"/>
    <s v="CZE"/>
    <s v="05:06:59"/>
    <x v="948"/>
  </r>
  <r>
    <m/>
    <s v="Javier, Chavarria Moreno prof"/>
    <n v="1979"/>
    <n v="40"/>
    <s v="M35"/>
    <s v="SUI"/>
    <s v="03:01:07"/>
    <x v="1316"/>
  </r>
  <r>
    <m/>
    <s v="Agyagási Ákos"/>
    <n v="1969"/>
    <n v="50"/>
    <s v="M40"/>
    <s v="SWE"/>
    <s v="03:25:49"/>
    <x v="1317"/>
  </r>
  <r>
    <m/>
    <s v="Tokai Tamás"/>
    <n v="1982"/>
    <n v="37"/>
    <s v="M45"/>
    <s v="ISR"/>
    <s v="03:57:48"/>
    <x v="1318"/>
  </r>
  <r>
    <m/>
    <s v="Fermont, Hans"/>
    <n v="1980"/>
    <n v="39"/>
    <s v="M50"/>
    <s v="HUN"/>
    <s v="03:10:46"/>
    <x v="467"/>
  </r>
  <r>
    <m/>
    <s v="Bátyi András"/>
    <n v="1962"/>
    <n v="57"/>
    <s v="M30"/>
    <s v="ESP"/>
    <s v="03:40:54"/>
    <x v="1319"/>
  </r>
  <r>
    <m/>
    <s v="Reale, Andrea dr"/>
    <n v="1978"/>
    <n v="41"/>
    <s v="M35"/>
    <s v="HUN"/>
    <s v="04:25:21"/>
    <x v="335"/>
  </r>
  <r>
    <m/>
    <s v="Pesti Krisztián"/>
    <n v="1972"/>
    <n v="47"/>
    <s v="M40"/>
    <s v="HUN"/>
    <s v="05:00:25"/>
    <x v="1320"/>
  </r>
  <r>
    <m/>
    <s v="Altizer, Whitney"/>
    <n v="1978"/>
    <n v="41"/>
    <s v="M45"/>
    <s v="HUN"/>
    <s v="03:31:32"/>
    <x v="1321"/>
  </r>
  <r>
    <m/>
    <s v="Kuropatwinski, Andrzej"/>
    <n v="1975"/>
    <n v="44"/>
    <s v="M40"/>
    <s v="HUN"/>
    <s v="03:57:54"/>
    <x v="1322"/>
  </r>
  <r>
    <m/>
    <s v="Mitchell, Elias"/>
    <n v="1955"/>
    <n v="64"/>
    <s v="M25"/>
    <s v="ITA"/>
    <s v="04:19:02"/>
    <x v="1323"/>
  </r>
  <r>
    <m/>
    <s v="Lillo, Rocco Gianni prof"/>
    <n v="1976"/>
    <n v="43"/>
    <s v="M45"/>
    <s v="HUN"/>
    <s v="03:37:36"/>
    <x v="699"/>
  </r>
  <r>
    <m/>
    <s v="Sabater, Mikel"/>
    <n v="1969"/>
    <n v="50"/>
    <s v="M40"/>
    <s v="HUN"/>
    <s v="03:42:08"/>
    <x v="242"/>
  </r>
  <r>
    <m/>
    <s v="Beke Tamás László"/>
    <n v="1956"/>
    <n v="63"/>
    <s v="M40"/>
    <s v="HUN"/>
    <s v="03:58:10"/>
    <x v="1324"/>
  </r>
  <r>
    <m/>
    <s v="B. Németh Kristóf"/>
    <n v="1988"/>
    <n v="31"/>
    <s v="M25"/>
    <s v="GBR"/>
    <s v="04:24:46"/>
    <x v="1325"/>
  </r>
  <r>
    <m/>
    <s v="Radomir János"/>
    <n v="1981"/>
    <n v="38"/>
    <s v="M40"/>
    <s v="HUN"/>
    <s v="03:39:26"/>
    <x v="1326"/>
  </r>
  <r>
    <m/>
    <s v="Horváth Gergely"/>
    <n v="1985"/>
    <n v="34"/>
    <s v="M35"/>
    <s v="HUN"/>
    <s v="03:55:01"/>
    <x v="1327"/>
  </r>
  <r>
    <m/>
    <s v="Szekretár János"/>
    <n v="1964"/>
    <n v="55"/>
    <s v="M65"/>
    <s v="HUN"/>
    <s v="05:35:13"/>
    <x v="293"/>
  </r>
  <r>
    <m/>
    <s v="Nicolas, Pesquerel"/>
    <n v="1991"/>
    <n v="28"/>
    <s v="M40"/>
    <s v="HUN"/>
    <s v="04:22:28"/>
    <x v="1328"/>
  </r>
  <r>
    <m/>
    <s v="Viola Gábor"/>
    <n v="1985"/>
    <n v="34"/>
    <s v="M45"/>
    <s v="SRB"/>
    <s v="04:11:51"/>
    <x v="264"/>
  </r>
  <r>
    <m/>
    <s v="Tóth-Szarvas Levente"/>
    <n v="1974"/>
    <n v="45"/>
    <s v="M30"/>
    <s v="HUN"/>
    <s v="04:20:40"/>
    <x v="1269"/>
  </r>
  <r>
    <m/>
    <s v="Krasznai Vilmos"/>
    <n v="1956"/>
    <n v="63"/>
    <s v="M25"/>
    <s v="HUN"/>
    <s v="05:11:53"/>
    <x v="1329"/>
  </r>
  <r>
    <m/>
    <s v="Hornyak, Tomas"/>
    <n v="1987"/>
    <n v="32"/>
    <s v="M35"/>
    <s v="HUN"/>
    <s v="03:51:59"/>
    <x v="1330"/>
  </r>
  <r>
    <m/>
    <s v="Németh Gábor László"/>
    <n v="1989"/>
    <n v="30"/>
    <s v="M25"/>
    <s v="HUN"/>
    <s v="03:49:09"/>
    <x v="1331"/>
  </r>
  <r>
    <m/>
    <s v="Szentmáry Tamás"/>
    <n v="1973"/>
    <n v="46"/>
    <s v="M50"/>
    <s v="HUN"/>
    <s v="04:52:04"/>
    <x v="1332"/>
  </r>
  <r>
    <m/>
    <s v="HEINRICH, HERVE"/>
    <n v="1963"/>
    <n v="56"/>
    <s v="M50"/>
    <s v="CHN"/>
    <s v="04:52:15"/>
    <x v="1333"/>
  </r>
  <r>
    <m/>
    <s v="Dr.Nagy Sándor"/>
    <n v="1973"/>
    <n v="46"/>
    <s v="M35"/>
    <s v="HUN"/>
    <s v="04:38:48"/>
    <x v="1334"/>
  </r>
  <r>
    <m/>
    <s v="Oliwia, cierczak"/>
    <n v="1981"/>
    <n v="38"/>
    <s v="M25"/>
    <s v="HUN"/>
    <s v="04:20:33"/>
    <x v="1335"/>
  </r>
  <r>
    <m/>
    <s v="Vesztergombi Norbert"/>
    <n v="1980"/>
    <n v="39"/>
    <s v="M50"/>
    <s v="HUN"/>
    <s v="05:14:31"/>
    <x v="1336"/>
  </r>
  <r>
    <m/>
    <s v="Koczian, Thomas"/>
    <n v="1976"/>
    <n v="43"/>
    <s v="M35"/>
    <s v="FRA"/>
    <s v="04:53:30"/>
    <x v="1337"/>
  </r>
  <r>
    <m/>
    <s v="Jódy Károly"/>
    <n v="1987"/>
    <n v="32"/>
    <s v="M50"/>
    <s v="HUN"/>
    <s v="03:55:16"/>
    <x v="1338"/>
  </r>
  <r>
    <m/>
    <s v="Gál Zoltán"/>
    <n v="1990"/>
    <n v="29"/>
    <s v="M35"/>
    <s v="RUS"/>
    <s v="03:57:05"/>
    <x v="1339"/>
  </r>
  <r>
    <m/>
    <s v="NIKOPOULOS, DIMITRIOS"/>
    <n v="1987"/>
    <n v="32"/>
    <s v="M45"/>
    <s v="GBR"/>
    <s v="03:43:54"/>
    <x v="102"/>
  </r>
  <r>
    <m/>
    <s v="Katona Dániel"/>
    <n v="1973"/>
    <n v="46"/>
    <s v="M40"/>
    <s v="NOR"/>
    <s v="04:48:37"/>
    <x v="1340"/>
  </r>
  <r>
    <m/>
    <s v="Rakonczay Gábor"/>
    <n v="1987"/>
    <n v="32"/>
    <s v="M40"/>
    <s v="HUN"/>
    <s v="04:19:13"/>
    <x v="1341"/>
  </r>
  <r>
    <m/>
    <s v="Koncz Ádám"/>
    <n v="1971"/>
    <n v="48"/>
    <s v="M35"/>
    <s v="NED"/>
    <s v="04:05:18"/>
    <x v="1078"/>
  </r>
  <r>
    <m/>
    <s v="Stollmayer Ákos"/>
    <n v="1989"/>
    <n v="30"/>
    <s v="M35"/>
    <s v="GBR"/>
    <s v="04:44:14"/>
    <x v="987"/>
  </r>
  <r>
    <m/>
    <s v="Szyjka, Krzysztof prof"/>
    <n v="1980"/>
    <n v="39"/>
    <s v="M45"/>
    <s v="HUN"/>
    <s v="03:26:07"/>
    <x v="1342"/>
  </r>
  <r>
    <m/>
    <s v="Fermont, Hans"/>
    <n v="1984"/>
    <n v="35"/>
    <s v="M50"/>
    <s v="HUN"/>
    <s v="03:10:46"/>
    <x v="467"/>
  </r>
  <r>
    <m/>
    <s v="Dencker, Andreas"/>
    <n v="1963"/>
    <n v="56"/>
    <s v="M20"/>
    <s v="HUN"/>
    <s v="04:00:03"/>
    <x v="1343"/>
  </r>
  <r>
    <m/>
    <s v="Whitehouse, Jason"/>
    <n v="1964"/>
    <n v="55"/>
    <s v="M30"/>
    <s v="HUN"/>
    <s v="04:24:57"/>
    <x v="1344"/>
  </r>
  <r>
    <m/>
    <s v="Csipak István"/>
    <n v="1979"/>
    <n v="40"/>
    <s v="M45"/>
    <s v="HUN"/>
    <s v="03:51:59"/>
    <x v="1330"/>
  </r>
  <r>
    <m/>
    <s v="BIAŁOSKÓRSKI, ROBERT"/>
    <n v="1964"/>
    <n v="55"/>
    <s v="M60"/>
    <s v="POL"/>
    <s v="04:43:54"/>
    <x v="1345"/>
  </r>
  <r>
    <m/>
    <s v="Minder, Steve"/>
    <n v="1971"/>
    <n v="48"/>
    <s v="M30"/>
    <s v="FRA"/>
    <s v="03:18:18"/>
    <x v="1346"/>
  </r>
  <r>
    <m/>
    <s v="Fekete Gábor"/>
    <n v="1976"/>
    <n v="43"/>
    <s v="M50"/>
    <s v="HUN"/>
    <s v="04:40:17"/>
    <x v="1347"/>
  </r>
  <r>
    <m/>
    <s v="Kiss Gábor"/>
    <n v="1976"/>
    <n v="43"/>
    <s v="M50"/>
    <s v="HUN"/>
    <s v="04:41:29"/>
    <x v="1348"/>
  </r>
  <r>
    <m/>
    <s v="Hermans, Stephane"/>
    <n v="1974"/>
    <n v="45"/>
    <s v="M40"/>
    <s v="HUN"/>
    <s v="02:58:58"/>
    <x v="1349"/>
  </r>
  <r>
    <m/>
    <s v="Tazaki, Katsuya"/>
    <n v="1968"/>
    <n v="51"/>
    <s v="M55"/>
    <s v="HUN"/>
    <s v="04:33:00"/>
    <x v="1350"/>
  </r>
  <r>
    <m/>
    <s v="Joseph, Michael"/>
    <n v="1973"/>
    <n v="46"/>
    <s v="M65"/>
    <s v="BEL"/>
    <s v="04:34:12"/>
    <x v="1351"/>
  </r>
  <r>
    <m/>
    <s v="Szabó Gábor"/>
    <n v="1986"/>
    <n v="33"/>
    <s v="M40"/>
    <s v="SVK"/>
    <s v="03:33:45"/>
    <x v="1352"/>
  </r>
  <r>
    <m/>
    <s v="SCHULTE, laurent"/>
    <n v="1965"/>
    <n v="54"/>
    <s v="M55"/>
    <s v="FRA"/>
    <s v="04:17:37"/>
    <x v="1353"/>
  </r>
  <r>
    <m/>
    <s v="Timár János"/>
    <n v="1978"/>
    <n v="41"/>
    <s v="M50"/>
    <s v="HUN"/>
    <s v="04:36:37"/>
    <x v="1354"/>
  </r>
  <r>
    <m/>
    <s v="Madaghjian, Daniel prof"/>
    <n v="1983"/>
    <n v="36"/>
    <s v="M20"/>
    <s v="HUN"/>
    <s v="03:56:47"/>
    <x v="1355"/>
  </r>
  <r>
    <m/>
    <s v="Jávorszky Zoltán"/>
    <n v="1968"/>
    <n v="51"/>
    <s v="M30"/>
    <s v="HUN"/>
    <s v="04:15:48"/>
    <x v="1356"/>
  </r>
  <r>
    <m/>
    <s v="Doherty, Ryan"/>
    <n v="1958"/>
    <n v="61"/>
    <s v="M25"/>
    <s v="RUS"/>
    <s v="04:25:39"/>
    <x v="724"/>
  </r>
  <r>
    <m/>
    <s v="SEBASTIAN, PLESINSKI"/>
    <n v="1965"/>
    <n v="54"/>
    <s v="M45"/>
    <s v="FRA"/>
    <s v="03:29:22"/>
    <x v="1357"/>
  </r>
  <r>
    <m/>
    <s v="Vincent, BROSSARD"/>
    <n v="1971"/>
    <n v="48"/>
    <s v="M45"/>
    <s v="POL"/>
    <s v="03:41:45"/>
    <x v="1358"/>
  </r>
  <r>
    <m/>
    <s v="Szép Ábris"/>
    <n v="1993"/>
    <n v="26"/>
    <s v="M20"/>
    <s v="HUN"/>
    <s v="04:10:09"/>
    <x v="1359"/>
  </r>
  <r>
    <m/>
    <s v="Horvath Adrian"/>
    <n v="1979"/>
    <n v="40"/>
    <s v="M45"/>
    <s v="FRA"/>
    <s v="03:29:24"/>
    <x v="1360"/>
  </r>
  <r>
    <m/>
    <s v="corona, adriano"/>
    <n v="1981"/>
    <n v="38"/>
    <s v="M45"/>
    <s v="HUN"/>
    <s v="03:55:14"/>
    <x v="1361"/>
  </r>
  <r>
    <m/>
    <s v="Taranek Csongor"/>
    <n v="1970"/>
    <n v="49"/>
    <s v="M45"/>
    <s v="HKG"/>
    <s v="04:03:30"/>
    <x v="1362"/>
  </r>
  <r>
    <m/>
    <s v="Ferreira de Cerqueira, Harley"/>
    <n v="1994"/>
    <n v="25"/>
    <s v="M50"/>
    <s v="GER"/>
    <s v="04:37:54"/>
    <x v="1363"/>
  </r>
  <r>
    <m/>
    <s v="Mader, Thomas"/>
    <n v="1969"/>
    <n v="50"/>
    <s v="M35"/>
    <s v="HUN"/>
    <s v="02:57:16"/>
    <x v="1364"/>
  </r>
  <r>
    <m/>
    <s v="Horján, Zoltán"/>
    <n v="1978"/>
    <n v="41"/>
    <s v="M30"/>
    <s v="FRA"/>
    <s v="03:29:40"/>
    <x v="1365"/>
  </r>
  <r>
    <m/>
    <s v="WARD, PATRICK"/>
    <n v="1976"/>
    <n v="43"/>
    <s v="M30"/>
    <s v="CZE"/>
    <s v="04:40:07"/>
    <x v="1366"/>
  </r>
  <r>
    <m/>
    <s v="Radosevic, Igor"/>
    <n v="1996"/>
    <n v="23"/>
    <s v="M30"/>
    <s v="HUN"/>
    <s v="03:45:02"/>
    <x v="1367"/>
  </r>
  <r>
    <m/>
    <s v="Jávor Gellért"/>
    <n v="1991"/>
    <n v="28"/>
    <s v="M30"/>
    <s v="CHN"/>
    <s v="02:59:11"/>
    <x v="1368"/>
  </r>
  <r>
    <m/>
    <s v="Gorbai Attila Csaba"/>
    <n v="1962"/>
    <n v="57"/>
    <s v="M45"/>
    <s v="HUN"/>
    <s v="04:23:01"/>
    <x v="1242"/>
  </r>
  <r>
    <m/>
    <s v="Impallaria, Calogero"/>
    <n v="1976"/>
    <n v="43"/>
    <s v="M50"/>
    <s v="HUN"/>
    <s v="04:59:14"/>
    <x v="1042"/>
  </r>
  <r>
    <m/>
    <s v="Wills, Ty"/>
    <n v="1990"/>
    <n v="29"/>
    <s v="M25"/>
    <s v="GBR"/>
    <s v="03:14:21"/>
    <x v="1369"/>
  </r>
  <r>
    <m/>
    <s v="Balázs István"/>
    <n v="1984"/>
    <n v="35"/>
    <s v="M35"/>
    <s v="HUN"/>
    <s v="03:25:56"/>
    <x v="410"/>
  </r>
  <r>
    <m/>
    <s v="Ban, Sam"/>
    <n v="1954"/>
    <n v="65"/>
    <s v="M45"/>
    <s v="HUN"/>
    <s v="03:53:39"/>
    <x v="1370"/>
  </r>
  <r>
    <m/>
    <s v="Kristof Istvan"/>
    <n v="1994"/>
    <n v="25"/>
    <s v="M40"/>
    <s v="SLO"/>
    <s v="03:51:52"/>
    <x v="1371"/>
  </r>
  <r>
    <m/>
    <s v="Bata Balázs"/>
    <n v="1957"/>
    <n v="62"/>
    <s v="M60"/>
    <s v="HUN"/>
    <s v="04:58:16"/>
    <x v="1372"/>
  </r>
  <r>
    <m/>
    <s v="Brink, Matthijs"/>
    <n v="1989"/>
    <n v="30"/>
    <s v="M25"/>
    <s v="HUN"/>
    <s v="04:10:21"/>
    <x v="1157"/>
  </r>
  <r>
    <m/>
    <s v="Kueffner, Thomas"/>
    <n v="1970"/>
    <n v="49"/>
    <s v="M50"/>
    <s v="HUN"/>
    <s v="03:18:32"/>
    <x v="1373"/>
  </r>
  <r>
    <m/>
    <s v="Szirom Márk"/>
    <n v="1952"/>
    <n v="67"/>
    <s v="M20"/>
    <s v="FIN"/>
    <s v="04:11:50"/>
    <x v="1374"/>
  </r>
  <r>
    <m/>
    <s v="Szász Dániel"/>
    <n v="1969"/>
    <n v="50"/>
    <s v="M40"/>
    <s v="CHN"/>
    <s v="04:02:25"/>
    <x v="641"/>
  </r>
  <r>
    <m/>
    <s v="Davies, Gareth"/>
    <n v="1969"/>
    <n v="50"/>
    <s v="M60"/>
    <s v="HUN"/>
    <s v="05:09:13"/>
    <x v="1375"/>
  </r>
  <r>
    <m/>
    <s v="Szél János"/>
    <n v="1975"/>
    <n v="44"/>
    <s v="M50"/>
    <s v="HUN"/>
    <s v="04:04:05"/>
    <x v="722"/>
  </r>
  <r>
    <m/>
    <s v="Eberhardt Gábor"/>
    <n v="1988"/>
    <n v="31"/>
    <s v="M50"/>
    <s v="SWE"/>
    <s v="04:10:27"/>
    <x v="1376"/>
  </r>
  <r>
    <m/>
    <s v="Farkas Attila"/>
    <n v="1985"/>
    <n v="34"/>
    <s v="M40"/>
    <s v="USA"/>
    <s v="05:07:07"/>
    <x v="1377"/>
  </r>
  <r>
    <m/>
    <s v="Nagy Imre dr."/>
    <n v="1978"/>
    <n v="41"/>
    <s v="M55"/>
    <s v="HUN"/>
    <s v="04:59:34"/>
    <x v="1378"/>
  </r>
  <r>
    <m/>
    <s v="Vrazsgyák Attila"/>
    <n v="1974"/>
    <n v="45"/>
    <s v="M45"/>
    <s v="HUN"/>
    <s v="04:41:23"/>
    <x v="1379"/>
  </r>
  <r>
    <m/>
    <s v="Rácz Zsolt Dr."/>
    <n v="1990"/>
    <n v="29"/>
    <s v="M40"/>
    <s v="SWE"/>
    <s v="04:16:42"/>
    <x v="1380"/>
  </r>
  <r>
    <m/>
    <s v="Mong Balazs dr"/>
    <n v="1957"/>
    <n v="62"/>
    <s v="M25"/>
    <s v="ITA"/>
    <s v="04:19:28"/>
    <x v="1381"/>
  </r>
  <r>
    <m/>
    <s v="Varrecchia, Francesco"/>
    <n v="1980"/>
    <n v="39"/>
    <s v="M70"/>
    <s v="HUN"/>
    <s v="04:07:46"/>
    <x v="1382"/>
  </r>
  <r>
    <m/>
    <s v="Zichó Krisztián"/>
    <n v="1987"/>
    <n v="32"/>
    <s v="M25"/>
    <s v="GBR"/>
    <s v="03:01:12"/>
    <x v="1383"/>
  </r>
  <r>
    <m/>
    <s v="Krajcar, Zelko"/>
    <n v="1974"/>
    <n v="45"/>
    <s v="M50"/>
    <s v="ISL"/>
    <s v="04:07:40"/>
    <x v="148"/>
  </r>
  <r>
    <m/>
    <s v="Rego, Antonio"/>
    <n v="1980"/>
    <n v="39"/>
    <s v="M50"/>
    <s v="HUN"/>
    <s v="05:02:41"/>
    <x v="1384"/>
  </r>
  <r>
    <m/>
    <s v="Harper, Darian"/>
    <n v="1976"/>
    <n v="43"/>
    <s v="M20"/>
    <s v="HUN"/>
    <s v="03:48:23"/>
    <x v="54"/>
  </r>
  <r>
    <m/>
    <s v="Dylan, Tipton"/>
    <n v="1976"/>
    <n v="43"/>
    <s v="M30"/>
    <s v="HUN"/>
    <s v="04:39:41"/>
    <x v="1385"/>
  </r>
  <r>
    <m/>
    <s v="Szőke Boldizsár"/>
    <n v="1975"/>
    <n v="44"/>
    <s v="M18"/>
    <s v="HUN"/>
    <s v="04:25:50"/>
    <x v="1386"/>
  </r>
  <r>
    <m/>
    <s v="Molnár Géza"/>
    <n v="1990"/>
    <n v="29"/>
    <s v="M50"/>
    <s v="MAS"/>
    <s v="04:46:30"/>
    <x v="1387"/>
  </r>
  <r>
    <m/>
    <s v="Hartlieb Balázs dr."/>
    <n v="1976"/>
    <n v="43"/>
    <s v="M45"/>
    <s v="HUN"/>
    <s v="04:13:56"/>
    <x v="667"/>
  </r>
  <r>
    <m/>
    <s v="Gordeev, Vladimir"/>
    <n v="1960"/>
    <n v="59"/>
    <s v="M35"/>
    <s v="ITA"/>
    <s v="03:15:10"/>
    <x v="1388"/>
  </r>
  <r>
    <m/>
    <s v="Kerekes Zoltán"/>
    <n v="1983"/>
    <n v="36"/>
    <s v="M30"/>
    <s v="HUN"/>
    <s v="04:16:20"/>
    <x v="1389"/>
  </r>
  <r>
    <m/>
    <s v="Byczyk, Jacek"/>
    <n v="1973"/>
    <n v="46"/>
    <s v="M60"/>
    <s v="CZE"/>
    <s v="04:25:48"/>
    <x v="1390"/>
  </r>
  <r>
    <m/>
    <s v="Érmezei Zsolt"/>
    <n v="1976"/>
    <n v="43"/>
    <s v="M45"/>
    <s v="HUN"/>
    <s v="04:58:22"/>
    <x v="560"/>
  </r>
  <r>
    <m/>
    <s v="Modee, Mattias"/>
    <n v="1978"/>
    <n v="41"/>
    <s v="M45"/>
    <s v="HUN"/>
    <s v="04:22:00"/>
    <x v="1391"/>
  </r>
  <r>
    <m/>
    <s v="Szalai András"/>
    <n v="1990"/>
    <n v="29"/>
    <s v="M40"/>
    <s v="HUN"/>
    <s v="03:55:13"/>
    <x v="1392"/>
  </r>
  <r>
    <m/>
    <s v="Kökényesi Antal"/>
    <n v="1973"/>
    <n v="46"/>
    <s v="M40"/>
    <s v="HUN"/>
    <s v="04:28:53"/>
    <x v="1393"/>
  </r>
  <r>
    <m/>
    <s v="Nielsen, Mathias Liisberg"/>
    <n v="1987"/>
    <n v="32"/>
    <s v="M25"/>
    <s v="HUN"/>
    <s v="02:47:40"/>
    <x v="1394"/>
  </r>
  <r>
    <m/>
    <s v="Zab Róbert"/>
    <n v="1973"/>
    <n v="46"/>
    <s v="M55"/>
    <s v="HUN"/>
    <s v="04:36:46"/>
    <x v="1395"/>
  </r>
  <r>
    <m/>
    <s v="kardasz, jacek"/>
    <n v="1980"/>
    <n v="39"/>
    <s v="M40"/>
    <s v="HUN"/>
    <s v="03:42:07"/>
    <x v="1396"/>
  </r>
  <r>
    <m/>
    <s v="Kusztor Kornél"/>
    <n v="1978"/>
    <n v="41"/>
    <s v="M35"/>
    <s v="HUN"/>
    <s v="04:02:49"/>
    <x v="299"/>
  </r>
  <r>
    <m/>
    <s v="Tempfli Péter"/>
    <n v="1980"/>
    <n v="39"/>
    <s v="M40"/>
    <s v="HUN"/>
    <s v="04:29:42"/>
    <x v="1397"/>
  </r>
  <r>
    <m/>
    <s v="Miták Pál"/>
    <n v="1969"/>
    <n v="50"/>
    <s v="M35"/>
    <s v="FRA"/>
    <s v="05:16:31"/>
    <x v="1398"/>
  </r>
  <r>
    <m/>
    <s v="Buzás Botond"/>
    <n v="1986"/>
    <n v="33"/>
    <s v="M40"/>
    <s v="BEL"/>
    <s v="04:21:58"/>
    <x v="1399"/>
  </r>
  <r>
    <m/>
    <s v="Peresztegi Bálint"/>
    <n v="1970"/>
    <n v="49"/>
    <s v="M20"/>
    <s v="HUN"/>
    <s v="03:36:10"/>
    <x v="1400"/>
  </r>
  <r>
    <m/>
    <s v="Gündisch, Zoltán"/>
    <n v="1951"/>
    <n v="68"/>
    <s v="M45"/>
    <s v="POL"/>
    <s v="04:22:59"/>
    <x v="1401"/>
  </r>
  <r>
    <m/>
    <s v="Illés, Péter"/>
    <n v="1992"/>
    <n v="27"/>
    <s v="M25"/>
    <s v="HUN"/>
    <s v="03:04:46"/>
    <x v="1402"/>
  </r>
  <r>
    <m/>
    <s v="de Beer, Patrick"/>
    <n v="1978"/>
    <n v="41"/>
    <s v="M50"/>
    <s v="HUN"/>
    <s v="04:27:34"/>
    <x v="1403"/>
  </r>
  <r>
    <m/>
    <s v="Dominique, Armand"/>
    <n v="1981"/>
    <n v="38"/>
    <s v="M60"/>
    <s v="HUN"/>
    <s v="03:54:20"/>
    <x v="1404"/>
  </r>
  <r>
    <m/>
    <s v="Gordon, Lane"/>
    <n v="1972"/>
    <n v="47"/>
    <s v="M25"/>
    <s v="HUN"/>
    <s v="04:15:39"/>
    <x v="915"/>
  </r>
  <r>
    <m/>
    <s v="Doran, Matt"/>
    <n v="1976"/>
    <n v="43"/>
    <s v="M50"/>
    <s v="HUN"/>
    <s v="04:36:41"/>
    <x v="1405"/>
  </r>
  <r>
    <m/>
    <s v="DE LEERSNYDER, FLORENT prof"/>
    <n v="1966"/>
    <n v="53"/>
    <s v="M45"/>
    <s v="HUN"/>
    <s v="03:27:19"/>
    <x v="340"/>
  </r>
  <r>
    <m/>
    <s v="Pintér Gábor"/>
    <n v="1961"/>
    <n v="58"/>
    <s v="M45"/>
    <s v="DEN"/>
    <s v="04:15:27"/>
    <x v="1406"/>
  </r>
  <r>
    <m/>
    <s v="Berglund, Mikael"/>
    <n v="1956"/>
    <n v="63"/>
    <s v="M55"/>
    <s v="CZE"/>
    <s v="04:39:43"/>
    <x v="1143"/>
  </r>
  <r>
    <m/>
    <s v="Felix, Sanchez Adan"/>
    <n v="1970"/>
    <n v="49"/>
    <s v="M55"/>
    <s v="HUN"/>
    <s v="04:06:31"/>
    <x v="1407"/>
  </r>
  <r>
    <m/>
    <s v="COCHE-DEQUEANT, Manuel"/>
    <n v="1994"/>
    <n v="25"/>
    <s v="M50"/>
    <s v="GBR"/>
    <s v="04:30:42"/>
    <x v="1408"/>
  </r>
  <r>
    <m/>
    <s v="Harmati Péter"/>
    <n v="1987"/>
    <n v="32"/>
    <s v="M50"/>
    <s v="GER"/>
    <s v="05:16:53"/>
    <x v="1409"/>
  </r>
  <r>
    <m/>
    <s v="Montes de Oca Chavez, Ena Berenice"/>
    <n v="1976"/>
    <n v="43"/>
    <s v="M35"/>
    <s v="HUN"/>
    <s v="04:40:42"/>
    <x v="1410"/>
  </r>
  <r>
    <m/>
    <s v="Dáné István Attila"/>
    <n v="1980"/>
    <n v="39"/>
    <s v="M50"/>
    <s v="HUN"/>
    <s v="04:05:44"/>
    <x v="210"/>
  </r>
  <r>
    <m/>
    <s v="Wimmer, Thomas"/>
    <n v="1991"/>
    <n v="28"/>
    <s v="M55"/>
    <s v="HUN"/>
    <s v="03:41:27"/>
    <x v="1230"/>
  </r>
  <r>
    <m/>
    <s v="Fejérdy Márton"/>
    <n v="1980"/>
    <n v="39"/>
    <s v="M45"/>
    <s v="HUN"/>
    <s v="04:11:46"/>
    <x v="1411"/>
  </r>
  <r>
    <m/>
    <s v="Mole, Sam"/>
    <n v="1978"/>
    <n v="41"/>
    <s v="M20"/>
    <s v="SWE"/>
    <s v="04:15:08"/>
    <x v="1412"/>
  </r>
  <r>
    <m/>
    <s v="Tóth Patony"/>
    <n v="1967"/>
    <n v="52"/>
    <s v="M50"/>
    <s v="HUN"/>
    <s v="04:30:22"/>
    <x v="552"/>
  </r>
  <r>
    <m/>
    <s v="Mader, Roland"/>
    <n v="1964"/>
    <n v="55"/>
    <s v="M45"/>
    <s v="HUN"/>
    <s v="03:18:47"/>
    <x v="1413"/>
  </r>
  <r>
    <m/>
    <s v="Koller Béla"/>
    <n v="1978"/>
    <n v="41"/>
    <s v="M35"/>
    <s v="HUN"/>
    <s v="03:36:05"/>
    <x v="1414"/>
  </r>
  <r>
    <m/>
    <s v="Bonte, Maxens"/>
    <n v="1978"/>
    <n v="41"/>
    <s v="M25"/>
    <s v="HUN"/>
    <s v="03:56:39"/>
    <x v="342"/>
  </r>
  <r>
    <m/>
    <s v="Barbero, Gianluca"/>
    <n v="1973"/>
    <n v="46"/>
    <s v="M50"/>
    <s v="HUN"/>
    <s v="02:58:41"/>
    <x v="1415"/>
  </r>
  <r>
    <m/>
    <s v="Baixauli, Javier"/>
    <n v="1981"/>
    <n v="38"/>
    <s v="M50"/>
    <s v="HUN"/>
    <s v="03:09:39"/>
    <x v="490"/>
  </r>
  <r>
    <m/>
    <s v="Demcsák Zoltán"/>
    <n v="1957"/>
    <n v="62"/>
    <s v="M60"/>
    <s v="HUN"/>
    <s v="03:51:19"/>
    <x v="1416"/>
  </r>
  <r>
    <m/>
    <s v="Dagsland, William"/>
    <n v="1983"/>
    <n v="36"/>
    <s v="M35"/>
    <s v="NOR"/>
    <s v="04:05:09"/>
    <x v="1417"/>
  </r>
  <r>
    <m/>
    <s v="Puszkarski, Marek"/>
    <n v="1958"/>
    <n v="61"/>
    <s v="M55"/>
    <s v="GBR"/>
    <s v="04:24:44"/>
    <x v="55"/>
  </r>
  <r>
    <m/>
    <s v="Palenius, Juha"/>
    <n v="1975"/>
    <n v="44"/>
    <s v="M45"/>
    <s v="HUN"/>
    <s v="04:32:04"/>
    <x v="1418"/>
  </r>
  <r>
    <m/>
    <s v="Varga István"/>
    <n v="1958"/>
    <n v="61"/>
    <s v="M55"/>
    <s v="POL"/>
    <s v="03:44:36"/>
    <x v="164"/>
  </r>
  <r>
    <m/>
    <s v="Ötvös Krisztián"/>
    <n v="1980"/>
    <n v="39"/>
    <s v="M45"/>
    <s v="GBR"/>
    <s v="03:46:57"/>
    <x v="1419"/>
  </r>
  <r>
    <m/>
    <s v="Toldi Levente"/>
    <n v="1985"/>
    <n v="34"/>
    <s v="M25"/>
    <s v="RUS"/>
    <s v="03:10:28"/>
    <x v="1420"/>
  </r>
  <r>
    <m/>
    <s v="ABED, MILOUDI"/>
    <n v="1994"/>
    <n v="25"/>
    <s v="M55"/>
    <s v="HUN"/>
    <s v="03:50:00"/>
    <x v="1421"/>
  </r>
  <r>
    <m/>
    <s v="Chevrolet, Laurent"/>
    <n v="1982"/>
    <n v="37"/>
    <s v="M55"/>
    <s v="CZE"/>
    <s v="04:16:04"/>
    <x v="1422"/>
  </r>
  <r>
    <m/>
    <s v="Szabó István"/>
    <n v="2000"/>
    <n v="19"/>
    <s v="M35"/>
    <s v="FRA"/>
    <s v="03:51:46"/>
    <x v="611"/>
  </r>
  <r>
    <m/>
    <s v="Jean Claude, ELVIRA MARTIN"/>
    <n v="1949"/>
    <n v="70"/>
    <s v="M70"/>
    <s v="CAN"/>
    <s v="05:15:45"/>
    <x v="1423"/>
  </r>
  <r>
    <m/>
    <s v="Renton, Sam"/>
    <n v="1978"/>
    <n v="41"/>
    <s v="M30"/>
    <s v="HUN"/>
    <s v="05:16:26"/>
    <x v="1424"/>
  </r>
  <r>
    <m/>
    <s v="Kiss Gellért"/>
    <n v="1982"/>
    <n v="37"/>
    <s v="M25"/>
    <s v="HUN"/>
    <s v="03:34:31"/>
    <x v="1425"/>
  </r>
  <r>
    <m/>
    <s v="Baranyai Gergely"/>
    <n v="1984"/>
    <n v="35"/>
    <s v="M40"/>
    <s v="FRA"/>
    <s v="04:18:17"/>
    <x v="1426"/>
  </r>
  <r>
    <m/>
    <s v="Csarnai Szilárd"/>
    <n v="1961"/>
    <n v="58"/>
    <s v="M45"/>
    <s v="HUN"/>
    <s v="05:19:00"/>
    <x v="449"/>
  </r>
  <r>
    <m/>
    <s v="Semkovski, George"/>
    <n v="1981"/>
    <n v="38"/>
    <s v="M55"/>
    <s v="HUN"/>
    <s v="03:52:05"/>
    <x v="1427"/>
  </r>
  <r>
    <m/>
    <s v="Reece, Elliott prof"/>
    <n v="1991"/>
    <n v="28"/>
    <s v="M20"/>
    <s v="AUT"/>
    <s v="04:23:33"/>
    <x v="1428"/>
  </r>
  <r>
    <m/>
    <s v="Smit, Hans"/>
    <n v="1966"/>
    <n v="53"/>
    <s v="M60"/>
    <s v="???"/>
    <s v="03:45:42"/>
    <x v="1429"/>
  </r>
  <r>
    <m/>
    <s v="Seuren, Julian"/>
    <n v="1992"/>
    <n v="27"/>
    <s v="M20"/>
    <s v="BEL"/>
    <s v="04:02:23"/>
    <x v="1430"/>
  </r>
  <r>
    <m/>
    <s v="Fejér Gábor"/>
    <n v="1998"/>
    <n v="21"/>
    <s v="M55"/>
    <s v="SLO"/>
    <s v="04:19:57"/>
    <x v="1431"/>
  </r>
  <r>
    <m/>
    <s v="Módra György"/>
    <n v="1959"/>
    <n v="60"/>
    <s v="M40"/>
    <s v="ITA"/>
    <s v="03:23:38"/>
    <x v="941"/>
  </r>
  <r>
    <m/>
    <s v="Kotke, Tarmo"/>
    <n v="1977"/>
    <n v="42"/>
    <s v="M40"/>
    <s v="GBR"/>
    <s v="04:13:22"/>
    <x v="1432"/>
  </r>
  <r>
    <m/>
    <s v="De Ruyck, Faust"/>
    <n v="1966"/>
    <n v="53"/>
    <s v="M25"/>
    <s v="HUN"/>
    <s v="03:09:02"/>
    <x v="1433"/>
  </r>
  <r>
    <m/>
    <s v="Debreceni Dávid"/>
    <n v="1997"/>
    <n v="22"/>
    <s v="M35"/>
    <s v="GER"/>
    <s v="03:57:33"/>
    <x v="1303"/>
  </r>
  <r>
    <m/>
    <s v="Davidson, James"/>
    <n v="1977"/>
    <n v="42"/>
    <s v="M35"/>
    <s v="HUN"/>
    <s v="03:48:17"/>
    <x v="1434"/>
  </r>
  <r>
    <m/>
    <s v="Székely István"/>
    <n v="1968"/>
    <n v="51"/>
    <s v="M45"/>
    <s v="HUN"/>
    <s v="05:13:25"/>
    <x v="1435"/>
  </r>
  <r>
    <m/>
    <s v="Bugáň, Tomá"/>
    <n v="1965"/>
    <n v="54"/>
    <s v="M30"/>
    <s v="HUN"/>
    <s v="04:24:41"/>
    <x v="1436"/>
  </r>
  <r>
    <m/>
    <s v="CLUSAZ, ELVIS prof"/>
    <n v="1999"/>
    <n v="20"/>
    <s v="M40"/>
    <s v="USA"/>
    <s v="03:29:23"/>
    <x v="1437"/>
  </r>
  <r>
    <m/>
    <s v="Blomfield, Stephen"/>
    <n v="2000"/>
    <n v="19"/>
    <s v="M55"/>
    <s v="HUN"/>
    <s v="03:35:54"/>
    <x v="1438"/>
  </r>
  <r>
    <m/>
    <s v="Cole, Andrew"/>
    <n v="1982"/>
    <n v="37"/>
    <s v="M55"/>
    <s v="HUN"/>
    <s v="03:56:21"/>
    <x v="1271"/>
  </r>
  <r>
    <m/>
    <s v="Lonati, Massimo"/>
    <n v="1989"/>
    <n v="30"/>
    <s v="M50"/>
    <s v="HUN"/>
    <s v="03:38:01"/>
    <x v="1439"/>
  </r>
  <r>
    <m/>
    <s v="Kerekes Szabolcs"/>
    <n v="1960"/>
    <n v="59"/>
    <s v="M50"/>
    <s v="HUN"/>
    <s v="03:57:22"/>
    <x v="380"/>
  </r>
  <r>
    <m/>
    <s v="Niemirowski, Kamil"/>
    <n v="1990"/>
    <n v="29"/>
    <s v="M25"/>
    <s v="HUN"/>
    <s v="04:22:38"/>
    <x v="1440"/>
  </r>
  <r>
    <m/>
    <s v="Bolsius, Koen"/>
    <n v="1980"/>
    <n v="39"/>
    <s v="M45"/>
    <s v="SVK"/>
    <s v="03:17:58"/>
    <x v="1441"/>
  </r>
  <r>
    <m/>
    <s v="Tibor Ákos"/>
    <n v="1965"/>
    <n v="54"/>
    <s v="M50"/>
    <s v="HUN"/>
    <s v="03:59:27"/>
    <x v="1442"/>
  </r>
  <r>
    <m/>
    <s v="GHISTE, Cyrille"/>
    <n v="1974"/>
    <n v="45"/>
    <s v="M45"/>
    <s v="HUN"/>
    <s v="04:27:28"/>
    <x v="818"/>
  </r>
  <r>
    <m/>
    <s v="Vedrov, Pavel"/>
    <n v="1970"/>
    <n v="49"/>
    <s v="M30"/>
    <s v="JPN"/>
    <s v="03:16:08"/>
    <x v="1443"/>
  </r>
  <r>
    <m/>
    <s v="Engi Tibor"/>
    <n v="1967"/>
    <n v="52"/>
    <s v="M40"/>
    <s v="HUN"/>
    <s v="03:46:06"/>
    <x v="1444"/>
  </r>
  <r>
    <m/>
    <s v="ALIBES, ARCADI"/>
    <n v="1987"/>
    <n v="32"/>
    <s v="M65"/>
    <s v="HUN"/>
    <s v="04:29:19"/>
    <x v="1445"/>
  </r>
  <r>
    <m/>
    <s v="Kocsispéter Máté"/>
    <n v="1986"/>
    <n v="33"/>
    <s v="M20"/>
    <s v="HUN"/>
    <s v="05:25:40"/>
    <x v="1446"/>
  </r>
  <r>
    <m/>
    <s v="Vas Gábor"/>
    <n v="1956"/>
    <n v="63"/>
    <s v="M45"/>
    <s v="NZL"/>
    <s v="03:29:09"/>
    <x v="1447"/>
  </r>
  <r>
    <m/>
    <s v="Hyland, Eden"/>
    <n v="1956"/>
    <n v="63"/>
    <s v="M30"/>
    <s v="HUN"/>
    <s v="03:44:24"/>
    <x v="1448"/>
  </r>
  <r>
    <m/>
    <s v="Szaniszló Balázs"/>
    <n v="1986"/>
    <n v="33"/>
    <s v="M30"/>
    <s v="ESP"/>
    <s v="04:06:27"/>
    <x v="1449"/>
  </r>
  <r>
    <m/>
    <s v="Bíró Balázs"/>
    <n v="1978"/>
    <n v="41"/>
    <s v="M40"/>
    <s v="HUN"/>
    <s v="05:02:44"/>
    <x v="332"/>
  </r>
  <r>
    <m/>
    <s v="Dóczi Zsolt"/>
    <n v="1980"/>
    <n v="39"/>
    <s v="M30"/>
    <s v="HUN"/>
    <s v="03:37:37"/>
    <x v="1450"/>
  </r>
  <r>
    <m/>
    <s v="Kovách Tamás"/>
    <n v="1969"/>
    <n v="50"/>
    <s v="M30"/>
    <s v="GBR"/>
    <s v="04:41:08"/>
    <x v="6"/>
  </r>
  <r>
    <m/>
    <s v="Smylie, Oisin"/>
    <n v="1974"/>
    <n v="45"/>
    <s v="M25"/>
    <s v="HUN"/>
    <s v="03:29:25"/>
    <x v="1451"/>
  </r>
  <r>
    <m/>
    <s v="Mátéffy Kristóf"/>
    <n v="1985"/>
    <n v="34"/>
    <s v="M25"/>
    <s v="HUN"/>
    <s v="04:07:40"/>
    <x v="148"/>
  </r>
  <r>
    <m/>
    <s v="Tóth Imre"/>
    <n v="1979"/>
    <n v="40"/>
    <s v="M65"/>
    <s v="FIN"/>
    <s v="04:50:15"/>
    <x v="711"/>
  </r>
  <r>
    <m/>
    <s v="Marek József"/>
    <n v="1994"/>
    <n v="25"/>
    <s v="M55"/>
    <s v="GBR"/>
    <s v="04:01:17"/>
    <x v="1452"/>
  </r>
  <r>
    <m/>
    <s v="Juhász Péter"/>
    <n v="1976"/>
    <n v="43"/>
    <s v="M50"/>
    <s v="HUN"/>
    <s v="03:31:16"/>
    <x v="3"/>
  </r>
  <r>
    <m/>
    <s v="Neumann, Michael"/>
    <n v="1977"/>
    <n v="42"/>
    <s v="M45"/>
    <s v="HUN"/>
    <s v="03:14:11"/>
    <x v="1453"/>
  </r>
  <r>
    <m/>
    <s v="Szabo Balazs"/>
    <n v="1953"/>
    <n v="66"/>
    <s v="M40"/>
    <s v="HUN"/>
    <s v="03:50:49"/>
    <x v="1454"/>
  </r>
  <r>
    <m/>
    <s v="dominique, PERDRIAU"/>
    <n v="1990"/>
    <n v="29"/>
    <s v="M70"/>
    <s v="HUN"/>
    <s v="04:22:32"/>
    <x v="1455"/>
  </r>
  <r>
    <m/>
    <s v="Hunter, Anthony prof"/>
    <n v="1980"/>
    <n v="39"/>
    <s v="M25"/>
    <s v="BEL"/>
    <s v="04:09:43"/>
    <x v="1456"/>
  </r>
  <r>
    <m/>
    <s v="Pintér Ferenc"/>
    <n v="1975"/>
    <n v="44"/>
    <s v="M50"/>
    <s v="HUN"/>
    <s v="02:55:48"/>
    <x v="1457"/>
  </r>
  <r>
    <m/>
    <s v="Szabó Balázs"/>
    <n v="1990"/>
    <n v="29"/>
    <s v="M35"/>
    <s v="GBR"/>
    <s v="04:13:58"/>
    <x v="1458"/>
  </r>
  <r>
    <m/>
    <s v="Raineri, Mauro prof"/>
    <n v="1986"/>
    <n v="33"/>
    <s v="M50"/>
    <s v="GBR"/>
    <s v="02:50:04"/>
    <x v="1459"/>
  </r>
  <r>
    <m/>
    <s v="Rádli Péter"/>
    <n v="1980"/>
    <n v="39"/>
    <s v="M50"/>
    <s v="HUN"/>
    <s v="03:23:11"/>
    <x v="1460"/>
  </r>
  <r>
    <m/>
    <s v="Stengl, Christian"/>
    <n v="1976"/>
    <n v="43"/>
    <s v="M45"/>
    <s v="FIN"/>
    <s v="04:26:09"/>
    <x v="709"/>
  </r>
  <r>
    <m/>
    <s v="Dzama Demjén László"/>
    <n v="1965"/>
    <n v="54"/>
    <s v="M25"/>
    <s v="HUN"/>
    <s v="04:50:21"/>
    <x v="1461"/>
  </r>
  <r>
    <m/>
    <s v="BAISHYA, KAUSHIK"/>
    <n v="1965"/>
    <n v="54"/>
    <s v="M30"/>
    <s v="AUT"/>
    <s v="05:27:00"/>
    <x v="1462"/>
  </r>
  <r>
    <m/>
    <s v="Dobó Gábor"/>
    <n v="1996"/>
    <n v="23"/>
    <s v="M50"/>
    <s v="FRA"/>
    <s v="04:08:21"/>
    <x v="774"/>
  </r>
  <r>
    <m/>
    <s v="Mácsár Krisztián"/>
    <n v="1975"/>
    <n v="44"/>
    <s v="M45"/>
    <s v="HUN"/>
    <s v="03:58:09"/>
    <x v="1463"/>
  </r>
  <r>
    <m/>
    <s v="Révész Máté"/>
    <n v="1967"/>
    <n v="52"/>
    <s v="M18"/>
    <s v="HUN"/>
    <s v="04:22:08"/>
    <x v="1464"/>
  </r>
  <r>
    <m/>
    <s v="Gőgh Előd"/>
    <n v="1996"/>
    <n v="23"/>
    <s v="M40"/>
    <s v="POL"/>
    <s v="04:53:49"/>
    <x v="1465"/>
  </r>
  <r>
    <m/>
    <s v="White, Robert"/>
    <n v="1980"/>
    <n v="39"/>
    <s v="M50"/>
    <s v="HUN"/>
    <s v="02:49:28"/>
    <x v="1466"/>
  </r>
  <r>
    <m/>
    <s v="Garita, Carlos"/>
    <n v="1981"/>
    <n v="38"/>
    <s v="M30"/>
    <s v="HUN"/>
    <s v="03:47:07"/>
    <x v="1467"/>
  </r>
  <r>
    <m/>
    <s v="Cameron, Thomas"/>
    <n v="1973"/>
    <n v="46"/>
    <s v="M20"/>
    <s v="HUN"/>
    <s v="04:25:52"/>
    <x v="453"/>
  </r>
  <r>
    <m/>
    <s v="Thomas, Simon"/>
    <n v="1996"/>
    <n v="23"/>
    <s v="M55"/>
    <s v="GBR"/>
    <s v="05:15:17"/>
    <x v="1468"/>
  </r>
  <r>
    <m/>
    <s v="Bowring, Christopher"/>
    <n v="1983"/>
    <n v="36"/>
    <s v="M20"/>
    <s v="HUN"/>
    <s v="03:47:44"/>
    <x v="1469"/>
  </r>
  <r>
    <m/>
    <s v="Szabó Roland Krisztián"/>
    <n v="1981"/>
    <n v="38"/>
    <s v="M25"/>
    <s v="GBR"/>
    <s v="04:13:09"/>
    <x v="438"/>
  </r>
  <r>
    <m/>
    <s v="mullin, alan"/>
    <n v="1969"/>
    <n v="50"/>
    <s v="M45"/>
    <s v="NED"/>
    <s v="04:51:24"/>
    <x v="1470"/>
  </r>
  <r>
    <m/>
    <s v="Dr. Pintér Tamás"/>
    <n v="1964"/>
    <n v="55"/>
    <s v="M40"/>
    <s v="SIN"/>
    <s v="03:59:00"/>
    <x v="584"/>
  </r>
  <r>
    <m/>
    <s v="Wylde, Jon"/>
    <n v="1962"/>
    <n v="57"/>
    <s v="M30"/>
    <s v="HUN"/>
    <s v="04:22:52"/>
    <x v="1471"/>
  </r>
  <r>
    <m/>
    <s v="FERRER VILS, JOAN prof"/>
    <n v="1974"/>
    <n v="45"/>
    <s v="M65"/>
    <s v="SUI"/>
    <s v="04:35:14"/>
    <x v="1472"/>
  </r>
  <r>
    <m/>
    <s v="Pasztor Kiss, Levente"/>
    <n v="1974"/>
    <n v="45"/>
    <s v="M50"/>
    <s v="HUN"/>
    <s v="03:16:33"/>
    <x v="1473"/>
  </r>
  <r>
    <m/>
    <s v="Cheung, Wai Ki"/>
    <n v="1966"/>
    <n v="53"/>
    <s v="M40"/>
    <s v="HUN"/>
    <s v="05:24:34"/>
    <x v="1474"/>
  </r>
  <r>
    <m/>
    <s v="Benke Balázs Attila"/>
    <n v="1993"/>
    <n v="26"/>
    <s v="M35"/>
    <s v="HUN"/>
    <s v="04:29:34"/>
    <x v="1475"/>
  </r>
  <r>
    <m/>
    <s v="Major Balázs"/>
    <n v="1976"/>
    <n v="43"/>
    <s v="M45"/>
    <s v="HUN"/>
    <s v="03:51:32"/>
    <x v="1082"/>
  </r>
  <r>
    <m/>
    <s v="Lengyel Richárd"/>
    <n v="1989"/>
    <n v="30"/>
    <s v="M25"/>
    <s v="RUS"/>
    <s v="03:29:29"/>
    <x v="1476"/>
  </r>
  <r>
    <m/>
    <s v="Pavia, Luca"/>
    <n v="1975"/>
    <n v="44"/>
    <s v="M45"/>
    <s v="ROM"/>
    <s v="03:25:37"/>
    <x v="1477"/>
  </r>
  <r>
    <m/>
    <s v="Bögi Ádám"/>
    <n v="1981"/>
    <n v="38"/>
    <s v="M25"/>
    <s v="HUN"/>
    <s v="03:32:56"/>
    <x v="1478"/>
  </r>
  <r>
    <m/>
    <s v="Kaczur András"/>
    <n v="1997"/>
    <n v="22"/>
    <s v="M50"/>
    <s v="VIE"/>
    <s v="03:50:22"/>
    <x v="1253"/>
  </r>
  <r>
    <m/>
    <s v="Flobergseter, ?yvind"/>
    <n v="1974"/>
    <n v="45"/>
    <s v="M30"/>
    <s v="HUN"/>
    <s v="02:52:12"/>
    <x v="1479"/>
  </r>
  <r>
    <m/>
    <s v="Kiss Vilmos"/>
    <n v="1976"/>
    <n v="43"/>
    <s v="M45"/>
    <s v="HUN"/>
    <s v="04:09:06"/>
    <x v="1480"/>
  </r>
  <r>
    <m/>
    <s v="Mucsi Zoltán"/>
    <n v="1991"/>
    <n v="28"/>
    <s v="M65"/>
    <s v="RUS"/>
    <s v="04:29:29"/>
    <x v="1481"/>
  </r>
  <r>
    <m/>
    <s v="Ispánovity Péter Dusán"/>
    <n v="1974"/>
    <n v="45"/>
    <s v="M40"/>
    <s v="HUN"/>
    <s v="02:59:19"/>
    <x v="1482"/>
  </r>
  <r>
    <m/>
    <s v="Włodarek, Jacek"/>
    <n v="1999"/>
    <n v="20"/>
    <s v="M30"/>
    <s v="HUN"/>
    <s v="03:57:35"/>
    <x v="1483"/>
  </r>
  <r>
    <m/>
    <s v="Pavlíček, Martin"/>
    <n v="1992"/>
    <n v="27"/>
    <s v="M35"/>
    <s v="HUN"/>
    <s v="05:13:41"/>
    <x v="1484"/>
  </r>
  <r>
    <m/>
    <s v="Scott, Steven"/>
    <n v="1972"/>
    <n v="47"/>
    <s v="M50"/>
    <s v="HUN"/>
    <s v="03:54:20"/>
    <x v="1404"/>
  </r>
  <r>
    <m/>
    <s v="wu, hao"/>
    <n v="1973"/>
    <n v="46"/>
    <s v="M25"/>
    <s v="HUN"/>
    <s v="04:12:56"/>
    <x v="962"/>
  </r>
  <r>
    <m/>
    <s v="Law, Harry"/>
    <n v="1989"/>
    <n v="30"/>
    <s v="M20"/>
    <s v="BRA"/>
    <s v="03:46:27"/>
    <x v="1485"/>
  </r>
  <r>
    <m/>
    <s v="Mena Gutierrez, Guillermo Enrique"/>
    <n v="1968"/>
    <n v="51"/>
    <s v="M25"/>
    <s v="GBR"/>
    <s v="05:11:00"/>
    <x v="1486"/>
  </r>
  <r>
    <m/>
    <s v="Gáthy Balázs"/>
    <n v="1979"/>
    <n v="40"/>
    <s v="M35"/>
    <s v="HUN"/>
    <s v="03:08:39"/>
    <x v="1487"/>
  </r>
  <r>
    <m/>
    <s v="Przybyłowicz, Dominik"/>
    <n v="1982"/>
    <n v="37"/>
    <s v="M25"/>
    <s v="HUN"/>
    <s v="04:27:15"/>
    <x v="1488"/>
  </r>
  <r>
    <m/>
    <s v="Lepine, Patrick"/>
    <n v="1990"/>
    <n v="29"/>
    <s v="M55"/>
    <s v="HUN"/>
    <s v="03:33:43"/>
    <x v="1489"/>
  </r>
  <r>
    <m/>
    <s v="Futó Zsolt"/>
    <n v="1959"/>
    <n v="60"/>
    <s v="M35"/>
    <s v="HUN"/>
    <s v="03:40:57"/>
    <x v="1490"/>
  </r>
  <r>
    <m/>
    <s v="Baksay Attila"/>
    <n v="1963"/>
    <n v="56"/>
    <s v="M45"/>
    <s v="HUN"/>
    <s v="04:13:56"/>
    <x v="667"/>
  </r>
  <r>
    <m/>
    <s v="Cahill, Shane"/>
    <n v="1989"/>
    <n v="30"/>
    <s v="M35"/>
    <s v="UKR"/>
    <s v="03:30:26"/>
    <x v="1491"/>
  </r>
  <r>
    <m/>
    <s v="Knill Zsolt"/>
    <n v="1969"/>
    <n v="50"/>
    <s v="M45"/>
    <s v="HUN"/>
    <s v="04:44:34"/>
    <x v="1492"/>
  </r>
  <r>
    <m/>
    <s v="Szántó András"/>
    <n v="1976"/>
    <n v="43"/>
    <s v="M45"/>
    <s v="NED"/>
    <s v="03:59:09"/>
    <x v="1493"/>
  </r>
  <r>
    <m/>
    <s v="Díaz, Marcos"/>
    <n v="1994"/>
    <n v="25"/>
    <s v="M60"/>
    <s v="HUN"/>
    <s v="04:59:17"/>
    <x v="1494"/>
  </r>
  <r>
    <m/>
    <s v="Sobczak, Tomasz"/>
    <n v="1984"/>
    <n v="35"/>
    <s v="M50"/>
    <s v="FRA"/>
    <s v="03:34:14"/>
    <x v="928"/>
  </r>
  <r>
    <m/>
    <s v="Teply, Tomas"/>
    <n v="1975"/>
    <n v="44"/>
    <s v="M50"/>
    <s v="HUN"/>
    <s v="04:01:05"/>
    <x v="1495"/>
  </r>
  <r>
    <m/>
    <s v="Sheppard, Jason"/>
    <n v="1975"/>
    <n v="44"/>
    <s v="M25"/>
    <s v="HUN"/>
    <s v="04:29:37"/>
    <x v="1496"/>
  </r>
  <r>
    <m/>
    <s v="vanoverskelds, dominique prof"/>
    <n v="1984"/>
    <n v="35"/>
    <s v="M60"/>
    <s v="UKR"/>
    <s v="03:55:31"/>
    <x v="1497"/>
  </r>
  <r>
    <m/>
    <s v="Chasco Arpón, Daniel prof"/>
    <n v="1970"/>
    <n v="49"/>
    <s v="M25"/>
    <s v="HUN"/>
    <s v="03:57:34"/>
    <x v="1213"/>
  </r>
  <r>
    <m/>
    <s v="Végső Csaba"/>
    <n v="1971"/>
    <n v="48"/>
    <s v="M45"/>
    <s v="HUN"/>
    <s v="04:21:02"/>
    <x v="1498"/>
  </r>
  <r>
    <m/>
    <s v="Csővári Szabolcs"/>
    <n v="1968"/>
    <n v="51"/>
    <s v="M40"/>
    <s v="HUN"/>
    <s v="03:53:22"/>
    <x v="1499"/>
  </r>
  <r>
    <m/>
    <s v="Ranauro, Raffaele"/>
    <n v="1980"/>
    <n v="39"/>
    <s v="M50"/>
    <s v="POL"/>
    <s v="03:35:03"/>
    <x v="454"/>
  </r>
  <r>
    <m/>
    <s v="Harris, Ashley"/>
    <n v="1971"/>
    <n v="48"/>
    <s v="M18"/>
    <s v="ROM"/>
    <s v="04:26:07"/>
    <x v="974"/>
  </r>
  <r>
    <m/>
    <s v="Kis Árpád"/>
    <n v="1971"/>
    <n v="48"/>
    <s v="M25"/>
    <s v="HUN"/>
    <s v="04:24:36"/>
    <x v="1500"/>
  </r>
  <r>
    <m/>
    <s v="LANCO, Thomas"/>
    <n v="1980"/>
    <n v="39"/>
    <s v="M40"/>
    <s v="HUN"/>
    <s v="03:28:41"/>
    <x v="1501"/>
  </r>
  <r>
    <m/>
    <s v="Jimmy, Lomba"/>
    <n v="1974"/>
    <n v="45"/>
    <s v="M45"/>
    <s v="HUN"/>
    <s v="04:16:54"/>
    <x v="1502"/>
  </r>
  <r>
    <m/>
    <s v="Urbancsek Balázs"/>
    <n v="1976"/>
    <n v="43"/>
    <s v="M20"/>
    <s v="HUN"/>
    <s v="04:45:37"/>
    <x v="476"/>
  </r>
  <r>
    <m/>
    <s v="Christopher, Barney"/>
    <n v="1981"/>
    <n v="38"/>
    <s v="M30"/>
    <s v="POL"/>
    <s v="04:00:15"/>
    <x v="802"/>
  </r>
  <r>
    <m/>
    <s v="Marian, Alexe dr"/>
    <n v="1984"/>
    <n v="35"/>
    <s v="M30"/>
    <s v="HUN"/>
    <s v="03:25:29"/>
    <x v="1503"/>
  </r>
  <r>
    <m/>
    <s v="Mestyán Márton"/>
    <n v="1990"/>
    <n v="29"/>
    <s v="M30"/>
    <s v="UKR"/>
    <s v="04:03:10"/>
    <x v="1504"/>
  </r>
  <r>
    <m/>
    <s v="Kovács László"/>
    <n v="2000"/>
    <n v="19"/>
    <s v="M40"/>
    <s v="HUN"/>
    <s v="03:46:37"/>
    <x v="1505"/>
  </r>
  <r>
    <m/>
    <s v="BARNABA, ANDREA"/>
    <n v="1981"/>
    <n v="38"/>
    <s v="M55"/>
    <s v="HUN"/>
    <s v="04:07:30"/>
    <x v="1506"/>
  </r>
  <r>
    <m/>
    <s v="Kelemen József"/>
    <n v="1989"/>
    <n v="30"/>
    <s v="M60"/>
    <s v="SRB"/>
    <s v="03:44:04"/>
    <x v="1507"/>
  </r>
  <r>
    <m/>
    <s v="Tánczos László"/>
    <n v="1990"/>
    <n v="29"/>
    <s v="M65"/>
    <s v="GER"/>
    <s v="04:29:29"/>
    <x v="1481"/>
  </r>
  <r>
    <m/>
    <s v="Széll Endre"/>
    <n v="1969"/>
    <n v="50"/>
    <s v="M45"/>
    <s v="FIN"/>
    <s v="03:46:23"/>
    <x v="57"/>
  </r>
  <r>
    <m/>
    <s v="Virág János"/>
    <n v="1983"/>
    <n v="36"/>
    <s v="M65"/>
    <s v="HUN"/>
    <s v="04:53:27"/>
    <x v="1508"/>
  </r>
  <r>
    <m/>
    <s v="Miholcsek Zsolt"/>
    <n v="1965"/>
    <n v="54"/>
    <s v="M40"/>
    <s v="CZE"/>
    <s v="04:03:21"/>
    <x v="1058"/>
  </r>
  <r>
    <m/>
    <s v="Blázsik Endre"/>
    <n v="1971"/>
    <n v="48"/>
    <s v="M35"/>
    <s v="HUN"/>
    <s v="04:10:21"/>
    <x v="1157"/>
  </r>
  <r>
    <m/>
    <s v="Békésy András"/>
    <n v="1995"/>
    <n v="24"/>
    <s v="M35"/>
    <s v="HUN"/>
    <s v="04:58:36"/>
    <x v="1509"/>
  </r>
  <r>
    <m/>
    <s v="Perez Cascajares, Manuel"/>
    <n v="1980"/>
    <n v="39"/>
    <s v="M45"/>
    <s v="HUN"/>
    <s v="03:57:33"/>
    <x v="1303"/>
  </r>
  <r>
    <m/>
    <s v="Dönisch, Georg"/>
    <n v="1977"/>
    <n v="42"/>
    <s v="M30"/>
    <s v="HUN"/>
    <s v="04:45:53"/>
    <x v="1510"/>
  </r>
  <r>
    <m/>
    <s v="Wing, Jack"/>
    <n v="1982"/>
    <n v="37"/>
    <s v="M20"/>
    <s v="GBR"/>
    <s v="04:42:30"/>
    <x v="1511"/>
  </r>
  <r>
    <m/>
    <s v="Baranyi Gergely dr."/>
    <n v="1976"/>
    <n v="43"/>
    <s v="M40"/>
    <s v="HUN"/>
    <s v="03:41:29"/>
    <x v="1140"/>
  </r>
  <r>
    <m/>
    <s v="Varga István"/>
    <n v="1978"/>
    <n v="41"/>
    <s v="M40"/>
    <s v="HUN"/>
    <s v="03:09:35"/>
    <x v="103"/>
  </r>
  <r>
    <m/>
    <s v="Marcsa Dániel dr"/>
    <n v="1973"/>
    <n v="46"/>
    <s v="M40"/>
    <s v="HUN"/>
    <s v="03:25:13"/>
    <x v="589"/>
  </r>
  <r>
    <m/>
    <s v="Gebei Tamas"/>
    <n v="1973"/>
    <n v="46"/>
    <s v="M40"/>
    <s v="HUN"/>
    <s v="05:31:44"/>
    <x v="1512"/>
  </r>
  <r>
    <m/>
    <s v="Pünkösty András Dr."/>
    <n v="1988"/>
    <n v="31"/>
    <s v="M40"/>
    <s v="HUN"/>
    <s v="03:38:38"/>
    <x v="1513"/>
  </r>
  <r>
    <m/>
    <s v="Kovács István"/>
    <n v="1970"/>
    <n v="49"/>
    <s v="M45"/>
    <s v="FRA"/>
    <s v="04:46:41"/>
    <x v="1514"/>
  </r>
  <r>
    <m/>
    <s v="Lienhard, Martin"/>
    <n v="1991"/>
    <n v="28"/>
    <s v="M60"/>
    <s v="GBR"/>
    <s v="03:55:55"/>
    <x v="1515"/>
  </r>
  <r>
    <m/>
    <s v="Mitja, Zitnik"/>
    <n v="1993"/>
    <n v="26"/>
    <s v="M50"/>
    <s v="HUN"/>
    <s v="03:07:13"/>
    <x v="1516"/>
  </r>
  <r>
    <m/>
    <s v="Szlavinics Dániel"/>
    <n v="1990"/>
    <n v="29"/>
    <s v="M30"/>
    <s v="FRA"/>
    <s v="04:27:29"/>
    <x v="1517"/>
  </r>
  <r>
    <m/>
    <s v="Kaluz Ákos Bertalan"/>
    <n v="1973"/>
    <n v="46"/>
    <s v="M40"/>
    <s v="GBR"/>
    <s v="03:30:12"/>
    <x v="1518"/>
  </r>
  <r>
    <m/>
    <s v="Molnár Zoltán"/>
    <n v="1983"/>
    <n v="36"/>
    <s v="M40"/>
    <s v="POL"/>
    <s v="04:55:33"/>
    <x v="1519"/>
  </r>
  <r>
    <m/>
    <s v="Kretovics Gusztáv"/>
    <n v="1981"/>
    <n v="38"/>
    <s v="M40"/>
    <s v="FIN"/>
    <s v="05:03:46"/>
    <x v="117"/>
  </r>
  <r>
    <m/>
    <s v="Vincent, BROSSARD"/>
    <n v="1996"/>
    <n v="23"/>
    <s v="M45"/>
    <s v="HUN"/>
    <s v="03:41:45"/>
    <x v="1358"/>
  </r>
  <r>
    <m/>
    <s v="Szabó András"/>
    <n v="1982"/>
    <n v="37"/>
    <s v="M45"/>
    <s v="HUN"/>
    <s v="03:57:21"/>
    <x v="1520"/>
  </r>
  <r>
    <m/>
    <s v="Ortner, Julian"/>
    <n v="1961"/>
    <n v="58"/>
    <s v="M25"/>
    <s v="HUN"/>
    <s v="03:28:59"/>
    <x v="1521"/>
  </r>
  <r>
    <m/>
    <s v="Csécsei Zoltán"/>
    <n v="1985"/>
    <n v="34"/>
    <s v="M45"/>
    <s v="HUN"/>
    <s v="04:42:26"/>
    <x v="1295"/>
  </r>
  <r>
    <m/>
    <s v="Kantzilieris, Michael Angelos"/>
    <n v="1969"/>
    <n v="50"/>
    <s v="M40"/>
    <s v="ESP"/>
    <s v="04:07:57"/>
    <x v="1522"/>
  </r>
  <r>
    <m/>
    <s v="Palancsa Zsolt"/>
    <n v="1987"/>
    <n v="32"/>
    <s v="M45"/>
    <s v="HUN"/>
    <s v="04:22:33"/>
    <x v="1523"/>
  </r>
  <r>
    <m/>
    <s v="Ivanic, Zoran"/>
    <n v="1987"/>
    <n v="32"/>
    <s v="M45"/>
    <s v="RSA"/>
    <s v="05:12:30"/>
    <x v="227"/>
  </r>
  <r>
    <m/>
    <s v="Szabó István"/>
    <n v="1972"/>
    <n v="47"/>
    <s v="M35"/>
    <s v="HUN"/>
    <s v="03:51:46"/>
    <x v="611"/>
  </r>
  <r>
    <m/>
    <s v="Noguchi, Hitoshi"/>
    <n v="1978"/>
    <n v="41"/>
    <s v="M40"/>
    <s v="HUN"/>
    <s v="04:38:54"/>
    <x v="1524"/>
  </r>
  <r>
    <m/>
    <s v="Lojkó Zoltán"/>
    <n v="1997"/>
    <n v="22"/>
    <s v="M50"/>
    <s v="FRA"/>
    <s v="04:15:04"/>
    <x v="1525"/>
  </r>
  <r>
    <m/>
    <s v="Mészáros Imre"/>
    <n v="1969"/>
    <n v="50"/>
    <s v="M50"/>
    <s v="HUN"/>
    <s v="03:25:15"/>
    <x v="1526"/>
  </r>
  <r>
    <m/>
    <s v="Silvano, Rafael prof"/>
    <n v="1983"/>
    <n v="36"/>
    <s v="M35"/>
    <s v="FRA"/>
    <s v="03:57:24"/>
    <x v="1527"/>
  </r>
  <r>
    <m/>
    <s v="Ritchie, Peter"/>
    <n v="1964"/>
    <n v="55"/>
    <s v="M60"/>
    <s v="HUN"/>
    <s v="05:22:50"/>
    <x v="1528"/>
  </r>
  <r>
    <m/>
    <s v="Padova, Carmelo"/>
    <n v="1959"/>
    <n v="60"/>
    <s v="M55"/>
    <s v="HUN"/>
    <s v="03:22:53"/>
    <x v="1529"/>
  </r>
  <r>
    <m/>
    <s v="Szaszkó Dominik"/>
    <n v="1964"/>
    <n v="55"/>
    <s v="M25"/>
    <s v="SVK"/>
    <s v="04:14:54"/>
    <x v="312"/>
  </r>
  <r>
    <m/>
    <s v="Sweeney, Patrick"/>
    <n v="1962"/>
    <n v="57"/>
    <s v="M30"/>
    <s v="GBR"/>
    <s v="03:43:09"/>
    <x v="1530"/>
  </r>
  <r>
    <m/>
    <s v="Andrikó Máté"/>
    <n v="1959"/>
    <n v="60"/>
    <s v="M40"/>
    <s v="ITA"/>
    <s v="03:37:57"/>
    <x v="1531"/>
  </r>
  <r>
    <m/>
    <s v="Götz, Lars"/>
    <n v="1962"/>
    <n v="57"/>
    <s v="M50"/>
    <s v="GER"/>
    <s v="03:28:03"/>
    <x v="443"/>
  </r>
  <r>
    <m/>
    <s v="Kelemen Bálint"/>
    <n v="1989"/>
    <n v="30"/>
    <s v="M25"/>
    <s v="RUS"/>
    <s v="04:21:40"/>
    <x v="620"/>
  </r>
  <r>
    <m/>
    <s v="Verbaanderd, Gunther"/>
    <n v="1980"/>
    <n v="39"/>
    <s v="M55"/>
    <s v="HUN"/>
    <s v="03:23:03"/>
    <x v="1109"/>
  </r>
  <r>
    <m/>
    <s v="Souza, David"/>
    <n v="1977"/>
    <n v="42"/>
    <s v="M30"/>
    <s v="HUN"/>
    <s v="04:03:04"/>
    <x v="1532"/>
  </r>
  <r>
    <m/>
    <s v="Bronswijk, Jeroen"/>
    <n v="1995"/>
    <n v="24"/>
    <s v="M30"/>
    <s v="HUN"/>
    <s v="04:12:29"/>
    <x v="1533"/>
  </r>
  <r>
    <m/>
    <s v="Baráth Márk"/>
    <n v="1998"/>
    <n v="21"/>
    <s v="M30"/>
    <s v="HUN"/>
    <s v="04:47:06"/>
    <x v="1534"/>
  </r>
  <r>
    <m/>
    <s v="Kapidis, Vasilis"/>
    <n v="1999"/>
    <n v="20"/>
    <s v="M45"/>
    <s v="GER"/>
    <s v="04:31:12"/>
    <x v="1535"/>
  </r>
  <r>
    <m/>
    <s v="Százdi László Tamás Dr."/>
    <n v="1996"/>
    <n v="23"/>
    <s v="M45"/>
    <s v="HUN"/>
    <s v="03:29:25"/>
    <x v="1451"/>
  </r>
  <r>
    <m/>
    <s v="Juujärvi, Peitsa"/>
    <n v="1953"/>
    <n v="66"/>
    <s v="M55"/>
    <s v="GBR"/>
    <s v="04:10:36"/>
    <x v="1536"/>
  </r>
  <r>
    <m/>
    <s v="Tardos Gábor"/>
    <n v="1976"/>
    <n v="43"/>
    <s v="M60"/>
    <s v="HUN"/>
    <s v="04:33:20"/>
    <x v="1537"/>
  </r>
  <r>
    <m/>
    <s v="Török István"/>
    <n v="1968"/>
    <n v="51"/>
    <s v="M40"/>
    <s v="FRA"/>
    <s v="05:24:45"/>
    <x v="1538"/>
  </r>
  <r>
    <m/>
    <s v="Bacsó Krisztián"/>
    <n v="1972"/>
    <n v="47"/>
    <s v="M25"/>
    <s v="GBR"/>
    <s v="05:22:17"/>
    <x v="1539"/>
  </r>
  <r>
    <m/>
    <s v="Farkas Gyula"/>
    <n v="1964"/>
    <n v="55"/>
    <s v="M50"/>
    <s v="HUN"/>
    <s v="05:26:16"/>
    <x v="1540"/>
  </r>
  <r>
    <m/>
    <s v="Nemeth David"/>
    <n v="1978"/>
    <n v="41"/>
    <s v="M20"/>
    <s v="HUN"/>
    <s v="03:25:21"/>
    <x v="1541"/>
  </r>
  <r>
    <m/>
    <s v="Tóth Tamás"/>
    <n v="1976"/>
    <n v="43"/>
    <s v="M35"/>
    <s v="HUN"/>
    <s v="04:10:32"/>
    <x v="1542"/>
  </r>
  <r>
    <m/>
    <s v="Delmarche, Antoine"/>
    <n v="1992"/>
    <n v="27"/>
    <s v="M35"/>
    <s v="HUN"/>
    <s v="03:57:10"/>
    <x v="1543"/>
  </r>
  <r>
    <m/>
    <s v="Réthelyi János"/>
    <n v="1977"/>
    <n v="42"/>
    <s v="M50"/>
    <s v="USA"/>
    <s v="04:07:05"/>
    <x v="693"/>
  </r>
  <r>
    <m/>
    <s v="Leblanc, Renaud"/>
    <n v="1984"/>
    <n v="35"/>
    <s v="M35"/>
    <s v="HUN"/>
    <s v="02:47:03"/>
    <x v="1544"/>
  </r>
  <r>
    <m/>
    <s v="Deák János"/>
    <n v="1996"/>
    <n v="23"/>
    <s v="M45"/>
    <s v="HUN"/>
    <s v="04:13:37"/>
    <x v="1545"/>
  </r>
  <r>
    <m/>
    <s v="Huszár Gábor"/>
    <n v="1969"/>
    <n v="50"/>
    <s v="M40"/>
    <s v="ITA"/>
    <s v="04:23:21"/>
    <x v="1546"/>
  </r>
  <r>
    <m/>
    <s v="Thompson, Simon"/>
    <n v="1975"/>
    <n v="44"/>
    <s v="M35"/>
    <s v="FRA"/>
    <s v="03:40:06"/>
    <x v="1547"/>
  </r>
  <r>
    <m/>
    <s v="Antoine, Guéranger"/>
    <n v="1975"/>
    <n v="44"/>
    <s v="M20"/>
    <s v="GER"/>
    <s v="03:54:31"/>
    <x v="1548"/>
  </r>
  <r>
    <m/>
    <s v="Zenz, Dirk"/>
    <n v="2001"/>
    <n v="18"/>
    <s v="M55"/>
    <s v="HUN"/>
    <s v="04:21:19"/>
    <x v="1125"/>
  </r>
  <r>
    <m/>
    <s v="Matuk Bálint"/>
    <n v="1987"/>
    <n v="32"/>
    <s v="M40"/>
    <s v="HUN"/>
    <s v="04:26:07"/>
    <x v="974"/>
  </r>
  <r>
    <m/>
    <s v="Menyhárt Zoltán"/>
    <n v="1987"/>
    <n v="32"/>
    <s v="M45"/>
    <s v="HUN"/>
    <s v="03:45:23"/>
    <x v="1549"/>
  </r>
  <r>
    <m/>
    <s v="KYPRIANOU, PANTELIS"/>
    <n v="1977"/>
    <n v="42"/>
    <s v="M50"/>
    <s v="HUN"/>
    <s v="03:53:53"/>
    <x v="946"/>
  </r>
  <r>
    <m/>
    <s v="Sallai, Zsolt"/>
    <n v="1975"/>
    <n v="44"/>
    <s v="M40"/>
    <s v="GBR"/>
    <s v="03:55:03"/>
    <x v="608"/>
  </r>
  <r>
    <m/>
    <s v="Góbor Peti"/>
    <n v="1981"/>
    <n v="38"/>
    <s v="M35"/>
    <s v="HUN"/>
    <s v="04:09:15"/>
    <x v="1550"/>
  </r>
  <r>
    <m/>
    <s v="Ashworth, Benedict"/>
    <n v="1991"/>
    <n v="28"/>
    <s v="M20"/>
    <s v="GBR"/>
    <s v="04:22:34"/>
    <x v="561"/>
  </r>
  <r>
    <m/>
    <s v="Csecsetka Dániel"/>
    <n v="1979"/>
    <n v="40"/>
    <s v="M35"/>
    <s v="UKR"/>
    <s v="05:03:47"/>
    <x v="238"/>
  </r>
  <r>
    <m/>
    <s v="Lamoureux, Bertrand prof"/>
    <n v="1970"/>
    <n v="49"/>
    <s v="M45"/>
    <s v="FRA"/>
    <s v="03:49:50"/>
    <x v="1551"/>
  </r>
  <r>
    <m/>
    <s v="Autar, Miki"/>
    <n v="1975"/>
    <n v="44"/>
    <s v="M35"/>
    <s v="HUN"/>
    <s v="04:12:05"/>
    <x v="1552"/>
  </r>
  <r>
    <m/>
    <s v="Alexandru Marian, Negura"/>
    <n v="1963"/>
    <n v="56"/>
    <s v="M25"/>
    <s v="GBR"/>
    <s v="03:58:57"/>
    <x v="1072"/>
  </r>
  <r>
    <m/>
    <s v="Petrovay Zoltán"/>
    <n v="1976"/>
    <n v="43"/>
    <s v="M50"/>
    <s v="HUN"/>
    <s v="05:03:04"/>
    <x v="804"/>
  </r>
  <r>
    <m/>
    <s v="De Waal, Sybrand"/>
    <n v="1977"/>
    <n v="42"/>
    <s v="M30"/>
    <s v="HUN"/>
    <s v="03:17:04"/>
    <x v="1553"/>
  </r>
  <r>
    <m/>
    <s v="Morrison, Iain"/>
    <n v="1975"/>
    <n v="44"/>
    <s v="M30"/>
    <s v="HUN"/>
    <s v="04:32:46"/>
    <x v="1554"/>
  </r>
  <r>
    <m/>
    <s v="Aguiar, Nicolas"/>
    <n v="1991"/>
    <n v="28"/>
    <s v="M25"/>
    <s v="HUN"/>
    <s v="04:30:17"/>
    <x v="1555"/>
  </r>
  <r>
    <m/>
    <s v="Komáromi-Nagy Márton"/>
    <n v="1983"/>
    <n v="36"/>
    <s v="M20"/>
    <s v="FRA"/>
    <s v="04:41:33"/>
    <x v="390"/>
  </r>
  <r>
    <m/>
    <s v="Nagy László"/>
    <n v="1973"/>
    <n v="46"/>
    <s v="M30"/>
    <s v="HUN"/>
    <s v="04:33:22"/>
    <x v="1556"/>
  </r>
  <r>
    <m/>
    <s v="Attila Mészáros"/>
    <n v="1978"/>
    <n v="41"/>
    <s v="M20"/>
    <s v="AUT"/>
    <s v="05:07:32"/>
    <x v="1557"/>
  </r>
  <r>
    <m/>
    <s v="Orbán Attila"/>
    <n v="1979"/>
    <n v="40"/>
    <s v="M50"/>
    <s v="HUN"/>
    <s v="05:24:41"/>
    <x v="1558"/>
  </r>
  <r>
    <m/>
    <s v="Belecz Péter"/>
    <n v="1966"/>
    <n v="53"/>
    <s v="M45"/>
    <s v="HUN"/>
    <s v="03:56:15"/>
    <x v="1559"/>
  </r>
  <r>
    <m/>
    <s v="Henglár György"/>
    <n v="1995"/>
    <n v="24"/>
    <s v="M40"/>
    <s v="HUN"/>
    <s v="04:12:16"/>
    <x v="1560"/>
  </r>
  <r>
    <m/>
    <s v="Knai, Ole"/>
    <n v="1972"/>
    <n v="47"/>
    <s v="M45"/>
    <s v="HUN"/>
    <s v="03:18:14"/>
    <x v="1561"/>
  </r>
  <r>
    <m/>
    <s v="Marcali Tibor Zoltán"/>
    <n v="1969"/>
    <n v="50"/>
    <s v="M40"/>
    <s v="HUN"/>
    <s v="03:26:22"/>
    <x v="1136"/>
  </r>
  <r>
    <m/>
    <s v="Virágh Pál"/>
    <n v="1986"/>
    <n v="33"/>
    <s v="M45"/>
    <s v="GBR"/>
    <s v="04:44:18"/>
    <x v="1562"/>
  </r>
  <r>
    <m/>
    <s v="Raiman, Julian"/>
    <n v="1974"/>
    <n v="45"/>
    <s v="M55"/>
    <s v="HUN"/>
    <s v="04:31:42"/>
    <x v="508"/>
  </r>
  <r>
    <m/>
    <s v="Németvölgyi Márk"/>
    <n v="1963"/>
    <n v="56"/>
    <s v="M35"/>
    <s v="RUS"/>
    <s v="04:02:10"/>
    <x v="1563"/>
  </r>
  <r>
    <m/>
    <s v="Péchy Krisztián"/>
    <n v="1994"/>
    <n v="25"/>
    <s v="M40"/>
    <s v="HUN"/>
    <s v="04:14:25"/>
    <x v="1564"/>
  </r>
  <r>
    <m/>
    <s v="Pataki Róbert"/>
    <n v="1957"/>
    <n v="62"/>
    <s v="M50"/>
    <s v="FRA"/>
    <s v="04:20:00"/>
    <x v="509"/>
  </r>
  <r>
    <m/>
    <s v="Molnar, Franz"/>
    <n v="1965"/>
    <n v="54"/>
    <s v="M55"/>
    <s v="HUN"/>
    <s v="04:03:41"/>
    <x v="1565"/>
  </r>
  <r>
    <m/>
    <s v="Luignano, Salvatore"/>
    <n v="1966"/>
    <n v="53"/>
    <s v="M45"/>
    <s v="HUN"/>
    <s v="04:25:52"/>
    <x v="453"/>
  </r>
  <r>
    <m/>
    <s v="Yilmaz Attila"/>
    <n v="1977"/>
    <n v="42"/>
    <s v="M25"/>
    <s v="HUN"/>
    <s v="04:30:29"/>
    <x v="1566"/>
  </r>
  <r>
    <m/>
    <s v="Csoma, Botond"/>
    <n v="1986"/>
    <n v="33"/>
    <s v="M45"/>
    <s v="HUN"/>
    <s v="04:09:45"/>
    <x v="1567"/>
  </r>
  <r>
    <m/>
    <s v="Boorsma, Kees Jan"/>
    <n v="1977"/>
    <n v="42"/>
    <s v="M60"/>
    <s v="HUN"/>
    <s v="03:33:54"/>
    <x v="1568"/>
  </r>
  <r>
    <m/>
    <s v="Downs-Smithen, Quade"/>
    <n v="1979"/>
    <n v="40"/>
    <s v="M20"/>
    <s v="HUN"/>
    <s v="03:41:22"/>
    <x v="1569"/>
  </r>
  <r>
    <m/>
    <s v="Binnie-Tkacz, Michael"/>
    <n v="1971"/>
    <n v="48"/>
    <s v="M25"/>
    <s v="BEL"/>
    <s v="05:14:04"/>
    <x v="1570"/>
  </r>
  <r>
    <m/>
    <s v="Middleton, Glynn"/>
    <n v="1956"/>
    <n v="63"/>
    <s v="M45"/>
    <s v="ITA"/>
    <s v="04:03:02"/>
    <x v="1571"/>
  </r>
  <r>
    <m/>
    <s v="Samu Szabolcs"/>
    <n v="1988"/>
    <n v="31"/>
    <s v="M50"/>
    <s v="HUN"/>
    <s v="04:27:54"/>
    <x v="1572"/>
  </r>
  <r>
    <m/>
    <s v="Kovács Gábor"/>
    <n v="1984"/>
    <n v="35"/>
    <s v="M45"/>
    <s v="SVK"/>
    <s v="03:32:16"/>
    <x v="1573"/>
  </r>
  <r>
    <m/>
    <s v="Csillik Áron"/>
    <n v="1992"/>
    <n v="27"/>
    <s v="M45"/>
    <s v="IRL"/>
    <s v="04:13:07"/>
    <x v="1574"/>
  </r>
  <r>
    <m/>
    <s v="Hazley, Daniel"/>
    <n v="1954"/>
    <n v="65"/>
    <s v="M25"/>
    <s v="HUN"/>
    <s v="03:48:26"/>
    <x v="1575"/>
  </r>
  <r>
    <m/>
    <s v="Stahl Norbert"/>
    <n v="1974"/>
    <n v="45"/>
    <s v="M40"/>
    <s v="BIH"/>
    <s v="04:16:34"/>
    <x v="1576"/>
  </r>
  <r>
    <m/>
    <s v="Tarcsay Péter ifj"/>
    <n v="1985"/>
    <n v="34"/>
    <s v="M50"/>
    <s v="HUN"/>
    <s v="04:16:21"/>
    <x v="1577"/>
  </r>
  <r>
    <m/>
    <s v="O'Halloran, Damien"/>
    <n v="1981"/>
    <n v="38"/>
    <s v="M40"/>
    <s v="HUN"/>
    <s v="04:26:16"/>
    <x v="904"/>
  </r>
  <r>
    <m/>
    <s v="Graziano, Gentili prof"/>
    <n v="2001"/>
    <n v="18"/>
    <s v="M45"/>
    <s v="HUN"/>
    <s v="03:19:12"/>
    <x v="1578"/>
  </r>
  <r>
    <m/>
    <s v="Lyall-Collins, Angus"/>
    <n v="1971"/>
    <n v="48"/>
    <s v="M25"/>
    <s v="HUN"/>
    <s v="03:51:49"/>
    <x v="1579"/>
  </r>
  <r>
    <m/>
    <s v="Pók János"/>
    <n v="1975"/>
    <n v="44"/>
    <s v="M60"/>
    <s v="POL"/>
    <s v="04:03:33"/>
    <x v="1580"/>
  </r>
  <r>
    <m/>
    <s v="Martin Garcia, Oscar prof"/>
    <n v="1979"/>
    <n v="40"/>
    <s v="M55"/>
    <s v="POL"/>
    <s v="04:05:44"/>
    <x v="210"/>
  </r>
  <r>
    <m/>
    <s v="Brans, Jeroen dr"/>
    <n v="2001"/>
    <n v="18"/>
    <s v="M40"/>
    <s v="HUN"/>
    <s v="03:42:15"/>
    <x v="1581"/>
  </r>
  <r>
    <m/>
    <s v="Janssen, Rob"/>
    <n v="1968"/>
    <n v="51"/>
    <s v="M40"/>
    <s v="FRA"/>
    <s v="03:29:22"/>
    <x v="1357"/>
  </r>
  <r>
    <m/>
    <s v="Pákozdi Tibor"/>
    <n v="1984"/>
    <n v="35"/>
    <s v="M55"/>
    <s v="HUN"/>
    <s v="03:50:44"/>
    <x v="1582"/>
  </r>
  <r>
    <m/>
    <s v="Blanco, Lorenzo"/>
    <n v="1958"/>
    <n v="61"/>
    <s v="M20"/>
    <s v="NED"/>
    <s v="04:36:23"/>
    <x v="1583"/>
  </r>
  <r>
    <m/>
    <s v="Szatmári Balázs"/>
    <n v="1975"/>
    <n v="44"/>
    <s v="M25"/>
    <s v="HUN"/>
    <s v="04:16:23"/>
    <x v="1584"/>
  </r>
  <r>
    <m/>
    <s v="Hugauf Árpád"/>
    <n v="1972"/>
    <n v="47"/>
    <s v="M55"/>
    <s v="GBR"/>
    <s v="05:13:43"/>
    <x v="1585"/>
  </r>
  <r>
    <m/>
    <s v="Varga Ádám"/>
    <n v="1979"/>
    <n v="40"/>
    <s v="M35"/>
    <s v="AUS"/>
    <s v="05:03:52"/>
    <x v="1586"/>
  </r>
  <r>
    <m/>
    <s v="BAE, SEONGMUN"/>
    <n v="1975"/>
    <n v="44"/>
    <s v="M35"/>
    <s v="POL"/>
    <s v="04:36:03"/>
    <x v="1587"/>
  </r>
  <r>
    <m/>
    <s v="Károly László"/>
    <n v="1995"/>
    <n v="24"/>
    <s v="M40"/>
    <s v="HUN"/>
    <s v="04:44:19"/>
    <x v="1588"/>
  </r>
  <r>
    <m/>
    <s v="Gere Lajos"/>
    <n v="1973"/>
    <n v="46"/>
    <s v="M30"/>
    <s v="HUN"/>
    <s v="03:35:14"/>
    <x v="1589"/>
  </r>
  <r>
    <m/>
    <s v="Mohammed Muhemin dr"/>
    <n v="1973"/>
    <n v="46"/>
    <s v="M35"/>
    <s v="HUN"/>
    <s v="04:19:25"/>
    <x v="1590"/>
  </r>
  <r>
    <m/>
    <s v="Mester Péter"/>
    <n v="1980"/>
    <n v="39"/>
    <s v="M40"/>
    <s v="HUN"/>
    <s v="03:09:02"/>
    <x v="1433"/>
  </r>
  <r>
    <m/>
    <s v="Vida Renato"/>
    <n v="1962"/>
    <n v="57"/>
    <s v="M35"/>
    <s v="NED"/>
    <s v="03:28:34"/>
    <x v="1591"/>
  </r>
  <r>
    <m/>
    <s v="Kiss Dániel"/>
    <n v="1977"/>
    <n v="42"/>
    <s v="M30"/>
    <s v="UKR"/>
    <s v="04:59:07"/>
    <x v="1592"/>
  </r>
  <r>
    <m/>
    <s v="Bordás Csaba"/>
    <n v="1966"/>
    <n v="53"/>
    <s v="M55"/>
    <s v="HUN"/>
    <s v="04:15:51"/>
    <x v="1593"/>
  </r>
  <r>
    <m/>
    <s v="VAN DER VOORT, SEBASTIEN"/>
    <n v="1982"/>
    <n v="37"/>
    <s v="M50"/>
    <s v="RUS"/>
    <s v="04:03:01"/>
    <x v="1594"/>
  </r>
  <r>
    <m/>
    <s v="Marlow, Jamie"/>
    <n v="1960"/>
    <n v="59"/>
    <s v="M40"/>
    <s v="GER"/>
    <s v="03:28:00"/>
    <x v="1595"/>
  </r>
  <r>
    <m/>
    <s v="Postema, Harro"/>
    <n v="1977"/>
    <n v="42"/>
    <s v="M50"/>
    <s v="HUN"/>
    <s v="03:53:39"/>
    <x v="1370"/>
  </r>
  <r>
    <m/>
    <s v="Telekes Tamás"/>
    <n v="1981"/>
    <n v="38"/>
    <s v="M50"/>
    <s v="HUN"/>
    <s v="03:40:46"/>
    <x v="192"/>
  </r>
  <r>
    <m/>
    <s v="Tougher, John"/>
    <n v="1978"/>
    <n v="41"/>
    <s v="M50"/>
    <s v="FRA"/>
    <s v="03:45:46"/>
    <x v="1596"/>
  </r>
  <r>
    <m/>
    <s v="Gulyás Balázs"/>
    <n v="1974"/>
    <n v="45"/>
    <s v="M40"/>
    <s v="HUN"/>
    <s v="03:17:57"/>
    <x v="1597"/>
  </r>
  <r>
    <m/>
    <s v="Kovács Gábor"/>
    <n v="1956"/>
    <n v="63"/>
    <s v="M18"/>
    <s v="HUN"/>
    <s v="04:57:04"/>
    <x v="1598"/>
  </r>
  <r>
    <m/>
    <s v="Kiss István"/>
    <n v="1965"/>
    <n v="54"/>
    <s v="M60"/>
    <s v="HUN"/>
    <s v="04:15:12"/>
    <x v="598"/>
  </r>
  <r>
    <m/>
    <s v="Fetés, Szabolcs"/>
    <n v="1973"/>
    <n v="46"/>
    <s v="M30"/>
    <s v="HUN"/>
    <s v="03:38:42"/>
    <x v="21"/>
  </r>
  <r>
    <m/>
    <s v="Selapugin, Grigori"/>
    <n v="1997"/>
    <n v="22"/>
    <s v="M40"/>
    <s v="HUN"/>
    <s v="03:38:31"/>
    <x v="1599"/>
  </r>
  <r>
    <m/>
    <s v="Görög Krisztián Dr."/>
    <n v="1976"/>
    <n v="43"/>
    <s v="M45"/>
    <s v="ROM"/>
    <s v="04:22:32"/>
    <x v="1455"/>
  </r>
  <r>
    <m/>
    <s v="Hingi Viktor"/>
    <n v="1973"/>
    <n v="46"/>
    <s v="M35"/>
    <s v="HUN"/>
    <s v="03:58:15"/>
    <x v="1600"/>
  </r>
  <r>
    <m/>
    <s v="Kiss Ádám"/>
    <n v="1964"/>
    <n v="55"/>
    <s v="M20"/>
    <s v="ITA"/>
    <s v="05:20:51"/>
    <x v="1601"/>
  </r>
  <r>
    <m/>
    <s v="Török János"/>
    <n v="1974"/>
    <n v="45"/>
    <s v="M40"/>
    <s v="HUN"/>
    <s v="04:29:08"/>
    <x v="1602"/>
  </r>
  <r>
    <m/>
    <s v="Rezső András Péter"/>
    <n v="1972"/>
    <n v="47"/>
    <s v="M40"/>
    <s v="HUN"/>
    <s v="03:17:59"/>
    <x v="1603"/>
  </r>
  <r>
    <m/>
    <s v="Panchenko, Serhii prof"/>
    <n v="1971"/>
    <n v="48"/>
    <s v="M65"/>
    <s v="HUN"/>
    <s v="03:21:43"/>
    <x v="1604"/>
  </r>
  <r>
    <m/>
    <s v="Fajó János"/>
    <n v="1965"/>
    <n v="54"/>
    <s v="M35"/>
    <s v="HUN"/>
    <s v="04:11:57"/>
    <x v="1605"/>
  </r>
  <r>
    <m/>
    <s v="Achtergaele, Jannick"/>
    <n v="1957"/>
    <n v="62"/>
    <s v="M30"/>
    <s v="ITA"/>
    <s v="03:31:51"/>
    <x v="1606"/>
  </r>
  <r>
    <m/>
    <s v="Ramus, Matthew prof"/>
    <n v="1963"/>
    <n v="56"/>
    <s v="M50"/>
    <s v="HUN"/>
    <s v="03:41:44"/>
    <x v="1607"/>
  </r>
  <r>
    <m/>
    <s v="Tamura, Tetsu"/>
    <n v="1969"/>
    <n v="50"/>
    <s v="M50"/>
    <s v="ISR"/>
    <s v="03:35:46"/>
    <x v="1608"/>
  </r>
  <r>
    <m/>
    <s v="Nusser Tamás"/>
    <n v="1972"/>
    <n v="47"/>
    <s v="M35"/>
    <s v="HUN"/>
    <s v="03:20:01"/>
    <x v="1609"/>
  </r>
  <r>
    <m/>
    <s v="Yerasimou, Christos"/>
    <n v="1980"/>
    <n v="39"/>
    <s v="M45"/>
    <s v="ROM"/>
    <s v="04:38:23"/>
    <x v="1610"/>
  </r>
  <r>
    <m/>
    <s v="Truesdale, Charles"/>
    <n v="1961"/>
    <n v="58"/>
    <s v="M20"/>
    <s v="HUN"/>
    <s v="04:00:31"/>
    <x v="1611"/>
  </r>
  <r>
    <m/>
    <s v="Papp Zoltán"/>
    <n v="1968"/>
    <n v="51"/>
    <s v="M50"/>
    <s v="HUN"/>
    <s v="03:57:42"/>
    <x v="1612"/>
  </r>
  <r>
    <m/>
    <s v="Simon András"/>
    <n v="1994"/>
    <n v="25"/>
    <s v="M60"/>
    <s v="HUN"/>
    <s v="03:59:34"/>
    <x v="1200"/>
  </r>
  <r>
    <m/>
    <s v="BUfe, Michael"/>
    <n v="1981"/>
    <n v="38"/>
    <s v="M60"/>
    <s v="POL"/>
    <s v="03:08:12"/>
    <x v="1613"/>
  </r>
  <r>
    <m/>
    <s v="Magyi Zsolt"/>
    <n v="1976"/>
    <n v="43"/>
    <s v="M30"/>
    <s v="CZE"/>
    <s v="02:55:10"/>
    <x v="1614"/>
  </r>
  <r>
    <m/>
    <s v="Alimzhan uulu, Esen jr"/>
    <n v="1993"/>
    <n v="26"/>
    <s v="M25"/>
    <s v="CHI"/>
    <s v="05:03:32"/>
    <x v="869"/>
  </r>
  <r>
    <m/>
    <s v="Csiki Gergely"/>
    <n v="1966"/>
    <n v="53"/>
    <s v="M40"/>
    <s v="ITA"/>
    <s v="03:20:57"/>
    <x v="1615"/>
  </r>
  <r>
    <m/>
    <s v="Saláta Péter"/>
    <n v="1986"/>
    <n v="33"/>
    <s v="M25"/>
    <s v="HUN"/>
    <s v="03:25:13"/>
    <x v="589"/>
  </r>
  <r>
    <m/>
    <s v="DRAKE, FELIX prof"/>
    <n v="1982"/>
    <n v="37"/>
    <s v="M30"/>
    <s v="HUN"/>
    <s v="03:51:44"/>
    <x v="1616"/>
  </r>
  <r>
    <m/>
    <s v="Yong, Jun Han Louis"/>
    <n v="1961"/>
    <n v="58"/>
    <s v="M20"/>
    <s v="GBR"/>
    <s v="04:17:39"/>
    <x v="1617"/>
  </r>
  <r>
    <m/>
    <s v="Arnelo, Albin"/>
    <n v="1993"/>
    <n v="26"/>
    <s v="M25"/>
    <s v="HUN"/>
    <s v="03:47:22"/>
    <x v="1038"/>
  </r>
  <r>
    <m/>
    <s v="Kovács Gergely"/>
    <n v="1972"/>
    <n v="47"/>
    <s v="M20"/>
    <s v="HUN"/>
    <s v="04:10:59"/>
    <x v="1618"/>
  </r>
  <r>
    <m/>
    <s v="Abell, Harry"/>
    <n v="1979"/>
    <n v="40"/>
    <s v="M25"/>
    <s v="HUN"/>
    <s v="03:29:05"/>
    <x v="1619"/>
  </r>
  <r>
    <m/>
    <s v="Gobert, Stephane"/>
    <n v="1969"/>
    <n v="50"/>
    <s v="M50"/>
    <s v="HUN"/>
    <s v="05:01:33"/>
    <x v="1620"/>
  </r>
  <r>
    <m/>
    <s v="Antal András"/>
    <n v="1970"/>
    <n v="49"/>
    <s v="M20"/>
    <s v="HUN"/>
    <s v="04:22:25"/>
    <x v="276"/>
  </r>
  <r>
    <m/>
    <s v="Bognár Lajos"/>
    <n v="1993"/>
    <n v="26"/>
    <s v="M45"/>
    <s v="GBR"/>
    <s v="04:42:26"/>
    <x v="1295"/>
  </r>
  <r>
    <m/>
    <s v="Pintér Balázs"/>
    <n v="1970"/>
    <n v="49"/>
    <s v="M35"/>
    <s v="HUN"/>
    <s v="03:16:21"/>
    <x v="672"/>
  </r>
  <r>
    <m/>
    <s v="Breznyán Gergő András"/>
    <n v="1975"/>
    <n v="44"/>
    <s v="M20"/>
    <s v="HUN"/>
    <s v="03:55:50"/>
    <x v="1621"/>
  </r>
  <r>
    <m/>
    <s v="Nyikos Bendegúz Richárd"/>
    <n v="1992"/>
    <n v="27"/>
    <s v="M30"/>
    <s v="HUN"/>
    <s v="04:28:57"/>
    <x v="972"/>
  </r>
  <r>
    <m/>
    <s v="Kuchcinski, Marcin"/>
    <n v="1969"/>
    <n v="50"/>
    <s v="M45"/>
    <s v="POL"/>
    <s v="05:01:41"/>
    <x v="1622"/>
  </r>
  <r>
    <m/>
    <s v="Runt, Luká"/>
    <n v="1971"/>
    <n v="48"/>
    <s v="M20"/>
    <s v="MEX"/>
    <s v="03:14:25"/>
    <x v="1623"/>
  </r>
  <r>
    <m/>
    <s v="Lökösházi Béla"/>
    <n v="1976"/>
    <n v="43"/>
    <s v="M20"/>
    <s v="HUN"/>
    <s v="04:03:14"/>
    <x v="277"/>
  </r>
  <r>
    <m/>
    <s v="Mészáros Lajos"/>
    <n v="1971"/>
    <n v="48"/>
    <s v="M60"/>
    <s v="HUN"/>
    <s v="03:49:00"/>
    <x v="585"/>
  </r>
  <r>
    <m/>
    <s v="Konkoly Balázs"/>
    <n v="1973"/>
    <n v="46"/>
    <s v="M35"/>
    <s v="HUN"/>
    <s v="03:16:21"/>
    <x v="672"/>
  </r>
  <r>
    <m/>
    <s v="Sodolski, Stanisław"/>
    <n v="1974"/>
    <n v="45"/>
    <s v="M25"/>
    <s v="HUN"/>
    <s v="04:40:32"/>
    <x v="1624"/>
  </r>
  <r>
    <m/>
    <s v="Walters, Philip Samuel"/>
    <n v="1977"/>
    <n v="42"/>
    <s v="M20"/>
    <s v="HUN"/>
    <s v="03:19:59"/>
    <x v="1625"/>
  </r>
  <r>
    <m/>
    <s v="Di Palma, Federico"/>
    <n v="1996"/>
    <n v="23"/>
    <s v="M25"/>
    <s v="HUN"/>
    <s v="03:54:55"/>
    <x v="1626"/>
  </r>
  <r>
    <m/>
    <s v="Kökényesi András"/>
    <n v="1958"/>
    <n v="61"/>
    <s v="M30"/>
    <s v="GBR"/>
    <s v="03:49:52"/>
    <x v="1627"/>
  </r>
  <r>
    <m/>
    <s v="Barabás Áron"/>
    <n v="1976"/>
    <n v="43"/>
    <s v="M35"/>
    <s v="HUN"/>
    <s v="03:36:12"/>
    <x v="1628"/>
  </r>
  <r>
    <m/>
    <s v="Pavlek, Sasa"/>
    <n v="1978"/>
    <n v="41"/>
    <s v="M40"/>
    <s v="HUN"/>
    <s v="03:36:11"/>
    <x v="1629"/>
  </r>
  <r>
    <m/>
    <s v="CASALE, GIUSEPPE"/>
    <n v="1991"/>
    <n v="28"/>
    <s v="M60"/>
    <s v="GBR"/>
    <s v="04:35:59"/>
    <x v="1630"/>
  </r>
  <r>
    <m/>
    <s v="Bódis Tamás"/>
    <n v="1976"/>
    <n v="43"/>
    <s v="M35"/>
    <s v="HUN"/>
    <s v="02:33:23"/>
    <x v="1631"/>
  </r>
  <r>
    <m/>
    <s v="Dimény László"/>
    <n v="1992"/>
    <n v="27"/>
    <s v="M45"/>
    <s v="HUN"/>
    <s v="03:35:41"/>
    <x v="1632"/>
  </r>
  <r>
    <m/>
    <s v="Horváth Ferenc"/>
    <n v="1963"/>
    <n v="56"/>
    <s v="M55"/>
    <s v="BEL"/>
    <s v="04:34:56"/>
    <x v="1633"/>
  </r>
  <r>
    <m/>
    <s v="Cselényi Zoltán"/>
    <n v="1965"/>
    <n v="54"/>
    <s v="M60"/>
    <s v="AUS"/>
    <s v="04:17:14"/>
    <x v="1634"/>
  </r>
  <r>
    <m/>
    <s v="Kiss, Ladislav"/>
    <n v="1973"/>
    <n v="46"/>
    <s v="M40"/>
    <s v="HUN"/>
    <s v="02:49:50"/>
    <x v="1635"/>
  </r>
  <r>
    <m/>
    <s v="Orsós Ferenc"/>
    <n v="1960"/>
    <n v="59"/>
    <s v="M40"/>
    <s v="SYR"/>
    <s v="04:12:18"/>
    <x v="1636"/>
  </r>
  <r>
    <m/>
    <s v="Roeckx, Witse"/>
    <n v="1971"/>
    <n v="48"/>
    <s v="M20"/>
    <s v="HUN"/>
    <s v="03:46:13"/>
    <x v="1637"/>
  </r>
  <r>
    <m/>
    <s v="Vahey, Simon"/>
    <n v="1988"/>
    <n v="31"/>
    <s v="M25"/>
    <s v="HUN"/>
    <s v="04:24:04"/>
    <x v="1638"/>
  </r>
  <r>
    <m/>
    <s v="Vilho, Lehtoaho"/>
    <n v="1979"/>
    <n v="40"/>
    <s v="M55"/>
    <s v="HUN"/>
    <s v="03:00:30"/>
    <x v="1639"/>
  </r>
  <r>
    <m/>
    <s v="Cserei Bence"/>
    <n v="1993"/>
    <n v="26"/>
    <s v="M25"/>
    <s v="HUN"/>
    <s v="04:36:32"/>
    <x v="1126"/>
  </r>
  <r>
    <m/>
    <s v="RENARD, XAVIER"/>
    <n v="1968"/>
    <n v="51"/>
    <s v="M50"/>
    <s v="RUS"/>
    <s v="04:01:46"/>
    <x v="1640"/>
  </r>
  <r>
    <m/>
    <s v="THAIZE, Nicolas"/>
    <n v="1978"/>
    <n v="41"/>
    <s v="M20"/>
    <s v="HUN"/>
    <s v="04:56:50"/>
    <x v="1641"/>
  </r>
  <r>
    <m/>
    <s v="Deák András"/>
    <n v="1983"/>
    <n v="36"/>
    <s v="M35"/>
    <s v="LAT"/>
    <s v="03:47:59"/>
    <x v="1642"/>
  </r>
  <r>
    <m/>
    <s v="McGrath, Liam"/>
    <n v="1993"/>
    <n v="26"/>
    <s v="M20"/>
    <s v="GBR"/>
    <s v="04:12:43"/>
    <x v="1643"/>
  </r>
  <r>
    <m/>
    <s v="Taylor, Michael"/>
    <n v="1975"/>
    <n v="44"/>
    <s v="M25"/>
    <s v="HUN"/>
    <s v="03:23:32"/>
    <x v="51"/>
  </r>
  <r>
    <m/>
    <s v="KRITIKOPOULOS, LAZAROS"/>
    <n v="1966"/>
    <n v="53"/>
    <s v="M55"/>
    <s v="HUN"/>
    <s v="03:50:06"/>
    <x v="1644"/>
  </r>
  <r>
    <m/>
    <s v="Fiam Tamás"/>
    <n v="1977"/>
    <n v="42"/>
    <s v="M40"/>
    <s v="HUN"/>
    <s v="04:01:36"/>
    <x v="1645"/>
  </r>
  <r>
    <m/>
    <s v="Tanevic, Matija"/>
    <n v="1982"/>
    <n v="37"/>
    <s v="M18"/>
    <s v="HUN"/>
    <s v="04:37:32"/>
    <x v="1646"/>
  </r>
  <r>
    <m/>
    <s v="Emilien, Debrosse"/>
    <n v="1973"/>
    <n v="46"/>
    <s v="M25"/>
    <s v="HUN"/>
    <s v="04:28:20"/>
    <x v="1647"/>
  </r>
  <r>
    <m/>
    <s v="Stolzlederer, Robert"/>
    <n v="1977"/>
    <n v="42"/>
    <s v="M40"/>
    <s v="HUN"/>
    <s v="03:07:51"/>
    <x v="1648"/>
  </r>
  <r>
    <m/>
    <s v="Stewardson, Rob"/>
    <n v="1970"/>
    <n v="49"/>
    <s v="M35"/>
    <s v="HUN"/>
    <s v="03:32:21"/>
    <x v="604"/>
  </r>
  <r>
    <m/>
    <s v="Kunkli Áron"/>
    <n v="1963"/>
    <n v="56"/>
    <s v="M25"/>
    <s v="INA"/>
    <s v="04:24:32"/>
    <x v="1649"/>
  </r>
  <r>
    <m/>
    <s v="Várkonyi István"/>
    <n v="1979"/>
    <n v="40"/>
    <s v="M35"/>
    <s v="HUN"/>
    <s v="03:54:23"/>
    <x v="1650"/>
  </r>
  <r>
    <m/>
    <s v="Snowball, Spencer"/>
    <n v="1988"/>
    <n v="31"/>
    <s v="M25"/>
    <s v="HUN"/>
    <s v="04:51:59"/>
    <x v="1651"/>
  </r>
  <r>
    <m/>
    <s v="Kajli Ákos"/>
    <n v="1968"/>
    <n v="51"/>
    <s v="M25"/>
    <s v="HUN"/>
    <s v="03:37:59"/>
    <x v="1652"/>
  </r>
  <r>
    <m/>
    <s v="Grabowski, Grzegorz"/>
    <n v="1969"/>
    <n v="50"/>
    <s v="M55"/>
    <s v="POL"/>
    <s v="05:03:13"/>
    <x v="1653"/>
  </r>
  <r>
    <m/>
    <s v="László Attila"/>
    <n v="1974"/>
    <n v="45"/>
    <s v="M45"/>
    <s v="HUN"/>
    <s v="03:23:21"/>
    <x v="932"/>
  </r>
  <r>
    <m/>
    <s v="Tay, Yong Sheng James"/>
    <n v="1965"/>
    <n v="54"/>
    <s v="M20"/>
    <s v="GER"/>
    <s v="05:12:33"/>
    <x v="1654"/>
  </r>
  <r>
    <m/>
    <s v="Giorgio, Roberto prof"/>
    <n v="1978"/>
    <n v="41"/>
    <s v="M50"/>
    <s v="HUN"/>
    <s v="03:23:24"/>
    <x v="1655"/>
  </r>
  <r>
    <m/>
    <s v="Meyer, Heinz"/>
    <n v="1960"/>
    <n v="59"/>
    <s v="M35"/>
    <s v="DEN"/>
    <s v="03:32:39"/>
    <x v="1656"/>
  </r>
  <r>
    <m/>
    <s v="Szalai László"/>
    <n v="1967"/>
    <n v="52"/>
    <s v="M55"/>
    <s v="HUN"/>
    <s v="03:59:17"/>
    <x v="1657"/>
  </r>
  <r>
    <m/>
    <s v="O Sullivan, Ciaran"/>
    <n v="1981"/>
    <n v="38"/>
    <s v="M20"/>
    <s v="HUN"/>
    <s v="03:19:00"/>
    <x v="1658"/>
  </r>
  <r>
    <m/>
    <s v="O'Halloran, David"/>
    <n v="1982"/>
    <n v="37"/>
    <s v="M20"/>
    <s v="HUN"/>
    <s v="04:03:40"/>
    <x v="1659"/>
  </r>
  <r>
    <m/>
    <s v="Marhas, Imre"/>
    <n v="1965"/>
    <n v="54"/>
    <s v="M45"/>
    <s v="SWE"/>
    <s v="05:12:32"/>
    <x v="1660"/>
  </r>
  <r>
    <m/>
    <s v="Monteiro, Rodrigo Cyrino"/>
    <n v="1987"/>
    <n v="32"/>
    <s v="M50"/>
    <s v="HUN"/>
    <s v="03:09:27"/>
    <x v="1661"/>
  </r>
  <r>
    <m/>
    <s v="Salgado, Sergio prof"/>
    <n v="1983"/>
    <n v="36"/>
    <s v="M50"/>
    <s v="HUN"/>
    <s v="04:08:04"/>
    <x v="1662"/>
  </r>
  <r>
    <m/>
    <s v="Mészáros Márk dr."/>
    <n v="1991"/>
    <n v="28"/>
    <s v="M35"/>
    <s v="HUN"/>
    <s v="05:02:33"/>
    <x v="478"/>
  </r>
  <r>
    <m/>
    <s v="Olariu Csaba"/>
    <n v="1977"/>
    <n v="42"/>
    <s v="M55"/>
    <s v="GBR"/>
    <s v="04:40:40"/>
    <x v="1663"/>
  </r>
  <r>
    <m/>
    <s v="Victor, Codron prof"/>
    <n v="1967"/>
    <n v="52"/>
    <s v="M25"/>
    <s v="HUN"/>
    <s v="03:45:16"/>
    <x v="1664"/>
  </r>
  <r>
    <m/>
    <s v="Farkas Gábor"/>
    <n v="1990"/>
    <n v="29"/>
    <s v="M45"/>
    <s v="HUN"/>
    <s v="03:47:22"/>
    <x v="1038"/>
  </r>
  <r>
    <m/>
    <s v="Début, Julien"/>
    <n v="1984"/>
    <n v="35"/>
    <s v="M40"/>
    <s v="HUN"/>
    <s v="03:53:35"/>
    <x v="1665"/>
  </r>
  <r>
    <m/>
    <s v="Summers, Jack prof"/>
    <n v="1990"/>
    <n v="29"/>
    <s v="M25"/>
    <s v="GBR"/>
    <s v="04:07:21"/>
    <x v="1666"/>
  </r>
  <r>
    <m/>
    <s v="Szamecz Béla dr"/>
    <n v="1969"/>
    <n v="50"/>
    <s v="M45"/>
    <s v="HUN"/>
    <s v="04:19:53"/>
    <x v="1667"/>
  </r>
  <r>
    <m/>
    <s v="Frank Zoltán"/>
    <n v="1977"/>
    <n v="42"/>
    <s v="M40"/>
    <s v="HUN"/>
    <s v="03:39:37"/>
    <x v="359"/>
  </r>
  <r>
    <m/>
    <s v="Grabowski, Tomasz jr"/>
    <n v="1984"/>
    <n v="35"/>
    <s v="M30"/>
    <s v="HUN"/>
    <s v="05:03:12"/>
    <x v="1010"/>
  </r>
  <r>
    <m/>
    <s v="Garzó Gergely"/>
    <n v="1972"/>
    <n v="47"/>
    <s v="M40"/>
    <s v="HUN"/>
    <s v="04:25:33"/>
    <x v="1668"/>
  </r>
  <r>
    <m/>
    <s v="Madejski, Sławomir"/>
    <n v="1992"/>
    <n v="27"/>
    <s v="M35"/>
    <s v="HUN"/>
    <s v="02:58:48"/>
    <x v="1669"/>
  </r>
  <r>
    <m/>
    <s v="Nowinowski, Andrzej"/>
    <n v="1960"/>
    <n v="59"/>
    <s v="M45"/>
    <s v="HUN"/>
    <s v="03:18:05"/>
    <x v="1670"/>
  </r>
  <r>
    <m/>
    <s v="Grabowski, Tomasz jr"/>
    <n v="1982"/>
    <n v="37"/>
    <s v="M30"/>
    <s v="HUN"/>
    <s v="05:03:12"/>
    <x v="1010"/>
  </r>
  <r>
    <m/>
    <s v="Fernando, Arco"/>
    <n v="1965"/>
    <n v="54"/>
    <s v="M55"/>
    <s v="HUN"/>
    <s v="03:18:35"/>
    <x v="586"/>
  </r>
  <r>
    <m/>
    <s v="Geiszt Róbert"/>
    <n v="1982"/>
    <n v="37"/>
    <s v="M30"/>
    <s v="HUN"/>
    <s v="04:39:18"/>
    <x v="1671"/>
  </r>
  <r>
    <m/>
    <s v="Vojtkó Tibor"/>
    <n v="1993"/>
    <n v="26"/>
    <s v="M55"/>
    <s v="KAZ"/>
    <s v="05:16:58"/>
    <x v="1672"/>
  </r>
  <r>
    <m/>
    <s v="Ramiro Prieto, Ruben prof"/>
    <n v="1975"/>
    <n v="44"/>
    <s v="M40"/>
    <s v="HUN"/>
    <s v="03:21:18"/>
    <x v="1673"/>
  </r>
  <r>
    <m/>
    <s v="Hinnerup, Jens"/>
    <n v="1990"/>
    <n v="29"/>
    <s v="M50"/>
    <s v="POL"/>
    <s v="03:10:58"/>
    <x v="1674"/>
  </r>
  <r>
    <m/>
    <s v="Isokoski, Erkki"/>
    <n v="1955"/>
    <n v="64"/>
    <s v="M40"/>
    <s v="ESP"/>
    <s v="03:35:26"/>
    <x v="1675"/>
  </r>
  <r>
    <m/>
    <s v="Kiss Zsolt"/>
    <n v="1986"/>
    <n v="33"/>
    <s v="M45"/>
    <s v="HUN"/>
    <s v="03:46:02"/>
    <x v="1676"/>
  </r>
  <r>
    <m/>
    <s v="Kuusik, Alex prof"/>
    <n v="1974"/>
    <n v="45"/>
    <s v="M30"/>
    <s v="HUN"/>
    <s v="02:37:01"/>
    <x v="1677"/>
  </r>
  <r>
    <m/>
    <s v="de Fabribeckers, Henry"/>
    <n v="1994"/>
    <n v="25"/>
    <s v="M35"/>
    <s v="HUN"/>
    <s v="03:57:36"/>
    <x v="1678"/>
  </r>
  <r>
    <m/>
    <s v="Oluwalana, Sam"/>
    <n v="1973"/>
    <n v="46"/>
    <s v="M30"/>
    <s v="HUN"/>
    <s v="05:29:22"/>
    <x v="1679"/>
  </r>
  <r>
    <m/>
    <s v="Gasparro, Angelo Scipio"/>
    <n v="1974"/>
    <n v="45"/>
    <s v="M50"/>
    <s v="GBR"/>
    <s v="03:37:37"/>
    <x v="1450"/>
  </r>
  <r>
    <m/>
    <s v="Lee, Kenny"/>
    <n v="1978"/>
    <n v="41"/>
    <s v="M55"/>
    <s v="HUN"/>
    <s v="04:01:13"/>
    <x v="1272"/>
  </r>
  <r>
    <m/>
    <s v="Novák, Michal"/>
    <n v="1974"/>
    <n v="45"/>
    <s v="M25"/>
    <s v="POL"/>
    <s v="03:59:39"/>
    <x v="1680"/>
  </r>
  <r>
    <m/>
    <s v="Marancsics Zsolt"/>
    <n v="1956"/>
    <n v="63"/>
    <s v="M40"/>
    <s v="ESP"/>
    <s v="04:13:23"/>
    <x v="1681"/>
  </r>
  <r>
    <m/>
    <s v="Kuris Oszkár"/>
    <n v="1974"/>
    <n v="45"/>
    <s v="M60"/>
    <s v="HUN"/>
    <s v="04:02:54"/>
    <x v="1682"/>
  </r>
  <r>
    <m/>
    <s v="MacLeod, Colin"/>
    <n v="1969"/>
    <n v="50"/>
    <s v="M40"/>
    <s v="HUN"/>
    <s v="04:26:14"/>
    <x v="1683"/>
  </r>
  <r>
    <m/>
    <s v="Szalai Ferenc"/>
    <n v="1985"/>
    <n v="34"/>
    <s v="M50"/>
    <s v="HUN"/>
    <s v="03:31:46"/>
    <x v="1684"/>
  </r>
  <r>
    <m/>
    <s v="Sharma, Cyrus"/>
    <n v="1991"/>
    <n v="28"/>
    <s v="M20"/>
    <s v="HUN"/>
    <s v="03:25:13"/>
    <x v="589"/>
  </r>
  <r>
    <m/>
    <s v="KARAGITY MÁRK ADRIÁN"/>
    <n v="1963"/>
    <n v="56"/>
    <s v="M30"/>
    <s v="HUN"/>
    <s v="04:08:35"/>
    <x v="961"/>
  </r>
  <r>
    <m/>
    <s v="Lesniak, Guillaume"/>
    <n v="1981"/>
    <n v="38"/>
    <s v="M40"/>
    <s v="HUN"/>
    <s v="04:51:08"/>
    <x v="1685"/>
  </r>
  <r>
    <m/>
    <s v="Stegner, Christian"/>
    <n v="1965"/>
    <n v="54"/>
    <s v="M25"/>
    <s v="POL"/>
    <s v="04:34:36"/>
    <x v="1686"/>
  </r>
  <r>
    <m/>
    <s v="Toldi Levente"/>
    <n v="1986"/>
    <n v="33"/>
    <s v="M25"/>
    <s v="ROM"/>
    <s v="03:10:28"/>
    <x v="1420"/>
  </r>
  <r>
    <m/>
    <s v="Antal Tamás"/>
    <n v="1968"/>
    <n v="51"/>
    <s v="M30"/>
    <s v="HUN"/>
    <s v="03:22:18"/>
    <x v="1687"/>
  </r>
  <r>
    <m/>
    <s v="Hull, Archie"/>
    <n v="1969"/>
    <n v="50"/>
    <s v="M20"/>
    <s v="HUN"/>
    <s v="04:45:04"/>
    <x v="1688"/>
  </r>
  <r>
    <m/>
    <s v="Kristoffersen, Thomas"/>
    <n v="1971"/>
    <n v="48"/>
    <s v="M40"/>
    <s v="NOR"/>
    <s v="03:19:32"/>
    <x v="1689"/>
  </r>
  <r>
    <m/>
    <s v="Morris, Owen"/>
    <n v="1966"/>
    <n v="53"/>
    <s v="M20"/>
    <s v="GBR"/>
    <s v="03:50:18"/>
    <x v="1690"/>
  </r>
  <r>
    <m/>
    <s v="Brzustowicz, Marek"/>
    <n v="1962"/>
    <n v="57"/>
    <s v="M65"/>
    <s v="HUN"/>
    <s v="04:01:36"/>
    <x v="1645"/>
  </r>
  <r>
    <m/>
    <s v="Pál Levente"/>
    <n v="1981"/>
    <n v="38"/>
    <s v="M30"/>
    <s v="HUN"/>
    <s v="03:29:07"/>
    <x v="1691"/>
  </r>
  <r>
    <m/>
    <s v="Vénkuti Krisztián"/>
    <n v="1963"/>
    <n v="56"/>
    <s v="M40"/>
    <s v="GER"/>
    <s v="03:16:24"/>
    <x v="1692"/>
  </r>
  <r>
    <m/>
    <s v="Neumann, Jörg"/>
    <n v="1980"/>
    <n v="39"/>
    <s v="M50"/>
    <s v="HUN"/>
    <s v="03:26:54"/>
    <x v="1693"/>
  </r>
  <r>
    <m/>
    <s v="Tóth Kristóf"/>
    <n v="1969"/>
    <n v="50"/>
    <s v="M30"/>
    <s v="SVK"/>
    <s v="03:59:27"/>
    <x v="1442"/>
  </r>
  <r>
    <m/>
    <s v="Horváth Richárd"/>
    <n v="1960"/>
    <n v="59"/>
    <s v="M25"/>
    <s v="FRA"/>
    <s v="04:42:08"/>
    <x v="1694"/>
  </r>
  <r>
    <m/>
    <s v="Andrew, Abrams"/>
    <n v="1973"/>
    <n v="46"/>
    <s v="M30"/>
    <s v="HUN"/>
    <s v="03:42:58"/>
    <x v="1695"/>
  </r>
  <r>
    <m/>
    <s v="Schulz, Christian"/>
    <n v="1973"/>
    <n v="46"/>
    <s v="M40"/>
    <s v="HUN"/>
    <s v="03:48:27"/>
    <x v="1696"/>
  </r>
  <r>
    <m/>
    <s v="Wickett, George"/>
    <n v="1981"/>
    <n v="38"/>
    <s v="M30"/>
    <s v="HUN"/>
    <s v="03:29:25"/>
    <x v="1451"/>
  </r>
  <r>
    <m/>
    <s v="Palkovics Péter"/>
    <n v="1974"/>
    <n v="45"/>
    <s v="M45"/>
    <s v="HUN"/>
    <s v="04:34:41"/>
    <x v="1697"/>
  </r>
  <r>
    <m/>
    <s v="NAGY, EDE"/>
    <n v="1963"/>
    <n v="56"/>
    <s v="M40"/>
    <s v="HUN"/>
    <s v="03:51:13"/>
    <x v="1698"/>
  </r>
  <r>
    <m/>
    <s v="Melter László"/>
    <n v="1975"/>
    <n v="44"/>
    <s v="M60"/>
    <s v="SUI"/>
    <s v="04:44:03"/>
    <x v="879"/>
  </r>
  <r>
    <m/>
    <s v="Antoine, Carbon"/>
    <n v="1988"/>
    <n v="31"/>
    <s v="M25"/>
    <s v="HUN"/>
    <s v="03:56:59"/>
    <x v="1699"/>
  </r>
  <r>
    <m/>
    <s v="Behrens, Ben"/>
    <n v="1997"/>
    <n v="22"/>
    <s v="M35"/>
    <s v="CAN"/>
    <s v="03:39:52"/>
    <x v="1700"/>
  </r>
  <r>
    <m/>
    <s v="Campestrin, Andrea"/>
    <n v="1990"/>
    <n v="29"/>
    <s v="M25"/>
    <s v="SVK"/>
    <s v="05:13:42"/>
    <x v="1701"/>
  </r>
  <r>
    <m/>
    <s v="van der Neut, André"/>
    <n v="1980"/>
    <n v="39"/>
    <s v="M50"/>
    <s v="HUN"/>
    <s v="04:13:34"/>
    <x v="1702"/>
  </r>
  <r>
    <m/>
    <s v="Neger, Edwin prof"/>
    <n v="1976"/>
    <n v="43"/>
    <s v="M45"/>
    <s v="GER"/>
    <s v="03:36:20"/>
    <x v="1703"/>
  </r>
  <r>
    <m/>
    <s v="Luignano, Salvatore"/>
    <n v="1984"/>
    <n v="35"/>
    <s v="M45"/>
    <s v="FRA"/>
    <s v="04:25:52"/>
    <x v="453"/>
  </r>
  <r>
    <m/>
    <s v="Varga Csaba"/>
    <n v="1980"/>
    <n v="39"/>
    <s v="M50"/>
    <s v="HUN"/>
    <s v="03:28:24"/>
    <x v="940"/>
  </r>
  <r>
    <m/>
    <s v="Sławomir, Włoch"/>
    <n v="1968"/>
    <n v="51"/>
    <s v="M50"/>
    <s v="HUN"/>
    <s v="03:43:45"/>
    <x v="1704"/>
  </r>
  <r>
    <m/>
    <s v="Domiter Zoltán"/>
    <n v="1993"/>
    <n v="26"/>
    <s v="M45"/>
    <s v="AUT"/>
    <s v="03:41:03"/>
    <x v="1267"/>
  </r>
  <r>
    <m/>
    <s v="Adank, Gian"/>
    <n v="1958"/>
    <n v="61"/>
    <s v="M20"/>
    <s v="ESP"/>
    <s v="03:36:35"/>
    <x v="1705"/>
  </r>
  <r>
    <m/>
    <s v="Palakovics Péter dr"/>
    <n v="1973"/>
    <n v="46"/>
    <s v="M30"/>
    <s v="HUN"/>
    <s v="03:58:30"/>
    <x v="1706"/>
  </r>
  <r>
    <m/>
    <s v="Révai József"/>
    <n v="1993"/>
    <n v="26"/>
    <s v="M45"/>
    <s v="POL"/>
    <s v="04:03:28"/>
    <x v="470"/>
  </r>
  <r>
    <m/>
    <s v="Lyall-Collins, Angus"/>
    <n v="1956"/>
    <n v="63"/>
    <s v="M25"/>
    <s v="RSA"/>
    <s v="03:51:49"/>
    <x v="1579"/>
  </r>
  <r>
    <m/>
    <s v="OKAZAKI, TAKAFUMI"/>
    <n v="1966"/>
    <n v="53"/>
    <s v="M40"/>
    <s v="HUN"/>
    <s v="04:07:16"/>
    <x v="1707"/>
  </r>
  <r>
    <m/>
    <s v="Pollák András"/>
    <n v="1979"/>
    <n v="40"/>
    <s v="M30"/>
    <s v="GBR"/>
    <s v="05:03:32"/>
    <x v="869"/>
  </r>
  <r>
    <m/>
    <s v="Gaszner Zsolt"/>
    <n v="1971"/>
    <n v="48"/>
    <s v="M30"/>
    <s v="FRA"/>
    <s v="03:09:35"/>
    <x v="103"/>
  </r>
  <r>
    <m/>
    <s v="Fehér Sándor Adrián"/>
    <n v="1970"/>
    <n v="49"/>
    <s v="M35"/>
    <s v="HUN"/>
    <s v="04:07:25"/>
    <x v="1708"/>
  </r>
  <r>
    <m/>
    <s v="Korpics Zsolt"/>
    <n v="1968"/>
    <n v="51"/>
    <s v="M40"/>
    <s v="HUN"/>
    <s v="03:36:24"/>
    <x v="1709"/>
  </r>
  <r>
    <m/>
    <s v="Fehér László"/>
    <n v="1969"/>
    <n v="50"/>
    <s v="M50"/>
    <s v="HUN"/>
    <s v="03:28:30"/>
    <x v="1710"/>
  </r>
  <r>
    <m/>
    <s v="XU, SHIDONG"/>
    <n v="1966"/>
    <n v="53"/>
    <s v="M40"/>
    <s v="HUN"/>
    <s v="03:04:16"/>
    <x v="1711"/>
  </r>
  <r>
    <m/>
    <s v="Karikó Zalán"/>
    <n v="1968"/>
    <n v="51"/>
    <s v="M18"/>
    <s v="HUN"/>
    <s v="03:57:54"/>
    <x v="1322"/>
  </r>
  <r>
    <m/>
    <s v="Govil, Rajiv prof"/>
    <n v="1963"/>
    <n v="56"/>
    <s v="M55"/>
    <s v="FRA"/>
    <s v="04:41:33"/>
    <x v="390"/>
  </r>
  <r>
    <m/>
    <s v="Bálint Zoltán"/>
    <n v="1955"/>
    <n v="64"/>
    <s v="M45"/>
    <s v="HUN"/>
    <s v="03:10:35"/>
    <x v="917"/>
  </r>
  <r>
    <m/>
    <s v="Mézes, Mátyás"/>
    <n v="1971"/>
    <n v="48"/>
    <s v="M30"/>
    <s v="SVK"/>
    <s v="03:56:20"/>
    <x v="389"/>
  </r>
  <r>
    <m/>
    <s v="Jaller, Carl"/>
    <n v="1974"/>
    <n v="45"/>
    <s v="M35"/>
    <s v="HUN"/>
    <s v="04:19:10"/>
    <x v="588"/>
  </r>
  <r>
    <m/>
    <s v="Slobodianyk, Maksym"/>
    <n v="1980"/>
    <n v="39"/>
    <s v="M20"/>
    <s v="HUN"/>
    <s v="03:14:10"/>
    <x v="1712"/>
  </r>
  <r>
    <m/>
    <s v="Murden, Philip"/>
    <n v="1973"/>
    <n v="46"/>
    <s v="M35"/>
    <s v="HUN"/>
    <s v="03:10:02"/>
    <x v="1713"/>
  </r>
  <r>
    <m/>
    <s v="Horvay Ákos"/>
    <n v="1979"/>
    <n v="40"/>
    <s v="M20"/>
    <s v="SVK"/>
    <s v="03:10:43"/>
    <x v="564"/>
  </r>
  <r>
    <m/>
    <s v="Magyar Attila"/>
    <n v="1978"/>
    <n v="41"/>
    <s v="M30"/>
    <s v="HUN"/>
    <s v="03:29:22"/>
    <x v="1357"/>
  </r>
  <r>
    <m/>
    <s v="Jelenek Ferenc"/>
    <n v="1974"/>
    <n v="45"/>
    <s v="M35"/>
    <s v="HUN"/>
    <s v="04:02:38"/>
    <x v="1123"/>
  </r>
  <r>
    <m/>
    <s v="Sélley Gábor"/>
    <n v="1987"/>
    <n v="32"/>
    <s v="M45"/>
    <s v="HUN"/>
    <s v="03:56:00"/>
    <x v="1714"/>
  </r>
  <r>
    <m/>
    <s v="Shaw, Stephen"/>
    <n v="1992"/>
    <n v="27"/>
    <s v="M60"/>
    <s v="INA"/>
    <s v="04:27:52"/>
    <x v="1715"/>
  </r>
  <r>
    <m/>
    <s v="Avgenikos, Ioannis"/>
    <n v="1969"/>
    <n v="50"/>
    <s v="M50"/>
    <s v="HUN"/>
    <s v="03:37:47"/>
    <x v="1716"/>
  </r>
  <r>
    <m/>
    <s v="LOUVIOT, Benoit"/>
    <n v="1982"/>
    <n v="37"/>
    <s v="M45"/>
    <s v="CZE"/>
    <s v="04:52:59"/>
    <x v="1717"/>
  </r>
  <r>
    <m/>
    <s v="BRONDIN, JACKY"/>
    <n v="1987"/>
    <n v="32"/>
    <s v="M55"/>
    <s v="HUN"/>
    <s v="04:53:16"/>
    <x v="1718"/>
  </r>
  <r>
    <m/>
    <s v="Tóth Ákos"/>
    <n v="1987"/>
    <n v="32"/>
    <s v="M25"/>
    <s v="HUN"/>
    <s v="04:30:21"/>
    <x v="1719"/>
  </r>
  <r>
    <m/>
    <s v="Béres Szilárd"/>
    <n v="1976"/>
    <n v="43"/>
    <s v="M50"/>
    <s v="HUN"/>
    <s v="04:16:48"/>
    <x v="1720"/>
  </r>
  <r>
    <m/>
    <s v="Bíró Gábor"/>
    <n v="1977"/>
    <n v="42"/>
    <s v="M40"/>
    <s v="HUN"/>
    <s v="03:41:32"/>
    <x v="107"/>
  </r>
  <r>
    <m/>
    <s v="Kovács Csaba Gyula"/>
    <n v="1972"/>
    <n v="47"/>
    <s v="M45"/>
    <s v="HUN"/>
    <s v="04:53:08"/>
    <x v="1721"/>
  </r>
  <r>
    <m/>
    <s v="Cadden, James"/>
    <n v="1976"/>
    <n v="43"/>
    <s v="M40"/>
    <s v="HUN"/>
    <s v="03:44:15"/>
    <x v="1215"/>
  </r>
  <r>
    <m/>
    <s v="Nyiri László"/>
    <n v="1976"/>
    <n v="43"/>
    <s v="M40"/>
    <s v="HUN"/>
    <s v="04:27:49"/>
    <x v="1722"/>
  </r>
  <r>
    <m/>
    <s v="Bokker Tamás"/>
    <n v="1973"/>
    <n v="46"/>
    <s v="M45"/>
    <s v="HUN"/>
    <s v="03:53:36"/>
    <x v="1723"/>
  </r>
  <r>
    <m/>
    <s v="Morcillo, Francisco Luis"/>
    <n v="1970"/>
    <n v="49"/>
    <s v="M35"/>
    <s v="HUN"/>
    <s v="03:27:55"/>
    <x v="1724"/>
  </r>
  <r>
    <m/>
    <s v="Guillaume, Lefin"/>
    <n v="1960"/>
    <n v="59"/>
    <s v="M25"/>
    <s v="HUN"/>
    <s v="04:16:22"/>
    <x v="1725"/>
  </r>
  <r>
    <m/>
    <s v="Takács Csaba"/>
    <n v="1972"/>
    <n v="47"/>
    <s v="M50"/>
    <s v="HUN"/>
    <s v="04:49:30"/>
    <x v="1726"/>
  </r>
  <r>
    <m/>
    <s v="Nyolcas Patrik"/>
    <n v="1983"/>
    <n v="36"/>
    <s v="M20"/>
    <s v="HUN"/>
    <s v="04:28:27"/>
    <x v="1727"/>
  </r>
  <r>
    <m/>
    <s v="Kuczkó Róbert"/>
    <n v="1985"/>
    <n v="34"/>
    <s v="M45"/>
    <s v="HUN"/>
    <s v="03:22:41"/>
    <x v="1728"/>
  </r>
  <r>
    <m/>
    <s v="Johansson, Anders"/>
    <n v="1973"/>
    <n v="46"/>
    <s v="M55"/>
    <s v="HUN"/>
    <s v="04:17:56"/>
    <x v="557"/>
  </r>
  <r>
    <m/>
    <s v="Green, Nick"/>
    <n v="1984"/>
    <n v="35"/>
    <s v="M40"/>
    <s v="RUS"/>
    <s v="04:32:42"/>
    <x v="422"/>
  </r>
  <r>
    <m/>
    <s v="Kassai Károly dr"/>
    <n v="1996"/>
    <n v="23"/>
    <s v="M60"/>
    <s v="GBR"/>
    <s v="03:31:56"/>
    <x v="624"/>
  </r>
  <r>
    <m/>
    <s v="Zsigmond István"/>
    <n v="1965"/>
    <n v="54"/>
    <s v="M35"/>
    <s v="FRA"/>
    <s v="03:46:33"/>
    <x v="1729"/>
  </r>
  <r>
    <m/>
    <s v="Szemerédi Gábor"/>
    <n v="1968"/>
    <n v="51"/>
    <s v="M30"/>
    <s v="HUN"/>
    <s v="03:55:05"/>
    <x v="172"/>
  </r>
  <r>
    <m/>
    <s v="Walter, EIKE"/>
    <n v="1996"/>
    <n v="23"/>
    <s v="M65"/>
    <s v="HUN"/>
    <s v="04:03:31"/>
    <x v="1730"/>
  </r>
  <r>
    <m/>
    <s v="Buza Rómeó"/>
    <n v="1961"/>
    <n v="58"/>
    <s v="M20"/>
    <s v="BEL"/>
    <s v="04:03:38"/>
    <x v="468"/>
  </r>
  <r>
    <m/>
    <s v="Balassa Vilmos"/>
    <n v="1968"/>
    <n v="51"/>
    <s v="M20"/>
    <s v="POL"/>
    <s v="04:09:25"/>
    <x v="1731"/>
  </r>
  <r>
    <m/>
    <s v="Tunquist, Eric"/>
    <n v="1995"/>
    <n v="24"/>
    <s v="M60"/>
    <s v="NED"/>
    <s v="04:12:00"/>
    <x v="1732"/>
  </r>
  <r>
    <m/>
    <s v="Plaza, Dariusz"/>
    <n v="1978"/>
    <n v="41"/>
    <s v="M50"/>
    <s v="HUN"/>
    <s v="03:30:39"/>
    <x v="1733"/>
  </r>
  <r>
    <m/>
    <s v="Craescu Gabriel"/>
    <n v="1959"/>
    <n v="60"/>
    <s v="M20"/>
    <s v="FRA"/>
    <s v="04:20:17"/>
    <x v="1734"/>
  </r>
  <r>
    <m/>
    <s v="Kocsis Péter"/>
    <n v="1968"/>
    <n v="51"/>
    <s v="M40"/>
    <s v="HUN"/>
    <s v="04:56:53"/>
    <x v="1735"/>
  </r>
  <r>
    <m/>
    <s v="Brans, Jeroen dr"/>
    <n v="1990"/>
    <n v="29"/>
    <s v="M40"/>
    <s v="SVK"/>
    <s v="03:42:15"/>
    <x v="1581"/>
  </r>
  <r>
    <m/>
    <s v="Füleki Ádám"/>
    <n v="1977"/>
    <n v="42"/>
    <s v="M50"/>
    <s v="FIN"/>
    <s v="04:24:30"/>
    <x v="1736"/>
  </r>
  <r>
    <m/>
    <s v="Surányi, Attila"/>
    <n v="1986"/>
    <n v="33"/>
    <s v="M45"/>
    <s v="DEN"/>
    <s v="04:32:53"/>
    <x v="1737"/>
  </r>
  <r>
    <m/>
    <s v="Farkas Gábor dr"/>
    <n v="1973"/>
    <n v="46"/>
    <s v="M40"/>
    <s v="HUN"/>
    <s v="04:59:02"/>
    <x v="1738"/>
  </r>
  <r>
    <m/>
    <s v="Helder van den, Marc prof"/>
    <n v="1974"/>
    <n v="45"/>
    <s v="M40"/>
    <s v="POL"/>
    <s v="02:52:07"/>
    <x v="286"/>
  </r>
  <r>
    <m/>
    <s v="Dos Santos Ribeiro, José Fortunato prof"/>
    <n v="1979"/>
    <n v="40"/>
    <s v="M55"/>
    <s v="HUN"/>
    <s v="03:43:44"/>
    <x v="1739"/>
  </r>
  <r>
    <m/>
    <s v="Montag, Andreas"/>
    <n v="1987"/>
    <n v="32"/>
    <s v="M65"/>
    <s v="HUN"/>
    <s v="03:56:17"/>
    <x v="1740"/>
  </r>
  <r>
    <m/>
    <s v="Pető Zoltán"/>
    <n v="1973"/>
    <n v="46"/>
    <s v="M30"/>
    <s v="FRA"/>
    <s v="02:54:43"/>
    <x v="1741"/>
  </r>
  <r>
    <m/>
    <s v="Watson, Glenn"/>
    <n v="1964"/>
    <n v="55"/>
    <s v="M30"/>
    <s v="HUN"/>
    <s v="04:10:09"/>
    <x v="1359"/>
  </r>
  <r>
    <m/>
    <s v="Hammond, Dean"/>
    <n v="1965"/>
    <n v="54"/>
    <s v="M30"/>
    <s v="HUN"/>
    <s v="03:46:40"/>
    <x v="616"/>
  </r>
  <r>
    <m/>
    <s v="Nyári Zoltán"/>
    <n v="1976"/>
    <n v="43"/>
    <s v="M45"/>
    <s v="HUN"/>
    <s v="04:58:04"/>
    <x v="1088"/>
  </r>
  <r>
    <m/>
    <s v="Sander, Jona"/>
    <n v="1957"/>
    <n v="62"/>
    <s v="M30"/>
    <s v="ITA"/>
    <s v="04:01:21"/>
    <x v="1742"/>
  </r>
  <r>
    <m/>
    <s v="Horváth Norbert"/>
    <n v="1986"/>
    <n v="33"/>
    <s v="M35"/>
    <s v="HUN"/>
    <s v="04:49:58"/>
    <x v="1743"/>
  </r>
  <r>
    <m/>
    <s v="Ramus, Matthew prof"/>
    <n v="1996"/>
    <n v="23"/>
    <s v="M50"/>
    <s v="HUN"/>
    <s v="03:41:44"/>
    <x v="1607"/>
  </r>
  <r>
    <m/>
    <s v="Muhammad, Ali dr"/>
    <n v="1984"/>
    <n v="35"/>
    <s v="M35"/>
    <s v="HUN"/>
    <s v="04:42:39"/>
    <x v="1744"/>
  </r>
  <r>
    <m/>
    <s v="Mulhern, Matthew"/>
    <n v="1977"/>
    <n v="42"/>
    <s v="M30"/>
    <s v="HUN"/>
    <s v="04:50:22"/>
    <x v="1745"/>
  </r>
  <r>
    <m/>
    <s v="Debreczeni Károly Balázs"/>
    <n v="1967"/>
    <n v="52"/>
    <s v="M20"/>
    <s v="ROM"/>
    <s v="05:03:10"/>
    <x v="1205"/>
  </r>
  <r>
    <m/>
    <s v="Campestrin, Simone prof"/>
    <n v="1974"/>
    <n v="45"/>
    <s v="M25"/>
    <s v="HUN"/>
    <s v="05:11:48"/>
    <x v="1746"/>
  </r>
  <r>
    <m/>
    <s v="Szakál Endre"/>
    <n v="1986"/>
    <n v="33"/>
    <s v="M45"/>
    <s v="HUN"/>
    <s v="03:49:07"/>
    <x v="195"/>
  </r>
  <r>
    <m/>
    <s v="Chiorean, Adrian Raul"/>
    <n v="1975"/>
    <n v="44"/>
    <s v="M25"/>
    <s v="HUN"/>
    <s v="04:11:13"/>
    <x v="1747"/>
  </r>
  <r>
    <m/>
    <s v="Reynolds, Mark"/>
    <n v="1953"/>
    <n v="66"/>
    <s v="M55"/>
    <s v="GER"/>
    <s v="03:09:13"/>
    <x v="1748"/>
  </r>
  <r>
    <m/>
    <s v="Fenyő József"/>
    <n v="1968"/>
    <n v="51"/>
    <s v="M60"/>
    <s v="GBR"/>
    <s v="04:22:19"/>
    <x v="1749"/>
  </r>
  <r>
    <m/>
    <s v="Roajac, Semir"/>
    <n v="1971"/>
    <n v="48"/>
    <s v="M40"/>
    <s v="ESP"/>
    <s v="04:02:16"/>
    <x v="665"/>
  </r>
  <r>
    <m/>
    <s v="Caballero, Romulo"/>
    <n v="1975"/>
    <n v="44"/>
    <s v="M35"/>
    <s v="HUN"/>
    <s v="04:57:01"/>
    <x v="1750"/>
  </r>
  <r>
    <m/>
    <s v="Taylor, Charlie"/>
    <n v="1975"/>
    <n v="44"/>
    <s v="M20"/>
    <s v="HUN"/>
    <s v="03:44:45"/>
    <x v="1751"/>
  </r>
  <r>
    <m/>
    <s v="Zoltán, ILLÉ"/>
    <n v="1978"/>
    <n v="41"/>
    <s v="M45"/>
    <s v="HUN"/>
    <s v="04:26:13"/>
    <x v="1752"/>
  </r>
  <r>
    <m/>
    <s v="Jenei Zsolt Ferenc"/>
    <n v="1977"/>
    <n v="42"/>
    <s v="M35"/>
    <s v="HUN"/>
    <s v="05:01:03"/>
    <x v="323"/>
  </r>
  <r>
    <m/>
    <s v="Pólik Ádám"/>
    <n v="1979"/>
    <n v="40"/>
    <s v="M20"/>
    <s v="GBR"/>
    <s v="05:11:44"/>
    <x v="1753"/>
  </r>
  <r>
    <m/>
    <s v="Grant, Ben"/>
    <n v="1975"/>
    <n v="44"/>
    <s v="M18"/>
    <s v="HUN"/>
    <s v="03:50:52"/>
    <x v="1754"/>
  </r>
  <r>
    <m/>
    <s v="Vincze István ifj"/>
    <n v="1978"/>
    <n v="41"/>
    <s v="M30"/>
    <s v="HUN"/>
    <s v="04:21:39"/>
    <x v="1755"/>
  </r>
  <r>
    <m/>
    <s v="Gyimesi Benedek"/>
    <n v="1990"/>
    <n v="29"/>
    <s v="M20"/>
    <s v="NED"/>
    <s v="03:49:28"/>
    <x v="1756"/>
  </r>
  <r>
    <m/>
    <s v="Feldhoffer Benedek József"/>
    <n v="1975"/>
    <n v="44"/>
    <s v="M30"/>
    <s v="HUN"/>
    <s v="04:02:56"/>
    <x v="660"/>
  </r>
  <r>
    <m/>
    <s v="Szökrönyös László"/>
    <n v="1973"/>
    <n v="46"/>
    <s v="M45"/>
    <s v="HUN"/>
    <s v="04:10:04"/>
    <x v="1757"/>
  </r>
  <r>
    <m/>
    <s v="Bagger, Mads"/>
    <n v="1960"/>
    <n v="59"/>
    <s v="M25"/>
    <s v="DEN"/>
    <s v="03:54:20"/>
    <x v="1404"/>
  </r>
  <r>
    <m/>
    <s v="ANDRE, VIGNES"/>
    <n v="1972"/>
    <n v="47"/>
    <s v="M50"/>
    <s v="FRA"/>
    <s v="04:44:47"/>
    <x v="1758"/>
  </r>
  <r>
    <m/>
    <s v="Görög Tamás"/>
    <n v="1979"/>
    <n v="40"/>
    <s v="M45"/>
    <s v="HUN"/>
    <s v="04:34:10"/>
    <x v="1759"/>
  </r>
  <r>
    <m/>
    <s v="Tena Sebastián, Javier dr"/>
    <n v="1978"/>
    <n v="41"/>
    <s v="M25"/>
    <s v="HUN"/>
    <s v="04:11:19"/>
    <x v="1760"/>
  </r>
  <r>
    <m/>
    <s v="Smylie, Lorcan"/>
    <n v="1978"/>
    <n v="41"/>
    <s v="M30"/>
    <s v="HUN"/>
    <s v="03:33:16"/>
    <x v="215"/>
  </r>
  <r>
    <m/>
    <s v="Barla Tamás"/>
    <n v="1956"/>
    <n v="63"/>
    <s v="M25"/>
    <s v="HUN"/>
    <s v="04:53:38"/>
    <x v="1761"/>
  </r>
  <r>
    <m/>
    <s v="ERIC, FERNANDEZ LOMBARDO"/>
    <n v="1950"/>
    <n v="69"/>
    <s v="M35"/>
    <s v="HUN"/>
    <s v="03:23:20"/>
    <x v="1169"/>
  </r>
  <r>
    <m/>
    <s v="Németh Zoltán"/>
    <n v="1986"/>
    <n v="33"/>
    <s v="M20"/>
    <s v="HUN"/>
    <s v="03:08:47"/>
    <x v="1762"/>
  </r>
  <r>
    <m/>
    <s v="Kopunec, Michal"/>
    <n v="1992"/>
    <n v="27"/>
    <s v="M40"/>
    <s v="HUN"/>
    <s v="03:16:56"/>
    <x v="1763"/>
  </r>
  <r>
    <m/>
    <s v="Szinger Balázs"/>
    <n v="1980"/>
    <n v="39"/>
    <s v="M45"/>
    <s v="HUN"/>
    <s v="04:44:16"/>
    <x v="1764"/>
  </r>
  <r>
    <m/>
    <s v="Kovács Imre"/>
    <n v="1968"/>
    <n v="51"/>
    <s v="M35"/>
    <s v="FRA"/>
    <s v="04:46:17"/>
    <x v="1765"/>
  </r>
  <r>
    <m/>
    <s v="Antal Tamás"/>
    <n v="1983"/>
    <n v="36"/>
    <s v="M30"/>
    <s v="HUN"/>
    <s v="03:22:18"/>
    <x v="1687"/>
  </r>
  <r>
    <m/>
    <s v="Klap, Roel"/>
    <n v="1990"/>
    <n v="29"/>
    <s v="M30"/>
    <s v="SLO"/>
    <s v="04:13:14"/>
    <x v="1766"/>
  </r>
  <r>
    <m/>
    <s v="Bálint Márton"/>
    <n v="1976"/>
    <n v="43"/>
    <s v="M30"/>
    <s v="POL"/>
    <s v="04:15:18"/>
    <x v="1767"/>
  </r>
  <r>
    <m/>
    <s v="Iklódi Zsolt"/>
    <n v="1965"/>
    <n v="54"/>
    <s v="M25"/>
    <s v="NED"/>
    <s v="02:59:06"/>
    <x v="1768"/>
  </r>
  <r>
    <m/>
    <s v="Nagy Róbert Sándor"/>
    <n v="1974"/>
    <n v="45"/>
    <s v="M50"/>
    <s v="SWE"/>
    <s v="04:01:41"/>
    <x v="1769"/>
  </r>
  <r>
    <m/>
    <s v="Grienitz, Stefan"/>
    <n v="1960"/>
    <n v="59"/>
    <s v="M40"/>
    <s v="HUN"/>
    <s v="04:53:31"/>
    <x v="1770"/>
  </r>
  <r>
    <m/>
    <s v="Harrit, Kasper"/>
    <n v="1978"/>
    <n v="41"/>
    <s v="M25"/>
    <s v="HUN"/>
    <s v="03:56:00"/>
    <x v="1714"/>
  </r>
  <r>
    <m/>
    <s v="Chenet, Nicolas"/>
    <n v="1974"/>
    <n v="45"/>
    <s v="M30"/>
    <s v="HUN"/>
    <s v="03:45:07"/>
    <x v="1771"/>
  </r>
  <r>
    <m/>
    <s v="Demeter Attila"/>
    <n v="1985"/>
    <n v="34"/>
    <s v="M65"/>
    <s v="HUN"/>
    <s v="04:54:02"/>
    <x v="1772"/>
  </r>
  <r>
    <m/>
    <s v="Addelio, Vincenzo Pietro"/>
    <n v="1969"/>
    <n v="50"/>
    <s v="M60"/>
    <s v="POL"/>
    <s v="04:17:59"/>
    <x v="1773"/>
  </r>
  <r>
    <m/>
    <s v="Cercelaru, Constantin"/>
    <n v="1957"/>
    <n v="62"/>
    <s v="M35"/>
    <s v="POR"/>
    <s v="03:19:29"/>
    <x v="1774"/>
  </r>
  <r>
    <m/>
    <s v="Bernabeu Calatayud, Jorge"/>
    <n v="1969"/>
    <n v="50"/>
    <s v="M45"/>
    <s v="HUN"/>
    <s v="03:46:35"/>
    <x v="1775"/>
  </r>
  <r>
    <m/>
    <s v="Ronchi, Erwin"/>
    <n v="1978"/>
    <n v="41"/>
    <s v="M45"/>
    <s v="HUN"/>
    <s v="03:23:08"/>
    <x v="884"/>
  </r>
  <r>
    <m/>
    <s v="Thompson, Taylor dr"/>
    <n v="1960"/>
    <n v="59"/>
    <s v="M25"/>
    <s v="HUN"/>
    <s v="03:48:34"/>
    <x v="1776"/>
  </r>
  <r>
    <m/>
    <s v="Román László"/>
    <n v="1990"/>
    <n v="29"/>
    <s v="M40"/>
    <s v="SLO"/>
    <s v="04:11:21"/>
    <x v="1777"/>
  </r>
  <r>
    <m/>
    <s v="Szakál Péter"/>
    <n v="1995"/>
    <n v="24"/>
    <s v="M40"/>
    <s v="NED"/>
    <s v="04:20:01"/>
    <x v="1778"/>
  </r>
  <r>
    <m/>
    <s v="Király Balázs"/>
    <n v="1967"/>
    <n v="52"/>
    <s v="M45"/>
    <s v="FRA"/>
    <s v="03:52:05"/>
    <x v="1427"/>
  </r>
  <r>
    <m/>
    <s v="Francisco Jo´se, Vaquero Ramos"/>
    <n v="1991"/>
    <n v="28"/>
    <s v="M45"/>
    <s v="HUN"/>
    <s v="03:16:33"/>
    <x v="1473"/>
  </r>
  <r>
    <m/>
    <s v="Heyl, Thomas"/>
    <n v="1973"/>
    <n v="46"/>
    <s v="M55"/>
    <s v="GBR"/>
    <s v="04:39:50"/>
    <x v="1779"/>
  </r>
  <r>
    <m/>
    <s v="Babos Csaba"/>
    <n v="1978"/>
    <n v="41"/>
    <s v="M45"/>
    <s v="HUN"/>
    <s v="03:26:59"/>
    <x v="1780"/>
  </r>
  <r>
    <m/>
    <s v="DONGYUE, Liu"/>
    <n v="1982"/>
    <n v="37"/>
    <s v="M40"/>
    <s v="HUN"/>
    <s v="04:06:11"/>
    <x v="1781"/>
  </r>
  <r>
    <m/>
    <s v="Hartmann Dániel"/>
    <n v="1978"/>
    <n v="41"/>
    <s v="M40"/>
    <s v="FRA"/>
    <s v="04:38:08"/>
    <x v="694"/>
  </r>
  <r>
    <m/>
    <s v="Brown, Payton"/>
    <n v="1982"/>
    <n v="37"/>
    <s v="M20"/>
    <s v="HUN"/>
    <s v="03:42:06"/>
    <x v="1782"/>
  </r>
  <r>
    <m/>
    <s v="Stanley, Lloyd"/>
    <n v="1970"/>
    <n v="49"/>
    <s v="M45"/>
    <s v="HUN"/>
    <s v="03:46:16"/>
    <x v="1783"/>
  </r>
  <r>
    <m/>
    <s v="Herbertsson, Gunnar"/>
    <n v="1984"/>
    <n v="35"/>
    <s v="M65"/>
    <s v="UKR"/>
    <s v="04:04:04"/>
    <x v="173"/>
  </r>
  <r>
    <m/>
    <s v="Veres Gábor"/>
    <n v="1994"/>
    <n v="25"/>
    <s v="M45"/>
    <s v="BEL"/>
    <s v="04:52:10"/>
    <x v="1784"/>
  </r>
  <r>
    <m/>
    <s v="McGee, Conor"/>
    <n v="1972"/>
    <n v="47"/>
    <s v="M25"/>
    <s v="HUN"/>
    <s v="04:58:39"/>
    <x v="1785"/>
  </r>
  <r>
    <m/>
    <s v="Konrád Sándor"/>
    <n v="1969"/>
    <n v="50"/>
    <s v="M35"/>
    <s v="HUN"/>
    <s v="03:50:30"/>
    <x v="1786"/>
  </r>
  <r>
    <m/>
    <s v="Maroda Máté"/>
    <n v="1989"/>
    <n v="30"/>
    <s v="M20"/>
    <s v="HUN"/>
    <s v="04:26:20"/>
    <x v="779"/>
  </r>
  <r>
    <m/>
    <s v="Kovac, Pavel"/>
    <n v="1959"/>
    <n v="60"/>
    <s v="M30"/>
    <s v="FRA"/>
    <s v="04:20:22"/>
    <x v="1787"/>
  </r>
  <r>
    <m/>
    <s v="Szabo Balazs"/>
    <n v="1976"/>
    <n v="43"/>
    <s v="M50"/>
    <s v="HUN"/>
    <s v="03:41:56"/>
    <x v="844"/>
  </r>
  <r>
    <m/>
    <s v="Wurmański, Wiktor"/>
    <n v="1969"/>
    <n v="50"/>
    <s v="M40"/>
    <s v="GRE"/>
    <s v="04:23:53"/>
    <x v="1788"/>
  </r>
  <r>
    <m/>
    <s v="Kiss Balázs"/>
    <n v="1976"/>
    <n v="43"/>
    <s v="M45"/>
    <s v="HUN"/>
    <s v="04:44:12"/>
    <x v="1789"/>
  </r>
  <r>
    <m/>
    <s v="Lyne, Harvey prof"/>
    <n v="1979"/>
    <n v="40"/>
    <s v="M20"/>
    <s v="POL"/>
    <s v="03:31:28"/>
    <x v="1790"/>
  </r>
  <r>
    <m/>
    <s v="Dósa Attila"/>
    <n v="1988"/>
    <n v="31"/>
    <s v="M40"/>
    <s v="HUN"/>
    <s v="04:43:51"/>
    <x v="1000"/>
  </r>
  <r>
    <m/>
    <s v="Bokros Péter"/>
    <n v="1994"/>
    <n v="25"/>
    <s v="M35"/>
    <s v="UKR"/>
    <s v="04:10:44"/>
    <x v="952"/>
  </r>
  <r>
    <m/>
    <s v="SCHINIOU, KYRIACOS"/>
    <n v="1999"/>
    <n v="20"/>
    <s v="M55"/>
    <s v="HUN"/>
    <s v="03:30:11"/>
    <x v="1791"/>
  </r>
  <r>
    <m/>
    <s v="Catois, Quentin"/>
    <n v="1981"/>
    <n v="38"/>
    <s v="M30"/>
    <s v="HUN"/>
    <s v="03:43:56"/>
    <x v="1792"/>
  </r>
  <r>
    <m/>
    <s v="Pongrácz Márton"/>
    <n v="1980"/>
    <n v="39"/>
    <s v="M25"/>
    <s v="HUN"/>
    <s v="04:03:38"/>
    <x v="468"/>
  </r>
  <r>
    <m/>
    <s v="Négyesi László ifj"/>
    <n v="1960"/>
    <n v="59"/>
    <s v="M45"/>
    <s v="GBR"/>
    <s v="04:34:44"/>
    <x v="1793"/>
  </r>
  <r>
    <m/>
    <s v="Zhuo, Chen"/>
    <n v="1974"/>
    <n v="45"/>
    <s v="M20"/>
    <s v="HUN"/>
    <s v="04:44:04"/>
    <x v="71"/>
  </r>
  <r>
    <m/>
    <s v="Masters, Dorian"/>
    <n v="1952"/>
    <n v="67"/>
    <s v="M25"/>
    <s v="GER"/>
    <s v="03:04:44"/>
    <x v="1794"/>
  </r>
  <r>
    <m/>
    <s v="Hernández Ramos, Ignacio prof"/>
    <n v="1979"/>
    <n v="40"/>
    <s v="M50"/>
    <s v="POL"/>
    <s v="04:16:38"/>
    <x v="1795"/>
  </r>
  <r>
    <m/>
    <s v="Bozsik Balázs"/>
    <n v="1972"/>
    <n v="47"/>
    <s v="M45"/>
    <s v="CZE"/>
    <s v="03:33:30"/>
    <x v="1796"/>
  </r>
  <r>
    <m/>
    <s v="Farkas Péter"/>
    <n v="1977"/>
    <n v="42"/>
    <s v="M40"/>
    <s v="UKR"/>
    <s v="03:41:25"/>
    <x v="1797"/>
  </r>
  <r>
    <m/>
    <s v="Illés Mátyás"/>
    <n v="1985"/>
    <n v="34"/>
    <s v="M45"/>
    <s v="UKR"/>
    <s v="03:16:47"/>
    <x v="696"/>
  </r>
  <r>
    <m/>
    <s v="Madrigal Villalobos, Marvin dr"/>
    <n v="1970"/>
    <n v="49"/>
    <s v="M40"/>
    <s v="HUN"/>
    <s v="03:22:14"/>
    <x v="1798"/>
  </r>
  <r>
    <m/>
    <s v="Pogonyi Márton"/>
    <n v="1985"/>
    <n v="34"/>
    <s v="M20"/>
    <s v="BEL"/>
    <s v="03:46:27"/>
    <x v="1485"/>
  </r>
  <r>
    <m/>
    <s v="Cservák György"/>
    <n v="1976"/>
    <n v="43"/>
    <s v="M35"/>
    <s v="HUN"/>
    <s v="04:16:26"/>
    <x v="700"/>
  </r>
  <r>
    <m/>
    <s v="Baranyi Gábor"/>
    <n v="1971"/>
    <n v="48"/>
    <s v="M50"/>
    <s v="NED"/>
    <s v="05:17:58"/>
    <x v="1799"/>
  </r>
  <r>
    <m/>
    <s v="Davies, Adam"/>
    <n v="1976"/>
    <n v="43"/>
    <s v="M45"/>
    <s v="HUN"/>
    <s v="03:23:18"/>
    <x v="1026"/>
  </r>
  <r>
    <m/>
    <s v="Nagy Péter"/>
    <n v="1969"/>
    <n v="50"/>
    <s v="M45"/>
    <s v="HUN"/>
    <s v="03:45:19"/>
    <x v="1800"/>
  </r>
  <r>
    <m/>
    <s v="Ulrich, Argeo"/>
    <n v="1975"/>
    <n v="44"/>
    <s v="M25"/>
    <s v="HUN"/>
    <s v="03:53:57"/>
    <x v="1801"/>
  </r>
  <r>
    <m/>
    <s v="NAVARRO SANCHEZ, FRANCISCO MANUEL"/>
    <n v="2000"/>
    <n v="19"/>
    <s v="M50"/>
    <s v="SVK"/>
    <s v="05:00:00"/>
    <x v="1802"/>
  </r>
  <r>
    <m/>
    <s v="Darányi János"/>
    <n v="1989"/>
    <n v="30"/>
    <s v="M60"/>
    <s v="HUN"/>
    <s v="03:59:35"/>
    <x v="1803"/>
  </r>
  <r>
    <m/>
    <s v="Gramatikov, Martin dr"/>
    <n v="1970"/>
    <n v="49"/>
    <s v="M50"/>
    <s v="HUN"/>
    <s v="03:08:20"/>
    <x v="1804"/>
  </r>
  <r>
    <m/>
    <s v="Tóth Péter Tamás"/>
    <n v="1964"/>
    <n v="55"/>
    <s v="M40"/>
    <s v="POR"/>
    <s v="03:23:12"/>
    <x v="247"/>
  </r>
  <r>
    <m/>
    <s v="Yasyukevich, Dmitry"/>
    <n v="1977"/>
    <n v="42"/>
    <s v="M40"/>
    <s v="HUN"/>
    <s v="03:43:52"/>
    <x v="1805"/>
  </r>
  <r>
    <m/>
    <s v="Kajtar, Alpar Jozsef"/>
    <n v="1970"/>
    <n v="49"/>
    <s v="M30"/>
    <s v="HUN"/>
    <s v="03:35:29"/>
    <x v="1806"/>
  </r>
  <r>
    <m/>
    <s v="Trnkocy, Martin"/>
    <n v="1974"/>
    <n v="45"/>
    <s v="M40"/>
    <s v="HUN"/>
    <s v="03:53:09"/>
    <x v="1807"/>
  </r>
  <r>
    <m/>
    <s v="Bopushev, Stalbek"/>
    <n v="1973"/>
    <n v="46"/>
    <s v="M35"/>
    <s v="HUN"/>
    <s v="04:11:52"/>
    <x v="1808"/>
  </r>
  <r>
    <m/>
    <s v="Bajusz Péter"/>
    <n v="1979"/>
    <n v="40"/>
    <s v="M45"/>
    <s v="IRL"/>
    <s v="04:36:12"/>
    <x v="1809"/>
  </r>
  <r>
    <m/>
    <s v="Minter, Daniel"/>
    <n v="1978"/>
    <n v="41"/>
    <s v="M25"/>
    <s v="AUT"/>
    <s v="03:38:13"/>
    <x v="1810"/>
  </r>
  <r>
    <m/>
    <s v="Reynolds, Mark"/>
    <n v="1976"/>
    <n v="43"/>
    <s v="M55"/>
    <s v="HUN"/>
    <s v="03:09:13"/>
    <x v="1748"/>
  </r>
  <r>
    <m/>
    <s v="Peters, Liam"/>
    <n v="1968"/>
    <n v="51"/>
    <s v="M20"/>
    <s v="NED"/>
    <s v="03:37:42"/>
    <x v="1811"/>
  </r>
  <r>
    <m/>
    <s v="Molnár Ferenc Dr."/>
    <n v="1996"/>
    <n v="23"/>
    <s v="M50"/>
    <s v="HUN"/>
    <s v="04:15:10"/>
    <x v="1812"/>
  </r>
  <r>
    <m/>
    <s v="Felföldi Bálint"/>
    <n v="1975"/>
    <n v="44"/>
    <s v="M20"/>
    <s v="HUN"/>
    <s v="04:32:23"/>
    <x v="1813"/>
  </r>
  <r>
    <m/>
    <s v="Vitéz Attila"/>
    <n v="1971"/>
    <n v="48"/>
    <s v="M50"/>
    <s v="HUN"/>
    <s v="04:43:35"/>
    <x v="1814"/>
  </r>
  <r>
    <m/>
    <s v="Homoki Bálint"/>
    <n v="1958"/>
    <n v="61"/>
    <s v="M50"/>
    <s v="HUN"/>
    <s v="03:49:06"/>
    <x v="1815"/>
  </r>
  <r>
    <m/>
    <s v="Kovács Szabolcs"/>
    <n v="1961"/>
    <n v="58"/>
    <s v="M25"/>
    <s v="GBR"/>
    <s v="02:42:18"/>
    <x v="1816"/>
  </r>
  <r>
    <m/>
    <s v="Wolstenholme, Ian"/>
    <n v="1964"/>
    <n v="55"/>
    <s v="M40"/>
    <s v="HUN"/>
    <s v="04:51:25"/>
    <x v="1817"/>
  </r>
  <r>
    <m/>
    <s v="Pruzsinszki Bence"/>
    <n v="1974"/>
    <n v="45"/>
    <s v="M20"/>
    <s v="ITA"/>
    <s v="03:16:59"/>
    <x v="1818"/>
  </r>
  <r>
    <m/>
    <s v="Bernard, WOLLENBURGER"/>
    <n v="1973"/>
    <n v="46"/>
    <s v="M50"/>
    <s v="NED"/>
    <s v="03:57:07"/>
    <x v="1819"/>
  </r>
  <r>
    <m/>
    <s v="Fabók János"/>
    <n v="2000"/>
    <n v="19"/>
    <s v="M45"/>
    <s v="HUN"/>
    <s v="05:02:39"/>
    <x v="1018"/>
  </r>
  <r>
    <m/>
    <s v="Prencsok József"/>
    <n v="1969"/>
    <n v="50"/>
    <s v="M40"/>
    <s v="HUN"/>
    <s v="03:55:39"/>
    <x v="1820"/>
  </r>
  <r>
    <m/>
    <s v="Papp Dominik"/>
    <n v="2000"/>
    <n v="19"/>
    <s v="M25"/>
    <s v="HUN"/>
    <s v="04:29:42"/>
    <x v="1397"/>
  </r>
  <r>
    <m/>
    <s v="Hegyi Tibor"/>
    <n v="1977"/>
    <n v="42"/>
    <s v="M50"/>
    <s v="HUN"/>
    <s v="04:20:35"/>
    <x v="650"/>
  </r>
  <r>
    <m/>
    <s v="Jean-Valery, Atohoun"/>
    <n v="1966"/>
    <n v="53"/>
    <s v="M30"/>
    <s v="FIN"/>
    <s v="03:05:16"/>
    <x v="1821"/>
  </r>
  <r>
    <m/>
    <s v="Bangha Tamás Krisztián"/>
    <n v="1971"/>
    <n v="48"/>
    <s v="M45"/>
    <s v="HUN"/>
    <s v="04:04:12"/>
    <x v="479"/>
  </r>
  <r>
    <m/>
    <s v="McFerren Kristof"/>
    <n v="1963"/>
    <n v="56"/>
    <s v="M30"/>
    <s v="FRA"/>
    <s v="04:15:23"/>
    <x v="1822"/>
  </r>
  <r>
    <m/>
    <s v="László Norbert"/>
    <n v="1992"/>
    <n v="27"/>
    <s v="M45"/>
    <s v="SWE"/>
    <s v="04:28:32"/>
    <x v="1823"/>
  </r>
  <r>
    <m/>
    <s v="Padgham, James"/>
    <n v="1975"/>
    <n v="44"/>
    <s v="M20"/>
    <s v="HUN"/>
    <s v="03:52:17"/>
    <x v="1824"/>
  </r>
  <r>
    <m/>
    <s v="Warin, Hugo"/>
    <n v="1970"/>
    <n v="49"/>
    <s v="M20"/>
    <s v="GBR"/>
    <s v="04:32:22"/>
    <x v="1825"/>
  </r>
  <r>
    <m/>
    <s v="Omahen, Scott"/>
    <n v="1963"/>
    <n v="56"/>
    <s v="M35"/>
    <s v="HUN"/>
    <s v="04:41:34"/>
    <x v="1826"/>
  </r>
  <r>
    <m/>
    <s v="Szabo, John"/>
    <n v="1971"/>
    <n v="48"/>
    <s v="M30"/>
    <s v="CAN"/>
    <s v="03:25:53"/>
    <x v="1827"/>
  </r>
  <r>
    <m/>
    <s v="Madár Áron Attila"/>
    <n v="1973"/>
    <n v="46"/>
    <s v="M20"/>
    <s v="HUN"/>
    <s v="04:34:00"/>
    <x v="1828"/>
  </r>
  <r>
    <m/>
    <s v="Makai Ádám"/>
    <n v="1963"/>
    <n v="56"/>
    <s v="M25"/>
    <s v="HUN"/>
    <s v="04:36:23"/>
    <x v="1583"/>
  </r>
  <r>
    <m/>
    <s v="Wieszt Zoltán"/>
    <n v="1976"/>
    <n v="43"/>
    <s v="M45"/>
    <s v="HUN"/>
    <s v="04:56:41"/>
    <x v="1829"/>
  </r>
  <r>
    <m/>
    <s v="Cseh Károly"/>
    <n v="1972"/>
    <n v="47"/>
    <s v="M35"/>
    <s v="HUN"/>
    <s v="04:09:21"/>
    <x v="1830"/>
  </r>
  <r>
    <m/>
    <s v="Hillewaere, Elias"/>
    <n v="1976"/>
    <n v="43"/>
    <s v="M25"/>
    <s v="HUN"/>
    <s v="04:12:01"/>
    <x v="1831"/>
  </r>
  <r>
    <m/>
    <s v="Pethő Levente"/>
    <n v="1954"/>
    <n v="65"/>
    <s v="M20"/>
    <s v="FRA"/>
    <s v="05:07:34"/>
    <x v="1832"/>
  </r>
  <r>
    <m/>
    <s v="Arora, Udit"/>
    <n v="1981"/>
    <n v="38"/>
    <s v="M45"/>
    <s v="GER"/>
    <s v="04:16:05"/>
    <x v="1833"/>
  </r>
  <r>
    <m/>
    <s v="Antalka Gergely"/>
    <n v="1970"/>
    <n v="49"/>
    <s v="M20"/>
    <s v="GBR"/>
    <s v="04:36:17"/>
    <x v="1834"/>
  </r>
  <r>
    <m/>
    <s v="Rodick, Olivier"/>
    <n v="1968"/>
    <n v="51"/>
    <s v="M50"/>
    <s v="HUN"/>
    <s v="03:14:37"/>
    <x v="1835"/>
  </r>
  <r>
    <m/>
    <s v="Cserpák Tamás"/>
    <n v="1978"/>
    <n v="41"/>
    <s v="M45"/>
    <s v="HUN"/>
    <s v="03:23:14"/>
    <x v="97"/>
  </r>
  <r>
    <m/>
    <s v="Manole, Paul Alexandru"/>
    <n v="1969"/>
    <n v="50"/>
    <s v="M45"/>
    <s v="POR"/>
    <s v="04:51:43"/>
    <x v="1836"/>
  </r>
  <r>
    <m/>
    <s v="TERRADURA, Yoann"/>
    <n v="1979"/>
    <n v="40"/>
    <s v="M50"/>
    <s v="FRA"/>
    <s v="04:01:25"/>
    <x v="1013"/>
  </r>
  <r>
    <m/>
    <s v="Rodríguez, Daniel prof"/>
    <n v="1987"/>
    <n v="32"/>
    <s v="M40"/>
    <s v="HUN"/>
    <s v="03:23:38"/>
    <x v="941"/>
  </r>
  <r>
    <m/>
    <s v="Connor, Alistair"/>
    <n v="1975"/>
    <n v="44"/>
    <s v="M25"/>
    <s v="BEL"/>
    <s v="03:28:39"/>
    <x v="1837"/>
  </r>
  <r>
    <m/>
    <s v="Dósai-Molnár Krisztián"/>
    <n v="1956"/>
    <n v="63"/>
    <s v="M40"/>
    <s v="BEL"/>
    <s v="05:23:12"/>
    <x v="1838"/>
  </r>
  <r>
    <m/>
    <s v="Hartyáni Ákos"/>
    <n v="1989"/>
    <n v="30"/>
    <s v="M40"/>
    <s v="HUN"/>
    <s v="04:49:25"/>
    <x v="1839"/>
  </r>
  <r>
    <m/>
    <s v="Milák Attila"/>
    <n v="1980"/>
    <n v="39"/>
    <s v="M20"/>
    <s v="MEX"/>
    <s v="05:30:22"/>
    <x v="1840"/>
  </r>
  <r>
    <m/>
    <s v="Molnár, Tamás"/>
    <n v="1971"/>
    <n v="48"/>
    <s v="M40"/>
    <s v="DEN"/>
    <s v="04:22:21"/>
    <x v="1841"/>
  </r>
  <r>
    <m/>
    <s v="Nánássy Tamás"/>
    <n v="1967"/>
    <n v="52"/>
    <s v="M35"/>
    <s v="ITA"/>
    <s v="03:54:25"/>
    <x v="942"/>
  </r>
  <r>
    <m/>
    <s v="Zsane Vlagyiszlav"/>
    <n v="1974"/>
    <n v="45"/>
    <s v="M50"/>
    <s v="HUN"/>
    <s v="04:07:06"/>
    <x v="1312"/>
  </r>
  <r>
    <m/>
    <s v="Batai László"/>
    <n v="1970"/>
    <n v="49"/>
    <s v="M30"/>
    <s v="GBR"/>
    <s v="03:33:27"/>
    <x v="1842"/>
  </r>
  <r>
    <m/>
    <s v="Sroms, Romans"/>
    <n v="1968"/>
    <n v="51"/>
    <s v="M35"/>
    <s v="HUN"/>
    <s v="04:44:49"/>
    <x v="1843"/>
  </r>
  <r>
    <m/>
    <s v="Kálmán Zsolt"/>
    <n v="1979"/>
    <n v="40"/>
    <s v="M45"/>
    <s v="HUN"/>
    <s v="04:28:37"/>
    <x v="1844"/>
  </r>
  <r>
    <m/>
    <s v="Piazzo, Guido"/>
    <n v="1974"/>
    <n v="45"/>
    <s v="M45"/>
    <s v="HUN"/>
    <s v="03:01:19"/>
    <x v="1845"/>
  </r>
  <r>
    <m/>
    <s v="Luizard, Guillaume"/>
    <n v="1975"/>
    <n v="44"/>
    <s v="M45"/>
    <s v="HUN"/>
    <s v="03:33:01"/>
    <x v="1846"/>
  </r>
  <r>
    <m/>
    <s v="Németh-Döltl György"/>
    <n v="1974"/>
    <n v="45"/>
    <s v="M30"/>
    <s v="HUN"/>
    <s v="04:35:27"/>
    <x v="1847"/>
  </r>
  <r>
    <m/>
    <s v="Lapouille, Gaspard"/>
    <n v="1981"/>
    <n v="38"/>
    <s v="M25"/>
    <s v="CRO"/>
    <s v="05:02:17"/>
    <x v="1848"/>
  </r>
  <r>
    <m/>
    <s v="Kullik, Sven Bela"/>
    <n v="1998"/>
    <n v="21"/>
    <s v="M25"/>
    <s v="HUN"/>
    <s v="03:31:24"/>
    <x v="1849"/>
  </r>
  <r>
    <m/>
    <s v="Pongrácz Gábor"/>
    <n v="1987"/>
    <n v="32"/>
    <s v="M45"/>
    <s v="GER"/>
    <s v="03:44:30"/>
    <x v="692"/>
  </r>
  <r>
    <m/>
    <s v="Koller Máté"/>
    <n v="1982"/>
    <n v="37"/>
    <s v="M30"/>
    <s v="GBR"/>
    <s v="03:53:50"/>
    <x v="1850"/>
  </r>
  <r>
    <m/>
    <s v="Byrne, Shane"/>
    <n v="1978"/>
    <n v="41"/>
    <s v="M25"/>
    <s v="HUN"/>
    <s v="03:54:23"/>
    <x v="1650"/>
  </r>
  <r>
    <m/>
    <s v="Seres Dániel"/>
    <n v="1971"/>
    <n v="48"/>
    <s v="M30"/>
    <s v="HUN"/>
    <s v="03:34:26"/>
    <x v="1851"/>
  </r>
  <r>
    <m/>
    <s v="Novák Dávid Erik"/>
    <n v="1975"/>
    <n v="44"/>
    <s v="M25"/>
    <s v="HUN"/>
    <s v="03:14:58"/>
    <x v="376"/>
  </r>
  <r>
    <m/>
    <s v="Altana, Vanni"/>
    <n v="1959"/>
    <n v="60"/>
    <s v="M60"/>
    <s v="FRA"/>
    <s v="04:08:08"/>
    <x v="1852"/>
  </r>
  <r>
    <m/>
    <s v="Nagy Miklós"/>
    <n v="1970"/>
    <n v="49"/>
    <s v="M30"/>
    <s v="HUN"/>
    <s v="03:56:17"/>
    <x v="1740"/>
  </r>
  <r>
    <m/>
    <s v="Nagy Kornél"/>
    <n v="1986"/>
    <n v="33"/>
    <s v="M40"/>
    <s v="HUN"/>
    <s v="03:19:58"/>
    <x v="1853"/>
  </r>
  <r>
    <m/>
    <s v="Nagy Attila"/>
    <n v="1984"/>
    <n v="35"/>
    <s v="M45"/>
    <s v="FRA"/>
    <s v="04:58:07"/>
    <x v="1854"/>
  </r>
  <r>
    <m/>
    <s v="Edwards, Ben"/>
    <n v="1978"/>
    <n v="41"/>
    <s v="M18"/>
    <s v="CHI"/>
    <s v="05:14:57"/>
    <x v="372"/>
  </r>
  <r>
    <m/>
    <s v="Pristyák Zoltán"/>
    <n v="1987"/>
    <n v="32"/>
    <s v="M30"/>
    <s v="IRL"/>
    <s v="03:49:03"/>
    <x v="370"/>
  </r>
  <r>
    <m/>
    <s v="Di Bisceglie, Mauro"/>
    <n v="1985"/>
    <n v="34"/>
    <s v="M55"/>
    <s v="HUN"/>
    <s v="04:38:47"/>
    <x v="1855"/>
  </r>
  <r>
    <m/>
    <s v="Barta Péter"/>
    <n v="1982"/>
    <n v="37"/>
    <s v="M20"/>
    <s v="HUN"/>
    <s v="04:45:37"/>
    <x v="476"/>
  </r>
  <r>
    <m/>
    <s v="Gellén Gergő"/>
    <n v="1965"/>
    <n v="54"/>
    <s v="M25"/>
    <s v="GBR"/>
    <s v="03:56:21"/>
    <x v="1271"/>
  </r>
  <r>
    <m/>
    <s v="YILDIRIM, SERVET"/>
    <n v="1977"/>
    <n v="42"/>
    <s v="M50"/>
    <s v="HUN"/>
    <s v="03:56:39"/>
    <x v="342"/>
  </r>
  <r>
    <m/>
    <s v="Misund, Bjarte"/>
    <n v="1970"/>
    <n v="49"/>
    <s v="M40"/>
    <s v="HUN"/>
    <s v="04:19:11"/>
    <x v="1856"/>
  </r>
  <r>
    <m/>
    <s v="Szőke Szabolcs"/>
    <n v="1977"/>
    <n v="42"/>
    <s v="M50"/>
    <s v="HUN"/>
    <s v="05:12:31"/>
    <x v="1857"/>
  </r>
  <r>
    <m/>
    <s v="Lökösházi Béla"/>
    <n v="1986"/>
    <n v="33"/>
    <s v="M45"/>
    <s v="NED"/>
    <s v="04:03:14"/>
    <x v="277"/>
  </r>
  <r>
    <m/>
    <s v="Portik, Lóránd"/>
    <n v="1977"/>
    <n v="42"/>
    <s v="M40"/>
    <s v="HUN"/>
    <s v="04:19:38"/>
    <x v="944"/>
  </r>
  <r>
    <m/>
    <s v="Niedberg, Danilo"/>
    <n v="1991"/>
    <n v="28"/>
    <s v="M45"/>
    <s v="HUN"/>
    <s v="05:10:15"/>
    <x v="1858"/>
  </r>
  <r>
    <m/>
    <s v="Tom, Vanson"/>
    <n v="1968"/>
    <n v="51"/>
    <s v="M25"/>
    <s v="HUN"/>
    <s v="04:13:02"/>
    <x v="1859"/>
  </r>
  <r>
    <m/>
    <s v="Heneghan, Michael"/>
    <n v="1957"/>
    <n v="62"/>
    <s v="M40"/>
    <s v="POL"/>
    <s v="03:51:36"/>
    <x v="68"/>
  </r>
  <r>
    <m/>
    <s v="D'ERRICO, GINO"/>
    <n v="1965"/>
    <n v="54"/>
    <s v="M55"/>
    <s v="HUN"/>
    <s v="03:39:45"/>
    <x v="248"/>
  </r>
  <r>
    <m/>
    <s v="Maróti Zsolt"/>
    <n v="1993"/>
    <n v="26"/>
    <s v="M40"/>
    <s v="HUN"/>
    <s v="05:20:40"/>
    <x v="1860"/>
  </r>
  <r>
    <m/>
    <s v="Bogár János"/>
    <n v="1974"/>
    <n v="45"/>
    <s v="M60"/>
    <s v="HUN"/>
    <s v="03:21:24"/>
    <x v="1861"/>
  </r>
  <r>
    <m/>
    <s v="Tóth Donát"/>
    <n v="1980"/>
    <n v="39"/>
    <s v="M45"/>
    <s v="HUN"/>
    <s v="04:53:48"/>
    <x v="638"/>
  </r>
  <r>
    <m/>
    <s v="Hogan, Andrew"/>
    <n v="1961"/>
    <n v="58"/>
    <s v="M35"/>
    <s v="HUN"/>
    <s v="03:19:31"/>
    <x v="1862"/>
  </r>
  <r>
    <m/>
    <s v="Konyhás Péter"/>
    <n v="1956"/>
    <n v="63"/>
    <s v="M40"/>
    <s v="TWN"/>
    <s v="04:10:55"/>
    <x v="1863"/>
  </r>
  <r>
    <m/>
    <s v="Reizinger Patrik"/>
    <n v="1996"/>
    <n v="23"/>
    <s v="M25"/>
    <s v="FRA"/>
    <s v="03:17:28"/>
    <x v="1864"/>
  </r>
  <r>
    <m/>
    <s v="Pénzes Barnabás"/>
    <n v="1982"/>
    <n v="37"/>
    <s v="M25"/>
    <s v="HUN"/>
    <s v="04:05:28"/>
    <x v="383"/>
  </r>
  <r>
    <m/>
    <s v="Majoros Gábor Zoltán"/>
    <n v="1970"/>
    <n v="49"/>
    <s v="M50"/>
    <s v="HUN"/>
    <s v="04:33:07"/>
    <x v="1865"/>
  </r>
  <r>
    <m/>
    <s v="Budil, Jan"/>
    <n v="1968"/>
    <n v="51"/>
    <s v="M55"/>
    <s v="HUN"/>
    <s v="03:23:21"/>
    <x v="932"/>
  </r>
  <r>
    <m/>
    <s v="Tóth Róbert"/>
    <n v="1971"/>
    <n v="48"/>
    <s v="M40"/>
    <s v="HUN"/>
    <s v="04:16:58"/>
    <x v="1866"/>
  </r>
  <r>
    <m/>
    <s v="ABENGOZA MARNE, RAFAEL"/>
    <n v="1974"/>
    <n v="45"/>
    <s v="M55"/>
    <s v="SVK"/>
    <s v="04:09:10"/>
    <x v="1867"/>
  </r>
  <r>
    <m/>
    <s v="Marsovszky László"/>
    <n v="1963"/>
    <n v="56"/>
    <s v="M40"/>
    <s v="AUT"/>
    <s v="03:59:22"/>
    <x v="270"/>
  </r>
  <r>
    <m/>
    <s v="Roberts, Archibald"/>
    <n v="1971"/>
    <n v="48"/>
    <s v="M25"/>
    <s v="HUN"/>
    <s v="03:38:09"/>
    <x v="1868"/>
  </r>
  <r>
    <m/>
    <s v="Tarnai Dávid"/>
    <n v="1980"/>
    <n v="39"/>
    <s v="M40"/>
    <s v="HUN"/>
    <s v="03:34:55"/>
    <x v="1869"/>
  </r>
  <r>
    <m/>
    <s v="Palásti Gergő dr"/>
    <n v="1969"/>
    <n v="50"/>
    <s v="M20"/>
    <s v="HUN"/>
    <s v="03:06:51"/>
    <x v="1870"/>
  </r>
  <r>
    <m/>
    <s v="kispál sándor"/>
    <n v="1991"/>
    <n v="28"/>
    <s v="M35"/>
    <s v="HUN"/>
    <s v="03:48:13"/>
    <x v="1871"/>
  </r>
  <r>
    <m/>
    <s v="Kávai Márk"/>
    <n v="1968"/>
    <n v="51"/>
    <s v="M20"/>
    <s v="HUN"/>
    <s v="03:59:28"/>
    <x v="1872"/>
  </r>
  <r>
    <m/>
    <s v="Darko, Balić"/>
    <n v="1968"/>
    <n v="51"/>
    <s v="M40"/>
    <s v="FIN"/>
    <s v="03:22:21"/>
    <x v="1166"/>
  </r>
  <r>
    <m/>
    <s v="Váradi Zoltán"/>
    <n v="1950"/>
    <n v="69"/>
    <s v="M55"/>
    <s v="HUN"/>
    <s v="04:21:54"/>
    <x v="1873"/>
  </r>
  <r>
    <m/>
    <s v="Pringle, Will"/>
    <n v="1998"/>
    <n v="21"/>
    <s v="M25"/>
    <s v="GBR"/>
    <s v="03:57:54"/>
    <x v="1322"/>
  </r>
  <r>
    <m/>
    <s v="Pawka, Igor"/>
    <n v="1969"/>
    <n v="50"/>
    <s v="M20"/>
    <s v="ITA"/>
    <s v="04:55:42"/>
    <x v="1874"/>
  </r>
  <r>
    <m/>
    <s v="Kovács Attila"/>
    <n v="1979"/>
    <n v="40"/>
    <s v="M35"/>
    <s v="RUS"/>
    <s v="05:01:02"/>
    <x v="1875"/>
  </r>
  <r>
    <m/>
    <s v="Tóth Sándor"/>
    <n v="1971"/>
    <n v="48"/>
    <s v="M60"/>
    <s v="HUN"/>
    <s v="04:41:51"/>
    <x v="1263"/>
  </r>
  <r>
    <m/>
    <s v="Marosi Péter"/>
    <n v="1987"/>
    <n v="32"/>
    <s v="M45"/>
    <s v="SVK"/>
    <s v="03:50:20"/>
    <x v="1876"/>
  </r>
  <r>
    <m/>
    <s v="Illés György dr."/>
    <n v="1981"/>
    <n v="38"/>
    <s v="M60"/>
    <s v="HUN"/>
    <s v="04:41:46"/>
    <x v="1877"/>
  </r>
  <r>
    <m/>
    <s v="Sandbekken, Atle"/>
    <n v="1966"/>
    <n v="53"/>
    <s v="M45"/>
    <s v="HUN"/>
    <s v="02:58:54"/>
    <x v="1878"/>
  </r>
  <r>
    <m/>
    <s v="Tymcyna Péter"/>
    <n v="1986"/>
    <n v="33"/>
    <s v="M45"/>
    <s v="HUN"/>
    <s v="03:31:19"/>
    <x v="1879"/>
  </r>
  <r>
    <m/>
    <s v="O'Cleirigh, Robi"/>
    <n v="1971"/>
    <n v="48"/>
    <s v="M30"/>
    <s v="HUN"/>
    <s v="03:35:17"/>
    <x v="1880"/>
  </r>
  <r>
    <m/>
    <s v="Lászka János dr."/>
    <n v="1959"/>
    <n v="60"/>
    <s v="M65"/>
    <s v="FIN"/>
    <s v="04:41:51"/>
    <x v="1263"/>
  </r>
  <r>
    <m/>
    <s v="Forbes, Harry"/>
    <n v="1970"/>
    <n v="49"/>
    <s v="M20"/>
    <s v="HUN"/>
    <s v="04:58:44"/>
    <x v="1881"/>
  </r>
  <r>
    <m/>
    <s v="Bartók Bálint"/>
    <n v="1962"/>
    <n v="57"/>
    <s v="M30"/>
    <s v="FIN"/>
    <s v="05:07:31"/>
    <x v="1882"/>
  </r>
  <r>
    <m/>
    <s v="Küllős Máté"/>
    <n v="1974"/>
    <n v="45"/>
    <s v="M45"/>
    <s v="GER"/>
    <s v="03:08:50"/>
    <x v="1883"/>
  </r>
  <r>
    <m/>
    <s v="CARNERO VARO, ANDRES prof"/>
    <n v="1954"/>
    <n v="65"/>
    <s v="M60"/>
    <s v="CAN"/>
    <s v="04:29:55"/>
    <x v="1884"/>
  </r>
  <r>
    <m/>
    <s v="XING, ZHAOYU"/>
    <n v="1990"/>
    <n v="29"/>
    <s v="M50"/>
    <s v="MEX"/>
    <s v="03:59:26"/>
    <x v="1885"/>
  </r>
  <r>
    <m/>
    <s v="Fitzgerald, Verling John jr"/>
    <n v="1984"/>
    <n v="35"/>
    <s v="M50"/>
    <s v="ESP"/>
    <s v="03:31:12"/>
    <x v="1886"/>
  </r>
  <r>
    <m/>
    <s v="Barna Róbert"/>
    <n v="1972"/>
    <n v="47"/>
    <s v="M35"/>
    <s v="HUN"/>
    <s v="03:48:51"/>
    <x v="1887"/>
  </r>
  <r>
    <m/>
    <s v="Burján Péter"/>
    <n v="1972"/>
    <n v="47"/>
    <s v="M45"/>
    <s v="HUN"/>
    <s v="04:48:24"/>
    <x v="1888"/>
  </r>
  <r>
    <m/>
    <s v="Largy, Jean-Mathieu"/>
    <n v="1969"/>
    <n v="50"/>
    <s v="M35"/>
    <s v="HUN"/>
    <s v="04:03:39"/>
    <x v="1889"/>
  </r>
  <r>
    <m/>
    <s v="Szafoni, Radosław"/>
    <n v="1975"/>
    <n v="44"/>
    <s v="M40"/>
    <s v="USA"/>
    <s v="04:18:53"/>
    <x v="1890"/>
  </r>
  <r>
    <m/>
    <s v="meister, thomas"/>
    <n v="1982"/>
    <n v="37"/>
    <s v="M45"/>
    <s v="FRA"/>
    <s v="04:26:13"/>
    <x v="1752"/>
  </r>
  <r>
    <m/>
    <s v="Vidalis, Georgios"/>
    <n v="1973"/>
    <n v="46"/>
    <s v="M45"/>
    <s v="HUN"/>
    <s v="03:18:27"/>
    <x v="1891"/>
  </r>
  <r>
    <m/>
    <s v="Smith, George"/>
    <n v="1958"/>
    <n v="61"/>
    <s v="M20"/>
    <s v="USA"/>
    <s v="04:34:40"/>
    <x v="1892"/>
  </r>
  <r>
    <m/>
    <s v="Brájer Attila"/>
    <n v="1955"/>
    <n v="64"/>
    <s v="M35"/>
    <s v="FRA"/>
    <s v="03:51:37"/>
    <x v="662"/>
  </r>
  <r>
    <m/>
    <s v="Crick, Lewis prof"/>
    <n v="1979"/>
    <n v="40"/>
    <s v="M30"/>
    <s v="HUN"/>
    <s v="03:54:04"/>
    <x v="278"/>
  </r>
  <r>
    <m/>
    <s v="Standen, William"/>
    <n v="1968"/>
    <n v="51"/>
    <s v="M20"/>
    <s v="HUN"/>
    <s v="03:55:59"/>
    <x v="441"/>
  </r>
  <r>
    <m/>
    <s v="Végh Gyula"/>
    <n v="1969"/>
    <n v="50"/>
    <s v="M30"/>
    <s v="SWE"/>
    <s v="04:28:17"/>
    <x v="673"/>
  </r>
  <r>
    <m/>
    <s v="Sztercsa Tamás Dr."/>
    <n v="1994"/>
    <n v="25"/>
    <s v="M35"/>
    <s v="FRA"/>
    <s v="03:19:32"/>
    <x v="1689"/>
  </r>
  <r>
    <m/>
    <s v="Vince, Jim"/>
    <n v="1991"/>
    <n v="28"/>
    <s v="M60"/>
    <s v="HUN"/>
    <s v="04:48:22"/>
    <x v="1893"/>
  </r>
  <r>
    <m/>
    <s v="Orsós Ferenc"/>
    <n v="1983"/>
    <n v="36"/>
    <s v="M55"/>
    <s v="SVK"/>
    <s v="04:36:09"/>
    <x v="1894"/>
  </r>
  <r>
    <m/>
    <s v="Cséfalvay Zoltán prof"/>
    <n v="1978"/>
    <n v="41"/>
    <s v="M65"/>
    <s v="ITA"/>
    <s v="05:42:49"/>
    <x v="1895"/>
  </r>
  <r>
    <m/>
    <s v="Burián András"/>
    <n v="1973"/>
    <n v="46"/>
    <s v="M50"/>
    <s v="HUN"/>
    <s v="03:51:33"/>
    <x v="423"/>
  </r>
  <r>
    <m/>
    <s v="Valler Szabolcs"/>
    <n v="1982"/>
    <n v="37"/>
    <s v="M40"/>
    <s v="HUN"/>
    <s v="04:32:43"/>
    <x v="1896"/>
  </r>
  <r>
    <m/>
    <s v="Koleszár Krisztián"/>
    <n v="1969"/>
    <n v="50"/>
    <s v="M50"/>
    <s v="HUN"/>
    <s v="04:02:57"/>
    <x v="1897"/>
  </r>
  <r>
    <m/>
    <s v="Hegedűs Henrik"/>
    <n v="1978"/>
    <n v="41"/>
    <s v="M45"/>
    <s v="SWE"/>
    <s v="03:44:03"/>
    <x v="1898"/>
  </r>
  <r>
    <m/>
    <s v="Engler Tamás"/>
    <n v="1983"/>
    <n v="36"/>
    <s v="M35"/>
    <s v="HUN"/>
    <s v="03:09:41"/>
    <x v="1899"/>
  </r>
  <r>
    <m/>
    <s v="Telek Bálint"/>
    <n v="1986"/>
    <n v="33"/>
    <s v="M35"/>
    <s v="HUN"/>
    <s v="03:43:18"/>
    <x v="1900"/>
  </r>
  <r>
    <m/>
    <s v="Hjertstedt, Leonardo"/>
    <n v="1969"/>
    <n v="50"/>
    <s v="M20"/>
    <s v="HUN"/>
    <s v="04:38:05"/>
    <x v="1901"/>
  </r>
  <r>
    <m/>
    <s v="Gyebnár Szabolcs"/>
    <n v="1984"/>
    <n v="35"/>
    <s v="M40"/>
    <s v="HUN"/>
    <s v="03:28:33"/>
    <x v="1902"/>
  </r>
  <r>
    <m/>
    <s v="debenham, Harvey"/>
    <n v="1956"/>
    <n v="63"/>
    <s v="M25"/>
    <s v="HUN"/>
    <s v="03:31:53"/>
    <x v="1903"/>
  </r>
  <r>
    <m/>
    <s v="Fodor László"/>
    <n v="1977"/>
    <n v="42"/>
    <s v="M25"/>
    <s v="HUN"/>
    <s v="03:50:40"/>
    <x v="1904"/>
  </r>
  <r>
    <m/>
    <s v="Sergyán Szabolcs dr"/>
    <n v="1986"/>
    <n v="33"/>
    <s v="M50"/>
    <s v="CZE"/>
    <s v="03:59:54"/>
    <x v="1905"/>
  </r>
  <r>
    <m/>
    <s v="Bergamaschi, Gianluca"/>
    <n v="1960"/>
    <n v="59"/>
    <s v="M35"/>
    <s v="HUN"/>
    <s v="03:19:55"/>
    <x v="1906"/>
  </r>
  <r>
    <m/>
    <s v="Tóth László"/>
    <n v="1967"/>
    <n v="52"/>
    <s v="M45"/>
    <s v="ITA"/>
    <s v="05:14:01"/>
    <x v="1907"/>
  </r>
  <r>
    <m/>
    <s v="CORTIJO MORENO, JAVIER"/>
    <n v="1971"/>
    <n v="48"/>
    <s v="M55"/>
    <s v="FRA"/>
    <s v="03:40:22"/>
    <x v="1908"/>
  </r>
  <r>
    <m/>
    <s v="Bosomworth, Andrew"/>
    <n v="1968"/>
    <n v="51"/>
    <s v="M30"/>
    <s v="SCO"/>
    <s v="03:59:20"/>
    <x v="599"/>
  </r>
  <r>
    <m/>
    <s v="Vaz Osório, Tiago"/>
    <n v="1982"/>
    <n v="37"/>
    <s v="M35"/>
    <s v="HUN"/>
    <s v="03:31:14"/>
    <x v="1909"/>
  </r>
  <r>
    <m/>
    <s v="Israeli, Moshe"/>
    <n v="1978"/>
    <n v="41"/>
    <s v="M45"/>
    <s v="HUN"/>
    <s v="03:51:30"/>
    <x v="690"/>
  </r>
  <r>
    <m/>
    <s v="Taranek Csongor"/>
    <n v="1971"/>
    <n v="48"/>
    <s v="M45"/>
    <s v="DEN"/>
    <s v="04:03:30"/>
    <x v="1362"/>
  </r>
  <r>
    <m/>
    <s v="Mouterde, Sylvain"/>
    <n v="1978"/>
    <n v="41"/>
    <s v="M35"/>
    <s v="HUN"/>
    <s v="04:31:52"/>
    <x v="933"/>
  </r>
  <r>
    <m/>
    <s v="Jean-Baptiste, HEROD"/>
    <n v="1984"/>
    <n v="35"/>
    <s v="M35"/>
    <s v="HUN"/>
    <s v="03:45:19"/>
    <x v="1800"/>
  </r>
  <r>
    <m/>
    <s v="Jacobsen, Jacob"/>
    <n v="1979"/>
    <n v="40"/>
    <s v="M45"/>
    <s v="HUN"/>
    <s v="03:50:16"/>
    <x v="1910"/>
  </r>
  <r>
    <m/>
    <s v="Escamez Ortiz, Antonio prof"/>
    <n v="1998"/>
    <n v="21"/>
    <s v="M35"/>
    <s v="POL"/>
    <s v="03:57:54"/>
    <x v="1322"/>
  </r>
  <r>
    <m/>
    <s v="Börcsök Ferenc"/>
    <n v="1983"/>
    <n v="36"/>
    <s v="M25"/>
    <s v="POL"/>
    <s v="03:52:02"/>
    <x v="1130"/>
  </r>
  <r>
    <m/>
    <s v="Pallós Barna"/>
    <n v="1970"/>
    <n v="49"/>
    <s v="M20"/>
    <s v="NED"/>
    <s v="03:45:00"/>
    <x v="1911"/>
  </r>
  <r>
    <m/>
    <s v="Engler Tamás"/>
    <n v="1978"/>
    <n v="41"/>
    <s v="M35"/>
    <s v="POL"/>
    <s v="03:09:41"/>
    <x v="1899"/>
  </r>
  <r>
    <m/>
    <s v="Kecskés Konrád"/>
    <n v="1975"/>
    <n v="44"/>
    <s v="M18"/>
    <s v="HUN"/>
    <s v="04:56:32"/>
    <x v="1912"/>
  </r>
  <r>
    <m/>
    <s v="Csapó Krisztián"/>
    <n v="1985"/>
    <n v="34"/>
    <s v="M35"/>
    <s v="HUN"/>
    <s v="04:32:25"/>
    <x v="1913"/>
  </r>
  <r>
    <m/>
    <s v="Bokor Bálint"/>
    <n v="1984"/>
    <n v="35"/>
    <s v="M25"/>
    <s v="SVK"/>
    <s v="04:50:14"/>
    <x v="1914"/>
  </r>
  <r>
    <m/>
    <s v="Ureczky Bálint"/>
    <n v="1963"/>
    <n v="56"/>
    <s v="M35"/>
    <s v="FRA"/>
    <s v="02:59:57"/>
    <x v="1915"/>
  </r>
  <r>
    <m/>
    <s v="Mr, Harry"/>
    <n v="1974"/>
    <n v="45"/>
    <s v="M20"/>
    <s v="HUN"/>
    <s v="04:02:06"/>
    <x v="1120"/>
  </r>
  <r>
    <m/>
    <s v="Zahorsky, Oskar"/>
    <n v="1973"/>
    <n v="46"/>
    <s v="M55"/>
    <s v="HUN"/>
    <s v="05:19:51"/>
    <x v="1916"/>
  </r>
  <r>
    <m/>
    <s v="Vizvári, Norbert"/>
    <n v="1972"/>
    <n v="47"/>
    <s v="M25"/>
    <s v="HUN"/>
    <s v="03:19:12"/>
    <x v="1578"/>
  </r>
  <r>
    <m/>
    <s v="Miles, Daniel"/>
    <n v="1992"/>
    <n v="27"/>
    <s v="M40"/>
    <s v="HUN"/>
    <s v="03:20:27"/>
    <x v="1917"/>
  </r>
  <r>
    <m/>
    <s v="Kube, Ondřej"/>
    <n v="1990"/>
    <n v="29"/>
    <s v="M45"/>
    <s v="MEX"/>
    <s v="03:45:18"/>
    <x v="575"/>
  </r>
  <r>
    <m/>
    <s v="Petrarca, Vincenzo"/>
    <n v="1996"/>
    <n v="23"/>
    <s v="M50"/>
    <s v="DEN"/>
    <s v="03:57:05"/>
    <x v="1339"/>
  </r>
  <r>
    <m/>
    <s v="Mózer Gyula"/>
    <n v="1965"/>
    <n v="54"/>
    <s v="M45"/>
    <s v="HUN"/>
    <s v="04:37:57"/>
    <x v="1918"/>
  </r>
  <r>
    <m/>
    <s v="Komjáti Krisztián"/>
    <n v="1970"/>
    <n v="49"/>
    <s v="M35"/>
    <s v="HUN"/>
    <s v="03:39:46"/>
    <x v="49"/>
  </r>
  <r>
    <m/>
    <s v="Kormos Attila dr"/>
    <n v="1994"/>
    <n v="25"/>
    <s v="M50"/>
    <s v="HUN"/>
    <s v="03:18:27"/>
    <x v="1891"/>
  </r>
  <r>
    <m/>
    <s v="Sóstói Tamás"/>
    <n v="1968"/>
    <n v="51"/>
    <s v="M35"/>
    <s v="HUN"/>
    <s v="04:43:14"/>
    <x v="1919"/>
  </r>
  <r>
    <m/>
    <s v="Patel, Prem prof"/>
    <n v="1978"/>
    <n v="41"/>
    <s v="M20"/>
    <s v="HUN"/>
    <s v="03:49:00"/>
    <x v="585"/>
  </r>
  <r>
    <m/>
    <s v="Takács Attila"/>
    <n v="1971"/>
    <n v="48"/>
    <s v="M55"/>
    <s v="CZE"/>
    <s v="04:55:50"/>
    <x v="1920"/>
  </r>
  <r>
    <m/>
    <s v="Guti Viktor"/>
    <n v="1963"/>
    <n v="56"/>
    <s v="M25"/>
    <s v="HUN"/>
    <s v="04:57:57"/>
    <x v="1921"/>
  </r>
  <r>
    <m/>
    <s v="Barsi Zsolt"/>
    <n v="1986"/>
    <n v="33"/>
    <s v="M30"/>
    <s v="CZE"/>
    <s v="03:38:35"/>
    <x v="1922"/>
  </r>
  <r>
    <m/>
    <s v="Wareham, Matthew"/>
    <n v="1977"/>
    <n v="42"/>
    <s v="M30"/>
    <s v="HUN"/>
    <s v="04:20:27"/>
    <x v="34"/>
  </r>
  <r>
    <m/>
    <s v="Tupikov, Maxim"/>
    <n v="1974"/>
    <n v="45"/>
    <s v="M20"/>
    <s v="ITA"/>
    <s v="05:09:46"/>
    <x v="1923"/>
  </r>
  <r>
    <m/>
    <s v="Cota López, Pablo Isai prof"/>
    <n v="1973"/>
    <n v="46"/>
    <s v="M30"/>
    <s v="HUN"/>
    <s v="04:41:03"/>
    <x v="1924"/>
  </r>
  <r>
    <m/>
    <s v="Hans Peter, Ladreiter dr"/>
    <n v="1991"/>
    <n v="28"/>
    <s v="M55"/>
    <s v="GBR"/>
    <s v="03:35:08"/>
    <x v="1925"/>
  </r>
  <r>
    <m/>
    <s v="Ordonez Diez, Juan Lorenzo"/>
    <n v="1965"/>
    <n v="54"/>
    <s v="M50"/>
    <s v="SWE"/>
    <s v="03:39:36"/>
    <x v="1926"/>
  </r>
  <r>
    <m/>
    <s v="Vadócz Máté"/>
    <n v="1944"/>
    <n v="75"/>
    <s v="M40"/>
    <s v="HUN"/>
    <s v="03:19:27"/>
    <x v="1927"/>
  </r>
  <r>
    <m/>
    <s v="Szalai Roland"/>
    <n v="1968"/>
    <n v="51"/>
    <s v="M40"/>
    <s v="GRE"/>
    <s v="03:43:21"/>
    <x v="1928"/>
  </r>
  <r>
    <m/>
    <s v="TOUSSAINT, RENAUD"/>
    <n v="1975"/>
    <n v="44"/>
    <s v="M50"/>
    <s v="HUN"/>
    <s v="04:29:03"/>
    <x v="1929"/>
  </r>
  <r>
    <m/>
    <s v="FRISONI, DAVIDE prof"/>
    <n v="1986"/>
    <n v="33"/>
    <s v="M35"/>
    <s v="GBR"/>
    <s v="04:07:31"/>
    <x v="1930"/>
  </r>
  <r>
    <m/>
    <s v="Antalka Zsolt"/>
    <n v="1973"/>
    <n v="46"/>
    <s v="M50"/>
    <s v="HUN"/>
    <s v="05:02:19"/>
    <x v="1931"/>
  </r>
  <r>
    <m/>
    <s v="Varga, Dénes"/>
    <n v="1985"/>
    <n v="34"/>
    <s v="M25"/>
    <s v="HUN"/>
    <s v="05:28:26"/>
    <x v="1932"/>
  </r>
  <r>
    <m/>
    <s v="Szigeti Gábor"/>
    <n v="1972"/>
    <n v="47"/>
    <s v="M40"/>
    <s v="HUN"/>
    <s v="04:30:01"/>
    <x v="1933"/>
  </r>
  <r>
    <m/>
    <s v="Le Bars, Lo?c"/>
    <n v="1972"/>
    <n v="47"/>
    <s v="M55"/>
    <s v="NED"/>
    <s v="03:57:34"/>
    <x v="1213"/>
  </r>
  <r>
    <m/>
    <s v="Galeotti Almos Stefano"/>
    <n v="1986"/>
    <n v="33"/>
    <s v="M30"/>
    <s v="HUN"/>
    <s v="03:07:59"/>
    <x v="1934"/>
  </r>
  <r>
    <m/>
    <s v="Nenast, Carlo"/>
    <n v="1972"/>
    <n v="47"/>
    <s v="M35"/>
    <s v="HUN"/>
    <s v="02:28:31"/>
    <x v="1935"/>
  </r>
  <r>
    <m/>
    <s v="Gelencer, Damir"/>
    <n v="1982"/>
    <n v="37"/>
    <s v="M60"/>
    <s v="HUN"/>
    <s v="04:46:37"/>
    <x v="1936"/>
  </r>
  <r>
    <m/>
    <s v="Isupov, Vasily"/>
    <n v="1976"/>
    <n v="43"/>
    <s v="M30"/>
    <s v="HUN"/>
    <s v="02:48:09"/>
    <x v="1937"/>
  </r>
  <r>
    <m/>
    <s v="Pavlov, Oleksandr"/>
    <n v="1991"/>
    <n v="28"/>
    <s v="M35"/>
    <s v="HUN"/>
    <s v="03:49:10"/>
    <x v="85"/>
  </r>
  <r>
    <m/>
    <s v="Bálint Ambrus"/>
    <n v="1975"/>
    <n v="44"/>
    <s v="M35"/>
    <s v="FRA"/>
    <s v="04:13:55"/>
    <x v="1938"/>
  </r>
  <r>
    <m/>
    <s v="Kasza Tibor"/>
    <n v="1971"/>
    <n v="48"/>
    <s v="M45"/>
    <s v="GBR"/>
    <s v="05:00:37"/>
    <x v="1939"/>
  </r>
  <r>
    <m/>
    <s v="Buri, Patrick"/>
    <n v="1992"/>
    <n v="27"/>
    <s v="M30"/>
    <s v="HUN"/>
    <s v="04:09:08"/>
    <x v="1940"/>
  </r>
  <r>
    <m/>
    <s v="Kuczkó Róbert"/>
    <n v="1978"/>
    <n v="41"/>
    <s v="M45"/>
    <s v="HUN"/>
    <s v="03:22:41"/>
    <x v="1728"/>
  </r>
  <r>
    <m/>
    <s v="Lőrincz Dávid"/>
    <n v="1977"/>
    <n v="42"/>
    <s v="M20"/>
    <s v="HUN"/>
    <s v="04:56:40"/>
    <x v="1005"/>
  </r>
  <r>
    <m/>
    <s v="Vibholt, Anders Bock prof"/>
    <n v="1989"/>
    <n v="30"/>
    <s v="M40"/>
    <s v="HUN"/>
    <s v="03:15:44"/>
    <x v="235"/>
  </r>
  <r>
    <m/>
    <s v="Brezáni, Adam"/>
    <n v="1995"/>
    <n v="24"/>
    <s v="M30"/>
    <s v="HUN"/>
    <s v="04:19:01"/>
    <x v="1941"/>
  </r>
  <r>
    <m/>
    <s v="Tóth Máté"/>
    <n v="1976"/>
    <n v="43"/>
    <s v="M25"/>
    <s v="HUN"/>
    <s v="04:21:31"/>
    <x v="1942"/>
  </r>
  <r>
    <m/>
    <s v="Szurmik Attila"/>
    <n v="1970"/>
    <n v="49"/>
    <s v="M40"/>
    <s v="GBR"/>
    <s v="02:53:07"/>
    <x v="1943"/>
  </r>
  <r>
    <m/>
    <s v="Karikás Csaba Lajos"/>
    <n v="1992"/>
    <n v="27"/>
    <s v="M40"/>
    <s v="FRA"/>
    <s v="03:51:02"/>
    <x v="1944"/>
  </r>
  <r>
    <m/>
    <s v="Fajstavr, Marek dr"/>
    <n v="1989"/>
    <n v="30"/>
    <s v="M35"/>
    <s v="ESP"/>
    <s v="02:51:51"/>
    <x v="1945"/>
  </r>
  <r>
    <m/>
    <s v="Jakab Viktor András"/>
    <n v="1975"/>
    <n v="44"/>
    <s v="M45"/>
    <s v="HUN"/>
    <s v="03:23:10"/>
    <x v="1946"/>
  </r>
  <r>
    <m/>
    <s v="Jankovic, Igor"/>
    <n v="1989"/>
    <n v="30"/>
    <s v="M50"/>
    <s v="HUN"/>
    <s v="04:00:51"/>
    <x v="1947"/>
  </r>
  <r>
    <m/>
    <s v="Papp Alex"/>
    <n v="1966"/>
    <n v="53"/>
    <s v="M20"/>
    <s v="FRA"/>
    <s v="04:24:29"/>
    <x v="1948"/>
  </r>
  <r>
    <m/>
    <s v="Könczöl Péter Dr."/>
    <n v="1967"/>
    <n v="52"/>
    <s v="M50"/>
    <s v="HUN"/>
    <s v="04:40:20"/>
    <x v="1949"/>
  </r>
  <r>
    <m/>
    <s v="Lantos János"/>
    <n v="1981"/>
    <n v="38"/>
    <s v="M50"/>
    <s v="HUN"/>
    <s v="03:57:31"/>
    <x v="1950"/>
  </r>
  <r>
    <m/>
    <s v="Ometti, PROTASIO"/>
    <n v="1970"/>
    <n v="49"/>
    <s v="M55"/>
    <s v="HUN"/>
    <s v="03:33:26"/>
    <x v="1246"/>
  </r>
  <r>
    <m/>
    <s v="Sári Béla"/>
    <n v="1973"/>
    <n v="46"/>
    <s v="M30"/>
    <s v="IND"/>
    <s v="04:46:05"/>
    <x v="432"/>
  </r>
  <r>
    <m/>
    <s v="Kiss Bálint dr"/>
    <n v="1989"/>
    <n v="30"/>
    <s v="M50"/>
    <s v="HUN"/>
    <s v="03:33:15"/>
    <x v="1070"/>
  </r>
  <r>
    <m/>
    <s v="Hadnagy József"/>
    <n v="1974"/>
    <n v="45"/>
    <s v="M45"/>
    <s v="HUN"/>
    <s v="04:50:34"/>
    <x v="1951"/>
  </r>
  <r>
    <m/>
    <s v="Pailippl Gibon"/>
    <n v="1974"/>
    <n v="45"/>
    <s v="M45"/>
    <s v="HUN"/>
    <s v="05:07:05"/>
    <x v="1952"/>
  </r>
  <r>
    <m/>
    <s v="Pelado, Pedro"/>
    <n v="1990"/>
    <n v="29"/>
    <s v="M35"/>
    <s v="HUN"/>
    <s v="02:46:44"/>
    <x v="1953"/>
  </r>
  <r>
    <m/>
    <s v="Tuczapski, Artur"/>
    <n v="1975"/>
    <n v="44"/>
    <s v="M65"/>
    <s v="HUN"/>
    <s v="04:17:02"/>
    <x v="998"/>
  </r>
  <r>
    <m/>
    <s v="Szabó Bátor"/>
    <n v="1984"/>
    <n v="35"/>
    <s v="M20"/>
    <s v="HUN"/>
    <s v="03:10:23"/>
    <x v="1290"/>
  </r>
  <r>
    <m/>
    <s v="Ludwig, Patrick"/>
    <n v="1977"/>
    <n v="42"/>
    <s v="M30"/>
    <s v="HUN"/>
    <s v="04:49:30"/>
    <x v="1726"/>
  </r>
  <r>
    <m/>
    <s v="Tarsi, Riccardo"/>
    <n v="1991"/>
    <n v="28"/>
    <s v="M25"/>
    <s v="BEL"/>
    <s v="04:11:14"/>
    <x v="1954"/>
  </r>
  <r>
    <m/>
    <s v="Nyitrai Balázs"/>
    <n v="1956"/>
    <n v="63"/>
    <s v="M45"/>
    <s v="ITA"/>
    <s v="04:34:05"/>
    <x v="1955"/>
  </r>
  <r>
    <m/>
    <s v="Erismann, Thomas"/>
    <n v="1980"/>
    <n v="39"/>
    <s v="M25"/>
    <s v="ALB"/>
    <s v="03:00:34"/>
    <x v="1956"/>
  </r>
  <r>
    <m/>
    <s v="Kovács Martin"/>
    <n v="1974"/>
    <n v="45"/>
    <s v="M25"/>
    <s v="HUN"/>
    <s v="04:30:31"/>
    <x v="1957"/>
  </r>
  <r>
    <m/>
    <s v="Bihari Tamás"/>
    <n v="1972"/>
    <n v="47"/>
    <s v="M35"/>
    <s v="GER"/>
    <s v="03:19:28"/>
    <x v="1958"/>
  </r>
  <r>
    <m/>
    <s v="Czifra Gábor"/>
    <n v="1986"/>
    <n v="33"/>
    <s v="M45"/>
    <s v="UKR"/>
    <s v="03:43:12"/>
    <x v="1959"/>
  </r>
  <r>
    <m/>
    <s v="Bagosi, Csaba"/>
    <n v="1973"/>
    <n v="46"/>
    <s v="M25"/>
    <s v="GBR"/>
    <s v="04:38:40"/>
    <x v="1960"/>
  </r>
  <r>
    <m/>
    <s v="Cseresznyés Csaba Barna"/>
    <n v="1990"/>
    <n v="29"/>
    <s v="M60"/>
    <s v="HUN"/>
    <s v="05:21:25"/>
    <x v="1961"/>
  </r>
  <r>
    <m/>
    <s v="Rab Gergő"/>
    <n v="1973"/>
    <n v="46"/>
    <s v="M35"/>
    <s v="SRB"/>
    <s v="03:36:10"/>
    <x v="1400"/>
  </r>
  <r>
    <m/>
    <s v="Schwarz, Marian"/>
    <n v="1966"/>
    <n v="53"/>
    <s v="M40"/>
    <s v="HUN"/>
    <s v="03:59:34"/>
    <x v="1200"/>
  </r>
  <r>
    <m/>
    <s v="Kelemen Zsolt"/>
    <n v="1984"/>
    <n v="35"/>
    <s v="M40"/>
    <s v="HUN"/>
    <s v="04:11:36"/>
    <x v="1962"/>
  </r>
  <r>
    <m/>
    <s v="Tóth Gábor"/>
    <n v="1987"/>
    <n v="32"/>
    <s v="M40"/>
    <s v="HUN"/>
    <s v="05:03:12"/>
    <x v="1010"/>
  </r>
  <r>
    <m/>
    <s v="Vajda, Andrej"/>
    <n v="1967"/>
    <n v="52"/>
    <s v="M20"/>
    <s v="HUN"/>
    <s v="03:11:03"/>
    <x v="1963"/>
  </r>
  <r>
    <m/>
    <s v="Sherriffs, George"/>
    <n v="1957"/>
    <n v="62"/>
    <s v="M60"/>
    <s v="FRA"/>
    <s v="05:09:57"/>
    <x v="1964"/>
  </r>
  <r>
    <m/>
    <s v="Newsom, Arthur"/>
    <n v="1961"/>
    <n v="58"/>
    <s v="M30"/>
    <s v="NED"/>
    <s v="04:09:20"/>
    <x v="1965"/>
  </r>
  <r>
    <m/>
    <s v="Kumas, Omer"/>
    <n v="1989"/>
    <n v="30"/>
    <s v="M50"/>
    <s v="ROM"/>
    <s v="04:25:02"/>
    <x v="628"/>
  </r>
  <r>
    <m/>
    <s v="POSTAL, TIZIANO"/>
    <n v="1994"/>
    <n v="25"/>
    <s v="M60"/>
    <s v="HUN"/>
    <s v="04:12:46"/>
    <x v="1966"/>
  </r>
  <r>
    <m/>
    <s v="Emeric, LEDOUX"/>
    <n v="1964"/>
    <n v="55"/>
    <s v="M50"/>
    <s v="POR"/>
    <s v="03:35:13"/>
    <x v="1967"/>
  </r>
  <r>
    <m/>
    <s v="Tiren, Erkan"/>
    <n v="1964"/>
    <n v="55"/>
    <s v="M40"/>
    <s v="HUN"/>
    <s v="03:34:45"/>
    <x v="1968"/>
  </r>
  <r>
    <m/>
    <s v="Rádli Péter"/>
    <n v="1975"/>
    <n v="44"/>
    <s v="M50"/>
    <s v="HUN"/>
    <s v="03:23:11"/>
    <x v="1460"/>
  </r>
  <r>
    <m/>
    <s v="Galambos Máté"/>
    <n v="1997"/>
    <n v="22"/>
    <s v="M25"/>
    <s v="GBR"/>
    <s v="04:05:40"/>
    <x v="1969"/>
  </r>
  <r>
    <m/>
    <s v="Horváth Zsolt"/>
    <n v="1974"/>
    <n v="45"/>
    <s v="M45"/>
    <s v="SWE"/>
    <s v="04:08:39"/>
    <x v="1970"/>
  </r>
  <r>
    <m/>
    <s v="Waghorn, Dean"/>
    <n v="1956"/>
    <n v="63"/>
    <s v="M55"/>
    <s v="HUN"/>
    <s v="05:15:18"/>
    <x v="1971"/>
  </r>
  <r>
    <m/>
    <s v="Csapó Viktor"/>
    <n v="1979"/>
    <n v="40"/>
    <s v="M40"/>
    <s v="HUN"/>
    <s v="03:58:19"/>
    <x v="1972"/>
  </r>
  <r>
    <m/>
    <s v="Gyalai Bence"/>
    <n v="1970"/>
    <n v="49"/>
    <s v="M25"/>
    <s v="HUN"/>
    <s v="04:20:56"/>
    <x v="1973"/>
  </r>
  <r>
    <m/>
    <s v="Weatherhead, Matthew"/>
    <n v="1983"/>
    <n v="36"/>
    <s v="M20"/>
    <s v="BOL"/>
    <s v="04:39:21"/>
    <x v="237"/>
  </r>
  <r>
    <m/>
    <s v="Salamon Károly"/>
    <n v="1990"/>
    <n v="29"/>
    <s v="M50"/>
    <s v="HUN"/>
    <s v="04:54:27"/>
    <x v="1974"/>
  </r>
  <r>
    <m/>
    <s v="Gaál Norbert"/>
    <n v="1970"/>
    <n v="49"/>
    <s v="M25"/>
    <s v="HUN"/>
    <s v="03:20:06"/>
    <x v="1975"/>
  </r>
  <r>
    <m/>
    <s v="Stefanov, Milko"/>
    <n v="1954"/>
    <n v="65"/>
    <s v="M40"/>
    <s v="FIN"/>
    <s v="03:35:15"/>
    <x v="1976"/>
  </r>
  <r>
    <m/>
    <s v="Kovács, Attila"/>
    <n v="1963"/>
    <n v="56"/>
    <s v="M65"/>
    <s v="HUN"/>
    <s v="03:56:50"/>
    <x v="1977"/>
  </r>
  <r>
    <m/>
    <s v="Nochta Bálint"/>
    <n v="1968"/>
    <n v="51"/>
    <s v="M30"/>
    <s v="GBR"/>
    <s v="04:18:26"/>
    <x v="47"/>
  </r>
  <r>
    <m/>
    <s v="Vidó Dániel"/>
    <n v="1975"/>
    <n v="44"/>
    <s v="M35"/>
    <s v="HUN"/>
    <s v="02:49:03"/>
    <x v="1978"/>
  </r>
  <r>
    <m/>
    <s v="Hynes, Cillian"/>
    <n v="1972"/>
    <n v="47"/>
    <s v="M25"/>
    <s v="HUN"/>
    <s v="03:38:53"/>
    <x v="1979"/>
  </r>
  <r>
    <m/>
    <s v="Veres, Alpar"/>
    <n v="1956"/>
    <n v="63"/>
    <s v="M30"/>
    <s v="HUN"/>
    <s v="04:01:28"/>
    <x v="1980"/>
  </r>
  <r>
    <m/>
    <s v="Richter Zsolt"/>
    <n v="1979"/>
    <n v="40"/>
    <s v="M55"/>
    <s v="HUN"/>
    <s v="04:29:51"/>
    <x v="1981"/>
  </r>
  <r>
    <m/>
    <s v="Malík, David"/>
    <n v="1977"/>
    <n v="42"/>
    <s v="M25"/>
    <s v="HUN"/>
    <s v="05:02:52"/>
    <x v="143"/>
  </r>
  <r>
    <m/>
    <s v="Szőnyi János"/>
    <n v="1990"/>
    <n v="29"/>
    <s v="M30"/>
    <s v="HUN"/>
    <s v="04:12:39"/>
    <x v="1982"/>
  </r>
  <r>
    <m/>
    <s v="Stears, Matthew"/>
    <n v="1996"/>
    <n v="23"/>
    <s v="M65"/>
    <s v="FRA"/>
    <s v="04:58:27"/>
    <x v="1983"/>
  </r>
  <r>
    <m/>
    <s v="Siimer, Martin"/>
    <n v="1953"/>
    <n v="66"/>
    <s v="M50"/>
    <s v="HUN"/>
    <s v="04:01:08"/>
    <x v="1302"/>
  </r>
  <r>
    <m/>
    <s v="Li, CHENGBIN"/>
    <n v="1977"/>
    <n v="42"/>
    <s v="M25"/>
    <s v="FRA"/>
    <s v="05:03:29"/>
    <x v="194"/>
  </r>
  <r>
    <m/>
    <s v="Kenyeres Gábor"/>
    <n v="1961"/>
    <n v="58"/>
    <s v="M40"/>
    <s v="DEN"/>
    <s v="04:44:36"/>
    <x v="1984"/>
  </r>
  <r>
    <m/>
    <s v="Terpiak, Andrii"/>
    <n v="1972"/>
    <n v="47"/>
    <s v="M60"/>
    <s v="IRL"/>
    <s v="03:51:30"/>
    <x v="690"/>
  </r>
  <r>
    <m/>
    <s v="Kálmán Levente"/>
    <n v="1985"/>
    <n v="34"/>
    <s v="M50"/>
    <s v="HUN"/>
    <s v="03:44:42"/>
    <x v="1985"/>
  </r>
  <r>
    <m/>
    <s v="Pánti Zsombor"/>
    <n v="1954"/>
    <n v="65"/>
    <s v="M35"/>
    <s v="HUN"/>
    <s v="03:58:03"/>
    <x v="367"/>
  </r>
  <r>
    <m/>
    <s v="Tirado, Josep prof"/>
    <n v="1969"/>
    <n v="50"/>
    <s v="M45"/>
    <s v="HUN"/>
    <s v="03:32:07"/>
    <x v="1986"/>
  </r>
  <r>
    <m/>
    <s v="Lukács Sándor"/>
    <n v="1973"/>
    <n v="46"/>
    <s v="M45"/>
    <s v="UKR"/>
    <s v="04:10:59"/>
    <x v="1618"/>
  </r>
  <r>
    <m/>
    <s v="jean-philippe, menetrey"/>
    <n v="1969"/>
    <n v="50"/>
    <s v="M55"/>
    <s v="CZE"/>
    <s v="04:38:52"/>
    <x v="1987"/>
  </r>
  <r>
    <m/>
    <s v="Bojic, Andrej"/>
    <n v="1971"/>
    <n v="48"/>
    <s v="M30"/>
    <s v="POL"/>
    <s v="03:58:39"/>
    <x v="1988"/>
  </r>
  <r>
    <m/>
    <s v="Pálvölgyi Imre"/>
    <n v="1969"/>
    <n v="50"/>
    <s v="M35"/>
    <s v="GBR"/>
    <s v="03:44:15"/>
    <x v="1215"/>
  </r>
  <r>
    <m/>
    <s v="Király Balázs"/>
    <n v="1970"/>
    <n v="49"/>
    <s v="M45"/>
    <s v="HUN"/>
    <s v="03:52:05"/>
    <x v="1427"/>
  </r>
  <r>
    <m/>
    <s v="Márton, Csaba"/>
    <n v="1984"/>
    <n v="35"/>
    <s v="M40"/>
    <s v="HUN"/>
    <s v="03:46:04"/>
    <x v="1989"/>
  </r>
  <r>
    <m/>
    <s v="Tulkán Attila"/>
    <n v="1973"/>
    <n v="46"/>
    <s v="M50"/>
    <s v="HUN"/>
    <s v="04:19:37"/>
    <x v="1990"/>
  </r>
  <r>
    <m/>
    <s v="Stranyóczky László"/>
    <n v="1949"/>
    <n v="70"/>
    <s v="M25"/>
    <s v="HUN"/>
    <s v="04:13:17"/>
    <x v="1991"/>
  </r>
  <r>
    <m/>
    <s v="Horváth Zoltán"/>
    <n v="1979"/>
    <n v="40"/>
    <s v="M50"/>
    <s v="FRA"/>
    <s v="04:39:20"/>
    <x v="1992"/>
  </r>
  <r>
    <m/>
    <s v="Klekler András"/>
    <n v="1982"/>
    <n v="37"/>
    <s v="M35"/>
    <s v="HUN"/>
    <s v="03:53:07"/>
    <x v="1993"/>
  </r>
  <r>
    <m/>
    <s v="Oates, Jack"/>
    <n v="1995"/>
    <n v="24"/>
    <s v="M25"/>
    <s v="RUS"/>
    <s v="03:55:10"/>
    <x v="1994"/>
  </r>
  <r>
    <m/>
    <s v="Friis, Peter"/>
    <n v="1978"/>
    <n v="41"/>
    <s v="M60"/>
    <s v="ISR"/>
    <s v="05:33:12"/>
    <x v="1995"/>
  </r>
  <r>
    <m/>
    <s v="Serafin, Szymon"/>
    <n v="1986"/>
    <n v="33"/>
    <s v="M20"/>
    <s v="GRE"/>
    <s v="04:31:10"/>
    <x v="1996"/>
  </r>
  <r>
    <m/>
    <s v="ingor, Daniel"/>
    <n v="1970"/>
    <n v="49"/>
    <s v="M45"/>
    <s v="HUN"/>
    <s v="04:39:40"/>
    <x v="1997"/>
  </r>
  <r>
    <m/>
    <s v="Vízer Dániel"/>
    <n v="1994"/>
    <n v="25"/>
    <s v="M40"/>
    <s v="GBR"/>
    <s v="05:14:39"/>
    <x v="1998"/>
  </r>
  <r>
    <m/>
    <s v="Kende Zoltán"/>
    <n v="1974"/>
    <n v="45"/>
    <s v="M20"/>
    <s v="SVK"/>
    <s v="03:38:40"/>
    <x v="1999"/>
  </r>
  <r>
    <m/>
    <s v="Tóth Zoltán"/>
    <n v="1974"/>
    <n v="45"/>
    <s v="M50"/>
    <s v="CRO"/>
    <s v="04:21:04"/>
    <x v="2000"/>
  </r>
  <r>
    <m/>
    <s v="Hornyák Bence"/>
    <n v="1973"/>
    <n v="46"/>
    <s v="M30"/>
    <s v="HUN"/>
    <s v="03:41:42"/>
    <x v="1050"/>
  </r>
  <r>
    <m/>
    <s v="Witzel, Jens"/>
    <n v="1977"/>
    <n v="42"/>
    <s v="M55"/>
    <s v="HUN"/>
    <s v="03:49:40"/>
    <x v="2001"/>
  </r>
  <r>
    <m/>
    <s v="Springel Mihály"/>
    <n v="1979"/>
    <n v="40"/>
    <s v="M55"/>
    <s v="HUN"/>
    <s v="04:46:42"/>
    <x v="2002"/>
  </r>
  <r>
    <m/>
    <s v="Nota, Maarten"/>
    <n v="1984"/>
    <n v="35"/>
    <s v="M45"/>
    <s v="POL"/>
    <s v="03:19:28"/>
    <x v="1958"/>
  </r>
  <r>
    <m/>
    <s v="Székely Gergő"/>
    <n v="1976"/>
    <n v="43"/>
    <s v="M40"/>
    <s v="HUN"/>
    <s v="03:38:10"/>
    <x v="2003"/>
  </r>
  <r>
    <m/>
    <s v="Pelikán Gergely"/>
    <n v="1981"/>
    <n v="38"/>
    <s v="M45"/>
    <s v="HUN"/>
    <s v="03:40:10"/>
    <x v="211"/>
  </r>
  <r>
    <m/>
    <s v="Kelemen Dávid"/>
    <n v="1981"/>
    <n v="38"/>
    <s v="M30"/>
    <s v="HUN"/>
    <s v="03:56:36"/>
    <x v="2004"/>
  </r>
  <r>
    <m/>
    <s v="Braconnier, Miguel"/>
    <n v="1967"/>
    <n v="52"/>
    <s v="M35"/>
    <s v="HUN"/>
    <s v="02:59:20"/>
    <x v="2005"/>
  </r>
  <r>
    <m/>
    <s v="Paulik Tamás"/>
    <n v="1979"/>
    <n v="40"/>
    <s v="M40"/>
    <s v="HUN"/>
    <s v="03:32:15"/>
    <x v="2006"/>
  </r>
  <r>
    <m/>
    <s v="Horváth Gábor"/>
    <n v="1970"/>
    <n v="49"/>
    <s v="M40"/>
    <s v="LIT"/>
    <s v="04:25:18"/>
    <x v="2007"/>
  </r>
  <r>
    <m/>
    <s v="Bódi Csaba"/>
    <n v="1974"/>
    <n v="45"/>
    <s v="M40"/>
    <s v="HUN"/>
    <s v="04:48:00"/>
    <x v="2008"/>
  </r>
  <r>
    <m/>
    <s v="Sabo Péter"/>
    <n v="1973"/>
    <n v="46"/>
    <s v="M25"/>
    <s v="HUN"/>
    <s v="05:30:18"/>
    <x v="2009"/>
  </r>
  <r>
    <m/>
    <s v="Hofbauer Zsolt"/>
    <n v="1986"/>
    <n v="33"/>
    <s v="M40"/>
    <s v="HUN"/>
    <s v="04:46:21"/>
    <x v="2010"/>
  </r>
  <r>
    <m/>
    <s v="Rácz Róbert László"/>
    <n v="1991"/>
    <n v="28"/>
    <s v="M45"/>
    <s v="HUN"/>
    <s v="04:53:53"/>
    <x v="2011"/>
  </r>
  <r>
    <m/>
    <s v="Huijben, Wouter"/>
    <n v="1978"/>
    <n v="41"/>
    <s v="M20"/>
    <s v="HUN"/>
    <s v="03:49:51"/>
    <x v="787"/>
  </r>
  <r>
    <m/>
    <s v="Krawczyk, Krzysztof"/>
    <n v="1986"/>
    <n v="33"/>
    <s v="M50"/>
    <s v="NED"/>
    <s v="03:47:22"/>
    <x v="1038"/>
  </r>
  <r>
    <m/>
    <s v="Halász Gábor"/>
    <n v="1986"/>
    <n v="33"/>
    <s v="M45"/>
    <s v="HUN"/>
    <s v="04:59:00"/>
    <x v="2012"/>
  </r>
  <r>
    <m/>
    <s v="Richards, Steven"/>
    <n v="1989"/>
    <n v="30"/>
    <s v="M35"/>
    <s v="HUN"/>
    <s v="04:05:36"/>
    <x v="2013"/>
  </r>
  <r>
    <m/>
    <s v="Svrcek, Milan"/>
    <n v="1985"/>
    <n v="34"/>
    <s v="M50"/>
    <s v="HUN"/>
    <s v="05:29:00"/>
    <x v="2014"/>
  </r>
  <r>
    <m/>
    <s v="Orel, Aleksandr"/>
    <n v="1988"/>
    <n v="31"/>
    <s v="M45"/>
    <s v="RUS"/>
    <s v="04:01:45"/>
    <x v="2015"/>
  </r>
  <r>
    <m/>
    <s v="Kiss-Berdó Ádám"/>
    <n v="1974"/>
    <n v="45"/>
    <s v="M40"/>
    <s v="HUN"/>
    <s v="04:28:36"/>
    <x v="1059"/>
  </r>
  <r>
    <m/>
    <s v="Nickerson, Jake"/>
    <n v="1974"/>
    <n v="45"/>
    <s v="M18"/>
    <s v="HUN"/>
    <s v="04:22:06"/>
    <x v="2016"/>
  </r>
  <r>
    <m/>
    <s v="Szabó Attila"/>
    <n v="1991"/>
    <n v="28"/>
    <s v="M45"/>
    <s v="ALB"/>
    <s v="04:14:32"/>
    <x v="2017"/>
  </r>
  <r>
    <m/>
    <s v="Kai, Yee Hoe"/>
    <n v="1979"/>
    <n v="40"/>
    <s v="M35"/>
    <s v="BEL"/>
    <s v="05:26:32"/>
    <x v="2018"/>
  </r>
  <r>
    <m/>
    <s v="Vörös, Róbert"/>
    <n v="1983"/>
    <n v="36"/>
    <s v="M30"/>
    <s v="UKR"/>
    <s v="03:40:51"/>
    <x v="626"/>
  </r>
  <r>
    <m/>
    <s v="zhao, xiaoyong"/>
    <n v="1975"/>
    <n v="44"/>
    <s v="M40"/>
    <s v="HUN"/>
    <s v="03:57:25"/>
    <x v="2019"/>
  </r>
  <r>
    <m/>
    <s v="Benjamin, Fleurisson"/>
    <n v="1986"/>
    <n v="33"/>
    <s v="M30"/>
    <s v="HUN"/>
    <s v="03:46:09"/>
    <x v="2020"/>
  </r>
  <r>
    <m/>
    <s v="Tóth Géza dr"/>
    <n v="1977"/>
    <n v="42"/>
    <s v="M30"/>
    <s v="HUN"/>
    <s v="04:19:25"/>
    <x v="1590"/>
  </r>
  <r>
    <m/>
    <s v="Zwahlen, Remo"/>
    <n v="1991"/>
    <n v="28"/>
    <s v="M30"/>
    <s v="HUN"/>
    <s v="03:47:52"/>
    <x v="2021"/>
  </r>
  <r>
    <m/>
    <s v="Szöllősi József"/>
    <n v="1976"/>
    <n v="43"/>
    <s v="M55"/>
    <s v="HUN"/>
    <s v="03:58:44"/>
    <x v="2022"/>
  </r>
  <r>
    <m/>
    <s v="Lengyel László Ottó"/>
    <n v="1971"/>
    <n v="48"/>
    <s v="M65"/>
    <s v="HUN"/>
    <s v="05:14:52"/>
    <x v="2023"/>
  </r>
  <r>
    <m/>
    <s v="Szabó Gábor"/>
    <n v="1973"/>
    <n v="46"/>
    <s v="M45"/>
    <s v="HUN"/>
    <s v="02:45:15"/>
    <x v="2024"/>
  </r>
  <r>
    <m/>
    <s v="FARDELLA, ALESSANDRO"/>
    <n v="1982"/>
    <n v="37"/>
    <s v="M50"/>
    <s v="HUN"/>
    <s v="03:46:27"/>
    <x v="1485"/>
  </r>
  <r>
    <m/>
    <s v="Gál József"/>
    <n v="1979"/>
    <n v="40"/>
    <s v="M45"/>
    <s v="HUN"/>
    <s v="04:03:06"/>
    <x v="734"/>
  </r>
  <r>
    <m/>
    <s v="Tóth Dávid"/>
    <n v="1975"/>
    <n v="44"/>
    <s v="M25"/>
    <s v="GBR"/>
    <s v="04:50:31"/>
    <x v="2025"/>
  </r>
  <r>
    <m/>
    <s v="MacLeod, Colin"/>
    <n v="1976"/>
    <n v="43"/>
    <s v="M40"/>
    <s v="FRA"/>
    <s v="04:26:14"/>
    <x v="1683"/>
  </r>
  <r>
    <m/>
    <s v="Houwaart, Vincent"/>
    <n v="1974"/>
    <n v="45"/>
    <s v="M40"/>
    <s v="HUN"/>
    <s v="04:12:46"/>
    <x v="1966"/>
  </r>
  <r>
    <m/>
    <s v="Hamar Bálint Dániel"/>
    <n v="1970"/>
    <n v="49"/>
    <s v="M30"/>
    <s v="FRA"/>
    <s v="03:51:10"/>
    <x v="2026"/>
  </r>
  <r>
    <m/>
    <s v="Pagio, José"/>
    <n v="1978"/>
    <n v="41"/>
    <s v="M25"/>
    <s v="CZE"/>
    <s v="04:17:56"/>
    <x v="557"/>
  </r>
  <r>
    <m/>
    <s v="Měkyna, Jiří"/>
    <n v="1977"/>
    <n v="42"/>
    <s v="M50"/>
    <s v="HUN"/>
    <s v="04:10:57"/>
    <x v="2027"/>
  </r>
  <r>
    <m/>
    <s v="Jansen van Rensburg Michael"/>
    <n v="1990"/>
    <n v="29"/>
    <s v="M55"/>
    <s v="THA"/>
    <s v="04:56:46"/>
    <x v="2028"/>
  </r>
  <r>
    <m/>
    <s v="Óbert Zoltán"/>
    <n v="1989"/>
    <n v="30"/>
    <s v="M35"/>
    <s v="GER"/>
    <s v="03:14:00"/>
    <x v="2029"/>
  </r>
  <r>
    <m/>
    <s v="Honti Csaba"/>
    <n v="1973"/>
    <n v="46"/>
    <s v="M40"/>
    <s v="HUN"/>
    <s v="03:46:22"/>
    <x v="2030"/>
  </r>
  <r>
    <m/>
    <s v="Lackner, Werner"/>
    <n v="1975"/>
    <n v="44"/>
    <s v="M55"/>
    <s v="HUN"/>
    <s v="03:35:14"/>
    <x v="1589"/>
  </r>
  <r>
    <m/>
    <s v="Hynne, Erik"/>
    <n v="1967"/>
    <n v="52"/>
    <s v="M35"/>
    <s v="GBR"/>
    <s v="04:00:44"/>
    <x v="37"/>
  </r>
  <r>
    <m/>
    <s v="Elliott, Richard"/>
    <n v="1972"/>
    <n v="47"/>
    <s v="M30"/>
    <s v="???"/>
    <s v="04:10:11"/>
    <x v="1156"/>
  </r>
  <r>
    <m/>
    <s v="Kraias, Stergios prof"/>
    <n v="1965"/>
    <n v="54"/>
    <s v="M40"/>
    <s v="HUN"/>
    <s v="03:38:03"/>
    <x v="2031"/>
  </r>
  <r>
    <m/>
    <s v="bertrand, floc'h"/>
    <n v="1967"/>
    <n v="52"/>
    <s v="M50"/>
    <s v="HUN"/>
    <s v="03:49:01"/>
    <x v="2032"/>
  </r>
  <r>
    <m/>
    <s v="Mészáros Balázs dr"/>
    <n v="1974"/>
    <n v="45"/>
    <s v="M25"/>
    <s v="HUN"/>
    <s v="03:48:43"/>
    <x v="2033"/>
  </r>
  <r>
    <m/>
    <s v="Jelander, Anders"/>
    <n v="1967"/>
    <n v="52"/>
    <s v="M55"/>
    <s v="GER"/>
    <s v="05:22:16"/>
    <x v="2034"/>
  </r>
  <r>
    <m/>
    <s v="Tóth Krisztián dr."/>
    <n v="1988"/>
    <n v="31"/>
    <s v="M50"/>
    <s v="UKR"/>
    <s v="04:21:33"/>
    <x v="2035"/>
  </r>
  <r>
    <m/>
    <s v="Lamkin, Simon"/>
    <n v="1954"/>
    <n v="65"/>
    <s v="M50"/>
    <s v="HUN"/>
    <s v="03:34:04"/>
    <x v="274"/>
  </r>
  <r>
    <m/>
    <s v="Kovaloczy András"/>
    <n v="1967"/>
    <n v="52"/>
    <s v="M25"/>
    <s v="HUN"/>
    <s v="04:01:41"/>
    <x v="1769"/>
  </r>
  <r>
    <m/>
    <s v="dos Santos, Nicolas"/>
    <n v="1976"/>
    <n v="43"/>
    <s v="M30"/>
    <s v="POL"/>
    <s v="03:20:46"/>
    <x v="2036"/>
  </r>
  <r>
    <m/>
    <s v="Izsó László"/>
    <n v="1977"/>
    <n v="42"/>
    <s v="M45"/>
    <s v="HUN"/>
    <s v="05:03:05"/>
    <x v="1198"/>
  </r>
  <r>
    <m/>
    <s v="Russo, Nicholas"/>
    <n v="1974"/>
    <n v="45"/>
    <s v="M20"/>
    <s v="FRA"/>
    <s v="03:19:14"/>
    <x v="2037"/>
  </r>
  <r>
    <m/>
    <s v="Pőcze Tamás dr."/>
    <n v="1971"/>
    <n v="48"/>
    <s v="M45"/>
    <s v="USA"/>
    <s v="04:19:38"/>
    <x v="944"/>
  </r>
  <r>
    <m/>
    <s v="Pásztor Ádám"/>
    <n v="1980"/>
    <n v="39"/>
    <s v="M35"/>
    <s v="HUN"/>
    <s v="03:39:41"/>
    <x v="397"/>
  </r>
  <r>
    <m/>
    <s v="Hegedüs Máté dr"/>
    <n v="1964"/>
    <n v="55"/>
    <s v="M25"/>
    <s v="CHN"/>
    <s v="05:08:34"/>
    <x v="2038"/>
  </r>
  <r>
    <m/>
    <s v="Világosi Zoltán"/>
    <n v="1990"/>
    <n v="29"/>
    <s v="M35"/>
    <s v="HUN"/>
    <s v="03:00:11"/>
    <x v="2039"/>
  </r>
  <r>
    <m/>
    <s v="Szombathelyi Béla"/>
    <n v="1978"/>
    <n v="41"/>
    <s v="M30"/>
    <s v="HUN"/>
    <s v="03:29:37"/>
    <x v="2040"/>
  </r>
  <r>
    <m/>
    <s v="giuseppe, macchia"/>
    <n v="1973"/>
    <n v="46"/>
    <s v="M60"/>
    <s v="RUS"/>
    <s v="04:35:19"/>
    <x v="2041"/>
  </r>
  <r>
    <m/>
    <s v="Beke József"/>
    <n v="1956"/>
    <n v="63"/>
    <s v="M50"/>
    <s v="HUN"/>
    <s v="04:27:54"/>
    <x v="1572"/>
  </r>
  <r>
    <m/>
    <s v="Steiner, Johannes"/>
    <n v="1978"/>
    <n v="41"/>
    <s v="M35"/>
    <s v="HUN"/>
    <s v="03:31:09"/>
    <x v="2042"/>
  </r>
  <r>
    <m/>
    <s v="ebok, Duan"/>
    <n v="1974"/>
    <n v="45"/>
    <s v="M50"/>
    <s v="GBR"/>
    <s v="03:40:21"/>
    <x v="2043"/>
  </r>
  <r>
    <m/>
    <s v="Tóth Sándor"/>
    <n v="1980"/>
    <n v="39"/>
    <s v="M30"/>
    <s v="HUN"/>
    <s v="03:55:12"/>
    <x v="2044"/>
  </r>
  <r>
    <m/>
    <s v="Szabó Ernő"/>
    <n v="1966"/>
    <n v="53"/>
    <s v="M45"/>
    <s v="HUN"/>
    <s v="03:37:16"/>
    <x v="2045"/>
  </r>
  <r>
    <m/>
    <s v="Wuebbels, Tim"/>
    <n v="1994"/>
    <n v="25"/>
    <s v="M25"/>
    <s v="HUN"/>
    <s v="03:21:37"/>
    <x v="2046"/>
  </r>
  <r>
    <m/>
    <s v="Marcin, Debowski prof"/>
    <n v="1981"/>
    <n v="38"/>
    <s v="M45"/>
    <s v="CZE"/>
    <s v="03:44:03"/>
    <x v="1898"/>
  </r>
  <r>
    <m/>
    <s v="panzi, riccardo prof"/>
    <n v="1996"/>
    <n v="23"/>
    <s v="M60"/>
    <s v="HUN"/>
    <s v="04:35:18"/>
    <x v="480"/>
  </r>
  <r>
    <m/>
    <s v="Cheung, Kwan Ue"/>
    <n v="1982"/>
    <n v="37"/>
    <s v="M35"/>
    <s v="RUS"/>
    <s v="03:23:32"/>
    <x v="51"/>
  </r>
  <r>
    <m/>
    <s v="László Tibor"/>
    <n v="1978"/>
    <n v="41"/>
    <s v="M50"/>
    <s v="HUN"/>
    <s v="04:07:18"/>
    <x v="2047"/>
  </r>
  <r>
    <m/>
    <s v="Gartner Áron"/>
    <n v="1956"/>
    <n v="63"/>
    <s v="M25"/>
    <s v="HUN"/>
    <s v="02:51:43"/>
    <x v="2048"/>
  </r>
  <r>
    <m/>
    <s v="Schultz György"/>
    <n v="1994"/>
    <n v="25"/>
    <s v="M50"/>
    <s v="GBR"/>
    <s v="04:16:38"/>
    <x v="1795"/>
  </r>
  <r>
    <m/>
    <s v="Radak, Perica"/>
    <n v="1955"/>
    <n v="64"/>
    <s v="M50"/>
    <s v="SLO"/>
    <s v="04:50:59"/>
    <x v="2049"/>
  </r>
  <r>
    <m/>
    <s v="Joós József"/>
    <n v="1968"/>
    <n v="51"/>
    <s v="M60"/>
    <s v="SWE"/>
    <s v="04:37:11"/>
    <x v="2050"/>
  </r>
  <r>
    <m/>
    <s v="Pollák András"/>
    <n v="1991"/>
    <n v="28"/>
    <s v="M30"/>
    <s v="RUS"/>
    <s v="05:03:32"/>
    <x v="869"/>
  </r>
  <r>
    <m/>
    <s v="Monteiro, Pedro"/>
    <n v="1995"/>
    <n v="24"/>
    <s v="M30"/>
    <s v="HUN"/>
    <s v="02:58:01"/>
    <x v="2051"/>
  </r>
  <r>
    <m/>
    <s v="Tót Kálmán"/>
    <n v="1990"/>
    <n v="29"/>
    <s v="M30"/>
    <s v="HUN"/>
    <s v="04:03:33"/>
    <x v="1580"/>
  </r>
  <r>
    <m/>
    <s v="Gillespie, Andrew"/>
    <n v="1984"/>
    <n v="35"/>
    <s v="M55"/>
    <s v="RUS"/>
    <s v="04:58:54"/>
    <x v="707"/>
  </r>
  <r>
    <m/>
    <s v="Timár Péter"/>
    <n v="1988"/>
    <n v="31"/>
    <s v="M45"/>
    <s v="HUN"/>
    <s v="03:51:35"/>
    <x v="745"/>
  </r>
  <r>
    <m/>
    <s v="Moskowicz, Stefan"/>
    <n v="1960"/>
    <n v="59"/>
    <s v="M65"/>
    <s v="GER"/>
    <s v="03:29:21"/>
    <x v="994"/>
  </r>
  <r>
    <m/>
    <s v="Biró Balázs"/>
    <n v="1979"/>
    <n v="40"/>
    <s v="M50"/>
    <s v="HUN"/>
    <s v="03:48:45"/>
    <x v="2052"/>
  </r>
  <r>
    <m/>
    <s v="Varga István"/>
    <n v="1979"/>
    <n v="40"/>
    <s v="M40"/>
    <s v="HUN"/>
    <s v="03:09:35"/>
    <x v="103"/>
  </r>
  <r>
    <m/>
    <s v="Szilvási Péter"/>
    <n v="1997"/>
    <n v="22"/>
    <s v="M35"/>
    <s v="HUN"/>
    <s v="03:37:32"/>
    <x v="2053"/>
  </r>
  <r>
    <m/>
    <s v="Csorba László"/>
    <n v="1949"/>
    <n v="70"/>
    <s v="M50"/>
    <s v="HUN"/>
    <s v="03:50:07"/>
    <x v="2054"/>
  </r>
  <r>
    <m/>
    <s v="Panyi József"/>
    <n v="1973"/>
    <n v="46"/>
    <s v="M40"/>
    <s v="NOR"/>
    <s v="03:59:42"/>
    <x v="2055"/>
  </r>
  <r>
    <m/>
    <s v="DĽBROWSKI, PRZEMO"/>
    <n v="1984"/>
    <n v="35"/>
    <s v="M60"/>
    <s v="HUN"/>
    <s v="04:58:54"/>
    <x v="707"/>
  </r>
  <r>
    <m/>
    <s v="It Aguirre, Gabriel jr"/>
    <n v="1974"/>
    <n v="45"/>
    <s v="M25"/>
    <s v="HUN"/>
    <s v="03:20:27"/>
    <x v="1917"/>
  </r>
  <r>
    <m/>
    <s v="De Potter, Mathias"/>
    <n v="1976"/>
    <n v="43"/>
    <s v="M30"/>
    <s v="HUN"/>
    <s v="03:51:53"/>
    <x v="283"/>
  </r>
  <r>
    <m/>
    <s v="Iványicki Tamás"/>
    <n v="1989"/>
    <n v="30"/>
    <s v="M30"/>
    <s v="HUN"/>
    <s v="04:03:42"/>
    <x v="2056"/>
  </r>
  <r>
    <m/>
    <s v="Birkás Tamás"/>
    <n v="1971"/>
    <n v="48"/>
    <s v="M35"/>
    <s v="HUN"/>
    <s v="04:10:42"/>
    <x v="2057"/>
  </r>
  <r>
    <m/>
    <s v="Tholén, Anton"/>
    <n v="1970"/>
    <n v="49"/>
    <s v="M30"/>
    <s v="HUN"/>
    <s v="03:16:06"/>
    <x v="2058"/>
  </r>
  <r>
    <m/>
    <s v="Fuller, Tim"/>
    <n v="1976"/>
    <n v="43"/>
    <s v="M35"/>
    <s v="USA"/>
    <s v="03:25:48"/>
    <x v="2059"/>
  </r>
  <r>
    <m/>
    <s v="Takács Gábor"/>
    <n v="1962"/>
    <n v="57"/>
    <s v="M50"/>
    <s v="HUN"/>
    <s v="03:59:14"/>
    <x v="1284"/>
  </r>
  <r>
    <m/>
    <s v="Henttonen, Mika"/>
    <n v="1983"/>
    <n v="36"/>
    <s v="M40"/>
    <s v="HUN"/>
    <s v="05:30:47"/>
    <x v="572"/>
  </r>
  <r>
    <m/>
    <s v="Kraft, Andreas"/>
    <n v="1973"/>
    <n v="46"/>
    <s v="M45"/>
    <s v="BEL"/>
    <s v="04:34:15"/>
    <x v="517"/>
  </r>
  <r>
    <m/>
    <s v="Takacs Akos"/>
    <n v="1966"/>
    <n v="53"/>
    <s v="M25"/>
    <s v="FRA"/>
    <s v="04:34:30"/>
    <x v="2060"/>
  </r>
  <r>
    <m/>
    <s v="Fülöp, Peter"/>
    <n v="1968"/>
    <n v="51"/>
    <s v="M40"/>
    <s v="HUN"/>
    <s v="03:28:22"/>
    <x v="2061"/>
  </r>
  <r>
    <m/>
    <s v="Angaroni, Enrico prof"/>
    <n v="1984"/>
    <n v="35"/>
    <s v="M30"/>
    <s v="HUN"/>
    <s v="03:41:21"/>
    <x v="767"/>
  </r>
  <r>
    <m/>
    <s v="Beszterczey Pál"/>
    <n v="1990"/>
    <n v="29"/>
    <s v="M50"/>
    <s v="HUN"/>
    <s v="04:13:48"/>
    <x v="975"/>
  </r>
  <r>
    <m/>
    <s v="Szabó Bence"/>
    <n v="1956"/>
    <n v="63"/>
    <s v="M20"/>
    <s v="DEN"/>
    <s v="05:16:47"/>
    <x v="2062"/>
  </r>
  <r>
    <m/>
    <s v="Iliou, Julien"/>
    <n v="1990"/>
    <n v="29"/>
    <s v="M40"/>
    <s v="HUN"/>
    <s v="03:57:48"/>
    <x v="1318"/>
  </r>
  <r>
    <m/>
    <s v="Merrigan, Patrick"/>
    <n v="1968"/>
    <n v="51"/>
    <s v="M30"/>
    <s v="ROM"/>
    <s v="04:41:30"/>
    <x v="2063"/>
  </r>
  <r>
    <m/>
    <s v="Szunyogh Péter"/>
    <n v="1985"/>
    <n v="34"/>
    <s v="M35"/>
    <s v="HUN"/>
    <s v="02:50:34"/>
    <x v="2064"/>
  </r>
  <r>
    <m/>
    <s v="thibaut, dewaulle"/>
    <n v="1959"/>
    <n v="60"/>
    <s v="M45"/>
    <s v="HUN"/>
    <s v="05:01:08"/>
    <x v="2065"/>
  </r>
  <r>
    <m/>
    <s v="Clément, Hembert"/>
    <n v="1983"/>
    <n v="36"/>
    <s v="M30"/>
    <s v="HUN"/>
    <s v="04:06:30"/>
    <x v="1037"/>
  </r>
  <r>
    <m/>
    <s v="Kaijim, Ronald"/>
    <n v="1960"/>
    <n v="59"/>
    <s v="M55"/>
    <s v="ITA"/>
    <s v="03:53:28"/>
    <x v="2066"/>
  </r>
  <r>
    <m/>
    <s v="Byczyk, Jacek"/>
    <n v="1997"/>
    <n v="22"/>
    <s v="M60"/>
    <s v="HUN"/>
    <s v="04:25:48"/>
    <x v="1390"/>
  </r>
  <r>
    <m/>
    <s v="Dombi Tibor"/>
    <n v="1983"/>
    <n v="36"/>
    <s v="M50"/>
    <s v="HUN"/>
    <s v="03:22:06"/>
    <x v="2067"/>
  </r>
  <r>
    <m/>
    <s v="Gjerde, Emil"/>
    <n v="1978"/>
    <n v="41"/>
    <s v="M20"/>
    <s v="FIN"/>
    <s v="03:29:50"/>
    <x v="2068"/>
  </r>
  <r>
    <m/>
    <s v="McHardy, Simon"/>
    <n v="1987"/>
    <n v="32"/>
    <s v="M45"/>
    <s v="SVK"/>
    <s v="03:46:21"/>
    <x v="2069"/>
  </r>
  <r>
    <m/>
    <s v="CHANTEAU, JEAN-PIERRE"/>
    <n v="1975"/>
    <n v="44"/>
    <s v="M60"/>
    <s v="HUN"/>
    <s v="03:27:06"/>
    <x v="2070"/>
  </r>
  <r>
    <m/>
    <s v="Németh Mátyás"/>
    <n v="1960"/>
    <n v="59"/>
    <s v="M35"/>
    <s v="ITA"/>
    <s v="04:24:48"/>
    <x v="2071"/>
  </r>
  <r>
    <m/>
    <s v="Bokor Zoltán"/>
    <n v="1973"/>
    <n v="46"/>
    <s v="M40"/>
    <s v="HUN"/>
    <s v="04:22:47"/>
    <x v="2072"/>
  </r>
  <r>
    <m/>
    <s v="Mata László"/>
    <n v="1964"/>
    <n v="55"/>
    <s v="M45"/>
    <s v="HUN"/>
    <s v="04:27:19"/>
    <x v="2073"/>
  </r>
  <r>
    <m/>
    <s v="Lukács Zoltán"/>
    <n v="1985"/>
    <n v="34"/>
    <s v="M40"/>
    <s v="BRA"/>
    <s v="03:48:31"/>
    <x v="2074"/>
  </r>
  <r>
    <m/>
    <s v="Földesi József"/>
    <n v="1965"/>
    <n v="54"/>
    <s v="M65"/>
    <s v="HUN"/>
    <s v="04:59:00"/>
    <x v="2012"/>
  </r>
  <r>
    <m/>
    <s v="Papp László"/>
    <n v="1974"/>
    <n v="45"/>
    <s v="M60"/>
    <s v="HUN"/>
    <s v="03:43:36"/>
    <x v="2075"/>
  </r>
  <r>
    <m/>
    <s v="Polhammer Zsolt"/>
    <n v="1978"/>
    <n v="41"/>
    <s v="M40"/>
    <s v="HUN"/>
    <s v="05:03:45"/>
    <x v="927"/>
  </r>
  <r>
    <m/>
    <s v="Hajzer Barnabás"/>
    <n v="1976"/>
    <n v="43"/>
    <s v="M45"/>
    <s v="JPN"/>
    <s v="04:17:27"/>
    <x v="2076"/>
  </r>
  <r>
    <m/>
    <s v="You, Jiageng"/>
    <n v="1968"/>
    <n v="51"/>
    <s v="M25"/>
    <s v="ESP"/>
    <s v="04:38:54"/>
    <x v="1524"/>
  </r>
  <r>
    <m/>
    <s v="Cesko, Admir"/>
    <n v="1993"/>
    <n v="26"/>
    <s v="M35"/>
    <s v="GBR"/>
    <s v="03:59:29"/>
    <x v="2077"/>
  </r>
  <r>
    <m/>
    <s v="Károlyi Zoltán"/>
    <n v="1990"/>
    <n v="29"/>
    <s v="M45"/>
    <s v="FRA"/>
    <s v="03:43:06"/>
    <x v="2078"/>
  </r>
  <r>
    <m/>
    <s v="Bars Tamás"/>
    <n v="1952"/>
    <n v="67"/>
    <s v="M40"/>
    <s v="RUS"/>
    <s v="04:05:09"/>
    <x v="1417"/>
  </r>
  <r>
    <m/>
    <s v="Ljevakovic, Abdulah"/>
    <n v="1977"/>
    <n v="42"/>
    <s v="M40"/>
    <s v="HUN"/>
    <s v="05:00:52"/>
    <x v="2079"/>
  </r>
  <r>
    <m/>
    <s v="Vigh Péter"/>
    <n v="1952"/>
    <n v="67"/>
    <s v="M35"/>
    <s v="FRA"/>
    <s v="03:09:09"/>
    <x v="832"/>
  </r>
  <r>
    <m/>
    <s v="Baudot, Jean-Baptiste"/>
    <n v="1983"/>
    <n v="36"/>
    <s v="M35"/>
    <s v="HUN"/>
    <s v="03:37:15"/>
    <x v="2080"/>
  </r>
  <r>
    <m/>
    <s v="Pszota Attila"/>
    <n v="1979"/>
    <n v="40"/>
    <s v="M45"/>
    <s v="HUN"/>
    <s v="04:07:13"/>
    <x v="2081"/>
  </r>
  <r>
    <m/>
    <s v="Jordan, Alastair"/>
    <n v="1998"/>
    <n v="21"/>
    <s v="M25"/>
    <s v="HUN"/>
    <s v="03:20:28"/>
    <x v="2082"/>
  </r>
  <r>
    <m/>
    <s v="Rozgonyi János"/>
    <n v="1952"/>
    <n v="67"/>
    <s v="M40"/>
    <s v="HUN"/>
    <s v="05:31:24"/>
    <x v="2083"/>
  </r>
  <r>
    <m/>
    <s v="Laki Dániel"/>
    <n v="1983"/>
    <n v="36"/>
    <s v="M18"/>
    <s v="FRA"/>
    <s v="05:32:33"/>
    <x v="2084"/>
  </r>
  <r>
    <m/>
    <s v="Maczkó Manó"/>
    <n v="1990"/>
    <n v="29"/>
    <s v="M25"/>
    <s v="HUN"/>
    <s v="04:05:36"/>
    <x v="2013"/>
  </r>
  <r>
    <m/>
    <s v="Dobos Sándor"/>
    <n v="1955"/>
    <n v="64"/>
    <s v="M40"/>
    <s v="HUN"/>
    <s v="04:43:48"/>
    <x v="2085"/>
  </r>
  <r>
    <m/>
    <s v="Walters, Alexander"/>
    <n v="1989"/>
    <n v="30"/>
    <s v="M40"/>
    <s v="HUN"/>
    <s v="03:01:42"/>
    <x v="2086"/>
  </r>
  <r>
    <m/>
    <s v="Gellén Tamás"/>
    <n v="1949"/>
    <n v="70"/>
    <s v="M25"/>
    <s v="FRA"/>
    <s v="03:45:04"/>
    <x v="1146"/>
  </r>
  <r>
    <m/>
    <s v="markelov, yury"/>
    <n v="1983"/>
    <n v="36"/>
    <s v="M55"/>
    <s v="HUN"/>
    <s v="03:46:04"/>
    <x v="1989"/>
  </r>
  <r>
    <m/>
    <s v="Kozsán Attila"/>
    <n v="1967"/>
    <n v="52"/>
    <s v="M50"/>
    <s v="ITA"/>
    <s v="04:58:21"/>
    <x v="706"/>
  </r>
  <r>
    <m/>
    <s v="Jeroen, Kusse"/>
    <n v="1975"/>
    <n v="44"/>
    <s v="M20"/>
    <s v="HUN"/>
    <s v="04:28:03"/>
    <x v="2087"/>
  </r>
  <r>
    <m/>
    <s v="Molnár Tibor"/>
    <n v="1974"/>
    <n v="45"/>
    <s v="M60"/>
    <s v="HUN"/>
    <s v="05:20:11"/>
    <x v="2088"/>
  </r>
  <r>
    <m/>
    <s v="Lasoen, Mathias"/>
    <n v="1989"/>
    <n v="30"/>
    <s v="M30"/>
    <s v="HUN"/>
    <s v="04:24:12"/>
    <x v="2089"/>
  </r>
  <r>
    <m/>
    <s v="Csikós Gergő"/>
    <n v="1994"/>
    <n v="25"/>
    <s v="M30"/>
    <s v="AUT"/>
    <s v="03:04:06"/>
    <x v="2090"/>
  </r>
  <r>
    <m/>
    <s v="Jasarov, Zdenek"/>
    <n v="1974"/>
    <n v="45"/>
    <s v="M65"/>
    <s v="HUN"/>
    <s v="03:55:53"/>
    <x v="2091"/>
  </r>
  <r>
    <m/>
    <s v="Jezerniczky Bálint"/>
    <n v="1971"/>
    <n v="48"/>
    <s v="M20"/>
    <s v="HUN"/>
    <s v="04:53:56"/>
    <x v="2092"/>
  </r>
  <r>
    <m/>
    <s v="ALTEA, ANDREA"/>
    <n v="1991"/>
    <n v="28"/>
    <s v="M50"/>
    <s v="FRA"/>
    <s v="03:32:53"/>
    <x v="288"/>
  </r>
  <r>
    <m/>
    <s v="Toljamo, Göran"/>
    <n v="1959"/>
    <n v="60"/>
    <s v="M45"/>
    <s v="HUN"/>
    <s v="04:42:13"/>
    <x v="2093"/>
  </r>
  <r>
    <m/>
    <s v="Dillon, Harry"/>
    <n v="1981"/>
    <n v="38"/>
    <s v="M25"/>
    <s v="HUN"/>
    <s v="05:13:47"/>
    <x v="2094"/>
  </r>
  <r>
    <m/>
    <s v="Charrue, Cyril"/>
    <n v="1974"/>
    <n v="45"/>
    <s v="M50"/>
    <s v="HUN"/>
    <s v="04:17:11"/>
    <x v="2095"/>
  </r>
  <r>
    <m/>
    <s v="binner, agustin dr"/>
    <n v="1970"/>
    <n v="49"/>
    <s v="M55"/>
    <s v="HUN"/>
    <s v="04:03:57"/>
    <x v="1283"/>
  </r>
  <r>
    <m/>
    <s v="CEDRIC, DOUAI"/>
    <n v="1968"/>
    <n v="51"/>
    <s v="M50"/>
    <s v="HUN"/>
    <s v="04:30:33"/>
    <x v="2096"/>
  </r>
  <r>
    <m/>
    <s v="Tattersall-Walker, Liam"/>
    <n v="1976"/>
    <n v="43"/>
    <s v="M25"/>
    <s v="HUN"/>
    <s v="03:40:50"/>
    <x v="2097"/>
  </r>
  <r>
    <m/>
    <s v="Henry, Joshua"/>
    <n v="1972"/>
    <n v="47"/>
    <s v="M25"/>
    <s v="CZE"/>
    <s v="03:27:19"/>
    <x v="340"/>
  </r>
  <r>
    <m/>
    <s v="piccinini, lorenzo"/>
    <n v="1978"/>
    <n v="41"/>
    <s v="M50"/>
    <s v="HUN"/>
    <s v="02:57:43"/>
    <x v="2098"/>
  </r>
  <r>
    <m/>
    <s v="Tóth Zoltán"/>
    <n v="1976"/>
    <n v="43"/>
    <s v="M40"/>
    <s v="HUN"/>
    <s v="04:26:24"/>
    <x v="812"/>
  </r>
  <r>
    <m/>
    <s v="Holecz László"/>
    <n v="1980"/>
    <n v="39"/>
    <s v="M20"/>
    <s v="HUN"/>
    <s v="04:34:00"/>
    <x v="1828"/>
  </r>
  <r>
    <m/>
    <s v="Csörgő Bálint dr"/>
    <n v="1981"/>
    <n v="38"/>
    <s v="M40"/>
    <s v="HUN"/>
    <s v="03:42:12"/>
    <x v="109"/>
  </r>
  <r>
    <m/>
    <s v="Bognár Ákos dr."/>
    <n v="1975"/>
    <n v="44"/>
    <s v="M45"/>
    <s v="HUN"/>
    <s v="04:31:10"/>
    <x v="1996"/>
  </r>
  <r>
    <m/>
    <s v="Tabaku, Erblin"/>
    <n v="1975"/>
    <n v="44"/>
    <s v="M45"/>
    <s v="HUN"/>
    <s v="04:03:51"/>
    <x v="2099"/>
  </r>
  <r>
    <m/>
    <s v="Kondor János"/>
    <n v="1976"/>
    <n v="43"/>
    <s v="M40"/>
    <s v="HUN"/>
    <s v="04:14:30"/>
    <x v="287"/>
  </r>
  <r>
    <m/>
    <s v="Pintér Attila ifj"/>
    <n v="1959"/>
    <n v="60"/>
    <s v="M45"/>
    <s v="RUS"/>
    <s v="05:00:14"/>
    <x v="2100"/>
  </r>
  <r>
    <m/>
    <s v="Duba, Gergely"/>
    <n v="1983"/>
    <n v="36"/>
    <s v="M30"/>
    <s v="FRA"/>
    <s v="03:27:03"/>
    <x v="385"/>
  </r>
  <r>
    <m/>
    <s v="Orbán Balázs"/>
    <n v="1969"/>
    <n v="50"/>
    <s v="M35"/>
    <s v="GBR"/>
    <s v="03:51:21"/>
    <x v="2101"/>
  </r>
  <r>
    <m/>
    <s v="Gebe Aron ifj"/>
    <n v="1978"/>
    <n v="41"/>
    <s v="M25"/>
    <s v="HUN"/>
    <s v="04:27:15"/>
    <x v="1488"/>
  </r>
  <r>
    <m/>
    <s v="Fagerfjord, Frode"/>
    <n v="1994"/>
    <n v="25"/>
    <s v="M45"/>
    <s v="SWE"/>
    <s v="04:24:00"/>
    <x v="2102"/>
  </r>
  <r>
    <m/>
    <s v="Beczek, Łukasz"/>
    <n v="1979"/>
    <n v="40"/>
    <s v="M30"/>
    <s v="HUN"/>
    <s v="04:25:49"/>
    <x v="721"/>
  </r>
  <r>
    <m/>
    <s v="Mihale, Catalin"/>
    <n v="1968"/>
    <n v="51"/>
    <s v="M35"/>
    <s v="HUN"/>
    <s v="03:46:09"/>
    <x v="2020"/>
  </r>
  <r>
    <m/>
    <s v="IM, HAKRAE"/>
    <n v="1965"/>
    <n v="54"/>
    <s v="M35"/>
    <s v="HUN"/>
    <s v="03:54:00"/>
    <x v="2103"/>
  </r>
  <r>
    <m/>
    <s v="Károlyi Péter"/>
    <n v="1976"/>
    <n v="43"/>
    <s v="M45"/>
    <s v="HUN"/>
    <s v="03:37:34"/>
    <x v="2104"/>
  </r>
  <r>
    <m/>
    <s v="Maxwell, Jordan"/>
    <n v="1979"/>
    <n v="40"/>
    <s v="M35"/>
    <s v="HUN"/>
    <s v="04:24:19"/>
    <x v="2105"/>
  </r>
  <r>
    <m/>
    <s v="Newnham, Christopher"/>
    <n v="1966"/>
    <n v="53"/>
    <s v="M60"/>
    <s v="FRA"/>
    <s v="03:45:06"/>
    <x v="2106"/>
  </r>
  <r>
    <m/>
    <s v="Blackledge, Gavin"/>
    <n v="1979"/>
    <n v="40"/>
    <s v="M18"/>
    <s v="HUN"/>
    <s v="04:59:25"/>
    <x v="2107"/>
  </r>
  <r>
    <m/>
    <s v="Nyársik Ferenc Balázs"/>
    <n v="1978"/>
    <n v="41"/>
    <s v="M30"/>
    <s v="FRA"/>
    <s v="04:34:10"/>
    <x v="1759"/>
  </r>
  <r>
    <m/>
    <s v="Gaston, James"/>
    <n v="1987"/>
    <n v="32"/>
    <s v="M40"/>
    <s v="HUN"/>
    <s v="04:16:05"/>
    <x v="1833"/>
  </r>
  <r>
    <m/>
    <s v="Rudera, Waldemar"/>
    <n v="1984"/>
    <n v="35"/>
    <s v="M40"/>
    <s v="HUN"/>
    <s v="03:40:51"/>
    <x v="626"/>
  </r>
  <r>
    <m/>
    <s v="Sabatou, Cedric prof"/>
    <n v="1980"/>
    <n v="39"/>
    <s v="M35"/>
    <s v="HUN"/>
    <s v="04:03:07"/>
    <x v="2108"/>
  </r>
  <r>
    <m/>
    <s v="Mester László"/>
    <n v="1989"/>
    <n v="30"/>
    <s v="M45"/>
    <s v="FRA"/>
    <s v="04:04:14"/>
    <x v="2109"/>
  </r>
  <r>
    <m/>
    <s v="Miskolczi Zsolt"/>
    <n v="1991"/>
    <n v="28"/>
    <s v="M45"/>
    <s v="FIN"/>
    <s v="04:27:21"/>
    <x v="2110"/>
  </r>
  <r>
    <m/>
    <s v="Fatah, Abdennour prof"/>
    <n v="1987"/>
    <n v="32"/>
    <s v="M45"/>
    <s v="ESP"/>
    <s v="03:29:43"/>
    <x v="2111"/>
  </r>
  <r>
    <m/>
    <s v="Hegedűs János"/>
    <n v="1959"/>
    <n v="60"/>
    <s v="M55"/>
    <s v="FRA"/>
    <s v="03:50:14"/>
    <x v="524"/>
  </r>
  <r>
    <m/>
    <s v="Hamar Szabolcs"/>
    <n v="1968"/>
    <n v="51"/>
    <s v="M45"/>
    <s v="NED"/>
    <s v="04:54:45"/>
    <x v="2112"/>
  </r>
  <r>
    <m/>
    <s v="Sobieski, Tomasz prof"/>
    <n v="1992"/>
    <n v="27"/>
    <s v="M50"/>
    <s v="GBR"/>
    <s v="04:22:46"/>
    <x v="1235"/>
  </r>
  <r>
    <m/>
    <s v="Mauri, Massimilano"/>
    <n v="1965"/>
    <n v="54"/>
    <s v="M50"/>
    <s v="FRA"/>
    <s v="03:30:46"/>
    <x v="2113"/>
  </r>
  <r>
    <m/>
    <s v="Libresco, Jacques"/>
    <n v="1978"/>
    <n v="41"/>
    <s v="M25"/>
    <s v="HUN"/>
    <s v="03:10:01"/>
    <x v="1289"/>
  </r>
  <r>
    <m/>
    <s v="Eppel Attila"/>
    <n v="1999"/>
    <n v="20"/>
    <s v="M40"/>
    <s v="HUN"/>
    <s v="03:57:40"/>
    <x v="2114"/>
  </r>
  <r>
    <m/>
    <s v="McCabe, Dave"/>
    <n v="1969"/>
    <n v="50"/>
    <s v="M35"/>
    <s v="HUN"/>
    <s v="03:47:17"/>
    <x v="2115"/>
  </r>
  <r>
    <m/>
    <s v="Semkovski, George"/>
    <n v="1982"/>
    <n v="37"/>
    <s v="M55"/>
    <s v="HUN"/>
    <s v="03:52:05"/>
    <x v="1427"/>
  </r>
  <r>
    <m/>
    <s v="Fernández, David prof"/>
    <n v="1982"/>
    <n v="37"/>
    <s v="M35"/>
    <s v="SVK"/>
    <s v="03:58:45"/>
    <x v="2116"/>
  </r>
  <r>
    <m/>
    <s v="Harmati Dániel"/>
    <n v="1978"/>
    <n v="41"/>
    <s v="M35"/>
    <s v="RSA"/>
    <s v="03:48:37"/>
    <x v="2117"/>
  </r>
  <r>
    <m/>
    <s v="Marzio, Corda"/>
    <n v="1975"/>
    <n v="44"/>
    <s v="M55"/>
    <s v="HUN"/>
    <s v="03:46:14"/>
    <x v="2118"/>
  </r>
  <r>
    <m/>
    <s v="Schauer Ádám"/>
    <n v="1983"/>
    <n v="36"/>
    <s v="M25"/>
    <s v="FRA"/>
    <s v="03:50:15"/>
    <x v="858"/>
  </r>
  <r>
    <m/>
    <s v="Sperka Tamás"/>
    <n v="1965"/>
    <n v="54"/>
    <s v="M50"/>
    <s v="HUN"/>
    <s v="04:01:51"/>
    <x v="2119"/>
  </r>
  <r>
    <m/>
    <s v="Májer Milán"/>
    <n v="1970"/>
    <n v="49"/>
    <s v="M40"/>
    <s v="HUN"/>
    <s v="05:20:14"/>
    <x v="2120"/>
  </r>
  <r>
    <m/>
    <s v="Kincse Szabolcs Örs"/>
    <n v="1980"/>
    <n v="39"/>
    <s v="M50"/>
    <s v="HUN"/>
    <s v="04:05:58"/>
    <x v="2121"/>
  </r>
  <r>
    <m/>
    <s v="Duggan, Seamus prof"/>
    <n v="1979"/>
    <n v="40"/>
    <s v="M45"/>
    <s v="HUN"/>
    <s v="03:37:36"/>
    <x v="699"/>
  </r>
  <r>
    <m/>
    <s v="Havasi Viktor"/>
    <n v="1987"/>
    <n v="32"/>
    <s v="M25"/>
    <s v="HUN"/>
    <s v="04:25:50"/>
    <x v="1386"/>
  </r>
  <r>
    <m/>
    <s v="Mócz Gábor"/>
    <n v="1962"/>
    <n v="57"/>
    <s v="M45"/>
    <s v="HUN"/>
    <s v="03:51:35"/>
    <x v="745"/>
  </r>
  <r>
    <m/>
    <s v="Fekete Gábor"/>
    <n v="1976"/>
    <n v="43"/>
    <s v="M50"/>
    <s v="HUN"/>
    <s v="03:55:21"/>
    <x v="2122"/>
  </r>
  <r>
    <m/>
    <s v="Tams, Viorel"/>
    <n v="1981"/>
    <n v="38"/>
    <s v="M35"/>
    <s v="SVK"/>
    <s v="02:39:54"/>
    <x v="2123"/>
  </r>
  <r>
    <m/>
    <s v="Bratt, Chris dr"/>
    <n v="1966"/>
    <n v="53"/>
    <s v="M20"/>
    <s v="FRA"/>
    <s v="03:52:19"/>
    <x v="2124"/>
  </r>
  <r>
    <m/>
    <s v="Numan Zsolt"/>
    <n v="1978"/>
    <n v="41"/>
    <s v="M55"/>
    <s v="HUN"/>
    <s v="04:57:21"/>
    <x v="2125"/>
  </r>
  <r>
    <m/>
    <s v="Suhajda Attila"/>
    <n v="1974"/>
    <n v="45"/>
    <s v="M60"/>
    <s v="HUN"/>
    <s v="04:53:55"/>
    <x v="2126"/>
  </r>
  <r>
    <m/>
    <s v="Békési László"/>
    <n v="1956"/>
    <n v="63"/>
    <s v="M50"/>
    <s v="HUN"/>
    <s v="04:38:23"/>
    <x v="1610"/>
  </r>
  <r>
    <m/>
    <s v="Fernandez Alvarez, Teodoro prof"/>
    <n v="1985"/>
    <n v="34"/>
    <s v="M35"/>
    <s v="HUN"/>
    <s v="03:57:54"/>
    <x v="1322"/>
  </r>
  <r>
    <m/>
    <s v="Papp Kristóf"/>
    <n v="1976"/>
    <n v="43"/>
    <s v="M30"/>
    <s v="HUN"/>
    <s v="03:58:09"/>
    <x v="1463"/>
  </r>
  <r>
    <m/>
    <s v="Nyevrikel Rajmund"/>
    <n v="1988"/>
    <n v="31"/>
    <s v="M40"/>
    <s v="HUN"/>
    <s v="04:22:15"/>
    <x v="2127"/>
  </r>
  <r>
    <m/>
    <s v="GARCIA CASADO, MANUEL"/>
    <n v="1972"/>
    <n v="47"/>
    <s v="M55"/>
    <s v="HUN"/>
    <s v="05:00:01"/>
    <x v="903"/>
  </r>
  <r>
    <m/>
    <s v="Denaro, Danilo"/>
    <n v="1976"/>
    <n v="43"/>
    <s v="M35"/>
    <s v="HUN"/>
    <s v="05:11:09"/>
    <x v="2128"/>
  </r>
  <r>
    <m/>
    <s v="Moar, Nick prof"/>
    <n v="1975"/>
    <n v="44"/>
    <s v="M20"/>
    <s v="HUN"/>
    <s v="03:19:55"/>
    <x v="1906"/>
  </r>
  <r>
    <m/>
    <s v="Parker, Sean"/>
    <n v="1993"/>
    <n v="26"/>
    <s v="M35"/>
    <s v="DEN"/>
    <s v="04:01:14"/>
    <x v="2129"/>
  </r>
  <r>
    <m/>
    <s v="Ney, Richard"/>
    <n v="1978"/>
    <n v="41"/>
    <s v="M40"/>
    <s v="GBR"/>
    <s v="04:17:44"/>
    <x v="2130"/>
  </r>
  <r>
    <m/>
    <s v="Pongrácz János"/>
    <n v="1993"/>
    <n v="26"/>
    <s v="M45"/>
    <s v="HUN"/>
    <s v="03:33:43"/>
    <x v="1489"/>
  </r>
  <r>
    <m/>
    <s v="REMARK, FRANCOIS"/>
    <n v="1987"/>
    <n v="32"/>
    <s v="M50"/>
    <s v="GER"/>
    <s v="04:16:58"/>
    <x v="1866"/>
  </r>
  <r>
    <m/>
    <s v="Pethő Sándor"/>
    <n v="1972"/>
    <n v="47"/>
    <s v="M40"/>
    <s v="HUN"/>
    <s v="04:55:26"/>
    <x v="2131"/>
  </r>
  <r>
    <m/>
    <s v="Kadlecsik Milán"/>
    <n v="1979"/>
    <n v="40"/>
    <s v="M30"/>
    <s v="CHN"/>
    <s v="02:53:12"/>
    <x v="2132"/>
  </r>
  <r>
    <m/>
    <s v="Fowler, Matthew"/>
    <n v="1980"/>
    <n v="39"/>
    <s v="M40"/>
    <s v="POL"/>
    <s v="03:26:53"/>
    <x v="2133"/>
  </r>
  <r>
    <m/>
    <s v="Molina, David"/>
    <n v="1955"/>
    <n v="64"/>
    <s v="M35"/>
    <s v="AUT"/>
    <s v="03:33:47"/>
    <x v="2134"/>
  </r>
  <r>
    <m/>
    <s v="McLeod, Fraser"/>
    <n v="1979"/>
    <n v="40"/>
    <s v="M50"/>
    <s v="HUN"/>
    <s v="03:44:31"/>
    <x v="2135"/>
  </r>
  <r>
    <m/>
    <s v="Harvey, Khan"/>
    <n v="1965"/>
    <n v="54"/>
    <s v="M30"/>
    <s v="HUN"/>
    <s v="04:35:46"/>
    <x v="815"/>
  </r>
  <r>
    <m/>
    <s v="Kaas, Thomas"/>
    <n v="1975"/>
    <n v="44"/>
    <s v="M55"/>
    <s v="FRA"/>
    <s v="03:41:51"/>
    <x v="535"/>
  </r>
  <r>
    <m/>
    <s v="Agerbo, Thomas prof"/>
    <n v="1993"/>
    <n v="26"/>
    <s v="M25"/>
    <s v="GER"/>
    <s v="03:08:04"/>
    <x v="2136"/>
  </r>
  <r>
    <m/>
    <s v="Pósfai Gábor"/>
    <n v="1982"/>
    <n v="37"/>
    <s v="M40"/>
    <s v="HUN"/>
    <s v="04:46:50"/>
    <x v="2137"/>
  </r>
  <r>
    <m/>
    <s v="Cristian, Togor"/>
    <n v="1976"/>
    <n v="43"/>
    <s v="M40"/>
    <s v="HUN"/>
    <s v="04:16:51"/>
    <x v="2138"/>
  </r>
  <r>
    <m/>
    <s v="Rasztovits István"/>
    <n v="1967"/>
    <n v="52"/>
    <s v="M35"/>
    <s v="HUN"/>
    <s v="05:09:49"/>
    <x v="251"/>
  </r>
  <r>
    <m/>
    <s v="Csipak István"/>
    <n v="1975"/>
    <n v="44"/>
    <s v="M45"/>
    <s v="HUN"/>
    <s v="03:51:59"/>
    <x v="1330"/>
  </r>
  <r>
    <m/>
    <s v="Clarté, Benjamin prof"/>
    <n v="1973"/>
    <n v="46"/>
    <s v="M35"/>
    <s v="SVK"/>
    <s v="04:10:32"/>
    <x v="1542"/>
  </r>
  <r>
    <m/>
    <s v="white, joshua"/>
    <n v="1974"/>
    <n v="45"/>
    <s v="M20"/>
    <s v="HUN"/>
    <s v="04:40:16"/>
    <x v="2139"/>
  </r>
  <r>
    <m/>
    <s v="Matre, Reidar dr"/>
    <n v="1974"/>
    <n v="45"/>
    <s v="M65"/>
    <s v="FRA"/>
    <s v="04:28:12"/>
    <x v="2140"/>
  </r>
  <r>
    <m/>
    <s v="Jukevics, Kristaps"/>
    <n v="1991"/>
    <n v="28"/>
    <s v="M30"/>
    <s v="IND"/>
    <s v="04:54:49"/>
    <x v="2141"/>
  </r>
  <r>
    <m/>
    <s v="Stolarz, Adam"/>
    <n v="1991"/>
    <n v="28"/>
    <s v="M25"/>
    <s v="USA"/>
    <s v="03:02:27"/>
    <x v="2142"/>
  </r>
  <r>
    <m/>
    <s v="Sebastiano, Furnó"/>
    <n v="1981"/>
    <n v="38"/>
    <s v="M70"/>
    <s v="HUN"/>
    <s v="04:10:05"/>
    <x v="2143"/>
  </r>
  <r>
    <m/>
    <s v="Csernyik Zsolt"/>
    <n v="1994"/>
    <n v="25"/>
    <s v="M45"/>
    <s v="GBR"/>
    <s v="03:49:25"/>
    <x v="2144"/>
  </r>
  <r>
    <m/>
    <s v="Kosztolányi Gábor"/>
    <n v="1968"/>
    <n v="51"/>
    <s v="M45"/>
    <s v="CZE"/>
    <s v="04:42:53"/>
    <x v="2145"/>
  </r>
  <r>
    <m/>
    <s v="Ambler, wilfred"/>
    <n v="1994"/>
    <n v="25"/>
    <s v="M25"/>
    <s v="GBR"/>
    <s v="03:27:44"/>
    <x v="2146"/>
  </r>
  <r>
    <m/>
    <s v="Reinhard, Jakits"/>
    <n v="1990"/>
    <n v="29"/>
    <s v="M45"/>
    <s v="HUN"/>
    <s v="03:28:29"/>
    <x v="2147"/>
  </r>
  <r>
    <m/>
    <s v="Kun Árpád Csaba"/>
    <n v="1983"/>
    <n v="36"/>
    <s v="M65"/>
    <s v="HUN"/>
    <s v="03:54:43"/>
    <x v="1142"/>
  </r>
  <r>
    <m/>
    <s v="Magos Bálint"/>
    <n v="1977"/>
    <n v="42"/>
    <s v="M35"/>
    <s v="GER"/>
    <s v="04:07:00"/>
    <x v="2148"/>
  </r>
  <r>
    <m/>
    <s v="Hegedűs Attila"/>
    <n v="1978"/>
    <n v="41"/>
    <s v="M50"/>
    <s v="POL"/>
    <s v="03:26:21"/>
    <x v="2149"/>
  </r>
  <r>
    <m/>
    <s v="Hettinger Sándor dr."/>
    <n v="1970"/>
    <n v="49"/>
    <s v="M35"/>
    <s v="GER"/>
    <s v="03:51:02"/>
    <x v="1944"/>
  </r>
  <r>
    <m/>
    <s v="Hájas Attila"/>
    <n v="1965"/>
    <n v="54"/>
    <s v="M50"/>
    <s v="HUN"/>
    <s v="04:18:30"/>
    <x v="2150"/>
  </r>
  <r>
    <m/>
    <s v="Dávid Zsombor"/>
    <n v="1968"/>
    <n v="51"/>
    <s v="M25"/>
    <s v="HUN"/>
    <s v="04:42:18"/>
    <x v="2151"/>
  </r>
  <r>
    <m/>
    <s v="fabrice, MAYOUSSIER"/>
    <n v="1963"/>
    <n v="56"/>
    <s v="M50"/>
    <s v="GBR"/>
    <s v="03:44:17"/>
    <x v="2152"/>
  </r>
  <r>
    <m/>
    <s v="Rengers, Jaimy"/>
    <n v="1967"/>
    <n v="52"/>
    <s v="M25"/>
    <s v="HUN"/>
    <s v="03:54:50"/>
    <x v="2153"/>
  </r>
  <r>
    <m/>
    <s v="Nemes Ádám"/>
    <n v="1962"/>
    <n v="57"/>
    <s v="M35"/>
    <s v="USA"/>
    <s v="04:09:42"/>
    <x v="2154"/>
  </r>
  <r>
    <m/>
    <s v="Michael, Reger"/>
    <n v="1968"/>
    <n v="51"/>
    <s v="M40"/>
    <s v="ITA"/>
    <s v="03:18:18"/>
    <x v="1346"/>
  </r>
  <r>
    <m/>
    <s v="Żeliszczak, Artur"/>
    <n v="1982"/>
    <n v="37"/>
    <s v="M35"/>
    <s v="GBR"/>
    <s v="02:51:11"/>
    <x v="2155"/>
  </r>
  <r>
    <m/>
    <s v="Kardos Péter"/>
    <n v="2004"/>
    <n v="15"/>
    <s v="M45"/>
    <s v="HUN"/>
    <s v="04:17:56"/>
    <x v="557"/>
  </r>
  <r>
    <m/>
    <s v="Mirowski, Mariusz"/>
    <n v="1977"/>
    <n v="42"/>
    <s v="M40"/>
    <s v="HUN"/>
    <s v="03:54:58"/>
    <x v="2156"/>
  </r>
  <r>
    <m/>
    <s v="Yeomans, Joseph"/>
    <n v="1972"/>
    <n v="47"/>
    <s v="M25"/>
    <s v="ITA"/>
    <s v="04:43:09"/>
    <x v="2157"/>
  </r>
  <r>
    <m/>
    <s v="O'Halloran, David"/>
    <n v="1982"/>
    <n v="37"/>
    <s v="M20"/>
    <s v="HUN"/>
    <s v="04:03:40"/>
    <x v="1659"/>
  </r>
  <r>
    <m/>
    <s v="Mester László"/>
    <n v="1980"/>
    <n v="39"/>
    <s v="M45"/>
    <s v="HUN"/>
    <s v="04:04:14"/>
    <x v="2109"/>
  </r>
  <r>
    <m/>
    <s v="Fernández Castellano, Javier"/>
    <n v="1972"/>
    <n v="47"/>
    <s v="M30"/>
    <s v="HUN"/>
    <s v="03:57:07"/>
    <x v="1819"/>
  </r>
  <r>
    <m/>
    <s v="Stróhmajer János"/>
    <n v="1983"/>
    <n v="36"/>
    <s v="M55"/>
    <s v="HUN"/>
    <s v="03:59:55"/>
    <x v="2158"/>
  </r>
  <r>
    <m/>
    <s v="Dollinger, Arthur dr"/>
    <n v="1977"/>
    <n v="42"/>
    <s v="M25"/>
    <s v="HUN"/>
    <s v="03:17:22"/>
    <x v="2159"/>
  </r>
  <r>
    <m/>
    <s v="Baumgartner, Florian"/>
    <n v="1989"/>
    <n v="30"/>
    <s v="M25"/>
    <s v="HUN"/>
    <s v="02:48:09"/>
    <x v="1937"/>
  </r>
  <r>
    <m/>
    <s v="Anthony, Pierron"/>
    <n v="1979"/>
    <n v="40"/>
    <s v="M45"/>
    <s v="HUN"/>
    <s v="04:43:36"/>
    <x v="1204"/>
  </r>
  <r>
    <m/>
    <s v="Van der Auwera, Dries dr"/>
    <n v="1983"/>
    <n v="36"/>
    <s v="M25"/>
    <s v="HUN"/>
    <s v="03:36:18"/>
    <x v="2160"/>
  </r>
  <r>
    <m/>
    <s v="Oláh György"/>
    <n v="1981"/>
    <n v="38"/>
    <s v="M60"/>
    <s v="HUN"/>
    <s v="03:42:04"/>
    <x v="2161"/>
  </r>
  <r>
    <m/>
    <s v="Sereda, Oleh jr"/>
    <n v="1992"/>
    <n v="27"/>
    <s v="M40"/>
    <s v="HUN"/>
    <s v="04:08:19"/>
    <x v="2162"/>
  </r>
  <r>
    <m/>
    <s v="Cservák Tamás"/>
    <n v="1983"/>
    <n v="36"/>
    <s v="M50"/>
    <s v="UKR"/>
    <s v="04:22:48"/>
    <x v="576"/>
  </r>
  <r>
    <m/>
    <s v="Glück, Günther"/>
    <n v="1986"/>
    <n v="33"/>
    <s v="M55"/>
    <s v="HUN"/>
    <s v="04:13:31"/>
    <x v="2163"/>
  </r>
  <r>
    <m/>
    <s v="sébastien, le corre"/>
    <n v="1975"/>
    <n v="44"/>
    <s v="M45"/>
    <s v="HUN"/>
    <s v="03:23:20"/>
    <x v="1169"/>
  </r>
  <r>
    <m/>
    <s v="Kalmár Máté"/>
    <n v="1985"/>
    <n v="34"/>
    <s v="M25"/>
    <s v="ESP"/>
    <s v="04:07:39"/>
    <x v="2164"/>
  </r>
  <r>
    <m/>
    <s v="Gyöngyösi Róbert"/>
    <n v="1982"/>
    <n v="37"/>
    <s v="M40"/>
    <s v="GBR"/>
    <s v="03:59:11"/>
    <x v="2165"/>
  </r>
  <r>
    <m/>
    <s v="Csongor Márk"/>
    <n v="1983"/>
    <n v="36"/>
    <s v="M35"/>
    <s v="HUN"/>
    <s v="05:13:20"/>
    <x v="1248"/>
  </r>
  <r>
    <m/>
    <s v="Lawrence, Finlay"/>
    <n v="1974"/>
    <n v="45"/>
    <s v="M30"/>
    <s v="HUN"/>
    <s v="05:30:53"/>
    <x v="2166"/>
  </r>
  <r>
    <m/>
    <s v="Gyurkó Zsombor"/>
    <n v="1964"/>
    <n v="55"/>
    <s v="M30"/>
    <s v="HUN"/>
    <s v="03:27:13"/>
    <x v="2167"/>
  </r>
  <r>
    <m/>
    <s v="Mikulán Attila"/>
    <n v="1974"/>
    <n v="45"/>
    <s v="M35"/>
    <s v="HUN"/>
    <s v="03:47:12"/>
    <x v="2168"/>
  </r>
  <r>
    <m/>
    <s v="Kluitenberg, Friso"/>
    <n v="1978"/>
    <n v="41"/>
    <s v="M30"/>
    <s v="HUN"/>
    <s v="04:03:29"/>
    <x v="159"/>
  </r>
  <r>
    <m/>
    <s v="Tímár Zoltán Dr."/>
    <n v="1965"/>
    <n v="54"/>
    <s v="M50"/>
    <s v="SWE"/>
    <s v="04:27:34"/>
    <x v="1403"/>
  </r>
  <r>
    <m/>
    <s v="Márton Tibor"/>
    <n v="1970"/>
    <n v="49"/>
    <s v="M45"/>
    <s v="FRA"/>
    <s v="04:49:21"/>
    <x v="2169"/>
  </r>
  <r>
    <m/>
    <s v="Moore, Paul"/>
    <n v="1964"/>
    <n v="55"/>
    <s v="M25"/>
    <s v="FRA"/>
    <s v="04:58:39"/>
    <x v="1785"/>
  </r>
  <r>
    <m/>
    <s v="Cholewka, Jan"/>
    <n v="1976"/>
    <n v="43"/>
    <s v="M30"/>
    <s v="SVK"/>
    <s v="04:19:07"/>
    <x v="2170"/>
  </r>
  <r>
    <m/>
    <s v="Jávor Miklós"/>
    <n v="1990"/>
    <n v="29"/>
    <s v="M18"/>
    <s v="HUN"/>
    <s v="03:45:00"/>
    <x v="1911"/>
  </r>
  <r>
    <m/>
    <s v="Rasputnii, Ilia"/>
    <n v="1976"/>
    <n v="43"/>
    <s v="M20"/>
    <s v="HUN"/>
    <s v="04:38:10"/>
    <x v="2171"/>
  </r>
  <r>
    <m/>
    <s v="Fábián Olivér dr"/>
    <n v="1984"/>
    <n v="35"/>
    <s v="M30"/>
    <s v="HUN"/>
    <s v="03:37:55"/>
    <x v="2172"/>
  </r>
  <r>
    <m/>
    <s v="Blond, Hans"/>
    <n v="1994"/>
    <n v="25"/>
    <s v="M30"/>
    <s v="CRO"/>
    <s v="02:49:52"/>
    <x v="2173"/>
  </r>
  <r>
    <m/>
    <s v="Abramowicz, Piotr"/>
    <n v="1976"/>
    <n v="43"/>
    <s v="M20"/>
    <s v="SVK"/>
    <s v="03:14:21"/>
    <x v="1369"/>
  </r>
  <r>
    <m/>
    <s v="Duzmath László"/>
    <n v="1970"/>
    <n v="49"/>
    <s v="M35"/>
    <s v="ESP"/>
    <s v="05:18:42"/>
    <x v="2174"/>
  </r>
  <r>
    <m/>
    <s v="claude, le franc"/>
    <n v="1975"/>
    <n v="44"/>
    <s v="M45"/>
    <s v="HUN"/>
    <s v="03:56:15"/>
    <x v="1559"/>
  </r>
  <r>
    <m/>
    <s v="Puskás Zsolt"/>
    <n v="1956"/>
    <n v="63"/>
    <s v="M20"/>
    <s v="HUN"/>
    <s v="05:30:29"/>
    <x v="199"/>
  </r>
  <r>
    <m/>
    <s v="Leel-Őssy István"/>
    <n v="1991"/>
    <n v="28"/>
    <s v="M50"/>
    <s v="SVK"/>
    <s v="04:21:00"/>
    <x v="2175"/>
  </r>
  <r>
    <m/>
    <s v="Alejandro, Martinez"/>
    <n v="1980"/>
    <n v="39"/>
    <s v="M35"/>
    <s v="HUN"/>
    <s v="04:35:47"/>
    <x v="2176"/>
  </r>
  <r>
    <m/>
    <s v="Siepietowski, Piotr"/>
    <n v="1976"/>
    <n v="43"/>
    <s v="M50"/>
    <s v="HUN"/>
    <s v="03:30:25"/>
    <x v="2177"/>
  </r>
  <r>
    <m/>
    <s v="Szabó Attila"/>
    <n v="1978"/>
    <n v="41"/>
    <s v="M45"/>
    <s v="HUN"/>
    <s v="03:55:35"/>
    <x v="2178"/>
  </r>
  <r>
    <m/>
    <s v="Császár Levente"/>
    <n v="1990"/>
    <n v="29"/>
    <s v="M35"/>
    <s v="HUN"/>
    <s v="04:21:11"/>
    <x v="2179"/>
  </r>
  <r>
    <m/>
    <s v="Filipoiu, George"/>
    <n v="1962"/>
    <n v="57"/>
    <s v="M25"/>
    <s v="BEL"/>
    <s v="04:56:22"/>
    <x v="2180"/>
  </r>
  <r>
    <m/>
    <s v="Cheung, Kwan Ue"/>
    <n v="1987"/>
    <n v="32"/>
    <s v="M35"/>
    <s v="HUN"/>
    <s v="03:23:32"/>
    <x v="51"/>
  </r>
  <r>
    <m/>
    <s v="Garbani, Marvin"/>
    <n v="1979"/>
    <n v="40"/>
    <s v="M30"/>
    <s v="CZE"/>
    <s v="04:03:45"/>
    <x v="880"/>
  </r>
  <r>
    <m/>
    <s v="Pischleritsch, Daniel"/>
    <n v="1982"/>
    <n v="37"/>
    <s v="M35"/>
    <s v="HUN"/>
    <s v="02:41:40"/>
    <x v="2181"/>
  </r>
  <r>
    <m/>
    <s v="mcmanus, kenny"/>
    <n v="1977"/>
    <n v="42"/>
    <s v="M55"/>
    <s v="HUN"/>
    <s v="04:09:43"/>
    <x v="1456"/>
  </r>
  <r>
    <m/>
    <s v="Rusin, Kornel"/>
    <n v="1979"/>
    <n v="40"/>
    <s v="M35"/>
    <s v="HUN"/>
    <s v="02:56:25"/>
    <x v="2182"/>
  </r>
  <r>
    <m/>
    <s v="Chia, Matthias"/>
    <n v="1993"/>
    <n v="26"/>
    <s v="M30"/>
    <s v="SWE"/>
    <s v="04:39:41"/>
    <x v="1385"/>
  </r>
  <r>
    <m/>
    <s v="Tompa Tamás"/>
    <n v="1970"/>
    <n v="49"/>
    <s v="M40"/>
    <s v="HUN"/>
    <s v="04:39:10"/>
    <x v="2183"/>
  </r>
  <r>
    <m/>
    <s v="Tarbuck, Harry prof"/>
    <n v="1965"/>
    <n v="54"/>
    <s v="M25"/>
    <s v="GER"/>
    <s v="04:25:43"/>
    <x v="2184"/>
  </r>
  <r>
    <m/>
    <s v="Vandenko, Anton"/>
    <n v="1969"/>
    <n v="50"/>
    <s v="M35"/>
    <s v="FRA"/>
    <s v="03:05:02"/>
    <x v="2185"/>
  </r>
  <r>
    <m/>
    <s v="Balogh Roland"/>
    <n v="1978"/>
    <n v="41"/>
    <s v="M35"/>
    <s v="SVK"/>
    <s v="03:09:20"/>
    <x v="996"/>
  </r>
  <r>
    <m/>
    <s v="Horváth Gábor"/>
    <n v="1993"/>
    <n v="26"/>
    <s v="M40"/>
    <s v="HUN"/>
    <s v="04:58:54"/>
    <x v="707"/>
  </r>
  <r>
    <m/>
    <s v="Kristály Krisztián"/>
    <n v="1968"/>
    <n v="51"/>
    <s v="M45"/>
    <s v="GBR"/>
    <s v="04:30:32"/>
    <x v="2186"/>
  </r>
  <r>
    <m/>
    <s v="Davies, Huw"/>
    <n v="1991"/>
    <n v="28"/>
    <s v="M30"/>
    <s v="HUN"/>
    <s v="03:21:04"/>
    <x v="2187"/>
  </r>
  <r>
    <m/>
    <s v="Buza Rómeó"/>
    <n v="1964"/>
    <n v="55"/>
    <s v="M20"/>
    <s v="SRB"/>
    <s v="04:03:38"/>
    <x v="468"/>
  </r>
  <r>
    <m/>
    <s v="Southall, Ed"/>
    <n v="1977"/>
    <n v="42"/>
    <s v="M40"/>
    <s v="HUN"/>
    <s v="04:40:04"/>
    <x v="1277"/>
  </r>
  <r>
    <m/>
    <s v="Ábrahám Lajos"/>
    <n v="1974"/>
    <n v="45"/>
    <s v="M35"/>
    <s v="AUT"/>
    <s v="04:10:36"/>
    <x v="1536"/>
  </r>
  <r>
    <m/>
    <s v="Jahoda, Vit"/>
    <n v="1975"/>
    <n v="44"/>
    <s v="M40"/>
    <s v="HUN"/>
    <s v="03:11:01"/>
    <x v="358"/>
  </r>
  <r>
    <m/>
    <s v="Cislaghi, Gianmarco"/>
    <n v="1963"/>
    <n v="56"/>
    <s v="M25"/>
    <s v="CAN"/>
    <s v="03:54:39"/>
    <x v="114"/>
  </r>
  <r>
    <m/>
    <s v="wang, guoliang"/>
    <n v="1997"/>
    <n v="22"/>
    <s v="M50"/>
    <s v="BEL"/>
    <s v="04:10:15"/>
    <x v="2188"/>
  </r>
  <r>
    <m/>
    <s v="Brown, Payton"/>
    <n v="1969"/>
    <n v="50"/>
    <s v="M20"/>
    <s v="IRL"/>
    <s v="03:42:06"/>
    <x v="1782"/>
  </r>
  <r>
    <m/>
    <s v="Beregi Barnabás"/>
    <n v="1977"/>
    <n v="42"/>
    <s v="M45"/>
    <s v="HUN"/>
    <s v="03:08:46"/>
    <x v="392"/>
  </r>
  <r>
    <m/>
    <s v="Szél János"/>
    <n v="1979"/>
    <n v="40"/>
    <s v="M50"/>
    <s v="HUN"/>
    <s v="04:04:05"/>
    <x v="722"/>
  </r>
  <r>
    <m/>
    <s v="Gábris Péter"/>
    <n v="1985"/>
    <n v="34"/>
    <s v="M45"/>
    <s v="FRA"/>
    <s v="04:16:55"/>
    <x v="2189"/>
  </r>
  <r>
    <m/>
    <s v="Meuser, Jens"/>
    <n v="1985"/>
    <n v="34"/>
    <s v="M45"/>
    <s v="HUN"/>
    <s v="03:56:18"/>
    <x v="2190"/>
  </r>
  <r>
    <m/>
    <s v="Lame, Erik"/>
    <n v="1989"/>
    <n v="30"/>
    <s v="M30"/>
    <s v="HUN"/>
    <s v="03:51:32"/>
    <x v="1082"/>
  </r>
  <r>
    <m/>
    <s v="kao, yungchun"/>
    <n v="1970"/>
    <n v="49"/>
    <s v="M45"/>
    <s v="ESP"/>
    <s v="04:13:40"/>
    <x v="313"/>
  </r>
  <r>
    <m/>
    <s v="Ray, Murphy"/>
    <n v="1986"/>
    <n v="33"/>
    <s v="M25"/>
    <s v="HUN"/>
    <s v="03:42:14"/>
    <x v="2191"/>
  </r>
  <r>
    <m/>
    <s v="Nuthall, Rafael"/>
    <n v="1984"/>
    <n v="35"/>
    <s v="M20"/>
    <s v="GBR"/>
    <s v="03:54:39"/>
    <x v="114"/>
  </r>
  <r>
    <m/>
    <s v="Steiner Gábor"/>
    <n v="1975"/>
    <n v="44"/>
    <s v="M40"/>
    <s v="HUN"/>
    <s v="04:51:15"/>
    <x v="2192"/>
  </r>
  <r>
    <m/>
    <s v="Vattamány Zsolt"/>
    <n v="1965"/>
    <n v="54"/>
    <s v="M50"/>
    <s v="HUN"/>
    <s v="05:26:22"/>
    <x v="2193"/>
  </r>
  <r>
    <m/>
    <s v="Tóth Bálint"/>
    <n v="1965"/>
    <n v="54"/>
    <s v="M25"/>
    <s v="HUN"/>
    <s v="04:55:14"/>
    <x v="2194"/>
  </r>
  <r>
    <m/>
    <s v="Bratt, Chris dr"/>
    <n v="1973"/>
    <n v="46"/>
    <s v="M20"/>
    <s v="HUN"/>
    <s v="03:52:19"/>
    <x v="2124"/>
  </r>
  <r>
    <m/>
    <s v="Magdó Zoltán"/>
    <n v="1974"/>
    <n v="45"/>
    <s v="M30"/>
    <s v="HUN"/>
    <s v="04:32:15"/>
    <x v="425"/>
  </r>
  <r>
    <m/>
    <s v="Czerovszki József"/>
    <n v="1994"/>
    <n v="25"/>
    <s v="M25"/>
    <s v="HUN"/>
    <s v="03:56:47"/>
    <x v="1355"/>
  </r>
  <r>
    <m/>
    <s v="Makhajda Bence"/>
    <n v="1973"/>
    <n v="46"/>
    <s v="M20"/>
    <s v="HUN"/>
    <s v="04:00:44"/>
    <x v="37"/>
  </r>
  <r>
    <m/>
    <s v="Molnar, Franz"/>
    <n v="1975"/>
    <n v="44"/>
    <s v="M55"/>
    <s v="HUN"/>
    <s v="04:03:41"/>
    <x v="1565"/>
  </r>
  <r>
    <m/>
    <s v="Hamill, Justin"/>
    <n v="1953"/>
    <n v="66"/>
    <s v="M55"/>
    <s v="BRA"/>
    <s v="04:16:55"/>
    <x v="2189"/>
  </r>
  <r>
    <m/>
    <s v="Vinár Gábor"/>
    <n v="1979"/>
    <n v="40"/>
    <s v="M30"/>
    <s v="HUN"/>
    <s v="03:32:21"/>
    <x v="604"/>
  </r>
  <r>
    <m/>
    <s v="Cole, Matthew"/>
    <n v="1973"/>
    <n v="46"/>
    <s v="M40"/>
    <s v="SWE"/>
    <s v="04:23:33"/>
    <x v="1428"/>
  </r>
  <r>
    <m/>
    <s v="Székely Tibor"/>
    <n v="1972"/>
    <n v="47"/>
    <s v="M50"/>
    <s v="ITA"/>
    <s v="03:26:05"/>
    <x v="2195"/>
  </r>
  <r>
    <m/>
    <s v="Simon Tamás"/>
    <n v="1982"/>
    <n v="37"/>
    <s v="M50"/>
    <s v="HUN"/>
    <s v="04:45:07"/>
    <x v="2196"/>
  </r>
  <r>
    <m/>
    <s v="Kadenszky Zsolt"/>
    <n v="1944"/>
    <n v="75"/>
    <s v="M50"/>
    <s v="HUN"/>
    <s v="04:25:08"/>
    <x v="2197"/>
  </r>
  <r>
    <m/>
    <s v="Perry, Billy"/>
    <n v="1959"/>
    <n v="60"/>
    <s v="M20"/>
    <s v="HUN"/>
    <s v="04:12:48"/>
    <x v="2198"/>
  </r>
  <r>
    <m/>
    <s v="Gácsi Kristóf dr"/>
    <n v="1969"/>
    <n v="50"/>
    <s v="M25"/>
    <s v="HUN"/>
    <s v="03:21:53"/>
    <x v="2199"/>
  </r>
  <r>
    <m/>
    <s v="LEGROS, BRUNO"/>
    <n v="1988"/>
    <n v="31"/>
    <s v="M50"/>
    <s v="HUN"/>
    <s v="03:38:33"/>
    <x v="2200"/>
  </r>
  <r>
    <m/>
    <s v="Pogány Attila"/>
    <n v="1978"/>
    <n v="41"/>
    <s v="M20"/>
    <s v="HUN"/>
    <s v="04:45:02"/>
    <x v="2201"/>
  </r>
  <r>
    <m/>
    <s v="Nánási Péter Zsolt"/>
    <n v="1972"/>
    <n v="47"/>
    <s v="M35"/>
    <s v="HUN"/>
    <s v="04:13:37"/>
    <x v="1545"/>
  </r>
  <r>
    <m/>
    <s v="François, Roland"/>
    <n v="1979"/>
    <n v="40"/>
    <s v="M40"/>
    <s v="HUN"/>
    <s v="04:17:33"/>
    <x v="2202"/>
  </r>
  <r>
    <m/>
    <s v="Török Endre"/>
    <n v="1965"/>
    <n v="54"/>
    <s v="M40"/>
    <s v="HUN"/>
    <s v="04:29:10"/>
    <x v="2203"/>
  </r>
  <r>
    <m/>
    <s v="Pálfi György Simon dr"/>
    <n v="1974"/>
    <n v="45"/>
    <s v="M40"/>
    <s v="HUN"/>
    <s v="04:30:07"/>
    <x v="2204"/>
  </r>
  <r>
    <m/>
    <s v="Montag, Bernd"/>
    <n v="1980"/>
    <n v="39"/>
    <s v="M55"/>
    <s v="HUN"/>
    <s v="03:57:49"/>
    <x v="349"/>
  </r>
  <r>
    <m/>
    <s v="Bécsy Benedek"/>
    <n v="1988"/>
    <n v="31"/>
    <s v="M20"/>
    <s v="HUN"/>
    <s v="05:01:39"/>
    <x v="2205"/>
  </r>
  <r>
    <m/>
    <s v="Kwei, Ming"/>
    <n v="1979"/>
    <n v="40"/>
    <s v="M55"/>
    <s v="SWE"/>
    <s v="04:21:37"/>
    <x v="2206"/>
  </r>
  <r>
    <m/>
    <s v="BATEMAN, JAY"/>
    <n v="2001"/>
    <n v="18"/>
    <s v="M25"/>
    <s v="AUT"/>
    <s v="03:30:12"/>
    <x v="1518"/>
  </r>
  <r>
    <m/>
    <s v="Mestyán Márton"/>
    <n v="1970"/>
    <n v="49"/>
    <s v="M30"/>
    <s v="FRA"/>
    <s v="04:03:10"/>
    <x v="1504"/>
  </r>
  <r>
    <m/>
    <s v="Jensen, Niels-Johan"/>
    <n v="1962"/>
    <n v="57"/>
    <s v="M35"/>
    <s v="GBR"/>
    <s v="02:48:56"/>
    <x v="2207"/>
  </r>
  <r>
    <m/>
    <s v="Ellenrieder Péter"/>
    <n v="1976"/>
    <n v="43"/>
    <s v="M30"/>
    <s v="HUN"/>
    <s v="04:17:44"/>
    <x v="2130"/>
  </r>
  <r>
    <m/>
    <s v="Ladislav, Horváth"/>
    <n v="1975"/>
    <n v="44"/>
    <s v="M35"/>
    <s v="HUN"/>
    <s v="04:18:04"/>
    <x v="2208"/>
  </r>
  <r>
    <m/>
    <s v="Adi, Roytman"/>
    <n v="1977"/>
    <n v="42"/>
    <s v="M45"/>
    <s v="HUN"/>
    <s v="04:24:57"/>
    <x v="1344"/>
  </r>
  <r>
    <m/>
    <s v="Bottlik Csaba"/>
    <n v="1990"/>
    <n v="29"/>
    <s v="M45"/>
    <s v="HUN"/>
    <s v="03:31:01"/>
    <x v="2209"/>
  </r>
  <r>
    <m/>
    <s v="Feher Balint"/>
    <n v="1983"/>
    <n v="36"/>
    <s v="M20"/>
    <s v="GBR"/>
    <s v="03:28:15"/>
    <x v="2210"/>
  </r>
  <r>
    <m/>
    <s v="Barker, Richard"/>
    <n v="2000"/>
    <n v="19"/>
    <s v="M40"/>
    <s v="HUN"/>
    <s v="03:41:11"/>
    <x v="2211"/>
  </r>
  <r>
    <m/>
    <s v="Maxime, HEINRICH"/>
    <n v="1983"/>
    <n v="36"/>
    <s v="M25"/>
    <s v="HUN"/>
    <s v="03:37:52"/>
    <x v="2212"/>
  </r>
  <r>
    <m/>
    <s v="Mosoiu, George dr"/>
    <n v="1970"/>
    <n v="49"/>
    <s v="M25"/>
    <s v="HUN"/>
    <s v="03:48:34"/>
    <x v="1776"/>
  </r>
  <r>
    <m/>
    <s v="Szőcs, Patrik"/>
    <n v="1972"/>
    <n v="47"/>
    <s v="M30"/>
    <s v="NED"/>
    <s v="04:23:49"/>
    <x v="2213"/>
  </r>
  <r>
    <m/>
    <s v="Zsitnyányi András"/>
    <n v="1980"/>
    <n v="39"/>
    <s v="M20"/>
    <s v="HUN"/>
    <s v="04:57:31"/>
    <x v="2214"/>
  </r>
  <r>
    <m/>
    <s v="Szabolcs András"/>
    <n v="1986"/>
    <n v="33"/>
    <s v="M45"/>
    <s v="GER"/>
    <s v="04:05:55"/>
    <x v="2215"/>
  </r>
  <r>
    <m/>
    <s v="Rousselet, Alexandre"/>
    <n v="1946"/>
    <n v="73"/>
    <s v="M25"/>
    <s v="ESP"/>
    <s v="03:41:36"/>
    <x v="2216"/>
  </r>
  <r>
    <m/>
    <s v="Martin Marcell"/>
    <n v="1974"/>
    <n v="45"/>
    <s v="M30"/>
    <s v="HUN"/>
    <s v="03:59:07"/>
    <x v="2217"/>
  </r>
  <r>
    <m/>
    <s v="Reisenhofer-Graber, Franz"/>
    <n v="1968"/>
    <n v="51"/>
    <s v="M65"/>
    <s v="HUN"/>
    <s v="04:14:26"/>
    <x v="540"/>
  </r>
  <r>
    <m/>
    <s v="Kele, Gejza"/>
    <n v="1976"/>
    <n v="43"/>
    <s v="M55"/>
    <s v="HUN"/>
    <s v="04:24:26"/>
    <x v="2218"/>
  </r>
  <r>
    <m/>
    <s v="Pleßnitzer, Thomas"/>
    <n v="1975"/>
    <n v="44"/>
    <s v="M55"/>
    <s v="HUN"/>
    <s v="03:44:26"/>
    <x v="2219"/>
  </r>
  <r>
    <m/>
    <s v="Orha László"/>
    <n v="1977"/>
    <n v="42"/>
    <s v="M40"/>
    <s v="HUN"/>
    <s v="03:48:38"/>
    <x v="2220"/>
  </r>
  <r>
    <m/>
    <s v="Kump Norbert"/>
    <n v="1976"/>
    <n v="43"/>
    <s v="M18"/>
    <s v="RUS"/>
    <s v="03:53:47"/>
    <x v="2221"/>
  </r>
  <r>
    <m/>
    <s v="Voß, Mike"/>
    <n v="1985"/>
    <n v="34"/>
    <s v="M55"/>
    <s v="SVK"/>
    <s v="04:00:44"/>
    <x v="37"/>
  </r>
  <r>
    <m/>
    <s v="HAUZA, Matthieu"/>
    <n v="1987"/>
    <n v="32"/>
    <s v="M30"/>
    <s v="RUS"/>
    <s v="03:10:16"/>
    <x v="725"/>
  </r>
  <r>
    <m/>
    <s v="Touré Amidou"/>
    <n v="1989"/>
    <n v="30"/>
    <s v="M40"/>
    <s v="HUN"/>
    <s v="04:39:18"/>
    <x v="1671"/>
  </r>
  <r>
    <m/>
    <s v="Wallace, Iain"/>
    <n v="1990"/>
    <n v="29"/>
    <s v="M55"/>
    <s v="GBR"/>
    <s v="03:28:00"/>
    <x v="1595"/>
  </r>
  <r>
    <m/>
    <s v="Lipták János"/>
    <n v="1977"/>
    <n v="42"/>
    <s v="M55"/>
    <s v="HUN"/>
    <s v="04:48:59"/>
    <x v="2222"/>
  </r>
  <r>
    <m/>
    <s v="Vilmos Turányi"/>
    <n v="1979"/>
    <n v="40"/>
    <s v="M20"/>
    <s v="HUN"/>
    <s v="03:44:21"/>
    <x v="338"/>
  </r>
  <r>
    <m/>
    <s v="Harty, William"/>
    <n v="1963"/>
    <n v="56"/>
    <s v="M25"/>
    <s v="GBR"/>
    <s v="03:51:53"/>
    <x v="283"/>
  </r>
  <r>
    <m/>
    <s v="Heinonen, Petri"/>
    <n v="1980"/>
    <n v="39"/>
    <s v="M35"/>
    <s v="HUN"/>
    <s v="03:53:54"/>
    <x v="2223"/>
  </r>
  <r>
    <m/>
    <s v="Renfer Péter"/>
    <n v="1977"/>
    <n v="42"/>
    <s v="M45"/>
    <s v="HUN"/>
    <s v="04:48:29"/>
    <x v="2224"/>
  </r>
  <r>
    <m/>
    <s v="Kennedy, David id"/>
    <n v="1966"/>
    <n v="53"/>
    <s v="M35"/>
    <s v="FRA"/>
    <s v="03:18:01"/>
    <x v="2225"/>
  </r>
  <r>
    <m/>
    <s v="Molnár Balázs"/>
    <n v="1972"/>
    <n v="47"/>
    <s v="M50"/>
    <s v="SVK"/>
    <s v="04:20:21"/>
    <x v="2226"/>
  </r>
  <r>
    <m/>
    <s v="Vámos Sándor János"/>
    <n v="1964"/>
    <n v="55"/>
    <s v="M65"/>
    <s v="ITA"/>
    <s v="04:01:30"/>
    <x v="2227"/>
  </r>
  <r>
    <m/>
    <s v="Levisohn, David"/>
    <n v="1980"/>
    <n v="39"/>
    <s v="M35"/>
    <s v="HUN"/>
    <s v="04:34:43"/>
    <x v="2228"/>
  </r>
  <r>
    <m/>
    <s v="Szarvas Balázs"/>
    <n v="1974"/>
    <n v="45"/>
    <s v="M35"/>
    <s v="HUN"/>
    <s v="04:33:13"/>
    <x v="2229"/>
  </r>
  <r>
    <m/>
    <s v="Baschirotto, Giovanni"/>
    <n v="1966"/>
    <n v="53"/>
    <s v="M50"/>
    <s v="HUN"/>
    <s v="03:33:26"/>
    <x v="1246"/>
  </r>
  <r>
    <m/>
    <s v="Bokros Balázs"/>
    <n v="1995"/>
    <n v="24"/>
    <s v="M30"/>
    <s v="HUN"/>
    <s v="04:32:46"/>
    <x v="1554"/>
  </r>
  <r>
    <m/>
    <s v="Sik Dominik"/>
    <n v="1993"/>
    <n v="26"/>
    <s v="M25"/>
    <s v="USA"/>
    <s v="03:26:48"/>
    <x v="2230"/>
  </r>
  <r>
    <m/>
    <s v="Mougey, Christian"/>
    <n v="1971"/>
    <n v="48"/>
    <s v="M60"/>
    <s v="HUN"/>
    <s v="04:52:22"/>
    <x v="2231"/>
  </r>
  <r>
    <m/>
    <s v="Vén Csaba"/>
    <n v="1993"/>
    <n v="26"/>
    <s v="M55"/>
    <s v="HUN"/>
    <s v="03:31:27"/>
    <x v="2232"/>
  </r>
  <r>
    <m/>
    <s v="Hogben, Michael prof"/>
    <n v="1981"/>
    <n v="38"/>
    <s v="M50"/>
    <s v="HUN"/>
    <s v="04:59:17"/>
    <x v="1494"/>
  </r>
  <r>
    <m/>
    <s v="Peizer Szabolcs"/>
    <n v="1977"/>
    <n v="42"/>
    <s v="M50"/>
    <s v="HUN"/>
    <s v="05:19:36"/>
    <x v="2233"/>
  </r>
  <r>
    <m/>
    <s v="Łuczak, Tomasz"/>
    <n v="1981"/>
    <n v="38"/>
    <s v="M40"/>
    <s v="HUN"/>
    <s v="03:26:07"/>
    <x v="1342"/>
  </r>
  <r>
    <m/>
    <s v="Értekes András"/>
    <n v="1976"/>
    <n v="43"/>
    <s v="M50"/>
    <s v="HUN"/>
    <s v="04:00:25"/>
    <x v="2234"/>
  </r>
  <r>
    <m/>
    <s v="Petró Gyula"/>
    <n v="1969"/>
    <n v="50"/>
    <s v="M40"/>
    <s v="FRA"/>
    <s v="04:25:59"/>
    <x v="2235"/>
  </r>
  <r>
    <m/>
    <s v="Villányi Dániel"/>
    <n v="1994"/>
    <n v="25"/>
    <s v="M40"/>
    <s v="FRA"/>
    <s v="04:28:45"/>
    <x v="2236"/>
  </r>
  <r>
    <m/>
    <s v="Maraniello, Alessandro"/>
    <n v="1987"/>
    <n v="32"/>
    <s v="M50"/>
    <s v="GER"/>
    <s v="03:29:32"/>
    <x v="2237"/>
  </r>
  <r>
    <m/>
    <s v="Meleg Attila"/>
    <n v="1967"/>
    <n v="52"/>
    <s v="M45"/>
    <s v="HUN"/>
    <s v="04:29:59"/>
    <x v="2238"/>
  </r>
  <r>
    <m/>
    <s v="Janák, Béla"/>
    <n v="1966"/>
    <n v="53"/>
    <s v="M50"/>
    <s v="SVK"/>
    <s v="04:05:23"/>
    <x v="2239"/>
  </r>
  <r>
    <m/>
    <s v="Elhag, Omar"/>
    <n v="1967"/>
    <n v="52"/>
    <s v="M45"/>
    <s v="HUN"/>
    <s v="03:48:46"/>
    <x v="2240"/>
  </r>
  <r>
    <m/>
    <s v="Farkas Péter"/>
    <n v="1974"/>
    <n v="45"/>
    <s v="M40"/>
    <s v="CZE"/>
    <s v="03:41:25"/>
    <x v="1797"/>
  </r>
  <r>
    <m/>
    <s v="Carvalh?o, Fernando"/>
    <n v="1965"/>
    <n v="54"/>
    <s v="M40"/>
    <s v="HUN"/>
    <s v="03:51:32"/>
    <x v="1082"/>
  </r>
  <r>
    <m/>
    <s v="De Potter, Mathias"/>
    <n v="1971"/>
    <n v="48"/>
    <s v="M30"/>
    <s v="ESP"/>
    <s v="03:51:53"/>
    <x v="283"/>
  </r>
  <r>
    <m/>
    <s v="Hunyaddobrai András"/>
    <n v="1975"/>
    <n v="44"/>
    <s v="M25"/>
    <s v="DEN"/>
    <s v="04:22:50"/>
    <x v="2241"/>
  </r>
  <r>
    <m/>
    <s v="Földi Marcell"/>
    <n v="1994"/>
    <n v="25"/>
    <s v="M20"/>
    <s v="MKD"/>
    <s v="04:53:32"/>
    <x v="2242"/>
  </r>
  <r>
    <m/>
    <s v="Berta Balázs"/>
    <n v="1958"/>
    <n v="61"/>
    <s v="M45"/>
    <s v="DEN"/>
    <s v="04:52:09"/>
    <x v="2243"/>
  </r>
  <r>
    <m/>
    <s v="Németh Márton"/>
    <n v="1977"/>
    <n v="42"/>
    <s v="M45"/>
    <s v="HUN"/>
    <s v="03:27:12"/>
    <x v="2244"/>
  </r>
  <r>
    <m/>
    <s v="Vachtler Ferenc"/>
    <n v="1969"/>
    <n v="50"/>
    <s v="M35"/>
    <s v="RUS"/>
    <s v="03:45:04"/>
    <x v="1146"/>
  </r>
  <r>
    <m/>
    <s v="Ahmadi Pour, Ahmad"/>
    <n v="1984"/>
    <n v="35"/>
    <s v="M25"/>
    <s v="HUN"/>
    <s v="04:34:24"/>
    <x v="2245"/>
  </r>
  <r>
    <m/>
    <s v="Modetti, Daniele"/>
    <n v="1973"/>
    <n v="46"/>
    <s v="M45"/>
    <s v="HUN"/>
    <s v="03:33:20"/>
    <x v="2246"/>
  </r>
  <r>
    <m/>
    <s v="Morvai Balázs"/>
    <n v="1977"/>
    <n v="42"/>
    <s v="M50"/>
    <s v="SVK"/>
    <s v="03:25:55"/>
    <x v="939"/>
  </r>
  <r>
    <m/>
    <s v="Leko, Ivan"/>
    <n v="1969"/>
    <n v="50"/>
    <s v="M50"/>
    <s v="CZE"/>
    <s v="03:36:34"/>
    <x v="222"/>
  </r>
  <r>
    <m/>
    <s v="Surányi Kristóf"/>
    <n v="1963"/>
    <n v="56"/>
    <s v="M20"/>
    <s v="HUN"/>
    <s v="04:42:37"/>
    <x v="2247"/>
  </r>
  <r>
    <m/>
    <s v="Lupou, George"/>
    <n v="1975"/>
    <n v="44"/>
    <s v="M30"/>
    <s v="HUN"/>
    <s v="04:21:11"/>
    <x v="2179"/>
  </r>
  <r>
    <m/>
    <s v="Kása Ákos"/>
    <n v="1966"/>
    <n v="53"/>
    <s v="M20"/>
    <s v="HUN"/>
    <s v="04:56:46"/>
    <x v="2028"/>
  </r>
  <r>
    <m/>
    <s v="Schveinert, Jiri"/>
    <n v="1982"/>
    <n v="37"/>
    <s v="M50"/>
    <s v="HUN"/>
    <s v="03:27:55"/>
    <x v="1724"/>
  </r>
  <r>
    <m/>
    <s v="Fenyvessy Gábor"/>
    <n v="1965"/>
    <n v="54"/>
    <s v="M55"/>
    <s v="HUN"/>
    <s v="04:36:49"/>
    <x v="2248"/>
  </r>
  <r>
    <m/>
    <s v="Arciszewski, Marcin"/>
    <n v="1983"/>
    <n v="36"/>
    <s v="M45"/>
    <s v="GER"/>
    <s v="03:23:04"/>
    <x v="1287"/>
  </r>
  <r>
    <m/>
    <s v="Mazzeo, Antonio Fiorenzo Mazzeo dr"/>
    <n v="1973"/>
    <n v="46"/>
    <s v="M45"/>
    <s v="HUN"/>
    <s v="04:00:24"/>
    <x v="2249"/>
  </r>
  <r>
    <m/>
    <s v="Michal, Vrabel"/>
    <n v="1973"/>
    <n v="46"/>
    <s v="M25"/>
    <s v="HUN"/>
    <s v="04:09:44"/>
    <x v="2250"/>
  </r>
  <r>
    <m/>
    <s v="King, Chris prof"/>
    <n v="1984"/>
    <n v="35"/>
    <s v="M20"/>
    <s v="HUN"/>
    <s v="04:02:26"/>
    <x v="2251"/>
  </r>
  <r>
    <m/>
    <s v="Ferenczi Balázs"/>
    <n v="1977"/>
    <n v="42"/>
    <s v="M25"/>
    <s v="HUN"/>
    <s v="04:53:30"/>
    <x v="1337"/>
  </r>
  <r>
    <m/>
    <s v="Kerekes Ákos dr"/>
    <n v="1987"/>
    <n v="32"/>
    <s v="M30"/>
    <s v="GBR"/>
    <s v="03:26:35"/>
    <x v="23"/>
  </r>
  <r>
    <m/>
    <s v="Manger Ádám"/>
    <n v="1983"/>
    <n v="36"/>
    <s v="M35"/>
    <s v="GER"/>
    <s v="04:02:03"/>
    <x v="2252"/>
  </r>
  <r>
    <m/>
    <s v="Kocsis Benedek"/>
    <n v="1993"/>
    <n v="26"/>
    <s v="M20"/>
    <s v="BEL"/>
    <s v="03:56:46"/>
    <x v="906"/>
  </r>
  <r>
    <m/>
    <s v="Juhász Zoltán dr"/>
    <n v="1997"/>
    <n v="22"/>
    <s v="M50"/>
    <s v="SVK"/>
    <s v="04:44:37"/>
    <x v="2253"/>
  </r>
  <r>
    <m/>
    <s v="Szkridon Gellért"/>
    <n v="1978"/>
    <n v="41"/>
    <s v="M35"/>
    <s v="HUN"/>
    <s v="03:01:54"/>
    <x v="2254"/>
  </r>
  <r>
    <m/>
    <s v="Caspersson, Tobias"/>
    <n v="1964"/>
    <n v="55"/>
    <s v="M40"/>
    <s v="FIN"/>
    <s v="04:16:55"/>
    <x v="2189"/>
  </r>
  <r>
    <m/>
    <s v="Scott, Alan"/>
    <n v="1994"/>
    <n v="25"/>
    <s v="M55"/>
    <s v="DEN"/>
    <s v="03:32:48"/>
    <x v="2255"/>
  </r>
  <r>
    <m/>
    <s v="Rousselet, Alexandre"/>
    <n v="1984"/>
    <n v="35"/>
    <s v="M25"/>
    <s v="HUN"/>
    <s v="03:41:36"/>
    <x v="2216"/>
  </r>
  <r>
    <m/>
    <s v="cannobio, filippo dr"/>
    <n v="1978"/>
    <n v="41"/>
    <s v="M35"/>
    <s v="HUN"/>
    <s v="03:58:09"/>
    <x v="1463"/>
  </r>
  <r>
    <m/>
    <s v="Szakács Tamás"/>
    <n v="1970"/>
    <n v="49"/>
    <s v="M30"/>
    <s v="HUN"/>
    <s v="04:12:22"/>
    <x v="2256"/>
  </r>
  <r>
    <m/>
    <s v="LECHEVIN, LUDOVIC"/>
    <n v="1973"/>
    <n v="46"/>
    <s v="M45"/>
    <s v="HUN"/>
    <s v="03:32:35"/>
    <x v="2257"/>
  </r>
  <r>
    <m/>
    <s v="Ashdown, Harry"/>
    <n v="1995"/>
    <n v="24"/>
    <s v="M20"/>
    <s v="HUN"/>
    <s v="04:12:27"/>
    <x v="2258"/>
  </r>
  <r>
    <m/>
    <s v="Gray, Joshua"/>
    <n v="1984"/>
    <n v="35"/>
    <s v="M35"/>
    <s v="HUN"/>
    <s v="04:34:25"/>
    <x v="2259"/>
  </r>
  <r>
    <m/>
    <s v="Tabajdi József Nándor"/>
    <n v="1978"/>
    <n v="41"/>
    <s v="M45"/>
    <s v="ESP"/>
    <s v="03:49:31"/>
    <x v="817"/>
  </r>
  <r>
    <m/>
    <s v="Balázs Ádám"/>
    <n v="1974"/>
    <n v="45"/>
    <s v="M50"/>
    <s v="HUN"/>
    <s v="04:28:09"/>
    <x v="2260"/>
  </r>
  <r>
    <m/>
    <s v="Pusch Szilárd"/>
    <n v="1987"/>
    <n v="32"/>
    <s v="M50"/>
    <s v="AUT"/>
    <s v="04:38:39"/>
    <x v="2261"/>
  </r>
  <r>
    <m/>
    <s v="Gander, Simon"/>
    <n v="1981"/>
    <n v="38"/>
    <s v="M25"/>
    <s v="HUN"/>
    <s v="03:10:16"/>
    <x v="725"/>
  </r>
  <r>
    <m/>
    <s v="Popat, Khian-Jush"/>
    <n v="1966"/>
    <n v="53"/>
    <s v="M20"/>
    <s v="HUN"/>
    <s v="04:48:27"/>
    <x v="2262"/>
  </r>
  <r>
    <m/>
    <s v="Lima, Fabio prof"/>
    <n v="1974"/>
    <n v="45"/>
    <s v="M35"/>
    <s v="HUN"/>
    <s v="03:10:50"/>
    <x v="232"/>
  </r>
  <r>
    <m/>
    <s v="Szekretár Endre"/>
    <n v="1976"/>
    <n v="43"/>
    <s v="M30"/>
    <s v="HUN"/>
    <s v="05:35:10"/>
    <x v="2263"/>
  </r>
  <r>
    <m/>
    <s v="Kock, Erik prof"/>
    <n v="1998"/>
    <n v="21"/>
    <s v="M50"/>
    <s v="HUN"/>
    <s v="04:22:04"/>
    <x v="2264"/>
  </r>
  <r>
    <m/>
    <s v="Bazsinka József"/>
    <n v="1977"/>
    <n v="42"/>
    <s v="M60"/>
    <s v="RUS"/>
    <s v="05:22:39"/>
    <x v="2265"/>
  </r>
  <r>
    <m/>
    <s v="Várszegi Gábor"/>
    <n v="1989"/>
    <n v="30"/>
    <s v="M40"/>
    <s v="GBR"/>
    <s v="04:39:17"/>
    <x v="2266"/>
  </r>
  <r>
    <m/>
    <s v="Padgham, James"/>
    <n v="1966"/>
    <n v="53"/>
    <s v="M20"/>
    <s v="FRA"/>
    <s v="03:52:17"/>
    <x v="1824"/>
  </r>
  <r>
    <m/>
    <s v="Tarbuck, Harry prof"/>
    <n v="1993"/>
    <n v="26"/>
    <s v="M25"/>
    <s v="ROM"/>
    <s v="04:25:43"/>
    <x v="2184"/>
  </r>
  <r>
    <m/>
    <s v="Burkhardt Balázs"/>
    <n v="1989"/>
    <n v="30"/>
    <s v="M18"/>
    <s v="RUS"/>
    <s v="04:29:52"/>
    <x v="2267"/>
  </r>
  <r>
    <m/>
    <s v="Thornton, Alan"/>
    <n v="1975"/>
    <n v="44"/>
    <s v="M65"/>
    <s v="HUN"/>
    <s v="04:10:21"/>
    <x v="1157"/>
  </r>
  <r>
    <m/>
    <s v="Donkó Antal"/>
    <n v="1969"/>
    <n v="50"/>
    <s v="M60"/>
    <s v="HUN"/>
    <s v="03:49:57"/>
    <x v="2268"/>
  </r>
  <r>
    <m/>
    <s v="Bence Barta"/>
    <n v="1976"/>
    <n v="43"/>
    <s v="M25"/>
    <s v="FRA"/>
    <s v="03:30:43"/>
    <x v="2269"/>
  </r>
  <r>
    <m/>
    <s v="Nagy Bogdán"/>
    <n v="1982"/>
    <n v="37"/>
    <s v="M25"/>
    <s v="HUN"/>
    <s v="04:09:35"/>
    <x v="2270"/>
  </r>
  <r>
    <m/>
    <s v="Haraszti László"/>
    <n v="1991"/>
    <n v="28"/>
    <s v="M55"/>
    <s v="HUN"/>
    <s v="03:36:31"/>
    <x v="297"/>
  </r>
  <r>
    <m/>
    <s v="Kósa, Tomá"/>
    <n v="1992"/>
    <n v="27"/>
    <s v="M20"/>
    <s v="HUN"/>
    <s v="03:53:19"/>
    <x v="783"/>
  </r>
  <r>
    <m/>
    <s v="Kovács Sándor"/>
    <n v="1957"/>
    <n v="62"/>
    <s v="M40"/>
    <s v="POR"/>
    <s v="04:20:18"/>
    <x v="2271"/>
  </r>
  <r>
    <m/>
    <s v="Polgár Ervin"/>
    <n v="1963"/>
    <n v="56"/>
    <s v="M45"/>
    <s v="ESP"/>
    <s v="04:25:03"/>
    <x v="2272"/>
  </r>
  <r>
    <m/>
    <s v="Karagity Dániel"/>
    <n v="1980"/>
    <n v="39"/>
    <s v="M35"/>
    <s v="POL"/>
    <s v="04:49:08"/>
    <x v="2273"/>
  </r>
  <r>
    <m/>
    <s v="Kristof Istvan"/>
    <n v="1998"/>
    <n v="21"/>
    <s v="M40"/>
    <s v="HUN"/>
    <s v="03:51:52"/>
    <x v="1371"/>
  </r>
  <r>
    <m/>
    <s v="Gonda, Tibor"/>
    <n v="1989"/>
    <n v="30"/>
    <s v="M50"/>
    <s v="HUN"/>
    <s v="03:57:46"/>
    <x v="240"/>
  </r>
  <r>
    <m/>
    <s v="Helman, Leszek"/>
    <n v="1979"/>
    <n v="40"/>
    <s v="M55"/>
    <s v="HUN"/>
    <s v="03:16:57"/>
    <x v="2274"/>
  </r>
  <r>
    <m/>
    <s v="Rónai Zoltán"/>
    <n v="1989"/>
    <n v="30"/>
    <s v="M35"/>
    <s v="KOR"/>
    <s v="03:27:53"/>
    <x v="2275"/>
  </r>
  <r>
    <m/>
    <s v="Latino, Luigi"/>
    <n v="1973"/>
    <n v="46"/>
    <s v="M55"/>
    <s v="ITA"/>
    <s v="04:44:47"/>
    <x v="1758"/>
  </r>
  <r>
    <m/>
    <s v="Lund-Ravn, Thomas prof"/>
    <n v="1959"/>
    <n v="60"/>
    <s v="M50"/>
    <s v="GER"/>
    <s v="03:51:58"/>
    <x v="1307"/>
  </r>
  <r>
    <m/>
    <s v="Köllő Szabolcs"/>
    <n v="1982"/>
    <n v="37"/>
    <s v="M30"/>
    <s v="HUN"/>
    <s v="04:16:31"/>
    <x v="394"/>
  </r>
  <r>
    <m/>
    <s v="Kéri Bálint"/>
    <n v="1959"/>
    <n v="60"/>
    <s v="M20"/>
    <s v="SVK"/>
    <s v="04:50:53"/>
    <x v="2276"/>
  </r>
  <r>
    <m/>
    <s v="Kákonyi Dávid"/>
    <n v="1983"/>
    <n v="36"/>
    <s v="M45"/>
    <s v="CZE"/>
    <s v="03:37:04"/>
    <x v="455"/>
  </r>
  <r>
    <m/>
    <s v="Francis, Richard"/>
    <n v="1992"/>
    <n v="27"/>
    <s v="M60"/>
    <s v="HUN"/>
    <s v="04:53:26"/>
    <x v="555"/>
  </r>
  <r>
    <m/>
    <s v="McEwing, John"/>
    <n v="1943"/>
    <n v="76"/>
    <s v="M55"/>
    <s v="HUN"/>
    <s v="04:09:51"/>
    <x v="2277"/>
  </r>
  <r>
    <m/>
    <s v="Tánczos Csombor"/>
    <n v="1988"/>
    <n v="31"/>
    <s v="M18"/>
    <s v="HUN"/>
    <s v="05:42:21"/>
    <x v="2278"/>
  </r>
  <r>
    <m/>
    <s v="Varju Gáspár"/>
    <n v="1971"/>
    <n v="48"/>
    <s v="M45"/>
    <s v="HUN"/>
    <s v="04:25:17"/>
    <x v="341"/>
  </r>
  <r>
    <m/>
    <s v="ROTTE, Bruno"/>
    <n v="1986"/>
    <n v="33"/>
    <s v="M55"/>
    <s v="HUN"/>
    <s v="04:10:03"/>
    <x v="2279"/>
  </r>
  <r>
    <m/>
    <s v="Musil, Jaroslav"/>
    <n v="1975"/>
    <n v="44"/>
    <s v="M40"/>
    <s v="ESP"/>
    <s v="04:09:21"/>
    <x v="1830"/>
  </r>
  <r>
    <m/>
    <s v="Takács István"/>
    <n v="1969"/>
    <n v="50"/>
    <s v="M55"/>
    <s v="POL"/>
    <s v="04:36:47"/>
    <x v="2280"/>
  </r>
  <r>
    <m/>
    <s v="Klein Péter"/>
    <n v="1938"/>
    <n v="81"/>
    <s v="M40"/>
    <s v="HUN"/>
    <s v="04:54:49"/>
    <x v="2141"/>
  </r>
  <r>
    <m/>
    <s v="Jahoda, Vit"/>
    <n v="1987"/>
    <n v="32"/>
    <s v="M40"/>
    <s v="HUN"/>
    <s v="03:11:01"/>
    <x v="358"/>
  </r>
  <r>
    <m/>
    <s v="Morbey, Dan"/>
    <n v="1970"/>
    <n v="49"/>
    <s v="M20"/>
    <s v="HUN"/>
    <s v="04:21:10"/>
    <x v="2281"/>
  </r>
  <r>
    <m/>
    <s v="Lipták János"/>
    <n v="1974"/>
    <n v="45"/>
    <s v="M35"/>
    <s v="SRB"/>
    <s v="03:54:29"/>
    <x v="2282"/>
  </r>
  <r>
    <m/>
    <s v="Zsoldos Péter"/>
    <n v="1964"/>
    <n v="55"/>
    <s v="M40"/>
    <s v="CZE"/>
    <s v="03:39:45"/>
    <x v="248"/>
  </r>
  <r>
    <m/>
    <s v="André Milán"/>
    <n v="1962"/>
    <n v="57"/>
    <s v="M30"/>
    <s v="TWN"/>
    <s v="03:31:24"/>
    <x v="1849"/>
  </r>
  <r>
    <m/>
    <s v="Rainey, Cathal"/>
    <n v="1973"/>
    <n v="46"/>
    <s v="M20"/>
    <s v="HUN"/>
    <s v="04:17:04"/>
    <x v="2283"/>
  </r>
  <r>
    <m/>
    <s v="Bos, Sean William"/>
    <n v="1974"/>
    <n v="45"/>
    <s v="M30"/>
    <s v="HUN"/>
    <s v="03:10:46"/>
    <x v="467"/>
  </r>
  <r>
    <m/>
    <s v="Hoffmann, Günther"/>
    <n v="1992"/>
    <n v="27"/>
    <s v="M60"/>
    <s v="HUN"/>
    <s v="04:26:16"/>
    <x v="904"/>
  </r>
  <r>
    <m/>
    <s v="Virág Róbert"/>
    <n v="1973"/>
    <n v="46"/>
    <s v="M40"/>
    <s v="HUN"/>
    <s v="03:59:15"/>
    <x v="2284"/>
  </r>
  <r>
    <m/>
    <s v="Németh Miklós Márton"/>
    <n v="1972"/>
    <n v="47"/>
    <s v="M40"/>
    <s v="HUN"/>
    <s v="04:17:32"/>
    <x v="2285"/>
  </r>
  <r>
    <m/>
    <s v="cordier, boris"/>
    <n v="1985"/>
    <n v="34"/>
    <s v="M50"/>
    <s v="HUN"/>
    <s v="03:59:54"/>
    <x v="1905"/>
  </r>
  <r>
    <m/>
    <s v="PARK, YONG JUN"/>
    <n v="1968"/>
    <n v="51"/>
    <s v="M30"/>
    <s v="HUN"/>
    <s v="04:58:06"/>
    <x v="1115"/>
  </r>
  <r>
    <m/>
    <s v="Dancza Zsolt"/>
    <n v="1994"/>
    <n v="25"/>
    <s v="M45"/>
    <s v="HUN"/>
    <s v="04:52:06"/>
    <x v="2286"/>
  </r>
  <r>
    <m/>
    <s v="Burkard, Marco"/>
    <n v="1979"/>
    <n v="40"/>
    <s v="M30"/>
    <s v="HUN"/>
    <s v="03:47:53"/>
    <x v="1162"/>
  </r>
  <r>
    <m/>
    <s v="Kardos Géza"/>
    <n v="1978"/>
    <n v="41"/>
    <s v="M55"/>
    <s v="HUN"/>
    <s v="03:51:48"/>
    <x v="2287"/>
  </r>
  <r>
    <m/>
    <s v="Mihályházi Vilmos"/>
    <n v="1969"/>
    <n v="50"/>
    <s v="M50"/>
    <s v="HUN"/>
    <s v="04:22:36"/>
    <x v="2288"/>
  </r>
  <r>
    <m/>
    <s v="Fodor Ferenc"/>
    <n v="1980"/>
    <n v="39"/>
    <s v="M45"/>
    <s v="ISR"/>
    <s v="04:38:05"/>
    <x v="1901"/>
  </r>
  <r>
    <m/>
    <s v="Kósa, Tomá"/>
    <n v="1996"/>
    <n v="23"/>
    <s v="M45"/>
    <s v="AUT"/>
    <s v="03:53:20"/>
    <x v="617"/>
  </r>
  <r>
    <m/>
    <s v="Lakatos Zsolt"/>
    <n v="1977"/>
    <n v="42"/>
    <s v="M45"/>
    <s v="GBR"/>
    <s v="04:37:18"/>
    <x v="2289"/>
  </r>
  <r>
    <m/>
    <s v="Murden, Philip"/>
    <n v="1950"/>
    <n v="69"/>
    <s v="M35"/>
    <s v="SWE"/>
    <s v="03:10:02"/>
    <x v="1713"/>
  </r>
  <r>
    <m/>
    <s v="Zoltai Zsolt"/>
    <n v="1986"/>
    <n v="33"/>
    <s v="M25"/>
    <s v="POL"/>
    <s v="03:23:23"/>
    <x v="648"/>
  </r>
  <r>
    <m/>
    <s v="Zacarias de Oliveira, Fernando"/>
    <n v="1981"/>
    <n v="38"/>
    <s v="M35"/>
    <s v="HUN"/>
    <s v="04:08:33"/>
    <x v="2290"/>
  </r>
  <r>
    <m/>
    <s v="Füleki Áron"/>
    <n v="1967"/>
    <n v="52"/>
    <s v="M35"/>
    <s v="HUN"/>
    <s v="03:57:43"/>
    <x v="2291"/>
  </r>
  <r>
    <m/>
    <s v="kirk, simo"/>
    <n v="1961"/>
    <n v="58"/>
    <s v="M30"/>
    <s v="HUN"/>
    <s v="02:59:31"/>
    <x v="2292"/>
  </r>
  <r>
    <m/>
    <s v="Lakatos Dániel"/>
    <n v="1994"/>
    <n v="25"/>
    <s v="M18"/>
    <s v="HUN"/>
    <s v="04:37:13"/>
    <x v="2293"/>
  </r>
  <r>
    <m/>
    <s v="KOZIRIS, LIBERIS"/>
    <n v="1980"/>
    <n v="39"/>
    <s v="M50"/>
    <s v="HUN"/>
    <s v="03:29:38"/>
    <x v="2294"/>
  </r>
  <r>
    <m/>
    <s v="Péter Gábor"/>
    <n v="1967"/>
    <n v="52"/>
    <s v="M30"/>
    <s v="RUS"/>
    <s v="04:28:05"/>
    <x v="2295"/>
  </r>
  <r>
    <m/>
    <s v="Webb, James"/>
    <n v="1991"/>
    <n v="28"/>
    <s v="M50"/>
    <s v="SWE"/>
    <s v="03:32:15"/>
    <x v="2006"/>
  </r>
  <r>
    <m/>
    <s v="De Rosa, Vincenzo"/>
    <n v="1968"/>
    <n v="51"/>
    <s v="M50"/>
    <s v="HUN"/>
    <s v="04:40:48"/>
    <x v="2296"/>
  </r>
  <r>
    <m/>
    <s v="Glazachev, Evgenii"/>
    <n v="1976"/>
    <n v="43"/>
    <s v="M30"/>
    <s v="USA"/>
    <s v="03:23:05"/>
    <x v="118"/>
  </r>
  <r>
    <m/>
    <s v="Evangelou, Andreas"/>
    <n v="1975"/>
    <n v="44"/>
    <s v="M40"/>
    <s v="HUN"/>
    <s v="04:38:03"/>
    <x v="2297"/>
  </r>
  <r>
    <m/>
    <s v="Magyar Róbert"/>
    <n v="1974"/>
    <n v="45"/>
    <s v="M40"/>
    <s v="AUT"/>
    <s v="04:22:31"/>
    <x v="160"/>
  </r>
  <r>
    <m/>
    <s v="Metzger Balázs"/>
    <n v="1977"/>
    <n v="42"/>
    <s v="M45"/>
    <s v="HUN"/>
    <s v="03:41:18"/>
    <x v="371"/>
  </r>
  <r>
    <m/>
    <s v="de Vries, Maurice"/>
    <n v="1973"/>
    <n v="46"/>
    <s v="M25"/>
    <s v="HUN"/>
    <s v="04:27:53"/>
    <x v="2298"/>
  </r>
  <r>
    <m/>
    <s v="Holwitt, Stephan"/>
    <n v="1984"/>
    <n v="35"/>
    <s v="M50"/>
    <s v="HUN"/>
    <s v="04:08:54"/>
    <x v="893"/>
  </r>
  <r>
    <m/>
    <s v="Moreau, Gregory"/>
    <n v="1989"/>
    <n v="30"/>
    <s v="M45"/>
    <s v="SRB"/>
    <s v="04:40:04"/>
    <x v="1277"/>
  </r>
  <r>
    <m/>
    <s v="TSAI, KUO CHUN"/>
    <n v="1949"/>
    <n v="70"/>
    <s v="M55"/>
    <s v="GBR"/>
    <s v="03:51:00"/>
    <x v="2299"/>
  </r>
  <r>
    <m/>
    <s v="Kocsis Antal"/>
    <n v="1974"/>
    <n v="45"/>
    <s v="M55"/>
    <s v="USA"/>
    <s v="03:58:08"/>
    <x v="914"/>
  </r>
  <r>
    <m/>
    <s v="Biliński, Tomasz"/>
    <n v="1992"/>
    <n v="27"/>
    <s v="M45"/>
    <s v="HUN"/>
    <s v="04:17:56"/>
    <x v="557"/>
  </r>
  <r>
    <m/>
    <s v="Jannon, Francesco"/>
    <n v="1982"/>
    <n v="37"/>
    <s v="M55"/>
    <s v="RUS"/>
    <s v="04:58:13"/>
    <x v="2300"/>
  </r>
  <r>
    <m/>
    <s v="Notarangelo, Massimiliano"/>
    <n v="1976"/>
    <n v="43"/>
    <s v="M50"/>
    <s v="HUN"/>
    <s v="04:50:07"/>
    <x v="2301"/>
  </r>
  <r>
    <m/>
    <s v="POTIER, Jean"/>
    <n v="1995"/>
    <n v="24"/>
    <s v="M50"/>
    <s v="HUN"/>
    <s v="03:22:15"/>
    <x v="2302"/>
  </r>
  <r>
    <m/>
    <s v="Rego, Antonio"/>
    <n v="1975"/>
    <n v="44"/>
    <s v="M50"/>
    <s v="HUN"/>
    <s v="05:02:41"/>
    <x v="1384"/>
  </r>
  <r>
    <m/>
    <s v="Michaels, Alex"/>
    <n v="1959"/>
    <n v="60"/>
    <s v="M25"/>
    <s v="HUN"/>
    <s v="03:39:34"/>
    <x v="2303"/>
  </r>
  <r>
    <m/>
    <s v="Czikkely Zsolt"/>
    <n v="1960"/>
    <n v="59"/>
    <s v="M45"/>
    <s v="POR"/>
    <s v="05:00:17"/>
    <x v="2304"/>
  </r>
  <r>
    <m/>
    <s v="Dr. Smidla József"/>
    <n v="1988"/>
    <n v="31"/>
    <s v="M35"/>
    <s v="HUN"/>
    <s v="03:51:33"/>
    <x v="423"/>
  </r>
  <r>
    <m/>
    <s v="Seres Gergely"/>
    <n v="1969"/>
    <n v="50"/>
    <s v="M25"/>
    <s v="HUN"/>
    <s v="04:37:47"/>
    <x v="2305"/>
  </r>
  <r>
    <m/>
    <s v="Sebesvári Bence"/>
    <n v="1974"/>
    <n v="45"/>
    <s v="M35"/>
    <s v="HUN"/>
    <s v="03:57:05"/>
    <x v="1339"/>
  </r>
  <r>
    <m/>
    <s v="Muskovics Endre"/>
    <n v="1963"/>
    <n v="56"/>
    <s v="M40"/>
    <s v="FRA"/>
    <s v="03:51:17"/>
    <x v="2306"/>
  </r>
  <r>
    <m/>
    <s v="Goret, Christophe"/>
    <n v="1985"/>
    <n v="34"/>
    <s v="M50"/>
    <s v="CHN"/>
    <s v="03:31:07"/>
    <x v="2307"/>
  </r>
  <r>
    <m/>
    <s v="Csoba Dénes dr."/>
    <n v="1972"/>
    <n v="47"/>
    <s v="M35"/>
    <s v="ITA"/>
    <s v="03:55:36"/>
    <x v="2308"/>
  </r>
  <r>
    <m/>
    <s v="Steri, Fabio"/>
    <n v="1971"/>
    <n v="48"/>
    <s v="M35"/>
    <s v="ITA"/>
    <s v="04:13:03"/>
    <x v="125"/>
  </r>
  <r>
    <m/>
    <s v="Vasilij, Kobec"/>
    <n v="1955"/>
    <n v="64"/>
    <s v="M35"/>
    <s v="FRA"/>
    <s v="04:13:03"/>
    <x v="125"/>
  </r>
  <r>
    <m/>
    <s v="James, Trott"/>
    <n v="1970"/>
    <n v="49"/>
    <s v="M20"/>
    <s v="AUT"/>
    <s v="04:28:23"/>
    <x v="600"/>
  </r>
  <r>
    <m/>
    <s v="Pálinkás Norbert"/>
    <n v="1991"/>
    <n v="28"/>
    <s v="M40"/>
    <s v="KAZ"/>
    <s v="03:44:09"/>
    <x v="2309"/>
  </r>
  <r>
    <m/>
    <s v="Győri András dr"/>
    <n v="1977"/>
    <n v="42"/>
    <s v="M30"/>
    <s v="RUS"/>
    <s v="04:07:20"/>
    <x v="1118"/>
  </r>
  <r>
    <m/>
    <s v="Réder Kristóf"/>
    <n v="1970"/>
    <n v="49"/>
    <s v="M35"/>
    <s v="HUN"/>
    <s v="04:54:55"/>
    <x v="2310"/>
  </r>
  <r>
    <m/>
    <s v="Halmi István"/>
    <n v="1963"/>
    <n v="56"/>
    <s v="M45"/>
    <s v="NZL"/>
    <s v="03:30:37"/>
    <x v="2311"/>
  </r>
  <r>
    <m/>
    <s v="Hood, William"/>
    <n v="1973"/>
    <n v="46"/>
    <s v="M20"/>
    <s v="HUN"/>
    <s v="03:51:57"/>
    <x v="2312"/>
  </r>
  <r>
    <m/>
    <s v="Gulyás Péter"/>
    <n v="1977"/>
    <n v="42"/>
    <s v="M35"/>
    <s v="HUN"/>
    <s v="03:57:43"/>
    <x v="2291"/>
  </r>
  <r>
    <m/>
    <s v="McGall, Dylan"/>
    <n v="1962"/>
    <n v="57"/>
    <s v="M25"/>
    <s v="GBR"/>
    <s v="04:11:56"/>
    <x v="336"/>
  </r>
  <r>
    <m/>
    <s v="Bird, Conall"/>
    <n v="1985"/>
    <n v="34"/>
    <s v="M20"/>
    <s v="HUN"/>
    <s v="03:35:36"/>
    <x v="2313"/>
  </r>
  <r>
    <m/>
    <s v="Hegyes Dániel"/>
    <n v="1976"/>
    <n v="43"/>
    <s v="M18"/>
    <s v="HUN"/>
    <s v="03:47:23"/>
    <x v="2314"/>
  </r>
  <r>
    <m/>
    <s v="Csaba Gergely"/>
    <n v="1978"/>
    <n v="41"/>
    <s v="M30"/>
    <s v="HUN"/>
    <s v="03:18:02"/>
    <x v="2315"/>
  </r>
  <r>
    <m/>
    <s v="wnetrzak, krzysztof"/>
    <n v="1977"/>
    <n v="42"/>
    <s v="M45"/>
    <s v="HUN"/>
    <s v="04:14:43"/>
    <x v="2316"/>
  </r>
  <r>
    <m/>
    <s v="Mészáros Andris"/>
    <n v="1992"/>
    <n v="27"/>
    <s v="M35"/>
    <s v="RSA"/>
    <s v="03:09:53"/>
    <x v="101"/>
  </r>
  <r>
    <m/>
    <s v="Aradi-Hankó Péter"/>
    <n v="1967"/>
    <n v="52"/>
    <s v="M35"/>
    <s v="FIN"/>
    <s v="03:41:48"/>
    <x v="353"/>
  </r>
  <r>
    <m/>
    <s v="Priger István Imre"/>
    <n v="1981"/>
    <n v="38"/>
    <s v="M35"/>
    <s v="CZE"/>
    <s v="05:00:14"/>
    <x v="2100"/>
  </r>
  <r>
    <m/>
    <s v="LOIC, DOUAI"/>
    <n v="1970"/>
    <n v="49"/>
    <s v="M40"/>
    <s v="HUN"/>
    <s v="03:59:23"/>
    <x v="2317"/>
  </r>
  <r>
    <m/>
    <s v="Tamás Bertalan"/>
    <n v="1986"/>
    <n v="33"/>
    <s v="M35"/>
    <s v="HUN"/>
    <s v="03:22:02"/>
    <x v="2318"/>
  </r>
  <r>
    <m/>
    <s v="Nádor-Nikitits Benedek"/>
    <n v="1985"/>
    <n v="34"/>
    <s v="M25"/>
    <s v="GBR"/>
    <s v="03:06:28"/>
    <x v="2319"/>
  </r>
  <r>
    <m/>
    <s v="Bergman, Aard"/>
    <n v="1957"/>
    <n v="62"/>
    <s v="M55"/>
    <s v="HUN"/>
    <s v="04:22:54"/>
    <x v="2320"/>
  </r>
  <r>
    <m/>
    <s v="Paterson, Reece"/>
    <n v="1955"/>
    <n v="64"/>
    <s v="M18"/>
    <s v="HUN"/>
    <s v="05:19:14"/>
    <x v="2321"/>
  </r>
  <r>
    <m/>
    <s v="Pénzes András ifj"/>
    <n v="1978"/>
    <n v="41"/>
    <s v="M30"/>
    <s v="HUN"/>
    <s v="05:11:20"/>
    <x v="2322"/>
  </r>
  <r>
    <m/>
    <s v="Remenyik Bence"/>
    <n v="1977"/>
    <n v="42"/>
    <s v="M30"/>
    <s v="HUN"/>
    <s v="03:55:54"/>
    <x v="2323"/>
  </r>
  <r>
    <m/>
    <s v="Hadlaczky Máté"/>
    <n v="1962"/>
    <n v="57"/>
    <s v="M30"/>
    <s v="GER"/>
    <s v="03:28:58"/>
    <x v="2324"/>
  </r>
  <r>
    <m/>
    <s v="Rási Béla"/>
    <n v="1971"/>
    <n v="48"/>
    <s v="M50"/>
    <s v="HUN"/>
    <s v="05:13:34"/>
    <x v="2325"/>
  </r>
  <r>
    <m/>
    <s v="Tárnok András dr"/>
    <n v="1974"/>
    <n v="45"/>
    <s v="M25"/>
    <s v="HUN"/>
    <s v="03:26:43"/>
    <x v="919"/>
  </r>
  <r>
    <m/>
    <s v="Mathiasen Gabriel"/>
    <n v="1978"/>
    <n v="41"/>
    <s v="M25"/>
    <s v="HUN"/>
    <s v="03:10:23"/>
    <x v="1290"/>
  </r>
  <r>
    <m/>
    <s v="Warner, Ian"/>
    <n v="1980"/>
    <n v="39"/>
    <s v="M20"/>
    <s v="HUN"/>
    <s v="04:15:24"/>
    <x v="2326"/>
  </r>
  <r>
    <m/>
    <s v="Hauet, Yvo"/>
    <n v="1985"/>
    <n v="34"/>
    <s v="M50"/>
    <s v="BRA"/>
    <s v="03:15:16"/>
    <x v="2327"/>
  </r>
  <r>
    <m/>
    <s v="Paterson, Oliver"/>
    <n v="1991"/>
    <n v="28"/>
    <s v="M30"/>
    <s v="CHI"/>
    <s v="03:26:36"/>
    <x v="2328"/>
  </r>
  <r>
    <m/>
    <s v="Utry Álmos"/>
    <n v="1982"/>
    <n v="37"/>
    <s v="M40"/>
    <s v="HUN"/>
    <s v="04:09:46"/>
    <x v="2329"/>
  </r>
  <r>
    <m/>
    <s v="Dubus, Sylvain"/>
    <n v="1979"/>
    <n v="40"/>
    <s v="M35"/>
    <s v="ITA"/>
    <s v="02:59:32"/>
    <x v="2330"/>
  </r>
  <r>
    <m/>
    <s v="Mezősi András"/>
    <n v="1998"/>
    <n v="21"/>
    <s v="M40"/>
    <s v="ITA"/>
    <s v="03:55:03"/>
    <x v="608"/>
  </r>
  <r>
    <m/>
    <s v="Iskra, Piotr"/>
    <n v="1989"/>
    <n v="30"/>
    <s v="M45"/>
    <s v="HUN"/>
    <s v="05:08:06"/>
    <x v="2331"/>
  </r>
  <r>
    <m/>
    <s v="Laczják Sándor"/>
    <n v="1982"/>
    <n v="37"/>
    <s v="M45"/>
    <s v="FIN"/>
    <s v="04:10:25"/>
    <x v="2332"/>
  </r>
  <r>
    <m/>
    <s v="Szalay Szabolcs Kornél"/>
    <n v="1964"/>
    <n v="55"/>
    <s v="M25"/>
    <s v="HUN"/>
    <s v="04:30:30"/>
    <x v="2333"/>
  </r>
  <r>
    <m/>
    <s v="Hegedüs Dávid"/>
    <n v="1982"/>
    <n v="37"/>
    <s v="M30"/>
    <s v="POR"/>
    <s v="03:47:46"/>
    <x v="2334"/>
  </r>
  <r>
    <m/>
    <s v="Zombori Ákos"/>
    <n v="1969"/>
    <n v="50"/>
    <s v="M30"/>
    <s v="HUN"/>
    <s v="03:26:45"/>
    <x v="2335"/>
  </r>
  <r>
    <m/>
    <s v="Luis, Araiza"/>
    <n v="1990"/>
    <n v="29"/>
    <s v="M18"/>
    <s v="HUN"/>
    <s v="04:10:16"/>
    <x v="2336"/>
  </r>
  <r>
    <m/>
    <s v="Sabolic, Tomislav"/>
    <n v="1978"/>
    <n v="41"/>
    <s v="M40"/>
    <s v="HUN"/>
    <s v="03:46:42"/>
    <x v="2337"/>
  </r>
  <r>
    <m/>
    <s v="Konrát Andor Viktor"/>
    <n v="1976"/>
    <n v="43"/>
    <s v="M40"/>
    <s v="HUN"/>
    <s v="04:27:48"/>
    <x v="382"/>
  </r>
  <r>
    <m/>
    <s v="Donnat, Clément"/>
    <n v="1958"/>
    <n v="61"/>
    <s v="M20"/>
    <s v="NZL"/>
    <s v="03:29:14"/>
    <x v="2338"/>
  </r>
  <r>
    <m/>
    <s v="Döbrőssy Viktor"/>
    <n v="1978"/>
    <n v="41"/>
    <s v="M35"/>
    <s v="FRA"/>
    <s v="03:59:26"/>
    <x v="1885"/>
  </r>
  <r>
    <m/>
    <s v="Lebedev, Dmitry"/>
    <n v="1990"/>
    <n v="29"/>
    <s v="M45"/>
    <s v="SVK"/>
    <s v="04:12:45"/>
    <x v="2339"/>
  </r>
  <r>
    <m/>
    <s v="Bányai János"/>
    <n v="1983"/>
    <n v="36"/>
    <s v="M40"/>
    <s v="HUN"/>
    <s v="03:04:37"/>
    <x v="2340"/>
  </r>
  <r>
    <m/>
    <s v="Skorski, Linus"/>
    <n v="1968"/>
    <n v="51"/>
    <s v="M20"/>
    <s v="SWE"/>
    <s v="03:29:16"/>
    <x v="355"/>
  </r>
  <r>
    <m/>
    <s v="Csipak, Peter"/>
    <n v="1977"/>
    <n v="42"/>
    <s v="M55"/>
    <s v="HUN"/>
    <s v="04:18:20"/>
    <x v="2341"/>
  </r>
  <r>
    <m/>
    <s v="Kertesz Peter"/>
    <n v="1979"/>
    <n v="40"/>
    <s v="M35"/>
    <s v="ESP"/>
    <s v="04:24:37"/>
    <x v="2342"/>
  </r>
  <r>
    <m/>
    <s v="Magyar Balázs"/>
    <n v="1981"/>
    <n v="38"/>
    <s v="M25"/>
    <s v="POL"/>
    <s v="04:45:03"/>
    <x v="2343"/>
  </r>
  <r>
    <m/>
    <s v="Kretovics Zsolt"/>
    <n v="1975"/>
    <n v="44"/>
    <s v="M35"/>
    <s v="HUN"/>
    <s v="05:03:47"/>
    <x v="238"/>
  </r>
  <r>
    <m/>
    <s v="Koszorú Sándor"/>
    <n v="1966"/>
    <n v="53"/>
    <s v="M45"/>
    <s v="HUN"/>
    <s v="04:16:54"/>
    <x v="1502"/>
  </r>
  <r>
    <m/>
    <s v="Smith, James"/>
    <n v="1970"/>
    <n v="49"/>
    <s v="M20"/>
    <s v="HUN"/>
    <s v="05:28:17"/>
    <x v="2344"/>
  </r>
  <r>
    <m/>
    <s v="Roth-Kleiner, Matthias prof"/>
    <n v="1960"/>
    <n v="59"/>
    <s v="M55"/>
    <s v="ITA"/>
    <s v="04:27:28"/>
    <x v="818"/>
  </r>
  <r>
    <m/>
    <s v="Gulyás András"/>
    <n v="1972"/>
    <n v="47"/>
    <s v="M20"/>
    <s v="GER"/>
    <s v="05:14:10"/>
    <x v="2345"/>
  </r>
  <r>
    <m/>
    <s v="Hall, Benjamin"/>
    <n v="1984"/>
    <n v="35"/>
    <s v="M20"/>
    <s v="HUN"/>
    <s v="03:49:55"/>
    <x v="766"/>
  </r>
  <r>
    <m/>
    <s v="Balássy Zoltán"/>
    <n v="1974"/>
    <n v="45"/>
    <s v="M40"/>
    <s v="HUN"/>
    <s v="04:58:54"/>
    <x v="707"/>
  </r>
  <r>
    <m/>
    <s v="Hegyvári Attila"/>
    <n v="1979"/>
    <n v="40"/>
    <s v="M25"/>
    <s v="HUN"/>
    <s v="04:43:00"/>
    <x v="2346"/>
  </r>
  <r>
    <m/>
    <s v="Kaposvári György"/>
    <n v="1972"/>
    <n v="47"/>
    <s v="M65"/>
    <s v="LAT"/>
    <s v="03:28:24"/>
    <x v="940"/>
  </r>
  <r>
    <m/>
    <s v="Tari István dr."/>
    <n v="1969"/>
    <n v="50"/>
    <s v="M35"/>
    <s v="HUN"/>
    <s v="03:46:15"/>
    <x v="2347"/>
  </r>
  <r>
    <m/>
    <s v="Juhász Bálint"/>
    <n v="1992"/>
    <n v="27"/>
    <s v="M30"/>
    <s v="HUN"/>
    <s v="04:25:59"/>
    <x v="2235"/>
  </r>
  <r>
    <m/>
    <s v="Kanizsai Gábor István"/>
    <n v="1976"/>
    <n v="43"/>
    <s v="M40"/>
    <s v="HUN"/>
    <s v="03:19:46"/>
    <x v="2348"/>
  </r>
  <r>
    <m/>
    <s v="O'Boyle, Frank"/>
    <n v="1977"/>
    <n v="42"/>
    <s v="M35"/>
    <s v="HUN"/>
    <s v="03:15:14"/>
    <x v="2349"/>
  </r>
  <r>
    <m/>
    <s v="Asztalos János"/>
    <n v="1966"/>
    <n v="53"/>
    <s v="M35"/>
    <s v="FRA"/>
    <s v="03:20:08"/>
    <x v="2350"/>
  </r>
  <r>
    <m/>
    <s v="Tabaku, Erblin"/>
    <n v="1974"/>
    <n v="45"/>
    <s v="M45"/>
    <s v="HUN"/>
    <s v="04:03:51"/>
    <x v="2099"/>
  </r>
  <r>
    <m/>
    <s v="Avin, Houman"/>
    <n v="1976"/>
    <n v="43"/>
    <s v="M35"/>
    <s v="HUN"/>
    <s v="03:37:27"/>
    <x v="2351"/>
  </r>
  <r>
    <m/>
    <s v="Vida Gábor dr"/>
    <n v="1964"/>
    <n v="55"/>
    <s v="M40"/>
    <s v="ITA"/>
    <s v="03:41:49"/>
    <x v="978"/>
  </r>
  <r>
    <m/>
    <s v="Battistolo, Julien"/>
    <n v="1965"/>
    <n v="54"/>
    <s v="M25"/>
    <s v="HUN"/>
    <s v="04:44:02"/>
    <x v="2352"/>
  </r>
  <r>
    <m/>
    <s v="Gyuricza István"/>
    <n v="1986"/>
    <n v="33"/>
    <s v="M40"/>
    <s v="POL"/>
    <s v="04:11:32"/>
    <x v="2353"/>
  </r>
  <r>
    <m/>
    <s v="George, Alex"/>
    <n v="1957"/>
    <n v="62"/>
    <s v="M35"/>
    <s v="HUN"/>
    <s v="03:45:01"/>
    <x v="2354"/>
  </r>
  <r>
    <m/>
    <s v="kardasz, jacek"/>
    <n v="1968"/>
    <n v="51"/>
    <s v="M40"/>
    <s v="HUN"/>
    <s v="03:42:07"/>
    <x v="1396"/>
  </r>
  <r>
    <m/>
    <s v="Simsik Zoltán"/>
    <n v="1987"/>
    <n v="32"/>
    <s v="M40"/>
    <s v="RUS"/>
    <s v="05:15:21"/>
    <x v="2355"/>
  </r>
  <r>
    <m/>
    <s v="Pogorelsky, Dima"/>
    <n v="1992"/>
    <n v="27"/>
    <s v="M40"/>
    <s v="IRL"/>
    <s v="03:23:24"/>
    <x v="1655"/>
  </r>
  <r>
    <m/>
    <s v="Zöldy Tamás"/>
    <n v="1968"/>
    <n v="51"/>
    <s v="M35"/>
    <s v="GER"/>
    <s v="03:35:42"/>
    <x v="62"/>
  </r>
  <r>
    <m/>
    <s v="Dicoi, Tiberiu"/>
    <n v="1976"/>
    <n v="43"/>
    <s v="M45"/>
    <s v="HUN"/>
    <s v="03:27:55"/>
    <x v="1724"/>
  </r>
  <r>
    <m/>
    <s v="Edison Armando, Castillo Herrera prof"/>
    <n v="1975"/>
    <n v="44"/>
    <s v="M30"/>
    <s v="HUN"/>
    <s v="03:25:21"/>
    <x v="1541"/>
  </r>
  <r>
    <m/>
    <s v="Christensen, Tommy"/>
    <n v="1991"/>
    <n v="28"/>
    <s v="M50"/>
    <s v="POL"/>
    <s v="03:23:02"/>
    <x v="744"/>
  </r>
  <r>
    <m/>
    <s v="Maczkó Miklós"/>
    <n v="1990"/>
    <n v="29"/>
    <s v="M30"/>
    <s v="AUS"/>
    <s v="03:34:35"/>
    <x v="2356"/>
  </r>
  <r>
    <m/>
    <s v="Hrabovský, Marek"/>
    <n v="1977"/>
    <n v="42"/>
    <s v="M35"/>
    <s v="HUN"/>
    <s v="03:06:59"/>
    <x v="2357"/>
  </r>
  <r>
    <m/>
    <s v="Zonjee, Alexander prof"/>
    <n v="1983"/>
    <n v="36"/>
    <s v="M30"/>
    <s v="FRA"/>
    <s v="03:29:49"/>
    <x v="2358"/>
  </r>
  <r>
    <m/>
    <s v="Ádám Zsolt"/>
    <n v="1982"/>
    <n v="37"/>
    <s v="M40"/>
    <s v="BEL"/>
    <s v="04:05:43"/>
    <x v="2359"/>
  </r>
  <r>
    <m/>
    <s v="Zoltán, ILLÉ"/>
    <n v="1974"/>
    <n v="45"/>
    <s v="M45"/>
    <s v="HUN"/>
    <s v="04:26:13"/>
    <x v="1752"/>
  </r>
  <r>
    <m/>
    <s v="Zagraj László"/>
    <n v="1983"/>
    <n v="36"/>
    <s v="M35"/>
    <s v="HUN"/>
    <s v="03:31:44"/>
    <x v="2360"/>
  </r>
  <r>
    <m/>
    <s v="Szalai Attila"/>
    <n v="1987"/>
    <n v="32"/>
    <s v="M40"/>
    <s v="HUN"/>
    <s v="04:29:07"/>
    <x v="2361"/>
  </r>
  <r>
    <m/>
    <s v="Szathmáry Benedek"/>
    <n v="1962"/>
    <n v="57"/>
    <s v="M18"/>
    <s v="AUT"/>
    <s v="05:00:10"/>
    <x v="2362"/>
  </r>
  <r>
    <m/>
    <s v="Csáky László"/>
    <n v="1989"/>
    <n v="30"/>
    <s v="M50"/>
    <s v="SVK"/>
    <s v="04:35:07"/>
    <x v="2363"/>
  </r>
  <r>
    <m/>
    <s v="Markót András"/>
    <n v="1968"/>
    <n v="51"/>
    <s v="M70"/>
    <s v="HUN"/>
    <s v="04:24:07"/>
    <x v="2364"/>
  </r>
  <r>
    <m/>
    <s v="Misák, Béla ifj"/>
    <n v="1973"/>
    <n v="46"/>
    <s v="M45"/>
    <s v="HUN"/>
    <s v="04:29:19"/>
    <x v="1445"/>
  </r>
  <r>
    <m/>
    <s v="Seal, Barrie"/>
    <n v="1983"/>
    <n v="36"/>
    <s v="M45"/>
    <s v="HUN"/>
    <s v="03:09:18"/>
    <x v="2365"/>
  </r>
  <r>
    <m/>
    <s v="Mathiasen Gabriel"/>
    <n v="1983"/>
    <n v="36"/>
    <s v="M25"/>
    <s v="HUN"/>
    <s v="03:10:23"/>
    <x v="1290"/>
  </r>
  <r>
    <m/>
    <s v="Páli Zsombor András"/>
    <n v="1993"/>
    <n v="26"/>
    <s v="M45"/>
    <s v="HUN"/>
    <s v="04:30:56"/>
    <x v="2366"/>
  </r>
  <r>
    <m/>
    <s v="Fekete László"/>
    <n v="1980"/>
    <n v="39"/>
    <s v="M50"/>
    <s v="HUN"/>
    <s v="04:33:15"/>
    <x v="2367"/>
  </r>
  <r>
    <m/>
    <s v="Kátai-Pál Benedek"/>
    <n v="1974"/>
    <n v="45"/>
    <s v="M20"/>
    <s v="HUN"/>
    <s v="04:14:09"/>
    <x v="2368"/>
  </r>
  <r>
    <m/>
    <s v="Sharma, Sunkalp"/>
    <n v="1959"/>
    <n v="60"/>
    <s v="M35"/>
    <s v="GER"/>
    <s v="04:18:27"/>
    <x v="612"/>
  </r>
  <r>
    <m/>
    <s v="Naschke, Lennart"/>
    <n v="1986"/>
    <n v="33"/>
    <s v="M35"/>
    <s v="HUN"/>
    <s v="05:20:47"/>
    <x v="1152"/>
  </r>
  <r>
    <m/>
    <s v="Pók János"/>
    <n v="1988"/>
    <n v="31"/>
    <s v="M60"/>
    <s v="RSA"/>
    <s v="04:03:33"/>
    <x v="1580"/>
  </r>
  <r>
    <m/>
    <s v="Gatsanoga, Miroslav"/>
    <n v="1959"/>
    <n v="60"/>
    <s v="M30"/>
    <s v="CZE"/>
    <s v="05:01:43"/>
    <x v="2369"/>
  </r>
  <r>
    <m/>
    <s v="Zólyomi Balázs"/>
    <n v="1964"/>
    <n v="55"/>
    <s v="M45"/>
    <s v="ALG"/>
    <s v="04:43:16"/>
    <x v="2370"/>
  </r>
  <r>
    <m/>
    <s v="James, Gareth"/>
    <n v="1984"/>
    <n v="35"/>
    <s v="M35"/>
    <s v="HUN"/>
    <s v="04:10:11"/>
    <x v="1156"/>
  </r>
  <r>
    <m/>
    <s v="Schmid, Philipp"/>
    <n v="1979"/>
    <n v="40"/>
    <s v="M40"/>
    <s v="HUN"/>
    <s v="03:41:14"/>
    <x v="43"/>
  </r>
  <r>
    <m/>
    <s v="Labádi Máté"/>
    <n v="1984"/>
    <n v="35"/>
    <s v="M40"/>
    <s v="HUN"/>
    <s v="04:06:18"/>
    <x v="2371"/>
  </r>
  <r>
    <m/>
    <s v="Vencel Mészáros"/>
    <n v="1968"/>
    <n v="51"/>
    <s v="M20"/>
    <s v="HUN"/>
    <s v="03:41:23"/>
    <x v="1195"/>
  </r>
  <r>
    <m/>
    <s v="Renaud, Lecomte"/>
    <n v="1971"/>
    <n v="48"/>
    <s v="M25"/>
    <s v="HUN"/>
    <s v="03:45:30"/>
    <x v="2372"/>
  </r>
  <r>
    <m/>
    <s v="Molyneux, Freddie"/>
    <n v="1977"/>
    <n v="42"/>
    <s v="M25"/>
    <s v="DEN"/>
    <s v="03:45:09"/>
    <x v="2373"/>
  </r>
  <r>
    <m/>
    <s v="Major Tibor dr."/>
    <n v="1983"/>
    <n v="36"/>
    <s v="M60"/>
    <s v="HUN"/>
    <s v="04:53:59"/>
    <x v="2374"/>
  </r>
  <r>
    <m/>
    <s v="Potornai Zoltán"/>
    <n v="1974"/>
    <n v="45"/>
    <s v="M55"/>
    <s v="ITA"/>
    <s v="04:09:13"/>
    <x v="669"/>
  </r>
  <r>
    <m/>
    <s v="GURRIERI, Peter"/>
    <n v="1995"/>
    <n v="24"/>
    <s v="M50"/>
    <s v="GBR"/>
    <s v="03:50:27"/>
    <x v="2375"/>
  </r>
  <r>
    <m/>
    <s v="Rudolf József dr."/>
    <n v="1963"/>
    <n v="56"/>
    <s v="M50"/>
    <s v="POL"/>
    <s v="04:10:13"/>
    <x v="2376"/>
  </r>
  <r>
    <m/>
    <s v="Gyúri Attila"/>
    <n v="1966"/>
    <n v="53"/>
    <s v="M45"/>
    <s v="HUN"/>
    <s v="03:31:57"/>
    <x v="2377"/>
  </r>
  <r>
    <m/>
    <s v="Tepavac, Marko"/>
    <n v="1973"/>
    <n v="46"/>
    <s v="M45"/>
    <s v="FRA"/>
    <s v="04:19:49"/>
    <x v="2378"/>
  </r>
  <r>
    <m/>
    <s v="Gulyás Attila"/>
    <n v="1977"/>
    <n v="42"/>
    <s v="M35"/>
    <s v="HUN"/>
    <s v="04:56:37"/>
    <x v="263"/>
  </r>
  <r>
    <m/>
    <s v="Angster Áron"/>
    <n v="1984"/>
    <n v="35"/>
    <s v="M20"/>
    <s v="HUN"/>
    <s v="03:58:50"/>
    <x v="2379"/>
  </r>
  <r>
    <m/>
    <s v="Savas, Spanudis"/>
    <n v="1980"/>
    <n v="39"/>
    <s v="M45"/>
    <s v="HUN"/>
    <s v="03:14:01"/>
    <x v="1017"/>
  </r>
  <r>
    <m/>
    <s v="Lame, Erik"/>
    <n v="1994"/>
    <n v="25"/>
    <s v="M30"/>
    <s v="SWE"/>
    <s v="03:51:32"/>
    <x v="1082"/>
  </r>
  <r>
    <m/>
    <s v="Lénárt Zoltán dr"/>
    <n v="1973"/>
    <n v="46"/>
    <s v="M50"/>
    <s v="HUN"/>
    <s v="04:05:33"/>
    <x v="2380"/>
  </r>
  <r>
    <m/>
    <s v="Papp András"/>
    <n v="1977"/>
    <n v="42"/>
    <s v="M30"/>
    <s v="HUN"/>
    <s v="04:16:52"/>
    <x v="2381"/>
  </r>
  <r>
    <m/>
    <s v="Layous Robert"/>
    <n v="1984"/>
    <n v="35"/>
    <s v="M20"/>
    <s v="HUN"/>
    <s v="04:52:39"/>
    <x v="2382"/>
  </r>
  <r>
    <m/>
    <s v="Schwartz-Nagy Attila"/>
    <n v="1981"/>
    <n v="38"/>
    <s v="M35"/>
    <s v="HUN"/>
    <s v="03:41:56"/>
    <x v="844"/>
  </r>
  <r>
    <m/>
    <s v="Ferge István"/>
    <n v="1980"/>
    <n v="39"/>
    <s v="M40"/>
    <s v="HUN"/>
    <s v="05:17:44"/>
    <x v="2383"/>
  </r>
  <r>
    <m/>
    <s v="Purdye, Graham"/>
    <n v="1967"/>
    <n v="52"/>
    <s v="M65"/>
    <s v="HUN"/>
    <s v="03:43:12"/>
    <x v="1959"/>
  </r>
  <r>
    <m/>
    <s v="Spernoga Miklós ifj"/>
    <n v="1984"/>
    <n v="35"/>
    <s v="M50"/>
    <s v="HUN"/>
    <s v="04:29:26"/>
    <x v="2384"/>
  </r>
  <r>
    <m/>
    <s v="Timpson, Jonathan"/>
    <n v="1994"/>
    <n v="25"/>
    <s v="M25"/>
    <s v="HUN"/>
    <s v="05:06:49"/>
    <x v="2385"/>
  </r>
  <r>
    <m/>
    <s v="ZURAUSKAS, OSVALDAS"/>
    <n v="1965"/>
    <n v="54"/>
    <s v="M50"/>
    <s v="SVK"/>
    <s v="04:33:39"/>
    <x v="2386"/>
  </r>
  <r>
    <m/>
    <s v="Nagy István"/>
    <n v="1982"/>
    <n v="37"/>
    <s v="M35"/>
    <s v="FRA"/>
    <s v="03:09:06"/>
    <x v="266"/>
  </r>
  <r>
    <m/>
    <s v="Fornara, Hadrien"/>
    <n v="1996"/>
    <n v="23"/>
    <s v="M30"/>
    <s v="GBR"/>
    <s v="02:55:45"/>
    <x v="2387"/>
  </r>
  <r>
    <m/>
    <s v="Nógrádi Ádám"/>
    <n v="1979"/>
    <n v="40"/>
    <s v="M30"/>
    <s v="HUN"/>
    <s v="03:36:03"/>
    <x v="2388"/>
  </r>
  <r>
    <m/>
    <s v="Canterberry, William"/>
    <n v="1973"/>
    <n v="46"/>
    <s v="M30"/>
    <s v="ESP"/>
    <s v="04:40:53"/>
    <x v="2389"/>
  </r>
  <r>
    <m/>
    <s v="Diker, Boris"/>
    <n v="1962"/>
    <n v="57"/>
    <s v="M50"/>
    <s v="USA"/>
    <s v="03:33:29"/>
    <x v="2390"/>
  </r>
  <r>
    <m/>
    <s v="Horváth Zoltán"/>
    <n v="1969"/>
    <n v="50"/>
    <s v="M50"/>
    <s v="HUN"/>
    <s v="04:46:31"/>
    <x v="2391"/>
  </r>
  <r>
    <m/>
    <s v="Neff, Gary"/>
    <n v="1987"/>
    <n v="32"/>
    <s v="M50"/>
    <s v="HUN"/>
    <s v="03:50:38"/>
    <x v="2392"/>
  </r>
  <r>
    <m/>
    <s v="meister, thomas"/>
    <n v="1972"/>
    <n v="47"/>
    <s v="M45"/>
    <s v="HUN"/>
    <s v="04:26:13"/>
    <x v="1752"/>
  </r>
  <r>
    <m/>
    <s v="Járosi Tamás"/>
    <n v="1970"/>
    <n v="49"/>
    <s v="M50"/>
    <s v="FRA"/>
    <s v="05:14:01"/>
    <x v="1907"/>
  </r>
  <r>
    <m/>
    <s v="Patocskai Mátyás"/>
    <n v="1974"/>
    <n v="45"/>
    <s v="M25"/>
    <s v="SWE"/>
    <s v="03:44:53"/>
    <x v="243"/>
  </r>
  <r>
    <m/>
    <s v="Molnár Bence"/>
    <n v="1983"/>
    <n v="36"/>
    <s v="M45"/>
    <s v="HUN"/>
    <s v="04:43:59"/>
    <x v="1019"/>
  </r>
  <r>
    <m/>
    <s v="Hornyak, Tomas"/>
    <n v="1993"/>
    <n v="26"/>
    <s v="M35"/>
    <s v="NED"/>
    <s v="03:51:59"/>
    <x v="1330"/>
  </r>
  <r>
    <m/>
    <s v="Saarijärvi, Eetu"/>
    <n v="1983"/>
    <n v="36"/>
    <s v="M25"/>
    <s v="ESP"/>
    <s v="03:47:27"/>
    <x v="75"/>
  </r>
  <r>
    <m/>
    <s v="Dieter, Schlaefke"/>
    <n v="1974"/>
    <n v="45"/>
    <s v="M75"/>
    <s v="HUN"/>
    <s v="05:19:39"/>
    <x v="2393"/>
  </r>
  <r>
    <m/>
    <s v="Irving, Neil"/>
    <n v="1969"/>
    <n v="50"/>
    <s v="M40"/>
    <s v="HUN"/>
    <s v="03:31:13"/>
    <x v="2394"/>
  </r>
  <r>
    <m/>
    <s v="Hetey Márton"/>
    <n v="1990"/>
    <n v="29"/>
    <s v="M25"/>
    <s v="HUN"/>
    <s v="04:03:31"/>
    <x v="1730"/>
  </r>
  <r>
    <m/>
    <s v="Bányóczky Ferenc"/>
    <n v="1975"/>
    <n v="44"/>
    <s v="M40"/>
    <s v="HUN"/>
    <s v="04:41:06"/>
    <x v="2395"/>
  </r>
  <r>
    <m/>
    <s v="Portörő Gábor"/>
    <n v="1976"/>
    <n v="43"/>
    <s v="M45"/>
    <s v="ROM"/>
    <s v="04:24:08"/>
    <x v="814"/>
  </r>
  <r>
    <m/>
    <s v="Fredrik, Cato"/>
    <n v="1985"/>
    <n v="34"/>
    <s v="M45"/>
    <s v="HUN"/>
    <s v="03:53:44"/>
    <x v="2396"/>
  </r>
  <r>
    <m/>
    <s v="Dósa Péter"/>
    <n v="1979"/>
    <n v="40"/>
    <s v="M30"/>
    <s v="HUN"/>
    <s v="03:57:23"/>
    <x v="2397"/>
  </r>
  <r>
    <m/>
    <s v="Schmid, Sebastian"/>
    <n v="1978"/>
    <n v="41"/>
    <s v="M20"/>
    <s v="HUN"/>
    <s v="03:48:56"/>
    <x v="2398"/>
  </r>
  <r>
    <m/>
    <s v="Cannini, Alberto prof"/>
    <n v="1994"/>
    <n v="25"/>
    <s v="M40"/>
    <s v="GER"/>
    <s v="02:48:46"/>
    <x v="2399"/>
  </r>
  <r>
    <m/>
    <s v="Rodríguez, Daniel prof"/>
    <n v="1966"/>
    <n v="53"/>
    <s v="M40"/>
    <s v="AUT"/>
    <s v="03:23:38"/>
    <x v="941"/>
  </r>
  <r>
    <m/>
    <s v="Ács Miklós"/>
    <n v="1977"/>
    <n v="42"/>
    <s v="M45"/>
    <s v="FRA"/>
    <s v="03:54:00"/>
    <x v="2103"/>
  </r>
  <r>
    <m/>
    <s v="Máth Dániel"/>
    <n v="1988"/>
    <n v="31"/>
    <s v="M25"/>
    <s v="FRA"/>
    <s v="04:28:17"/>
    <x v="673"/>
  </r>
  <r>
    <m/>
    <s v="Hakk Bence"/>
    <n v="2001"/>
    <n v="18"/>
    <s v="M20"/>
    <s v="HUN"/>
    <s v="04:30:32"/>
    <x v="2186"/>
  </r>
  <r>
    <m/>
    <s v="Wilder William Jackson"/>
    <n v="1977"/>
    <n v="42"/>
    <s v="M20"/>
    <s v="HUN"/>
    <s v="05:00:39"/>
    <x v="2400"/>
  </r>
  <r>
    <m/>
    <s v="Roberts, Bradley"/>
    <n v="1976"/>
    <n v="43"/>
    <s v="M20"/>
    <s v="HUN"/>
    <s v="03:44:24"/>
    <x v="1448"/>
  </r>
  <r>
    <m/>
    <s v="Davitt, Robert prof"/>
    <n v="1979"/>
    <n v="40"/>
    <s v="M20"/>
    <s v="HUN"/>
    <s v="04:23:51"/>
    <x v="2401"/>
  </r>
  <r>
    <m/>
    <s v="Tratner Barna id"/>
    <n v="1981"/>
    <n v="38"/>
    <s v="M45"/>
    <s v="HUN"/>
    <s v="03:21:59"/>
    <x v="2402"/>
  </r>
  <r>
    <m/>
    <s v="GAZEY, STEVEN"/>
    <n v="1976"/>
    <n v="43"/>
    <s v="M45"/>
    <s v="CHN"/>
    <s v="04:00:43"/>
    <x v="2403"/>
  </r>
  <r>
    <m/>
    <s v="Andreas, Künkele"/>
    <n v="1991"/>
    <n v="28"/>
    <s v="M50"/>
    <s v="RSA"/>
    <s v="03:32:14"/>
    <x v="2404"/>
  </r>
  <r>
    <m/>
    <s v="Germán Tibor"/>
    <n v="1996"/>
    <n v="23"/>
    <s v="M40"/>
    <s v="HUN"/>
    <s v="04:39:22"/>
    <x v="765"/>
  </r>
  <r>
    <m/>
    <s v="Verbaanderd, Gunther"/>
    <n v="1975"/>
    <n v="44"/>
    <s v="M55"/>
    <s v="HUN"/>
    <s v="03:23:03"/>
    <x v="1109"/>
  </r>
  <r>
    <m/>
    <s v="Bucsák Győző"/>
    <n v="1965"/>
    <n v="54"/>
    <s v="M45"/>
    <s v="GBR"/>
    <s v="04:06:18"/>
    <x v="2371"/>
  </r>
  <r>
    <m/>
    <s v="Pálvölgyi Zoltán"/>
    <n v="1973"/>
    <n v="46"/>
    <s v="M50"/>
    <s v="POL"/>
    <s v="03:59:36"/>
    <x v="163"/>
  </r>
  <r>
    <m/>
    <s v="Berriman, Jack"/>
    <n v="1994"/>
    <n v="25"/>
    <s v="M25"/>
    <s v="GBR"/>
    <s v="04:10:10"/>
    <x v="2405"/>
  </r>
  <r>
    <m/>
    <s v="Somodi László"/>
    <n v="1972"/>
    <n v="47"/>
    <s v="M55"/>
    <s v="HUN"/>
    <s v="03:50:55"/>
    <x v="2406"/>
  </r>
  <r>
    <m/>
    <s v="Palmen, Nataschja"/>
    <n v="1982"/>
    <n v="37"/>
    <s v="M50"/>
    <s v="HUN"/>
    <s v="04:22:29"/>
    <x v="2407"/>
  </r>
  <r>
    <m/>
    <s v="Vörös Zoltán Dr."/>
    <n v="1992"/>
    <n v="27"/>
    <s v="M50"/>
    <s v="HUN"/>
    <s v="04:19:26"/>
    <x v="2408"/>
  </r>
  <r>
    <m/>
    <s v="Dickinson, Patrick"/>
    <n v="1974"/>
    <n v="45"/>
    <s v="M25"/>
    <s v="HUN"/>
    <s v="05:21:10"/>
    <x v="2409"/>
  </r>
  <r>
    <m/>
    <s v="Bodor Csaba Gergely"/>
    <n v="1972"/>
    <n v="47"/>
    <s v="M35"/>
    <s v="POL"/>
    <s v="03:57:46"/>
    <x v="240"/>
  </r>
  <r>
    <m/>
    <s v="Mátyus János"/>
    <n v="1980"/>
    <n v="39"/>
    <s v="M45"/>
    <s v="HUN"/>
    <s v="05:16:45"/>
    <x v="2410"/>
  </r>
  <r>
    <m/>
    <s v="Jones, Neil prof"/>
    <n v="1980"/>
    <n v="39"/>
    <s v="M50"/>
    <s v="HUN"/>
    <s v="03:41:17"/>
    <x v="255"/>
  </r>
  <r>
    <m/>
    <s v="Majláth Gábor"/>
    <n v="1996"/>
    <n v="23"/>
    <s v="M40"/>
    <s v="SWE"/>
    <s v="03:18:21"/>
    <x v="2411"/>
  </r>
  <r>
    <m/>
    <s v="Enright, Brian"/>
    <n v="1972"/>
    <n v="47"/>
    <s v="M45"/>
    <s v="HUN"/>
    <s v="03:34:26"/>
    <x v="1851"/>
  </r>
  <r>
    <m/>
    <s v="Rahner Róbert"/>
    <n v="1976"/>
    <n v="43"/>
    <s v="M65"/>
    <s v="HUN"/>
    <s v="04:29:23"/>
    <x v="2412"/>
  </r>
  <r>
    <m/>
    <s v="Koster, Henry"/>
    <n v="1983"/>
    <n v="36"/>
    <s v="M50"/>
    <s v="HUN"/>
    <s v="03:29:07"/>
    <x v="1691"/>
  </r>
  <r>
    <m/>
    <s v="Kiss Sándor"/>
    <n v="1980"/>
    <n v="39"/>
    <s v="M40"/>
    <s v="BEL"/>
    <s v="03:43:23"/>
    <x v="2413"/>
  </r>
  <r>
    <m/>
    <s v="Tóth Barnabás"/>
    <n v="1976"/>
    <n v="43"/>
    <s v="M20"/>
    <s v="HUN"/>
    <s v="03:47:56"/>
    <x v="2414"/>
  </r>
  <r>
    <m/>
    <s v="Rojas, Nestor Luciano"/>
    <n v="1971"/>
    <n v="48"/>
    <s v="M35"/>
    <s v="FRA"/>
    <s v="03:10:06"/>
    <x v="536"/>
  </r>
  <r>
    <m/>
    <s v="Ördög Krisztián"/>
    <n v="1978"/>
    <n v="41"/>
    <s v="M45"/>
    <s v="ROM"/>
    <s v="02:43:10"/>
    <x v="2415"/>
  </r>
  <r>
    <m/>
    <s v="Bónis Ádám Dárius"/>
    <n v="1985"/>
    <n v="34"/>
    <s v="M20"/>
    <s v="HUN"/>
    <s v="04:10:36"/>
    <x v="1536"/>
  </r>
  <r>
    <m/>
    <s v="Bock Endre"/>
    <n v="1965"/>
    <n v="54"/>
    <s v="M40"/>
    <s v="ITA"/>
    <s v="04:40:15"/>
    <x v="677"/>
  </r>
  <r>
    <m/>
    <s v="Talu, Alberto dr"/>
    <n v="1977"/>
    <n v="42"/>
    <s v="M50"/>
    <s v="HUN"/>
    <s v="05:08:27"/>
    <x v="1062"/>
  </r>
  <r>
    <m/>
    <s v="Krejčí, Robin"/>
    <n v="1953"/>
    <n v="66"/>
    <s v="M25"/>
    <s v="FRA"/>
    <s v="03:57:56"/>
    <x v="1227"/>
  </r>
  <r>
    <m/>
    <s v="Derényi Imre prof"/>
    <n v="1988"/>
    <n v="31"/>
    <s v="M50"/>
    <s v="HUN"/>
    <s v="03:28:02"/>
    <x v="2416"/>
  </r>
  <r>
    <m/>
    <s v="Schulcz Gábor"/>
    <n v="1994"/>
    <n v="25"/>
    <s v="M60"/>
    <s v="HUN"/>
    <s v="04:58:16"/>
    <x v="1372"/>
  </r>
  <r>
    <m/>
    <s v="Simonyi Balázs"/>
    <n v="1972"/>
    <n v="47"/>
    <s v="M40"/>
    <s v="HUN"/>
    <s v="03:09:00"/>
    <x v="2417"/>
  </r>
  <r>
    <m/>
    <s v="Tekin, Veli"/>
    <n v="1978"/>
    <n v="41"/>
    <s v="M25"/>
    <s v="HUN"/>
    <s v="04:25:57"/>
    <x v="258"/>
  </r>
  <r>
    <m/>
    <s v="Korteweg, Anton"/>
    <n v="1966"/>
    <n v="53"/>
    <s v="M45"/>
    <s v="HUN"/>
    <s v="02:52:07"/>
    <x v="286"/>
  </r>
  <r>
    <m/>
    <s v="Schuch András"/>
    <n v="1981"/>
    <n v="38"/>
    <s v="M25"/>
    <s v="HUN"/>
    <s v="03:46:38"/>
    <x v="2418"/>
  </r>
  <r>
    <m/>
    <s v="Nánai-Nagy Norbert dr"/>
    <n v="1985"/>
    <n v="34"/>
    <s v="M25"/>
    <s v="HUN"/>
    <s v="04:16:54"/>
    <x v="1502"/>
  </r>
  <r>
    <m/>
    <s v="Szöllőssy Krisztián"/>
    <n v="1989"/>
    <n v="30"/>
    <s v="M40"/>
    <s v="HUN"/>
    <s v="04:44:55"/>
    <x v="2419"/>
  </r>
  <r>
    <m/>
    <s v="Kiss Gábor"/>
    <n v="1966"/>
    <n v="53"/>
    <s v="M40"/>
    <s v="HUN"/>
    <s v="04:21:46"/>
    <x v="2420"/>
  </r>
  <r>
    <m/>
    <s v="Byrne, Matt"/>
    <n v="1965"/>
    <n v="54"/>
    <s v="M50"/>
    <s v="HUN"/>
    <s v="04:21:46"/>
    <x v="2420"/>
  </r>
  <r>
    <m/>
    <s v="Raykov, Ivo"/>
    <n v="1977"/>
    <n v="42"/>
    <s v="M25"/>
    <s v="HUN"/>
    <s v="04:04:01"/>
    <x v="82"/>
  </r>
  <r>
    <m/>
    <s v="Hollós Tamás"/>
    <n v="1979"/>
    <n v="40"/>
    <s v="M35"/>
    <s v="HUN"/>
    <s v="03:28:29"/>
    <x v="2147"/>
  </r>
  <r>
    <m/>
    <s v="Largy, Jean-Mathieu"/>
    <n v="1964"/>
    <n v="55"/>
    <s v="M35"/>
    <s v="SWE"/>
    <s v="04:03:39"/>
    <x v="1889"/>
  </r>
  <r>
    <m/>
    <s v="Pult, Erich"/>
    <n v="1991"/>
    <n v="28"/>
    <s v="M45"/>
    <s v="HUN"/>
    <s v="02:57:40"/>
    <x v="2421"/>
  </r>
  <r>
    <m/>
    <s v="Geiger Tamás"/>
    <n v="1972"/>
    <n v="47"/>
    <s v="M40"/>
    <s v="HUN"/>
    <s v="04:20:22"/>
    <x v="1787"/>
  </r>
  <r>
    <m/>
    <s v="Szalmási Dániel"/>
    <n v="1964"/>
    <n v="55"/>
    <s v="M25"/>
    <s v="SWE"/>
    <s v="05:03:42"/>
    <x v="658"/>
  </r>
  <r>
    <m/>
    <s v="Kiss, Gábor"/>
    <n v="1972"/>
    <n v="47"/>
    <s v="M30"/>
    <s v="HUN"/>
    <s v="03:58:05"/>
    <x v="2422"/>
  </r>
  <r>
    <m/>
    <s v="Jordan, Daniel"/>
    <n v="1973"/>
    <n v="46"/>
    <s v="M30"/>
    <s v="POL"/>
    <s v="03:41:53"/>
    <x v="2423"/>
  </r>
  <r>
    <m/>
    <s v="Józsa Zalán Attila"/>
    <n v="1968"/>
    <n v="51"/>
    <s v="M25"/>
    <s v="HUN"/>
    <s v="03:50:21"/>
    <x v="2424"/>
  </r>
  <r>
    <m/>
    <s v="Prencipe, Luigi Giovanni Dolores"/>
    <n v="1970"/>
    <n v="49"/>
    <s v="M55"/>
    <s v="HUN"/>
    <s v="04:57:39"/>
    <x v="2425"/>
  </r>
  <r>
    <m/>
    <s v="Vincze Tibor"/>
    <n v="1980"/>
    <n v="39"/>
    <s v="M35"/>
    <s v="HUN"/>
    <s v="03:55:13"/>
    <x v="1392"/>
  </r>
  <r>
    <m/>
    <s v="Ostojic Mihailo"/>
    <n v="1979"/>
    <n v="40"/>
    <s v="M25"/>
    <s v="HUN"/>
    <s v="03:41:42"/>
    <x v="1050"/>
  </r>
  <r>
    <m/>
    <s v="Yaxley, Miles prof"/>
    <n v="1993"/>
    <n v="26"/>
    <s v="M25"/>
    <s v="AUT"/>
    <s v="03:56:40"/>
    <x v="676"/>
  </r>
  <r>
    <m/>
    <s v="Hirschfeld, Richard"/>
    <n v="1990"/>
    <n v="29"/>
    <s v="M45"/>
    <s v="HUN"/>
    <s v="03:08:52"/>
    <x v="2426"/>
  </r>
  <r>
    <m/>
    <s v="De Gennaro, Giovanni Battista"/>
    <n v="1970"/>
    <n v="49"/>
    <s v="M40"/>
    <s v="NED"/>
    <s v="03:21:11"/>
    <x v="2427"/>
  </r>
  <r>
    <m/>
    <s v="Papp Szabolcs"/>
    <n v="1972"/>
    <n v="47"/>
    <s v="M40"/>
    <s v="HUN"/>
    <s v="05:18:50"/>
    <x v="2428"/>
  </r>
  <r>
    <m/>
    <s v="Pogorelsky, Dima"/>
    <n v="1978"/>
    <n v="41"/>
    <s v="M40"/>
    <s v="HUN"/>
    <s v="03:23:24"/>
    <x v="1655"/>
  </r>
  <r>
    <m/>
    <s v="Ortega Jiménez, Manuel dr"/>
    <n v="1976"/>
    <n v="43"/>
    <s v="M50"/>
    <s v="HUN"/>
    <s v="04:08:55"/>
    <x v="206"/>
  </r>
  <r>
    <m/>
    <s v="Iskra, Filip"/>
    <n v="1970"/>
    <n v="49"/>
    <s v="M20"/>
    <s v="HUN"/>
    <s v="05:08:05"/>
    <x v="2429"/>
  </r>
  <r>
    <m/>
    <s v="Seal, Barrie"/>
    <n v="1984"/>
    <n v="35"/>
    <s v="M45"/>
    <s v="CZE"/>
    <s v="03:09:18"/>
    <x v="2365"/>
  </r>
  <r>
    <m/>
    <s v="Czimmer Máté"/>
    <n v="1966"/>
    <n v="53"/>
    <s v="M30"/>
    <s v="HUN"/>
    <s v="03:32:01"/>
    <x v="2430"/>
  </r>
  <r>
    <m/>
    <s v="Kiss Olivér"/>
    <n v="1960"/>
    <n v="59"/>
    <s v="M25"/>
    <s v="HUN"/>
    <s v="03:54:04"/>
    <x v="278"/>
  </r>
  <r>
    <m/>
    <s v="Jordán László"/>
    <n v="1978"/>
    <n v="41"/>
    <s v="M20"/>
    <s v="HUN"/>
    <s v="04:05:43"/>
    <x v="2359"/>
  </r>
  <r>
    <m/>
    <s v="Hedelund, Daniel Turi"/>
    <n v="1987"/>
    <n v="32"/>
    <s v="M30"/>
    <s v="HUN"/>
    <s v="02:54:35"/>
    <x v="2431"/>
  </r>
  <r>
    <m/>
    <s v="Oláh János"/>
    <n v="1971"/>
    <n v="48"/>
    <s v="M35"/>
    <s v="HUN"/>
    <s v="03:39:31"/>
    <x v="613"/>
  </r>
  <r>
    <m/>
    <s v="Galambos Norbert"/>
    <n v="1987"/>
    <n v="32"/>
    <s v="M20"/>
    <s v="CHI"/>
    <s v="04:13:11"/>
    <x v="2432"/>
  </r>
  <r>
    <m/>
    <s v="Castano, Juan"/>
    <n v="1979"/>
    <n v="40"/>
    <s v="M55"/>
    <s v="HUN"/>
    <s v="04:16:30"/>
    <x v="2433"/>
  </r>
  <r>
    <m/>
    <s v="Hartfree, Sam"/>
    <n v="1976"/>
    <n v="43"/>
    <s v="M20"/>
    <s v="GEO"/>
    <s v="03:43:33"/>
    <x v="2434"/>
  </r>
  <r>
    <m/>
    <s v="Ihárosi Wiktor"/>
    <n v="1964"/>
    <n v="55"/>
    <s v="M40"/>
    <s v="GBR"/>
    <s v="04:09:45"/>
    <x v="1567"/>
  </r>
  <r>
    <m/>
    <s v="Igaz, Adam"/>
    <n v="1977"/>
    <n v="42"/>
    <s v="M20"/>
    <s v="HUN"/>
    <s v="03:42:55"/>
    <x v="2435"/>
  </r>
  <r>
    <m/>
    <s v="Szilasi Árpád"/>
    <n v="1966"/>
    <n v="53"/>
    <s v="M45"/>
    <s v="HUN"/>
    <s v="04:43:14"/>
    <x v="1919"/>
  </r>
  <r>
    <m/>
    <s v="Lendor, Isaac"/>
    <n v="1999"/>
    <n v="20"/>
    <s v="M18"/>
    <s v="HUN"/>
    <s v="03:48:56"/>
    <x v="2398"/>
  </r>
  <r>
    <m/>
    <s v="Notari, Massimo"/>
    <n v="1986"/>
    <n v="33"/>
    <s v="M50"/>
    <s v="MEX"/>
    <s v="03:53:47"/>
    <x v="2221"/>
  </r>
  <r>
    <m/>
    <s v="Koffein Kapitány"/>
    <n v="1988"/>
    <n v="31"/>
    <s v="M45"/>
    <s v="RUS"/>
    <s v="03:58:38"/>
    <x v="2436"/>
  </r>
  <r>
    <m/>
    <s v="Albert Áron"/>
    <n v="1968"/>
    <n v="51"/>
    <s v="M25"/>
    <s v="SWE"/>
    <s v="04:05:38"/>
    <x v="1"/>
  </r>
  <r>
    <m/>
    <s v="Neszmélyi Péter"/>
    <n v="1980"/>
    <n v="39"/>
    <s v="M40"/>
    <s v="NOR"/>
    <s v="04:20:15"/>
    <x v="2437"/>
  </r>
  <r>
    <m/>
    <s v="Tóth István"/>
    <n v="1979"/>
    <n v="40"/>
    <s v="M50"/>
    <s v="GBR"/>
    <s v="03:56:59"/>
    <x v="1699"/>
  </r>
  <r>
    <m/>
    <s v="Benkő Gábor"/>
    <n v="1974"/>
    <n v="45"/>
    <s v="M55"/>
    <s v="FRA"/>
    <s v="03:58:31"/>
    <x v="2438"/>
  </r>
  <r>
    <m/>
    <s v="Zsigó Ádám"/>
    <n v="1977"/>
    <n v="42"/>
    <s v="M30"/>
    <s v="CZE"/>
    <s v="03:55:11"/>
    <x v="2439"/>
  </r>
  <r>
    <m/>
    <s v="Deák Péter"/>
    <n v="1989"/>
    <n v="30"/>
    <s v="M40"/>
    <s v="HUN"/>
    <s v="04:22:23"/>
    <x v="2440"/>
  </r>
  <r>
    <m/>
    <s v="Gentile, Francesco"/>
    <n v="1965"/>
    <n v="54"/>
    <s v="M60"/>
    <s v="LUX"/>
    <s v="03:27:00"/>
    <x v="679"/>
  </r>
  <r>
    <m/>
    <s v="HAUZA, Matthieu"/>
    <n v="1985"/>
    <n v="34"/>
    <s v="M30"/>
    <s v="HUN"/>
    <s v="03:10:16"/>
    <x v="725"/>
  </r>
  <r>
    <m/>
    <s v="Papp László"/>
    <n v="1981"/>
    <n v="38"/>
    <s v="M30"/>
    <s v="RUS"/>
    <s v="03:43:22"/>
    <x v="2441"/>
  </r>
  <r>
    <m/>
    <s v="Nyitrai Mihály"/>
    <n v="1982"/>
    <n v="37"/>
    <s v="M55"/>
    <s v="HUN"/>
    <s v="04:47:32"/>
    <x v="2442"/>
  </r>
  <r>
    <m/>
    <s v="Krakonperger Viktor"/>
    <n v="1969"/>
    <n v="50"/>
    <s v="M40"/>
    <s v="POL"/>
    <s v="03:46:14"/>
    <x v="2118"/>
  </r>
  <r>
    <m/>
    <s v="Kovács Attila"/>
    <n v="1973"/>
    <n v="46"/>
    <s v="M50"/>
    <s v="AUT"/>
    <s v="04:10:01"/>
    <x v="853"/>
  </r>
  <r>
    <m/>
    <s v="UBA, ARTUR"/>
    <n v="1975"/>
    <n v="44"/>
    <s v="M50"/>
    <s v="HUN"/>
    <s v="05:28:04"/>
    <x v="2443"/>
  </r>
  <r>
    <m/>
    <s v="Kapus Richard"/>
    <n v="1980"/>
    <n v="39"/>
    <s v="M30"/>
    <s v="SWE"/>
    <s v="03:57:56"/>
    <x v="1227"/>
  </r>
  <r>
    <m/>
    <s v="Hughes, Perry"/>
    <n v="1991"/>
    <n v="28"/>
    <s v="M30"/>
    <s v="GBR"/>
    <s v="05:51:15"/>
    <x v="2444"/>
  </r>
  <r>
    <m/>
    <s v="Stanisław, Szuksztul"/>
    <n v="1974"/>
    <n v="45"/>
    <s v="M40"/>
    <s v="SUI"/>
    <s v="04:30:10"/>
    <x v="2445"/>
  </r>
  <r>
    <m/>
    <s v="Wessels, Jann"/>
    <n v="1979"/>
    <n v="40"/>
    <s v="M25"/>
    <s v="FIN"/>
    <s v="04:40:41"/>
    <x v="2446"/>
  </r>
  <r>
    <m/>
    <s v="Beszteri Attila"/>
    <n v="1957"/>
    <n v="62"/>
    <s v="M35"/>
    <s v="HUN"/>
    <s v="03:44:29"/>
    <x v="2447"/>
  </r>
  <r>
    <m/>
    <s v="Felix, Joao"/>
    <n v="1991"/>
    <n v="28"/>
    <s v="M30"/>
    <s v="GBR"/>
    <s v="03:39:38"/>
    <x v="2448"/>
  </r>
  <r>
    <m/>
    <s v="Kaspár Máté István"/>
    <n v="1971"/>
    <n v="48"/>
    <s v="M45"/>
    <s v="FIN"/>
    <s v="03:59:32"/>
    <x v="2449"/>
  </r>
  <r>
    <m/>
    <s v="Rucinski, Christian"/>
    <n v="1996"/>
    <n v="23"/>
    <s v="M20"/>
    <s v="HUN"/>
    <s v="05:09:23"/>
    <x v="2450"/>
  </r>
  <r>
    <m/>
    <s v="Kazi Alex"/>
    <n v="1979"/>
    <n v="40"/>
    <s v="M25"/>
    <s v="USA"/>
    <s v="03:48:41"/>
    <x v="2451"/>
  </r>
  <r>
    <m/>
    <s v="Juhász Balázs"/>
    <n v="1980"/>
    <n v="39"/>
    <s v="M30"/>
    <s v="HUN"/>
    <s v="04:19:42"/>
    <x v="2452"/>
  </r>
  <r>
    <m/>
    <s v="Váradi Attila"/>
    <n v="1974"/>
    <n v="45"/>
    <s v="M50"/>
    <s v="HUN"/>
    <s v="04:47:26"/>
    <x v="2453"/>
  </r>
  <r>
    <m/>
    <s v="LEE, TOBIAS"/>
    <n v="1977"/>
    <n v="42"/>
    <s v="M20"/>
    <s v="HUN"/>
    <s v="04:58:38"/>
    <x v="921"/>
  </r>
  <r>
    <m/>
    <s v="Cavagna, Cristian"/>
    <n v="1984"/>
    <n v="35"/>
    <s v="M30"/>
    <s v="IRL"/>
    <s v="03:21:28"/>
    <x v="623"/>
  </r>
  <r>
    <m/>
    <s v="Malinov, Filip"/>
    <n v="1980"/>
    <n v="39"/>
    <s v="M40"/>
    <s v="HUN"/>
    <s v="04:01:41"/>
    <x v="1769"/>
  </r>
  <r>
    <m/>
    <s v="Anda Attila"/>
    <n v="1974"/>
    <n v="45"/>
    <s v="M40"/>
    <s v="HUN"/>
    <s v="04:47:16"/>
    <x v="2454"/>
  </r>
  <r>
    <m/>
    <s v="Notz, Vincent"/>
    <n v="1989"/>
    <n v="30"/>
    <s v="M25"/>
    <s v="HUN"/>
    <s v="04:05:19"/>
    <x v="907"/>
  </r>
  <r>
    <m/>
    <s v="Tono, Junya"/>
    <n v="1973"/>
    <n v="46"/>
    <s v="M25"/>
    <s v="HUN"/>
    <s v="04:09:52"/>
    <x v="2455"/>
  </r>
  <r>
    <m/>
    <s v="Figarski, Tomasz"/>
    <n v="1957"/>
    <n v="62"/>
    <s v="M40"/>
    <s v="NED"/>
    <s v="04:24:05"/>
    <x v="2456"/>
  </r>
  <r>
    <m/>
    <s v="Sárközi Tamás"/>
    <n v="1976"/>
    <n v="43"/>
    <s v="M45"/>
    <s v="HUN"/>
    <s v="04:40:19"/>
    <x v="2457"/>
  </r>
  <r>
    <m/>
    <s v="Papp Sándor Zoltán dr"/>
    <n v="1990"/>
    <n v="29"/>
    <s v="M35"/>
    <s v="HUN"/>
    <s v="04:28:15"/>
    <x v="2458"/>
  </r>
  <r>
    <m/>
    <s v="Bodnár Dávid"/>
    <n v="1958"/>
    <n v="61"/>
    <s v="M25"/>
    <s v="HUN"/>
    <s v="04:42:00"/>
    <x v="835"/>
  </r>
  <r>
    <m/>
    <s v="Etienne, Thomas"/>
    <n v="1983"/>
    <n v="36"/>
    <s v="M35"/>
    <s v="HUN"/>
    <s v="03:58:10"/>
    <x v="1324"/>
  </r>
  <r>
    <m/>
    <s v="Oku, Yusuke"/>
    <n v="1986"/>
    <n v="33"/>
    <s v="M40"/>
    <s v="HUN"/>
    <s v="04:49:03"/>
    <x v="2459"/>
  </r>
  <r>
    <m/>
    <s v="Huszár András"/>
    <n v="1987"/>
    <n v="32"/>
    <s v="M35"/>
    <s v="HUN"/>
    <s v="04:55:05"/>
    <x v="2460"/>
  </r>
  <r>
    <m/>
    <s v="Valdez, Ryan"/>
    <n v="1964"/>
    <n v="55"/>
    <s v="M25"/>
    <s v="HUN"/>
    <s v="04:44:14"/>
    <x v="987"/>
  </r>
  <r>
    <m/>
    <s v="Rasmussen, Thomas dr"/>
    <n v="1971"/>
    <n v="48"/>
    <s v="M45"/>
    <s v="HUN"/>
    <s v="03:10:27"/>
    <x v="1218"/>
  </r>
  <r>
    <m/>
    <s v="Jesus, Carlos"/>
    <m/>
    <m/>
    <s v="M40"/>
    <m/>
    <s v="04:17:49"/>
    <x v="2461"/>
  </r>
  <r>
    <m/>
    <s v="Kiss László"/>
    <m/>
    <m/>
    <s v="M45"/>
    <m/>
    <s v="03:17:27"/>
    <x v="2462"/>
  </r>
  <r>
    <m/>
    <s v="Ducourneau, Laurent"/>
    <m/>
    <m/>
    <s v="M45"/>
    <m/>
    <s v="03:45:10"/>
    <x v="2463"/>
  </r>
  <r>
    <m/>
    <s v="Galdiolo, Nicola prof"/>
    <m/>
    <m/>
    <s v="M35"/>
    <m/>
    <s v="03:15:25"/>
    <x v="2464"/>
  </r>
  <r>
    <m/>
    <s v="Kovács Zsolt"/>
    <m/>
    <m/>
    <s v="M40"/>
    <m/>
    <s v="03:42:55"/>
    <x v="2435"/>
  </r>
  <r>
    <m/>
    <s v="Benkö, Gábor"/>
    <m/>
    <m/>
    <s v="M50"/>
    <m/>
    <s v="03:47:00"/>
    <x v="2465"/>
  </r>
  <r>
    <m/>
    <s v="Briechle, Ivan"/>
    <m/>
    <m/>
    <s v="M25"/>
    <m/>
    <s v="04:40:01"/>
    <x v="1273"/>
  </r>
  <r>
    <m/>
    <s v="Andersen, Flemming"/>
    <m/>
    <m/>
    <s v="M55"/>
    <m/>
    <s v="03:29:37"/>
    <x v="2040"/>
  </r>
  <r>
    <m/>
    <s v="Bálint Zsolt"/>
    <m/>
    <m/>
    <s v="M50"/>
    <m/>
    <s v="04:55:33"/>
    <x v="1519"/>
  </r>
  <r>
    <m/>
    <s v="Juhász Richárd Márk"/>
    <m/>
    <m/>
    <s v="M35"/>
    <m/>
    <s v="03:54:18"/>
    <x v="2466"/>
  </r>
  <r>
    <m/>
    <s v="Joó Csaba"/>
    <m/>
    <m/>
    <s v="M50"/>
    <m/>
    <s v="04:18:47"/>
    <x v="2467"/>
  </r>
  <r>
    <m/>
    <s v="Tóth Ervin"/>
    <m/>
    <m/>
    <s v="M50"/>
    <m/>
    <s v="05:27:16"/>
    <x v="2468"/>
  </r>
  <r>
    <m/>
    <s v="Jordan, Daniel"/>
    <m/>
    <m/>
    <s v="M30"/>
    <m/>
    <s v="03:41:53"/>
    <x v="2423"/>
  </r>
  <r>
    <m/>
    <s v="Bella Máté"/>
    <m/>
    <m/>
    <s v="M30"/>
    <m/>
    <s v="03:55:31"/>
    <x v="1497"/>
  </r>
  <r>
    <m/>
    <s v="Fazekas János"/>
    <m/>
    <m/>
    <s v="M25"/>
    <m/>
    <s v="04:14:36"/>
    <x v="2469"/>
  </r>
  <r>
    <m/>
    <s v="Peeters, Cedric"/>
    <m/>
    <m/>
    <s v="M25"/>
    <m/>
    <s v="04:21:43"/>
    <x v="2470"/>
  </r>
  <r>
    <m/>
    <s v="Tál Gábor"/>
    <m/>
    <m/>
    <s v="M40"/>
    <m/>
    <s v="04:17:48"/>
    <x v="2471"/>
  </r>
  <r>
    <m/>
    <s v="Serfel Péter"/>
    <m/>
    <m/>
    <s v="M45"/>
    <m/>
    <s v="03:26:14"/>
    <x v="2472"/>
  </r>
  <r>
    <m/>
    <s v="Menezes, Justin"/>
    <m/>
    <m/>
    <s v="M55"/>
    <m/>
    <s v="04:56:09"/>
    <x v="197"/>
  </r>
  <r>
    <m/>
    <s v="Ilosfai Tamás"/>
    <m/>
    <m/>
    <s v="M35"/>
    <m/>
    <s v="03:08:56"/>
    <x v="2473"/>
  </r>
  <r>
    <m/>
    <s v="Lassú Ferenc"/>
    <m/>
    <m/>
    <s v="M30"/>
    <m/>
    <s v="03:58:26"/>
    <x v="366"/>
  </r>
  <r>
    <m/>
    <s v="BURGAS DE BRIOUDE, OSCAR"/>
    <m/>
    <m/>
    <s v="M50"/>
    <m/>
    <s v="03:16:33"/>
    <x v="1473"/>
  </r>
  <r>
    <m/>
    <s v="Perneki Tibor"/>
    <m/>
    <m/>
    <s v="M50"/>
    <m/>
    <s v="03:19:46"/>
    <x v="2348"/>
  </r>
  <r>
    <m/>
    <s v="Frau, Nicola"/>
    <m/>
    <m/>
    <s v="M30"/>
    <m/>
    <s v="03:47:03"/>
    <x v="2474"/>
  </r>
  <r>
    <m/>
    <s v="Vízi Kristóf"/>
    <m/>
    <m/>
    <s v="M20"/>
    <m/>
    <s v="04:30:15"/>
    <x v="981"/>
  </r>
  <r>
    <m/>
    <s v="Zakál Miklós"/>
    <m/>
    <m/>
    <s v="M40"/>
    <m/>
    <s v="03:57:46"/>
    <x v="240"/>
  </r>
  <r>
    <m/>
    <s v="Gilbert, Alexander"/>
    <m/>
    <m/>
    <s v="M30"/>
    <m/>
    <s v="03:27:28"/>
    <x v="379"/>
  </r>
  <r>
    <m/>
    <s v="Bucher, Martin"/>
    <m/>
    <m/>
    <s v="M30"/>
    <m/>
    <s v="03:35:41"/>
    <x v="1632"/>
  </r>
  <r>
    <m/>
    <s v="Bicskei Roland"/>
    <m/>
    <m/>
    <s v="M45"/>
    <m/>
    <s v="03:15:44"/>
    <x v="235"/>
  </r>
  <r>
    <m/>
    <s v="Szentmihályi Gergely"/>
    <m/>
    <m/>
    <s v="M40"/>
    <m/>
    <s v="04:31:46"/>
    <x v="2475"/>
  </r>
  <r>
    <m/>
    <s v="Price, William"/>
    <m/>
    <m/>
    <s v="M25"/>
    <m/>
    <s v="04:41:16"/>
    <x v="2476"/>
  </r>
  <r>
    <m/>
    <s v="Mullee, Caelainn"/>
    <m/>
    <m/>
    <s v="M25"/>
    <m/>
    <s v="05:23:49"/>
    <x v="2477"/>
  </r>
  <r>
    <m/>
    <s v="Hegedűs Ákos"/>
    <m/>
    <m/>
    <s v="M45"/>
    <m/>
    <s v="03:17:38"/>
    <x v="2478"/>
  </r>
  <r>
    <m/>
    <s v="Walthier Tamás ifj"/>
    <m/>
    <m/>
    <s v="M50"/>
    <m/>
    <s v="04:32:25"/>
    <x v="1913"/>
  </r>
  <r>
    <m/>
    <s v="Guedes abreu, Rafael prof"/>
    <m/>
    <m/>
    <s v="M45"/>
    <m/>
    <s v="04:14:11"/>
    <x v="2479"/>
  </r>
  <r>
    <m/>
    <s v="Lunn, Oliver"/>
    <m/>
    <m/>
    <s v="M20"/>
    <m/>
    <s v="04:07:43"/>
    <x v="2480"/>
  </r>
  <r>
    <m/>
    <s v="Tóth Szilárd"/>
    <m/>
    <m/>
    <s v="M45"/>
    <m/>
    <s v="04:25:44"/>
    <x v="701"/>
  </r>
  <r>
    <m/>
    <s v="Nicolas, Albi"/>
    <m/>
    <m/>
    <s v="M40"/>
    <m/>
    <s v="03:18:24"/>
    <x v="2481"/>
  </r>
  <r>
    <m/>
    <s v="Clune, Connor"/>
    <m/>
    <m/>
    <s v="M25"/>
    <m/>
    <s v="03:51:29"/>
    <x v="4"/>
  </r>
  <r>
    <m/>
    <s v="Palumbo, Michele"/>
    <m/>
    <m/>
    <s v="M45"/>
    <m/>
    <s v="03:53:50"/>
    <x v="1850"/>
  </r>
  <r>
    <m/>
    <s v="Grabowski, Grzegorz"/>
    <m/>
    <m/>
    <s v="M55"/>
    <m/>
    <s v="05:03:13"/>
    <x v="1653"/>
  </r>
  <r>
    <m/>
    <s v="Bodor Barnabás"/>
    <m/>
    <m/>
    <s v="M45"/>
    <m/>
    <s v="05:30:48"/>
    <x v="2482"/>
  </r>
  <r>
    <m/>
    <s v="Hegedus, Robert"/>
    <m/>
    <m/>
    <s v="M45"/>
    <m/>
    <s v="03:47:33"/>
    <x v="2483"/>
  </r>
  <r>
    <m/>
    <s v="Hattyasy László"/>
    <m/>
    <m/>
    <s v="M50"/>
    <m/>
    <s v="04:47:34"/>
    <x v="2484"/>
  </r>
  <r>
    <m/>
    <s v="Dezső Sándor"/>
    <m/>
    <m/>
    <s v="M55"/>
    <m/>
    <s v="03:41:15"/>
    <x v="2485"/>
  </r>
  <r>
    <m/>
    <s v="Schwarz, Mathis"/>
    <m/>
    <m/>
    <s v="M30"/>
    <m/>
    <s v="03:08:34"/>
    <x v="2486"/>
  </r>
  <r>
    <m/>
    <s v="Tandory Gábor"/>
    <m/>
    <m/>
    <s v="M50"/>
    <m/>
    <s v="04:09:43"/>
    <x v="1456"/>
  </r>
  <r>
    <m/>
    <s v="Császár Előd"/>
    <m/>
    <m/>
    <s v="M35"/>
    <m/>
    <s v="03:21:48"/>
    <x v="2487"/>
  </r>
  <r>
    <m/>
    <s v="Kedro, Tomas"/>
    <m/>
    <m/>
    <s v="M30"/>
    <m/>
    <s v="03:41:57"/>
    <x v="2488"/>
  </r>
  <r>
    <m/>
    <s v="Kardos Géza"/>
    <m/>
    <m/>
    <s v="M55"/>
    <m/>
    <s v="03:51:48"/>
    <x v="2287"/>
  </r>
  <r>
    <m/>
    <s v="Székelyhidi Zoltán Csaba"/>
    <m/>
    <m/>
    <s v="M45"/>
    <m/>
    <s v="03:53:18"/>
    <x v="2489"/>
  </r>
  <r>
    <m/>
    <s v="Ubrankovics Tibor"/>
    <m/>
    <m/>
    <s v="M50"/>
    <m/>
    <s v="03:55:54"/>
    <x v="2323"/>
  </r>
  <r>
    <m/>
    <s v="Antal Ákos"/>
    <m/>
    <m/>
    <s v="M20"/>
    <m/>
    <s v="04:05:31"/>
    <x v="2490"/>
  </r>
  <r>
    <m/>
    <s v="Simpson, Christopher"/>
    <m/>
    <m/>
    <s v="M25"/>
    <m/>
    <s v="02:50:36"/>
    <x v="2491"/>
  </r>
  <r>
    <m/>
    <s v="Bolla Bence László"/>
    <m/>
    <m/>
    <s v="M30"/>
    <m/>
    <s v="03:49:01"/>
    <x v="2032"/>
  </r>
  <r>
    <m/>
    <s v="Zucchelli, Alessandro"/>
    <m/>
    <m/>
    <s v="M50"/>
    <m/>
    <s v="03:48:19"/>
    <x v="427"/>
  </r>
  <r>
    <m/>
    <s v="Avenant, JC"/>
    <m/>
    <m/>
    <s v="M30"/>
    <m/>
    <s v="03:28:50"/>
    <x v="1258"/>
  </r>
  <r>
    <m/>
    <s v="Jakubik Zsolt"/>
    <m/>
    <m/>
    <s v="M35"/>
    <m/>
    <s v="03:35:03"/>
    <x v="454"/>
  </r>
  <r>
    <m/>
    <s v="Sáfár Zsolt"/>
    <m/>
    <m/>
    <s v="M50"/>
    <m/>
    <s v="04:34:20"/>
    <x v="2492"/>
  </r>
  <r>
    <m/>
    <s v="Hajnal Gergely"/>
    <m/>
    <m/>
    <s v="M40"/>
    <m/>
    <s v="03:55:19"/>
    <x v="788"/>
  </r>
  <r>
    <m/>
    <s v="Barker, Chris"/>
    <m/>
    <m/>
    <s v="M50"/>
    <m/>
    <s v="03:50:10"/>
    <x v="2493"/>
  </r>
  <r>
    <m/>
    <s v="Csonka Gergely"/>
    <m/>
    <m/>
    <s v="M40"/>
    <m/>
    <s v="03:59:26"/>
    <x v="1885"/>
  </r>
  <r>
    <m/>
    <s v="Sólyom Zoltán"/>
    <m/>
    <m/>
    <s v="M50"/>
    <m/>
    <s v="04:17:29"/>
    <x v="408"/>
  </r>
  <r>
    <m/>
    <s v="Szakács Barna"/>
    <m/>
    <m/>
    <s v="M35"/>
    <m/>
    <s v="03:43:35"/>
    <x v="1207"/>
  </r>
  <r>
    <m/>
    <s v="Mullally, Keith"/>
    <m/>
    <m/>
    <s v="M45"/>
    <m/>
    <s v="03:36:47"/>
    <x v="2494"/>
  </r>
  <r>
    <m/>
    <s v="Kiss Sándor"/>
    <m/>
    <m/>
    <s v="M20"/>
    <m/>
    <s v="03:58:06"/>
    <x v="2495"/>
  </r>
  <r>
    <m/>
    <s v="Bajári Attila"/>
    <m/>
    <m/>
    <s v="M35"/>
    <m/>
    <s v="05:11:37"/>
    <x v="2496"/>
  </r>
  <r>
    <m/>
    <s v="Pifka Gábor"/>
    <m/>
    <m/>
    <s v="M50"/>
    <m/>
    <s v="03:33:27"/>
    <x v="1842"/>
  </r>
  <r>
    <m/>
    <s v="Lakatos Dániel"/>
    <m/>
    <m/>
    <s v="M25"/>
    <m/>
    <s v="04:25:23"/>
    <x v="556"/>
  </r>
  <r>
    <m/>
    <s v="Amoroso, Ivo Maria"/>
    <m/>
    <m/>
    <s v="M45"/>
    <m/>
    <s v="03:43:21"/>
    <x v="1928"/>
  </r>
  <r>
    <m/>
    <s v="Marton Dávid"/>
    <m/>
    <m/>
    <s v="M25"/>
    <m/>
    <s v="03:28:34"/>
    <x v="1591"/>
  </r>
  <r>
    <m/>
    <s v="Petróczki Imre"/>
    <m/>
    <m/>
    <s v="M35"/>
    <m/>
    <s v="02:42:02"/>
    <x v="2497"/>
  </r>
  <r>
    <m/>
    <s v="Peeters, Marc"/>
    <m/>
    <m/>
    <s v="M55"/>
    <m/>
    <s v="02:57:53"/>
    <x v="2498"/>
  </r>
  <r>
    <m/>
    <s v="Kasza Gergő"/>
    <m/>
    <m/>
    <s v="M35"/>
    <m/>
    <s v="04:45:20"/>
    <x v="2499"/>
  </r>
  <r>
    <m/>
    <s v="Szoboszlai-Gáspár István"/>
    <m/>
    <m/>
    <s v="M20"/>
    <m/>
    <s v="04:47:19"/>
    <x v="2500"/>
  </r>
  <r>
    <m/>
    <s v="Ekpe, Joseph"/>
    <m/>
    <m/>
    <s v="M50"/>
    <m/>
    <s v="03:37:15"/>
    <x v="2080"/>
  </r>
  <r>
    <m/>
    <s v="Illés Bálint"/>
    <m/>
    <m/>
    <s v="M45"/>
    <m/>
    <s v="03:49:41"/>
    <x v="719"/>
  </r>
  <r>
    <m/>
    <s v="Calin, Feri"/>
    <m/>
    <m/>
    <s v="M50"/>
    <m/>
    <s v="04:27:24"/>
    <x v="2501"/>
  </r>
  <r>
    <m/>
    <s v="Torday Solyom"/>
    <m/>
    <m/>
    <s v="M20"/>
    <m/>
    <s v="04:24:13"/>
    <x v="2502"/>
  </r>
  <r>
    <m/>
    <s v="Pięta, Piotr prof"/>
    <m/>
    <m/>
    <s v="M25"/>
    <m/>
    <s v="03:37:39"/>
    <x v="2503"/>
  </r>
  <r>
    <m/>
    <s v="Lakkas, Theo"/>
    <m/>
    <m/>
    <s v="M40"/>
    <m/>
    <s v="05:03:09"/>
    <x v="875"/>
  </r>
  <r>
    <m/>
    <s v="Bregnh?j, Emil"/>
    <m/>
    <m/>
    <s v="M25"/>
    <m/>
    <s v="03:10:22"/>
    <x v="2504"/>
  </r>
  <r>
    <m/>
    <s v="Segers, Kevin"/>
    <m/>
    <m/>
    <s v="M25"/>
    <m/>
    <s v="04:39:30"/>
    <x v="2505"/>
  </r>
  <r>
    <m/>
    <s v="De Lee, Johan"/>
    <m/>
    <m/>
    <s v="M55"/>
    <m/>
    <s v="04:41:29"/>
    <x v="1348"/>
  </r>
  <r>
    <m/>
    <s v="Hrustinszky Zsolt"/>
    <m/>
    <m/>
    <s v="M50"/>
    <m/>
    <s v="05:04:06"/>
    <x v="655"/>
  </r>
  <r>
    <m/>
    <s v="Juhász Botond"/>
    <m/>
    <m/>
    <s v="M20"/>
    <m/>
    <s v="04:22:04"/>
    <x v="2264"/>
  </r>
  <r>
    <m/>
    <s v="Prakushenkau, Dzmitry"/>
    <m/>
    <m/>
    <s v="M40"/>
    <m/>
    <s v="03:36:05"/>
    <x v="1414"/>
  </r>
  <r>
    <m/>
    <s v="Kenéz Márton"/>
    <m/>
    <m/>
    <s v="M18"/>
    <m/>
    <s v="04:29:30"/>
    <x v="2506"/>
  </r>
  <r>
    <m/>
    <s v="Piszkor Péter"/>
    <m/>
    <m/>
    <s v="M35"/>
    <m/>
    <s v="04:30:49"/>
    <x v="2507"/>
  </r>
  <r>
    <m/>
    <s v="Timár Péter"/>
    <m/>
    <m/>
    <s v="M45"/>
    <m/>
    <s v="03:51:35"/>
    <x v="745"/>
  </r>
  <r>
    <m/>
    <s v="CARLOTTI, GIMMI"/>
    <m/>
    <m/>
    <s v="M50"/>
    <m/>
    <s v="04:30:08"/>
    <x v="2508"/>
  </r>
  <r>
    <m/>
    <s v="Szabó Balázs György"/>
    <m/>
    <m/>
    <s v="M30"/>
    <m/>
    <s v="04:37:35"/>
    <x v="2509"/>
  </r>
  <r>
    <m/>
    <s v="Lukács Ákos"/>
    <m/>
    <m/>
    <s v="M50"/>
    <m/>
    <s v="03:07:33"/>
    <x v="2510"/>
  </r>
  <r>
    <m/>
    <s v="Helembai Csaba"/>
    <m/>
    <m/>
    <s v="M45"/>
    <m/>
    <s v="04:37:22"/>
    <x v="2511"/>
  </r>
  <r>
    <m/>
    <s v="Miskei Gergely"/>
    <m/>
    <m/>
    <s v="M30"/>
    <m/>
    <s v="04:24:33"/>
    <x v="2512"/>
  </r>
  <r>
    <m/>
    <s v="Mantovan Roberto dr"/>
    <m/>
    <m/>
    <s v="M45"/>
    <m/>
    <s v="03:26:28"/>
    <x v="2513"/>
  </r>
  <r>
    <m/>
    <s v="Huber György"/>
    <m/>
    <m/>
    <s v="M25"/>
    <m/>
    <s v="03:47:22"/>
    <x v="1038"/>
  </r>
  <r>
    <m/>
    <s v="Erdős Attila"/>
    <m/>
    <m/>
    <s v="M45"/>
    <m/>
    <s v="03:48:08"/>
    <x v="2514"/>
  </r>
  <r>
    <m/>
    <s v="Downs-Smithen, Quade"/>
    <m/>
    <m/>
    <s v="M20"/>
    <m/>
    <s v="03:41:22"/>
    <x v="1569"/>
  </r>
  <r>
    <m/>
    <s v="Bajcsi Sándor"/>
    <m/>
    <m/>
    <s v="M65"/>
    <m/>
    <s v="04:29:01"/>
    <x v="770"/>
  </r>
  <r>
    <m/>
    <s v="McGurty, Matthew"/>
    <m/>
    <m/>
    <s v="M35"/>
    <m/>
    <s v="05:12:19"/>
    <x v="2515"/>
  </r>
  <r>
    <m/>
    <s v="Andersson, Kim"/>
    <m/>
    <m/>
    <s v="M35"/>
    <m/>
    <s v="04:34:05"/>
    <x v="1955"/>
  </r>
  <r>
    <m/>
    <s v="Porsmyr Andersen, Sigurd"/>
    <m/>
    <m/>
    <s v="M25"/>
    <m/>
    <s v="04:38:29"/>
    <x v="2516"/>
  </r>
  <r>
    <m/>
    <s v="Vida Gábor dr"/>
    <m/>
    <m/>
    <s v="M40"/>
    <m/>
    <s v="03:41:49"/>
    <x v="978"/>
  </r>
  <r>
    <m/>
    <s v="Pádár István"/>
    <m/>
    <m/>
    <s v="M40"/>
    <m/>
    <s v="04:48:04"/>
    <x v="2517"/>
  </r>
  <r>
    <m/>
    <s v="Török Zoltán"/>
    <m/>
    <m/>
    <s v="M45"/>
    <m/>
    <s v="04:26:01"/>
    <x v="1106"/>
  </r>
  <r>
    <m/>
    <s v="Halász Tamás"/>
    <m/>
    <m/>
    <s v="M40"/>
    <m/>
    <s v="04:34:43"/>
    <x v="2228"/>
  </r>
  <r>
    <m/>
    <s v="Demmelmayr, Karl Heinz"/>
    <m/>
    <m/>
    <s v="M65"/>
    <m/>
    <s v="04:18:37"/>
    <x v="824"/>
  </r>
  <r>
    <m/>
    <s v="Hajagos Róbert"/>
    <m/>
    <m/>
    <s v="M50"/>
    <m/>
    <s v="04:53:09"/>
    <x v="2518"/>
  </r>
  <r>
    <m/>
    <s v="Cislaghi, Antonio"/>
    <m/>
    <m/>
    <s v="M55"/>
    <m/>
    <s v="03:37:27"/>
    <x v="2351"/>
  </r>
  <r>
    <m/>
    <s v="Jenei Attila"/>
    <m/>
    <m/>
    <s v="M50"/>
    <m/>
    <s v="05:03:20"/>
    <x v="609"/>
  </r>
  <r>
    <m/>
    <s v="Szymon, Dziubecki"/>
    <m/>
    <m/>
    <s v="M45"/>
    <m/>
    <s v="05:12:45"/>
    <x v="2519"/>
  </r>
  <r>
    <m/>
    <s v="Balogh Attila"/>
    <m/>
    <m/>
    <s v="M30"/>
    <m/>
    <s v="03:56:21"/>
    <x v="1271"/>
  </r>
  <r>
    <m/>
    <s v="Ámon Gergely"/>
    <m/>
    <m/>
    <s v="M30"/>
    <m/>
    <s v="04:18:39"/>
    <x v="2520"/>
  </r>
  <r>
    <m/>
    <s v="Karlsen, Sebastian"/>
    <m/>
    <m/>
    <s v="M30"/>
    <m/>
    <s v="03:10:04"/>
    <x v="574"/>
  </r>
  <r>
    <m/>
    <s v="Krzysztof, Klos"/>
    <m/>
    <m/>
    <s v="M40"/>
    <m/>
    <s v="03:54:41"/>
    <x v="2521"/>
  </r>
  <r>
    <m/>
    <s v="Sabo Dániel"/>
    <m/>
    <m/>
    <s v="M25"/>
    <m/>
    <s v="04:56:17"/>
    <x v="2522"/>
  </r>
  <r>
    <m/>
    <s v="Kalapács Kornél"/>
    <m/>
    <m/>
    <s v="M50"/>
    <m/>
    <s v="04:08:13"/>
    <x v="2523"/>
  </r>
  <r>
    <m/>
    <s v="Bernád Mihály"/>
    <m/>
    <m/>
    <s v="M50"/>
    <m/>
    <s v="04:17:44"/>
    <x v="2130"/>
  </r>
  <r>
    <m/>
    <s v="Lakomcsik Attila"/>
    <m/>
    <m/>
    <s v="M35"/>
    <m/>
    <s v="03:36:12"/>
    <x v="1628"/>
  </r>
  <r>
    <m/>
    <s v="Szőke Péter"/>
    <m/>
    <m/>
    <s v="M45"/>
    <m/>
    <s v="04:46:09"/>
    <x v="2524"/>
  </r>
  <r>
    <m/>
    <s v="Horváth Csaba"/>
    <m/>
    <m/>
    <s v="M40"/>
    <m/>
    <s v="04:59:02"/>
    <x v="1738"/>
  </r>
  <r>
    <m/>
    <s v="Benjamin, JOLY"/>
    <m/>
    <m/>
    <s v="M30"/>
    <m/>
    <s v="03:29:24"/>
    <x v="1360"/>
  </r>
  <r>
    <m/>
    <s v="Sebestyén Ádám Dr."/>
    <m/>
    <m/>
    <s v="M50"/>
    <m/>
    <s v="04:19:07"/>
    <x v="2170"/>
  </r>
  <r>
    <m/>
    <s v="Vojnic Tunic, Bojan"/>
    <m/>
    <m/>
    <s v="M30"/>
    <m/>
    <s v="04:51:35"/>
    <x v="2525"/>
  </r>
  <r>
    <m/>
    <s v="Väänänen, Jarmo"/>
    <m/>
    <m/>
    <s v="M55"/>
    <m/>
    <s v="03:29:47"/>
    <x v="2526"/>
  </r>
  <r>
    <m/>
    <s v="Veerman, Alexander"/>
    <m/>
    <m/>
    <s v="M55"/>
    <m/>
    <s v="04:03:34"/>
    <x v="1186"/>
  </r>
  <r>
    <m/>
    <s v="Fosztó Zsolt"/>
    <m/>
    <m/>
    <s v="M50"/>
    <m/>
    <s v="04:14:17"/>
    <x v="2527"/>
  </r>
  <r>
    <m/>
    <s v="Kondor Csaba"/>
    <m/>
    <m/>
    <s v="M40"/>
    <m/>
    <s v="04:54:59"/>
    <x v="2528"/>
  </r>
  <r>
    <m/>
    <s v="Magnusson, Rikard"/>
    <m/>
    <m/>
    <s v="M40"/>
    <m/>
    <s v="04:49:16"/>
    <x v="2529"/>
  </r>
  <r>
    <m/>
    <s v="Pató Márton Ábel"/>
    <m/>
    <m/>
    <s v="M30"/>
    <m/>
    <s v="03:29:00"/>
    <x v="2530"/>
  </r>
  <r>
    <m/>
    <s v="Nagy Ádám dr"/>
    <m/>
    <m/>
    <s v="M30"/>
    <m/>
    <s v="02:56:40"/>
    <x v="2531"/>
  </r>
  <r>
    <m/>
    <s v="Kocza István"/>
    <m/>
    <m/>
    <s v="M50"/>
    <m/>
    <s v="04:48:05"/>
    <x v="2532"/>
  </r>
  <r>
    <m/>
    <s v="Alegre Gallart, joan Ferran prof"/>
    <m/>
    <m/>
    <s v="M50"/>
    <m/>
    <s v="03:20:21"/>
    <x v="2533"/>
  </r>
  <r>
    <m/>
    <s v="Kadoury, Sarmad"/>
    <m/>
    <m/>
    <s v="M40"/>
    <m/>
    <s v="04:19:01"/>
    <x v="1941"/>
  </r>
  <r>
    <m/>
    <s v="Gilányi Tamás"/>
    <m/>
    <m/>
    <s v="M45"/>
    <m/>
    <s v="04:33:27"/>
    <x v="2534"/>
  </r>
  <r>
    <m/>
    <s v="Szirom Gábor"/>
    <m/>
    <m/>
    <s v="M35"/>
    <m/>
    <s v="03:35:23"/>
    <x v="2535"/>
  </r>
  <r>
    <m/>
    <s v="Kerekes Ábel"/>
    <m/>
    <m/>
    <s v="M40"/>
    <m/>
    <s v="03:30:16"/>
    <x v="2536"/>
  </r>
  <r>
    <m/>
    <s v="Fairclough, Oliver"/>
    <m/>
    <m/>
    <s v="M25"/>
    <m/>
    <s v="04:45:24"/>
    <x v="2537"/>
  </r>
  <r>
    <m/>
    <s v="Fekete Sándor"/>
    <m/>
    <m/>
    <s v="M40"/>
    <m/>
    <s v="03:57:32"/>
    <x v="205"/>
  </r>
  <r>
    <m/>
    <s v="Diesel, Simon"/>
    <m/>
    <m/>
    <s v="M40"/>
    <m/>
    <s v="02:50:52"/>
    <x v="2538"/>
  </r>
  <r>
    <m/>
    <s v="Dan, Andersen"/>
    <m/>
    <m/>
    <s v="M25"/>
    <m/>
    <s v="04:24:26"/>
    <x v="2218"/>
  </r>
  <r>
    <m/>
    <s v="Costa, Alessandro Nicola"/>
    <m/>
    <m/>
    <s v="M30"/>
    <m/>
    <s v="02:58:30"/>
    <x v="2539"/>
  </r>
  <r>
    <m/>
    <s v="Várszegi Bence"/>
    <m/>
    <m/>
    <s v="M25"/>
    <m/>
    <s v="04:31:31"/>
    <x v="2540"/>
  </r>
  <r>
    <m/>
    <s v="rinaldi tufi, Francesco dr"/>
    <m/>
    <m/>
    <s v="M45"/>
    <m/>
    <s v="03:27:51"/>
    <x v="2541"/>
  </r>
  <r>
    <m/>
    <s v="Filip, Kowtun"/>
    <m/>
    <m/>
    <s v="M18"/>
    <m/>
    <s v="05:21:29"/>
    <x v="2542"/>
  </r>
  <r>
    <m/>
    <s v="Jansen van Rensburg Andreas"/>
    <m/>
    <m/>
    <s v="M25"/>
    <m/>
    <s v="04:08:13"/>
    <x v="2523"/>
  </r>
  <r>
    <m/>
    <s v="Hortobágyi Péter Szabolcs"/>
    <m/>
    <m/>
    <s v="M40"/>
    <m/>
    <s v="04:26:19"/>
    <x v="1067"/>
  </r>
  <r>
    <m/>
    <s v="Lőrincz Sándor"/>
    <m/>
    <m/>
    <s v="M60"/>
    <m/>
    <s v="05:15:35"/>
    <x v="2543"/>
  </r>
  <r>
    <m/>
    <s v="Lubner, Sam"/>
    <m/>
    <m/>
    <s v="M30"/>
    <m/>
    <s v="04:07:48"/>
    <x v="2544"/>
  </r>
  <r>
    <m/>
    <s v="Richard, Borruat"/>
    <m/>
    <m/>
    <s v="M35"/>
    <m/>
    <s v="04:44:31"/>
    <x v="2545"/>
  </r>
  <r>
    <m/>
    <s v="Vida László"/>
    <m/>
    <m/>
    <s v="M60"/>
    <m/>
    <s v="04:22:42"/>
    <x v="2546"/>
  </r>
  <r>
    <m/>
    <s v="Kreso, Velimir"/>
    <m/>
    <m/>
    <s v="M30"/>
    <m/>
    <s v="03:22:44"/>
    <x v="603"/>
  </r>
  <r>
    <m/>
    <s v="Csalló Miklós"/>
    <m/>
    <m/>
    <s v="M45"/>
    <m/>
    <s v="03:41:06"/>
    <x v="2547"/>
  </r>
  <r>
    <m/>
    <s v="Afendi, Farhan"/>
    <m/>
    <m/>
    <s v="M25"/>
    <m/>
    <s v="04:23:45"/>
    <x v="2548"/>
  </r>
  <r>
    <m/>
    <s v="Urso, Vincenzo prof"/>
    <m/>
    <m/>
    <s v="M60"/>
    <m/>
    <s v="03:29:25"/>
    <x v="1451"/>
  </r>
  <r>
    <m/>
    <s v="Taylor, Michael"/>
    <m/>
    <m/>
    <s v="M25"/>
    <m/>
    <s v="03:23:32"/>
    <x v="51"/>
  </r>
  <r>
    <m/>
    <s v="MÉSZÁROS ARNOLD"/>
    <m/>
    <m/>
    <s v="M45"/>
    <m/>
    <s v="04:23:57"/>
    <x v="2549"/>
  </r>
  <r>
    <m/>
    <s v="Horváth Norbert"/>
    <m/>
    <m/>
    <s v="M45"/>
    <m/>
    <s v="03:49:27"/>
    <x v="2550"/>
  </r>
  <r>
    <m/>
    <s v="Mala Miklós"/>
    <m/>
    <m/>
    <s v="M25"/>
    <m/>
    <s v="04:18:32"/>
    <x v="2551"/>
  </r>
  <r>
    <m/>
    <s v="Juhász Bálint"/>
    <m/>
    <m/>
    <s v="M30"/>
    <m/>
    <s v="04:25:59"/>
    <x v="2235"/>
  </r>
  <r>
    <m/>
    <s v="Pál László Csaba"/>
    <m/>
    <m/>
    <s v="M65"/>
    <m/>
    <s v="04:55:24"/>
    <x v="2552"/>
  </r>
  <r>
    <m/>
    <s v="DRAKE, FELIX prof"/>
    <m/>
    <m/>
    <s v="M30"/>
    <m/>
    <s v="03:51:44"/>
    <x v="1616"/>
  </r>
  <r>
    <m/>
    <s v="Taylor, Simon"/>
    <m/>
    <m/>
    <s v="M45"/>
    <m/>
    <s v="04:28:17"/>
    <x v="673"/>
  </r>
  <r>
    <m/>
    <s v="Éry Tamás"/>
    <m/>
    <m/>
    <s v="M30"/>
    <m/>
    <s v="04:52:44"/>
    <x v="2553"/>
  </r>
  <r>
    <m/>
    <s v="Szabó Norbert"/>
    <m/>
    <m/>
    <s v="M45"/>
    <m/>
    <s v="03:44:28"/>
    <x v="2554"/>
  </r>
  <r>
    <m/>
    <s v="Jakab Richárd"/>
    <m/>
    <m/>
    <s v="M30"/>
    <m/>
    <s v="04:44:30"/>
    <x v="2555"/>
  </r>
  <r>
    <m/>
    <s v="Mészáros Gábor"/>
    <m/>
    <m/>
    <s v="M45"/>
    <m/>
    <s v="03:57:27"/>
    <x v="2556"/>
  </r>
  <r>
    <m/>
    <s v="Rivera, Jesus"/>
    <m/>
    <m/>
    <s v="M30"/>
    <m/>
    <s v="04:02:09"/>
    <x v="302"/>
  </r>
  <r>
    <m/>
    <s v="Tóth Péter Attila"/>
    <m/>
    <m/>
    <s v="M45"/>
    <m/>
    <s v="03:44:48"/>
    <x v="2557"/>
  </r>
  <r>
    <m/>
    <s v="Tonkin, Jeremy"/>
    <m/>
    <m/>
    <s v="M55"/>
    <m/>
    <s v="05:11:38"/>
    <x v="2558"/>
  </r>
  <r>
    <m/>
    <s v="Heneghan, Michael"/>
    <m/>
    <m/>
    <s v="M40"/>
    <m/>
    <s v="03:51:36"/>
    <x v="68"/>
  </r>
  <r>
    <m/>
    <s v="Nagy Vilmos"/>
    <m/>
    <m/>
    <s v="M50"/>
    <m/>
    <s v="03:14:12"/>
    <x v="2559"/>
  </r>
  <r>
    <m/>
    <s v="Doras, Quaid"/>
    <m/>
    <m/>
    <s v="M20"/>
    <m/>
    <s v="04:41:22"/>
    <x v="2560"/>
  </r>
  <r>
    <m/>
    <s v="Kovács István"/>
    <m/>
    <m/>
    <s v="M45"/>
    <m/>
    <s v="05:26:51"/>
    <x v="2561"/>
  </r>
  <r>
    <m/>
    <s v="Lassak, Tibor"/>
    <m/>
    <m/>
    <s v="M25"/>
    <m/>
    <s v="04:19:15"/>
    <x v="2562"/>
  </r>
  <r>
    <m/>
    <s v="Bagdan David"/>
    <m/>
    <m/>
    <s v="M30"/>
    <m/>
    <s v="03:06:46"/>
    <x v="2563"/>
  </r>
  <r>
    <m/>
    <s v="Pareja Esteban, Jose Antonio dr"/>
    <m/>
    <m/>
    <s v="M50"/>
    <m/>
    <s v="03:49:39"/>
    <x v="2564"/>
  </r>
  <r>
    <m/>
    <s v="Zakor István"/>
    <m/>
    <m/>
    <s v="M40"/>
    <m/>
    <s v="04:00:13"/>
    <x v="2565"/>
  </r>
  <r>
    <m/>
    <s v="Hegedus-Pickvance Balazs"/>
    <m/>
    <m/>
    <s v="M45"/>
    <m/>
    <s v="04:31:21"/>
    <x v="2566"/>
  </r>
  <r>
    <m/>
    <s v="Harlamenkov Dmitrij"/>
    <m/>
    <m/>
    <s v="M35"/>
    <m/>
    <s v="04:14:45"/>
    <x v="2567"/>
  </r>
  <r>
    <m/>
    <s v="Monori Péter"/>
    <m/>
    <m/>
    <s v="M45"/>
    <m/>
    <s v="03:27:30"/>
    <x v="462"/>
  </r>
  <r>
    <m/>
    <s v="Balczó Norbert"/>
    <m/>
    <m/>
    <s v="M45"/>
    <m/>
    <s v="04:16:43"/>
    <x v="2568"/>
  </r>
  <r>
    <m/>
    <s v="Cheung, Jason"/>
    <m/>
    <m/>
    <s v="M30"/>
    <m/>
    <s v="05:13:04"/>
    <x v="2569"/>
  </r>
  <r>
    <m/>
    <s v="Vincze Zsolt"/>
    <m/>
    <m/>
    <s v="M50"/>
    <m/>
    <s v="03:38:20"/>
    <x v="2570"/>
  </r>
  <r>
    <m/>
    <s v="Dr. Smidla József"/>
    <m/>
    <m/>
    <s v="M35"/>
    <m/>
    <s v="03:51:33"/>
    <x v="423"/>
  </r>
  <r>
    <m/>
    <s v="Nyirkos Zsolt"/>
    <m/>
    <m/>
    <s v="M45"/>
    <m/>
    <s v="04:01:56"/>
    <x v="1174"/>
  </r>
  <r>
    <m/>
    <s v="Varga István"/>
    <m/>
    <m/>
    <s v="M50"/>
    <m/>
    <s v="05:11:05"/>
    <x v="2571"/>
  </r>
  <r>
    <m/>
    <s v="Sopisz Aposztolisz"/>
    <m/>
    <m/>
    <s v="M30"/>
    <m/>
    <s v="04:43:58"/>
    <x v="2572"/>
  </r>
  <r>
    <m/>
    <s v="Hohmann Norbert"/>
    <m/>
    <m/>
    <s v="M50"/>
    <m/>
    <s v="04:45:22"/>
    <x v="505"/>
  </r>
  <r>
    <m/>
    <s v="Kalanovics Marcell"/>
    <m/>
    <m/>
    <s v="M20"/>
    <m/>
    <s v="03:46:29"/>
    <x v="2573"/>
  </r>
  <r>
    <m/>
    <s v="Hood, William"/>
    <m/>
    <m/>
    <s v="M20"/>
    <m/>
    <s v="03:51:57"/>
    <x v="2312"/>
  </r>
  <r>
    <m/>
    <s v="nicolas, huneault"/>
    <m/>
    <m/>
    <s v="M50"/>
    <m/>
    <s v="05:33:22"/>
    <x v="2574"/>
  </r>
  <r>
    <m/>
    <s v="András Ákos"/>
    <m/>
    <m/>
    <s v="M30"/>
    <m/>
    <s v="03:22:24"/>
    <x v="307"/>
  </r>
  <r>
    <m/>
    <s v="Ambrus József"/>
    <m/>
    <m/>
    <s v="M50"/>
    <m/>
    <s v="04:59:28"/>
    <x v="2575"/>
  </r>
  <r>
    <m/>
    <s v="Sabatou, Cedric prof"/>
    <m/>
    <m/>
    <s v="M35"/>
    <m/>
    <s v="04:03:07"/>
    <x v="2108"/>
  </r>
  <r>
    <m/>
    <s v="Díaz, Marcelo"/>
    <m/>
    <m/>
    <s v="M25"/>
    <m/>
    <s v="04:51:12"/>
    <x v="2576"/>
  </r>
  <r>
    <m/>
    <s v="Bogya Dávid"/>
    <m/>
    <m/>
    <s v="M18"/>
    <m/>
    <s v="03:55:15"/>
    <x v="2577"/>
  </r>
  <r>
    <m/>
    <s v="Nestepny, Peter"/>
    <m/>
    <m/>
    <s v="M45"/>
    <m/>
    <s v="04:14:05"/>
    <x v="161"/>
  </r>
  <r>
    <m/>
    <s v="Serge, Dupied"/>
    <m/>
    <m/>
    <s v="M40"/>
    <m/>
    <s v="04:51:46"/>
    <x v="2578"/>
  </r>
  <r>
    <m/>
    <s v="Kaljunen, Jani"/>
    <m/>
    <m/>
    <s v="M40"/>
    <m/>
    <s v="05:24:09"/>
    <x v="2579"/>
  </r>
  <r>
    <m/>
    <s v="Jakab Viktor András"/>
    <m/>
    <m/>
    <s v="M45"/>
    <m/>
    <s v="03:23:10"/>
    <x v="1946"/>
  </r>
  <r>
    <m/>
    <s v="Boross András"/>
    <m/>
    <m/>
    <s v="M45"/>
    <m/>
    <s v="04:23:44"/>
    <x v="2580"/>
  </r>
  <r>
    <m/>
    <s v="Kiss Attila"/>
    <m/>
    <m/>
    <s v="M40"/>
    <m/>
    <s v="04:03:05"/>
    <x v="872"/>
  </r>
  <r>
    <m/>
    <s v="Vajda László"/>
    <m/>
    <m/>
    <s v="M50"/>
    <m/>
    <s v="04:01:54"/>
    <x v="743"/>
  </r>
  <r>
    <m/>
    <s v="Philippe, LINXE"/>
    <m/>
    <m/>
    <s v="M60"/>
    <m/>
    <s v="03:59:00"/>
    <x v="584"/>
  </r>
  <r>
    <m/>
    <s v="Szajkó Tamás"/>
    <m/>
    <m/>
    <s v="M35"/>
    <m/>
    <s v="02:59:35"/>
    <x v="2581"/>
  </r>
  <r>
    <m/>
    <s v="Jans, Bart"/>
    <m/>
    <m/>
    <s v="M40"/>
    <m/>
    <s v="04:48:11"/>
    <x v="2582"/>
  </r>
  <r>
    <m/>
    <s v="Sirirat, Wichai"/>
    <m/>
    <m/>
    <s v="M55"/>
    <m/>
    <s v="03:47:37"/>
    <x v="2583"/>
  </r>
  <r>
    <m/>
    <s v="Thompson, Jay"/>
    <m/>
    <m/>
    <s v="M20"/>
    <m/>
    <s v="03:49:16"/>
    <x v="2584"/>
  </r>
  <r>
    <m/>
    <s v="Polgár András"/>
    <m/>
    <m/>
    <s v="M40"/>
    <m/>
    <s v="05:32:50"/>
    <x v="778"/>
  </r>
  <r>
    <m/>
    <s v="Stollmayer Ákos Zoltán"/>
    <m/>
    <m/>
    <s v="M60"/>
    <m/>
    <s v="04:48:31"/>
    <x v="2585"/>
  </r>
  <r>
    <m/>
    <s v="mega, pierpaolo dr"/>
    <m/>
    <m/>
    <s v="M40"/>
    <m/>
    <s v="04:15:46"/>
    <x v="659"/>
  </r>
  <r>
    <m/>
    <s v="Halik Péter"/>
    <m/>
    <m/>
    <s v="M40"/>
    <m/>
    <s v="03:30:45"/>
    <x v="2586"/>
  </r>
  <r>
    <m/>
    <s v="Byrne, Jack"/>
    <m/>
    <m/>
    <s v="M20"/>
    <m/>
    <s v="04:16:48"/>
    <x v="1720"/>
  </r>
  <r>
    <m/>
    <s v="Szabó Bátor"/>
    <m/>
    <m/>
    <s v="M20"/>
    <m/>
    <s v="03:10:23"/>
    <x v="1290"/>
  </r>
  <r>
    <m/>
    <s v="Hälvin, Valdo"/>
    <m/>
    <m/>
    <s v="M35"/>
    <m/>
    <s v="03:56:49"/>
    <x v="2587"/>
  </r>
  <r>
    <m/>
    <s v="Márki-Zay Dániel"/>
    <m/>
    <m/>
    <s v="M40"/>
    <m/>
    <s v="03:28:17"/>
    <x v="2588"/>
  </r>
  <r>
    <m/>
    <s v="Nagy Csaba"/>
    <m/>
    <m/>
    <s v="M50"/>
    <m/>
    <s v="03:59:43"/>
    <x v="2589"/>
  </r>
  <r>
    <m/>
    <s v="Mandalia, Hinesh"/>
    <m/>
    <m/>
    <s v="M40"/>
    <m/>
    <s v="04:11:48"/>
    <x v="2590"/>
  </r>
  <r>
    <m/>
    <s v="László Attila"/>
    <m/>
    <m/>
    <s v="M45"/>
    <m/>
    <s v="03:23:21"/>
    <x v="932"/>
  </r>
  <r>
    <m/>
    <s v="Scharfenberg, Andre"/>
    <m/>
    <m/>
    <s v="M35"/>
    <m/>
    <s v="04:10:45"/>
    <x v="2591"/>
  </r>
  <r>
    <m/>
    <s v="Harvey, Keith"/>
    <m/>
    <m/>
    <s v="M55"/>
    <m/>
    <s v="05:40:14"/>
    <x v="2592"/>
  </r>
  <r>
    <m/>
    <s v="Antal Zsolt"/>
    <m/>
    <m/>
    <s v="M40"/>
    <m/>
    <s v="04:41:37"/>
    <x v="2593"/>
  </r>
  <r>
    <m/>
    <s v="Pallo, Rait"/>
    <m/>
    <m/>
    <s v="M50"/>
    <m/>
    <s v="02:55:30"/>
    <x v="2594"/>
  </r>
  <r>
    <m/>
    <s v="Matouek, Martin"/>
    <m/>
    <m/>
    <s v="M40"/>
    <m/>
    <s v="04:27:58"/>
    <x v="2595"/>
  </r>
  <r>
    <m/>
    <s v="Van Damme, Jasper"/>
    <m/>
    <m/>
    <s v="M25"/>
    <m/>
    <s v="04:23:04"/>
    <x v="2596"/>
  </r>
  <r>
    <m/>
    <s v="Körtvélyes Zsolt"/>
    <m/>
    <m/>
    <s v="M35"/>
    <m/>
    <s v="03:44:37"/>
    <x v="2597"/>
  </r>
  <r>
    <m/>
    <s v="Monteiro, Rodrigo Cyrino"/>
    <m/>
    <m/>
    <s v="M50"/>
    <m/>
    <s v="03:09:27"/>
    <x v="1661"/>
  </r>
  <r>
    <m/>
    <s v="BRENIAUX-EMATCHOUA, Matthieu"/>
    <m/>
    <m/>
    <s v="M50"/>
    <m/>
    <s v="04:06:53"/>
    <x v="2598"/>
  </r>
  <r>
    <m/>
    <s v="Blendinger, Philipp"/>
    <m/>
    <m/>
    <s v="M25"/>
    <m/>
    <s v="05:09:23"/>
    <x v="2450"/>
  </r>
  <r>
    <m/>
    <s v="Izsák Péter"/>
    <m/>
    <m/>
    <s v="M45"/>
    <m/>
    <s v="05:12:39"/>
    <x v="2599"/>
  </r>
  <r>
    <m/>
    <s v="Fülöp Dávid"/>
    <m/>
    <m/>
    <s v="M25"/>
    <m/>
    <s v="04:00:36"/>
    <x v="764"/>
  </r>
  <r>
    <m/>
    <s v="Szabo Zsolt"/>
    <m/>
    <m/>
    <s v="M40"/>
    <m/>
    <s v="03:05:40"/>
    <x v="2600"/>
  </r>
  <r>
    <m/>
    <s v="Bernabeu Calatayud, Francisco Javier"/>
    <m/>
    <m/>
    <s v="M50"/>
    <m/>
    <s v="03:46:36"/>
    <x v="2601"/>
  </r>
  <r>
    <m/>
    <s v="Göndör Ferenc"/>
    <m/>
    <m/>
    <s v="M35"/>
    <m/>
    <s v="03:29:42"/>
    <x v="2602"/>
  </r>
  <r>
    <m/>
    <s v="Molnár Péter"/>
    <m/>
    <m/>
    <s v="M45"/>
    <m/>
    <s v="03:09:16"/>
    <x v="20"/>
  </r>
  <r>
    <m/>
    <s v="ROSAS MENDOZA, JOSE"/>
    <m/>
    <m/>
    <s v="M50"/>
    <m/>
    <s v="04:36:57"/>
    <x v="2603"/>
  </r>
  <r>
    <m/>
    <s v="Chrapek, Dawid"/>
    <m/>
    <m/>
    <s v="M25"/>
    <m/>
    <s v="04:51:35"/>
    <x v="2525"/>
  </r>
  <r>
    <m/>
    <s v="Oláh Csaba"/>
    <m/>
    <m/>
    <s v="M35"/>
    <m/>
    <s v="03:54:40"/>
    <x v="2604"/>
  </r>
  <r>
    <m/>
    <s v="Szabó Mihály"/>
    <m/>
    <m/>
    <s v="M45"/>
    <m/>
    <s v="04:10:52"/>
    <x v="2605"/>
  </r>
  <r>
    <m/>
    <s v="Tainha, Paulo"/>
    <m/>
    <m/>
    <s v="M60"/>
    <m/>
    <s v="04:11:38"/>
    <x v="2606"/>
  </r>
  <r>
    <m/>
    <s v="Turcanu, Vasile prof"/>
    <m/>
    <m/>
    <s v="M25"/>
    <m/>
    <s v="04:21:51"/>
    <x v="60"/>
  </r>
  <r>
    <m/>
    <s v="Schjerpen, Jon"/>
    <m/>
    <m/>
    <s v="M35"/>
    <m/>
    <s v="03:04:26"/>
    <x v="2607"/>
  </r>
  <r>
    <m/>
    <s v="Tankó Péter"/>
    <m/>
    <m/>
    <s v="M40"/>
    <m/>
    <s v="04:05:56"/>
    <x v="150"/>
  </r>
  <r>
    <m/>
    <s v="L?we, Per Kristian Lie"/>
    <m/>
    <m/>
    <s v="M45"/>
    <m/>
    <s v="03:17:35"/>
    <x v="2608"/>
  </r>
  <r>
    <m/>
    <s v="Lipóth István"/>
    <m/>
    <m/>
    <s v="M50"/>
    <m/>
    <s v="05:10:14"/>
    <x v="2609"/>
  </r>
  <r>
    <m/>
    <s v="Yusri, Yusuf"/>
    <m/>
    <m/>
    <s v="M25"/>
    <m/>
    <s v="04:25:13"/>
    <x v="2610"/>
  </r>
  <r>
    <m/>
    <s v="Szabó Balázs"/>
    <m/>
    <m/>
    <s v="M45"/>
    <m/>
    <s v="04:23:48"/>
    <x v="2611"/>
  </r>
  <r>
    <m/>
    <s v="Kobolák István"/>
    <m/>
    <m/>
    <s v="M40"/>
    <m/>
    <s v="03:53:15"/>
    <x v="104"/>
  </r>
  <r>
    <m/>
    <s v="Reményi Lajos"/>
    <m/>
    <m/>
    <s v="M50"/>
    <m/>
    <s v="03:55:52"/>
    <x v="2612"/>
  </r>
  <r>
    <m/>
    <s v="Gosztonyi Botond"/>
    <m/>
    <m/>
    <s v="M25"/>
    <m/>
    <s v="05:08:07"/>
    <x v="2613"/>
  </r>
  <r>
    <m/>
    <s v="Senese, Adriano"/>
    <m/>
    <m/>
    <s v="M55"/>
    <m/>
    <s v="03:56:07"/>
    <x v="2614"/>
  </r>
  <r>
    <m/>
    <s v="Szabó Attila dr."/>
    <m/>
    <m/>
    <s v="M40"/>
    <m/>
    <s v="04:45:49"/>
    <x v="2615"/>
  </r>
  <r>
    <m/>
    <s v="Ulveczki Mihály"/>
    <m/>
    <m/>
    <s v="M55"/>
    <m/>
    <s v="03:49:19"/>
    <x v="2616"/>
  </r>
  <r>
    <m/>
    <s v="Baksai Károly"/>
    <m/>
    <m/>
    <s v="M40"/>
    <m/>
    <s v="03:28:54"/>
    <x v="2617"/>
  </r>
  <r>
    <m/>
    <s v="Bajkán Csaba"/>
    <m/>
    <m/>
    <s v="M45"/>
    <m/>
    <s v="05:10:26"/>
    <x v="563"/>
  </r>
  <r>
    <m/>
    <s v="Sultangareev, Reshat"/>
    <m/>
    <m/>
    <s v="M20"/>
    <m/>
    <s v="03:53:22"/>
    <x v="1499"/>
  </r>
  <r>
    <m/>
    <s v="Klánicza Viktor"/>
    <m/>
    <m/>
    <s v="M45"/>
    <m/>
    <s v="04:54:29"/>
    <x v="2618"/>
  </r>
  <r>
    <m/>
    <s v="Daniel, Nemes"/>
    <m/>
    <m/>
    <s v="M50"/>
    <m/>
    <s v="03:28:55"/>
    <x v="2619"/>
  </r>
  <r>
    <m/>
    <s v="Villax Richárd"/>
    <m/>
    <m/>
    <s v="M50"/>
    <m/>
    <s v="04:35:58"/>
    <x v="2620"/>
  </r>
  <r>
    <m/>
    <s v="Vlha, Martin"/>
    <m/>
    <m/>
    <s v="M35"/>
    <m/>
    <s v="04:46:06"/>
    <x v="2621"/>
  </r>
  <r>
    <m/>
    <s v="Kedro, Tomas"/>
    <m/>
    <m/>
    <s v="M30"/>
    <m/>
    <s v="03:41:57"/>
    <x v="2488"/>
  </r>
  <r>
    <m/>
    <s v="Bikfalvi Péter"/>
    <m/>
    <m/>
    <s v="M40"/>
    <m/>
    <s v="03:47:11"/>
    <x v="183"/>
  </r>
  <r>
    <m/>
    <s v="László László"/>
    <m/>
    <m/>
    <s v="M30"/>
    <m/>
    <s v="04:12:39"/>
    <x v="1982"/>
  </r>
  <r>
    <m/>
    <s v="Bernas, Tomá"/>
    <m/>
    <m/>
    <s v="M30"/>
    <m/>
    <s v="05:13:42"/>
    <x v="1701"/>
  </r>
  <r>
    <m/>
    <s v="Korobeynikov, Yaroslav"/>
    <m/>
    <m/>
    <s v="M40"/>
    <m/>
    <s v="02:56:33"/>
    <x v="2622"/>
  </r>
  <r>
    <m/>
    <s v="Ji, Jiang Jie"/>
    <m/>
    <m/>
    <s v="M50"/>
    <m/>
    <s v="03:33:53"/>
    <x v="2623"/>
  </r>
  <r>
    <m/>
    <s v="Pym, Brett"/>
    <m/>
    <m/>
    <s v="M30"/>
    <m/>
    <s v="04:02:57"/>
    <x v="1897"/>
  </r>
  <r>
    <m/>
    <s v="Nagy Gábor"/>
    <m/>
    <m/>
    <s v="M45"/>
    <m/>
    <s v="04:43:25"/>
    <x v="494"/>
  </r>
  <r>
    <m/>
    <s v="BOTELLA, JEAN-YVES"/>
    <m/>
    <m/>
    <s v="M50"/>
    <m/>
    <s v="03:43:38"/>
    <x v="2624"/>
  </r>
  <r>
    <m/>
    <s v="Simon Tamás"/>
    <m/>
    <m/>
    <s v="M25"/>
    <m/>
    <s v="03:50:56"/>
    <x v="2625"/>
  </r>
  <r>
    <m/>
    <s v="Walters, Alex"/>
    <m/>
    <m/>
    <s v="M35"/>
    <m/>
    <s v="02:53:31"/>
    <x v="2626"/>
  </r>
  <r>
    <m/>
    <s v="Simon István Krisztián"/>
    <m/>
    <m/>
    <s v="M50"/>
    <m/>
    <s v="03:54:00"/>
    <x v="2103"/>
  </r>
  <r>
    <m/>
    <s v="Hiripi Ferenc"/>
    <m/>
    <m/>
    <s v="M50"/>
    <m/>
    <s v="04:24:14"/>
    <x v="465"/>
  </r>
  <r>
    <m/>
    <s v="Demjén István"/>
    <m/>
    <m/>
    <s v="M30"/>
    <m/>
    <s v="04:36:32"/>
    <x v="1126"/>
  </r>
  <r>
    <m/>
    <s v="Kobyłecki, Mateusz"/>
    <m/>
    <m/>
    <s v="M25"/>
    <m/>
    <s v="03:00:04"/>
    <x v="2627"/>
  </r>
  <r>
    <m/>
    <s v="Bognár László"/>
    <m/>
    <m/>
    <s v="M35"/>
    <m/>
    <s v="03:38:47"/>
    <x v="2628"/>
  </r>
  <r>
    <m/>
    <s v="Lloyd, Zachary"/>
    <m/>
    <m/>
    <s v="M20"/>
    <m/>
    <s v="04:42:11"/>
    <x v="2629"/>
  </r>
  <r>
    <m/>
    <s v="Horváth Bence"/>
    <m/>
    <m/>
    <s v="M18"/>
    <m/>
    <s v="03:27:30"/>
    <x v="462"/>
  </r>
  <r>
    <m/>
    <s v="Alon, Inbar"/>
    <m/>
    <m/>
    <s v="M50"/>
    <m/>
    <s v="03:30:10"/>
    <x v="2630"/>
  </r>
  <r>
    <m/>
    <s v="Gárdonyi Gábor"/>
    <m/>
    <m/>
    <s v="M45"/>
    <m/>
    <s v="03:58:23"/>
    <x v="11"/>
  </r>
  <r>
    <m/>
    <s v="Kiss Csaba"/>
    <m/>
    <m/>
    <s v="M50"/>
    <m/>
    <s v="04:02:26"/>
    <x v="2251"/>
  </r>
  <r>
    <m/>
    <s v="Tekin, Veli"/>
    <m/>
    <m/>
    <s v="M25"/>
    <m/>
    <s v="04:25:57"/>
    <x v="258"/>
  </r>
  <r>
    <m/>
    <s v="AVELLANA REVUELTA, XAVIER prof"/>
    <m/>
    <m/>
    <s v="M55"/>
    <m/>
    <s v="04:34:55"/>
    <x v="2631"/>
  </r>
  <r>
    <m/>
    <s v="Kósa Ádám"/>
    <m/>
    <m/>
    <s v="M20"/>
    <m/>
    <s v="04:38:48"/>
    <x v="1334"/>
  </r>
  <r>
    <m/>
    <s v="Bergermayer, Thomas"/>
    <m/>
    <m/>
    <s v="M35"/>
    <m/>
    <s v="03:10:26"/>
    <x v="930"/>
  </r>
  <r>
    <m/>
    <s v="Morócz József"/>
    <m/>
    <m/>
    <s v="M55"/>
    <m/>
    <s v="04:37:00"/>
    <x v="2632"/>
  </r>
  <r>
    <m/>
    <s v="Tóth András"/>
    <m/>
    <m/>
    <s v="M45"/>
    <m/>
    <s v="04:01:44"/>
    <x v="2633"/>
  </r>
  <r>
    <m/>
    <s v="Nunes, Jorge"/>
    <m/>
    <m/>
    <s v="M45"/>
    <m/>
    <s v="05:22:55"/>
    <x v="2634"/>
  </r>
  <r>
    <m/>
    <s v="Bartolák Csaba dr."/>
    <m/>
    <m/>
    <s v="M40"/>
    <m/>
    <s v="03:45:47"/>
    <x v="188"/>
  </r>
  <r>
    <m/>
    <s v="Karvalics Norbert"/>
    <m/>
    <m/>
    <s v="M45"/>
    <m/>
    <s v="04:15:02"/>
    <x v="2635"/>
  </r>
  <r>
    <m/>
    <s v="Czermann Tamás"/>
    <m/>
    <m/>
    <s v="M25"/>
    <m/>
    <s v="04:32:25"/>
    <x v="1913"/>
  </r>
  <r>
    <m/>
    <s v="Strapko, Peter"/>
    <m/>
    <m/>
    <s v="M35"/>
    <m/>
    <s v="04:09:38"/>
    <x v="2636"/>
  </r>
  <r>
    <m/>
    <s v="de Bruin, Robin prof"/>
    <m/>
    <m/>
    <s v="M25"/>
    <m/>
    <s v="04:23:24"/>
    <x v="2637"/>
  </r>
  <r>
    <m/>
    <s v="Kota József"/>
    <m/>
    <m/>
    <s v="M45"/>
    <m/>
    <s v="04:07:25"/>
    <x v="1708"/>
  </r>
  <r>
    <m/>
    <s v="Anastasiadis, Anastasios"/>
    <m/>
    <m/>
    <s v="M40"/>
    <m/>
    <s v="03:20:52"/>
    <x v="2638"/>
  </r>
  <r>
    <m/>
    <s v="Cannon, Benjamin"/>
    <m/>
    <m/>
    <s v="M20"/>
    <m/>
    <s v="02:57:56"/>
    <x v="2639"/>
  </r>
  <r>
    <m/>
    <s v="Nielsen, Thomas"/>
    <m/>
    <m/>
    <s v="M50"/>
    <m/>
    <s v="03:39:12"/>
    <x v="2640"/>
  </r>
  <r>
    <m/>
    <s v="Knights, William"/>
    <m/>
    <m/>
    <s v="M20"/>
    <m/>
    <s v="04:10:50"/>
    <x v="491"/>
  </r>
  <r>
    <m/>
    <s v="Russell, steven"/>
    <m/>
    <m/>
    <s v="M50"/>
    <m/>
    <s v="03:28:44"/>
    <x v="308"/>
  </r>
  <r>
    <m/>
    <s v="Ridgway, Timothy"/>
    <m/>
    <m/>
    <s v="M25"/>
    <m/>
    <s v="03:59:24"/>
    <x v="2641"/>
  </r>
  <r>
    <m/>
    <s v="Balázs Ferenc"/>
    <m/>
    <m/>
    <s v="M50"/>
    <m/>
    <s v="04:14:10"/>
    <x v="2642"/>
  </r>
  <r>
    <m/>
    <s v="Hunt, James"/>
    <m/>
    <m/>
    <s v="M20"/>
    <m/>
    <s v="04:39:19"/>
    <x v="2643"/>
  </r>
  <r>
    <m/>
    <s v="Gyávol, Dávid"/>
    <m/>
    <m/>
    <s v="M30"/>
    <m/>
    <s v="04:42:25"/>
    <x v="2644"/>
  </r>
  <r>
    <m/>
    <s v="Giorgio, Roberto prof"/>
    <m/>
    <m/>
    <s v="M50"/>
    <m/>
    <s v="03:23:24"/>
    <x v="1655"/>
  </r>
  <r>
    <m/>
    <s v="Tarján Zoltán"/>
    <m/>
    <m/>
    <s v="M40"/>
    <m/>
    <s v="04:23:42"/>
    <x v="2645"/>
  </r>
  <r>
    <m/>
    <s v="Varga Ádám"/>
    <m/>
    <m/>
    <s v="M35"/>
    <m/>
    <s v="05:03:52"/>
    <x v="1586"/>
  </r>
  <r>
    <m/>
    <s v="Harrell, John"/>
    <m/>
    <m/>
    <s v="M55"/>
    <m/>
    <s v="04:33:35"/>
    <x v="2646"/>
  </r>
  <r>
    <m/>
    <s v="Ameloot, Frederik"/>
    <m/>
    <m/>
    <s v="M45"/>
    <m/>
    <s v="03:30:47"/>
    <x v="2647"/>
  </r>
  <r>
    <m/>
    <s v="Menuisier, Yannick"/>
    <m/>
    <m/>
    <s v="M50"/>
    <m/>
    <s v="04:40:39"/>
    <x v="2648"/>
  </r>
  <r>
    <m/>
    <s v="Havasi Viktor"/>
    <m/>
    <m/>
    <s v="M25"/>
    <m/>
    <s v="04:25:50"/>
    <x v="1386"/>
  </r>
  <r>
    <m/>
    <s v="Gazsó Tamás"/>
    <m/>
    <m/>
    <s v="M45"/>
    <m/>
    <s v="04:39:15"/>
    <x v="2649"/>
  </r>
  <r>
    <m/>
    <s v="Nejstgaard, Christopher"/>
    <m/>
    <m/>
    <s v="M20"/>
    <m/>
    <s v="03:10:23"/>
    <x v="1290"/>
  </r>
  <r>
    <m/>
    <s v="Michelsen, Ketil"/>
    <m/>
    <m/>
    <s v="M50"/>
    <m/>
    <s v="03:39:31"/>
    <x v="613"/>
  </r>
  <r>
    <m/>
    <s v="Tehel Tibor"/>
    <m/>
    <m/>
    <s v="M50"/>
    <m/>
    <s v="04:15:15"/>
    <x v="2650"/>
  </r>
  <r>
    <m/>
    <s v="Hugyecz András"/>
    <m/>
    <m/>
    <s v="M40"/>
    <m/>
    <s v="05:04:11"/>
    <x v="899"/>
  </r>
  <r>
    <m/>
    <s v="imek, Miroslav"/>
    <m/>
    <m/>
    <s v="M55"/>
    <m/>
    <s v="04:46:40"/>
    <x v="2651"/>
  </r>
  <r>
    <m/>
    <s v="ERIC, FERNANDEZ LOMBARDO"/>
    <m/>
    <m/>
    <s v="M35"/>
    <m/>
    <s v="03:23:20"/>
    <x v="1169"/>
  </r>
  <r>
    <m/>
    <s v="DICEMBRINO, Matteo"/>
    <m/>
    <m/>
    <s v="M55"/>
    <m/>
    <s v="04:18:28"/>
    <x v="2652"/>
  </r>
  <r>
    <m/>
    <s v="Toldi Péter"/>
    <m/>
    <m/>
    <s v="M40"/>
    <m/>
    <s v="04:38:47"/>
    <x v="1855"/>
  </r>
  <r>
    <m/>
    <s v="POTIER, Jean"/>
    <m/>
    <m/>
    <s v="M50"/>
    <m/>
    <s v="03:22:15"/>
    <x v="2302"/>
  </r>
  <r>
    <m/>
    <s v="Kaas, Thomas"/>
    <m/>
    <m/>
    <s v="M55"/>
    <m/>
    <s v="03:41:51"/>
    <x v="535"/>
  </r>
  <r>
    <m/>
    <s v="Akakpo, JeanPierre"/>
    <m/>
    <m/>
    <s v="M20"/>
    <m/>
    <s v="03:43:19"/>
    <x v="2653"/>
  </r>
  <r>
    <m/>
    <s v="Williams, Luke"/>
    <m/>
    <m/>
    <s v="M25"/>
    <m/>
    <s v="03:48:42"/>
    <x v="1052"/>
  </r>
  <r>
    <m/>
    <s v="PANTELIDES, CHRISIS"/>
    <m/>
    <m/>
    <s v="M45"/>
    <m/>
    <s v="03:46:32"/>
    <x v="2654"/>
  </r>
  <r>
    <m/>
    <s v="Amalfitano, Marco"/>
    <m/>
    <m/>
    <s v="M25"/>
    <m/>
    <s v="04:55:09"/>
    <x v="2655"/>
  </r>
  <r>
    <m/>
    <s v="Godwyn, Baptiste prof"/>
    <m/>
    <m/>
    <s v="M25"/>
    <m/>
    <s v="03:56:33"/>
    <x v="405"/>
  </r>
  <r>
    <m/>
    <s v="Tanucci, Lorenzo"/>
    <m/>
    <m/>
    <s v="M25"/>
    <m/>
    <s v="04:39:37"/>
    <x v="2656"/>
  </r>
  <r>
    <m/>
    <s v="Sasvári Csaba"/>
    <m/>
    <m/>
    <s v="M35"/>
    <m/>
    <s v="05:10:17"/>
    <x v="2657"/>
  </r>
  <r>
    <m/>
    <s v="Iványicki Tamás"/>
    <m/>
    <m/>
    <s v="M30"/>
    <m/>
    <s v="04:03:42"/>
    <x v="2056"/>
  </r>
  <r>
    <m/>
    <s v="Halász Máté"/>
    <m/>
    <m/>
    <s v="M20"/>
    <m/>
    <s v="05:07:34"/>
    <x v="1832"/>
  </r>
  <r>
    <m/>
    <s v="Posner, Kyle"/>
    <m/>
    <m/>
    <s v="M25"/>
    <m/>
    <s v="03:48:28"/>
    <x v="2658"/>
  </r>
  <r>
    <m/>
    <s v="Polencsik Ádám"/>
    <m/>
    <m/>
    <s v="M20"/>
    <m/>
    <s v="04:42:06"/>
    <x v="2659"/>
  </r>
  <r>
    <m/>
    <s v="Platzer, Patrick"/>
    <m/>
    <m/>
    <s v="M30"/>
    <m/>
    <s v="04:17:31"/>
    <x v="2660"/>
  </r>
  <r>
    <m/>
    <s v="Farkas István"/>
    <m/>
    <m/>
    <s v="M50"/>
    <m/>
    <s v="05:45:07"/>
    <x v="2661"/>
  </r>
  <r>
    <m/>
    <s v="Morrow, Liam"/>
    <m/>
    <m/>
    <s v="M35"/>
    <m/>
    <s v="03:45:38"/>
    <x v="2662"/>
  </r>
  <r>
    <m/>
    <s v="Sári Csaba"/>
    <m/>
    <m/>
    <s v="M60"/>
    <m/>
    <s v="04:29:01"/>
    <x v="770"/>
  </r>
  <r>
    <m/>
    <s v="Szmodics Zsolt"/>
    <m/>
    <m/>
    <s v="M50"/>
    <m/>
    <s v="04:17:44"/>
    <x v="2130"/>
  </r>
  <r>
    <m/>
    <s v="Watson, Tom"/>
    <m/>
    <m/>
    <s v="M20"/>
    <m/>
    <s v="03:51:31"/>
    <x v="825"/>
  </r>
  <r>
    <m/>
    <s v="Varsányi Péter"/>
    <m/>
    <m/>
    <s v="M55"/>
    <m/>
    <s v="04:15:27"/>
    <x v="1406"/>
  </r>
  <r>
    <m/>
    <s v="Mansfield-Osborne, Raphael"/>
    <m/>
    <m/>
    <s v="M18"/>
    <m/>
    <s v="04:59:56"/>
    <x v="558"/>
  </r>
  <r>
    <m/>
    <s v="Tobias, Feuer"/>
    <m/>
    <m/>
    <s v="M35"/>
    <m/>
    <s v="03:55:05"/>
    <x v="172"/>
  </r>
  <r>
    <m/>
    <s v="Csapo, Huba"/>
    <m/>
    <m/>
    <s v="M20"/>
    <m/>
    <s v="04:20:21"/>
    <x v="2226"/>
  </r>
  <r>
    <m/>
    <s v="Boorsma, Luuk"/>
    <m/>
    <m/>
    <s v="M25"/>
    <m/>
    <s v="03:34:31"/>
    <x v="1425"/>
  </r>
  <r>
    <m/>
    <s v="Lendvai Attila"/>
    <m/>
    <m/>
    <s v="M50"/>
    <m/>
    <s v="03:57:27"/>
    <x v="2556"/>
  </r>
  <r>
    <m/>
    <s v="Walter, EIKE"/>
    <m/>
    <m/>
    <s v="M65"/>
    <m/>
    <s v="04:03:31"/>
    <x v="1730"/>
  </r>
  <r>
    <m/>
    <s v="Latham, Jody"/>
    <m/>
    <m/>
    <s v="M50"/>
    <m/>
    <s v="03:43:43"/>
    <x v="189"/>
  </r>
  <r>
    <m/>
    <s v="Pinke Attila"/>
    <m/>
    <m/>
    <s v="M40"/>
    <m/>
    <s v="04:37:16"/>
    <x v="2663"/>
  </r>
  <r>
    <m/>
    <s v="Luff, Brendan"/>
    <m/>
    <m/>
    <s v="M30"/>
    <m/>
    <s v="04:09:52"/>
    <x v="2455"/>
  </r>
  <r>
    <m/>
    <s v="Buscicchio, Gabriele"/>
    <m/>
    <m/>
    <s v="M45"/>
    <m/>
    <s v="02:57:27"/>
    <x v="2664"/>
  </r>
  <r>
    <m/>
    <s v="Mickey, Price"/>
    <m/>
    <m/>
    <s v="M40"/>
    <m/>
    <s v="03:45:32"/>
    <x v="2665"/>
  </r>
  <r>
    <m/>
    <s v="Ulics István"/>
    <m/>
    <m/>
    <s v="M50"/>
    <m/>
    <s v="04:41:01"/>
    <x v="2666"/>
  </r>
  <r>
    <m/>
    <s v="Ray, Murphy"/>
    <m/>
    <m/>
    <s v="M25"/>
    <m/>
    <s v="03:42:14"/>
    <x v="2191"/>
  </r>
  <r>
    <m/>
    <s v="Budai Sándor"/>
    <m/>
    <m/>
    <s v="M45"/>
    <m/>
    <s v="04:19:51"/>
    <x v="2667"/>
  </r>
  <r>
    <m/>
    <s v="Szőke Boldizsár"/>
    <m/>
    <m/>
    <s v="M18"/>
    <m/>
    <s v="04:25:50"/>
    <x v="1386"/>
  </r>
  <r>
    <m/>
    <s v="Menczer Péter"/>
    <m/>
    <m/>
    <s v="M50"/>
    <m/>
    <s v="04:29:36"/>
    <x v="2668"/>
  </r>
  <r>
    <m/>
    <s v="Georgescu, Sergiu"/>
    <m/>
    <m/>
    <s v="M25"/>
    <m/>
    <s v="04:49:19"/>
    <x v="1141"/>
  </r>
  <r>
    <m/>
    <s v="Bregnh?j, Emil"/>
    <m/>
    <m/>
    <s v="M25"/>
    <m/>
    <s v="03:10:22"/>
    <x v="2504"/>
  </r>
  <r>
    <m/>
    <s v="West, Jordan prof"/>
    <m/>
    <m/>
    <s v="M25"/>
    <m/>
    <s v="03:34:54"/>
    <x v="2669"/>
  </r>
  <r>
    <m/>
    <s v="Gaston, Oliver"/>
    <m/>
    <m/>
    <s v="M25"/>
    <m/>
    <s v="03:17:16"/>
    <x v="2670"/>
  </r>
  <r>
    <m/>
    <s v="Szabados Attila"/>
    <m/>
    <m/>
    <s v="M30"/>
    <m/>
    <s v="04:10:23"/>
    <x v="2671"/>
  </r>
  <r>
    <m/>
    <s v="Pizzati, Valentino"/>
    <m/>
    <m/>
    <s v="M50"/>
    <m/>
    <s v="03:38:09"/>
    <x v="1868"/>
  </r>
  <r>
    <m/>
    <s v="Schütz, Johann"/>
    <m/>
    <m/>
    <s v="M60"/>
    <m/>
    <s v="04:09:04"/>
    <x v="2672"/>
  </r>
  <r>
    <m/>
    <s v="Petró Gyula"/>
    <m/>
    <m/>
    <s v="M40"/>
    <m/>
    <s v="04:25:59"/>
    <x v="2235"/>
  </r>
  <r>
    <m/>
    <s v="Eperjesi Dávid"/>
    <m/>
    <m/>
    <s v="M30"/>
    <m/>
    <s v="03:14:25"/>
    <x v="1623"/>
  </r>
  <r>
    <m/>
    <s v="Ádám Szilamér"/>
    <m/>
    <m/>
    <s v="M25"/>
    <m/>
    <s v="04:09:16"/>
    <x v="2673"/>
  </r>
  <r>
    <m/>
    <s v="Pető Márk"/>
    <m/>
    <m/>
    <s v="M65"/>
    <m/>
    <s v="05:23:23"/>
    <x v="2674"/>
  </r>
  <r>
    <m/>
    <s v="Péczy Tamás"/>
    <m/>
    <m/>
    <s v="M35"/>
    <m/>
    <s v="04:18:56"/>
    <x v="2675"/>
  </r>
  <r>
    <m/>
    <s v="Déchance, OLIVIER claude prof"/>
    <m/>
    <m/>
    <s v="M40"/>
    <m/>
    <s v="03:06:05"/>
    <x v="2676"/>
  </r>
  <r>
    <m/>
    <s v="Váradi Patrik"/>
    <m/>
    <m/>
    <s v="M20"/>
    <m/>
    <s v="04:55:51"/>
    <x v="2677"/>
  </r>
  <r>
    <m/>
    <s v="Goldsmith, Ian"/>
    <m/>
    <m/>
    <s v="M35"/>
    <m/>
    <s v="05:12:17"/>
    <x v="2678"/>
  </r>
  <r>
    <m/>
    <s v="Varga Krisztián"/>
    <m/>
    <m/>
    <s v="M45"/>
    <m/>
    <s v="03:31:10"/>
    <x v="2679"/>
  </r>
  <r>
    <m/>
    <s v="Murphy-Jameson, Edward"/>
    <m/>
    <m/>
    <s v="M20"/>
    <m/>
    <s v="04:14:24"/>
    <x v="2680"/>
  </r>
  <r>
    <m/>
    <s v="Rábai Richárd"/>
    <m/>
    <m/>
    <s v="M45"/>
    <m/>
    <s v="04:25:57"/>
    <x v="258"/>
  </r>
  <r>
    <m/>
    <s v="Riegler Péter"/>
    <m/>
    <m/>
    <s v="M40"/>
    <m/>
    <s v="03:30:08"/>
    <x v="281"/>
  </r>
  <r>
    <m/>
    <s v="Kelemen, Sven"/>
    <m/>
    <m/>
    <s v="M25"/>
    <m/>
    <s v="04:50:59"/>
    <x v="2049"/>
  </r>
  <r>
    <m/>
    <s v="LARYIONAU, ARTUR"/>
    <m/>
    <m/>
    <s v="M30"/>
    <m/>
    <s v="03:31:03"/>
    <x v="2681"/>
  </r>
  <r>
    <m/>
    <s v="De Coster, Wouter"/>
    <m/>
    <m/>
    <s v="M50"/>
    <m/>
    <s v="03:04:54"/>
    <x v="2682"/>
  </r>
  <r>
    <m/>
    <s v="Pap Zsolt"/>
    <m/>
    <m/>
    <s v="M55"/>
    <m/>
    <s v="05:08:02"/>
    <x v="2683"/>
  </r>
  <r>
    <m/>
    <s v="Fogarasi Zoltán Dániel"/>
    <m/>
    <m/>
    <s v="M40"/>
    <m/>
    <s v="03:48:17"/>
    <x v="1434"/>
  </r>
  <r>
    <m/>
    <s v="Ladislav, Szőcs dr"/>
    <m/>
    <m/>
    <s v="M40"/>
    <m/>
    <s v="04:44:42"/>
    <x v="2684"/>
  </r>
  <r>
    <m/>
    <s v="Surányi Balázs"/>
    <m/>
    <m/>
    <s v="M25"/>
    <m/>
    <s v="05:26:20"/>
    <x v="2685"/>
  </r>
  <r>
    <m/>
    <s v="Clothier, William"/>
    <m/>
    <m/>
    <s v="M45"/>
    <m/>
    <s v="04:45:54"/>
    <x v="2686"/>
  </r>
  <r>
    <m/>
    <s v="PSAROGARAKIS, EFTYCHIOS"/>
    <m/>
    <m/>
    <s v="M50"/>
    <m/>
    <s v="04:20:49"/>
    <x v="1233"/>
  </r>
  <r>
    <m/>
    <s v="Albert Áron"/>
    <m/>
    <m/>
    <s v="M30"/>
    <m/>
    <s v="03:39:26"/>
    <x v="1326"/>
  </r>
  <r>
    <m/>
    <s v="Vajda, Andrej"/>
    <m/>
    <m/>
    <s v="M20"/>
    <m/>
    <s v="03:11:03"/>
    <x v="1963"/>
  </r>
  <r>
    <m/>
    <s v="Kveták Vilmos Roland"/>
    <m/>
    <m/>
    <s v="M30"/>
    <m/>
    <s v="03:28:59"/>
    <x v="1521"/>
  </r>
  <r>
    <m/>
    <s v="Támis Norbert"/>
    <m/>
    <m/>
    <s v="M45"/>
    <m/>
    <s v="04:02:23"/>
    <x v="1430"/>
  </r>
  <r>
    <m/>
    <s v="Papageorgiou, Dimitrios"/>
    <m/>
    <m/>
    <s v="M60"/>
    <m/>
    <s v="04:24:46"/>
    <x v="1325"/>
  </r>
  <r>
    <m/>
    <s v="Padova, Carmelo"/>
    <m/>
    <m/>
    <s v="M55"/>
    <m/>
    <s v="03:22:53"/>
    <x v="1529"/>
  </r>
  <r>
    <m/>
    <s v="Nagy Gábor"/>
    <m/>
    <m/>
    <s v="M45"/>
    <m/>
    <s v="03:51:46"/>
    <x v="611"/>
  </r>
  <r>
    <m/>
    <s v="Langley, Robert"/>
    <m/>
    <m/>
    <s v="M55"/>
    <m/>
    <s v="04:23:29"/>
    <x v="2687"/>
  </r>
  <r>
    <m/>
    <s v="Gómez Gragera, Aser"/>
    <m/>
    <m/>
    <s v="M35"/>
    <m/>
    <s v="02:48:33"/>
    <x v="2688"/>
  </r>
  <r>
    <m/>
    <s v="Buzár Dávid"/>
    <m/>
    <m/>
    <s v="M25"/>
    <m/>
    <s v="03:06:40"/>
    <x v="2689"/>
  </r>
  <r>
    <m/>
    <s v="Harrison, George"/>
    <m/>
    <m/>
    <s v="M20"/>
    <m/>
    <s v="04:50:36"/>
    <x v="2690"/>
  </r>
  <r>
    <m/>
    <s v="bert, dimitri"/>
    <m/>
    <m/>
    <s v="M35"/>
    <m/>
    <s v="04:15:49"/>
    <x v="324"/>
  </r>
  <r>
    <m/>
    <s v="Borbás Imre"/>
    <m/>
    <m/>
    <s v="M40"/>
    <m/>
    <s v="04:27:48"/>
    <x v="382"/>
  </r>
  <r>
    <m/>
    <s v="van Exter, Robert-John"/>
    <m/>
    <m/>
    <s v="M35"/>
    <m/>
    <s v="04:00:29"/>
    <x v="2691"/>
  </r>
  <r>
    <m/>
    <s v="Kiss Tamás"/>
    <m/>
    <m/>
    <s v="M40"/>
    <m/>
    <s v="04:33:13"/>
    <x v="2229"/>
  </r>
  <r>
    <m/>
    <s v="Viola László"/>
    <m/>
    <m/>
    <s v="M50"/>
    <m/>
    <s v="04:30:34"/>
    <x v="2692"/>
  </r>
  <r>
    <m/>
    <s v="Bruno, Coër"/>
    <m/>
    <m/>
    <s v="M60"/>
    <m/>
    <s v="03:56:59"/>
    <x v="1699"/>
  </r>
  <r>
    <m/>
    <s v="Filip, Pavloň"/>
    <m/>
    <m/>
    <s v="M30"/>
    <m/>
    <s v="03:43:34"/>
    <x v="2693"/>
  </r>
  <r>
    <m/>
    <s v="Várady Zoltán"/>
    <m/>
    <m/>
    <s v="M45"/>
    <m/>
    <s v="04:22:30"/>
    <x v="106"/>
  </r>
  <r>
    <m/>
    <s v="Chehaia, Nicolae"/>
    <m/>
    <m/>
    <s v="M25"/>
    <m/>
    <s v="04:49:20"/>
    <x v="2694"/>
  </r>
  <r>
    <m/>
    <s v="Tót Kálmán"/>
    <m/>
    <m/>
    <s v="M30"/>
    <m/>
    <s v="04:03:33"/>
    <x v="1580"/>
  </r>
  <r>
    <m/>
    <s v="Dunn, Jonathan"/>
    <m/>
    <m/>
    <s v="M30"/>
    <m/>
    <s v="05:39:28"/>
    <x v="2695"/>
  </r>
  <r>
    <m/>
    <s v="Rácz Máté"/>
    <m/>
    <m/>
    <s v="M25"/>
    <m/>
    <s v="03:59:20"/>
    <x v="599"/>
  </r>
  <r>
    <m/>
    <s v="Castro, Joseph"/>
    <m/>
    <m/>
    <s v="M55"/>
    <m/>
    <s v="04:32:46"/>
    <x v="1554"/>
  </r>
  <r>
    <m/>
    <s v="PASCUCCI, MORENO"/>
    <m/>
    <m/>
    <s v="M25"/>
    <m/>
    <s v="05:07:25"/>
    <x v="2696"/>
  </r>
  <r>
    <m/>
    <s v="Boulbes, Guillaume"/>
    <m/>
    <m/>
    <s v="M40"/>
    <m/>
    <s v="04:16:40"/>
    <x v="2697"/>
  </r>
  <r>
    <m/>
    <s v="Francis, CASSU"/>
    <m/>
    <m/>
    <s v="M50"/>
    <m/>
    <s v="03:21:16"/>
    <x v="2698"/>
  </r>
  <r>
    <m/>
    <s v="Szalánczi Máté"/>
    <m/>
    <m/>
    <s v="M30"/>
    <m/>
    <s v="03:27:04"/>
    <x v="2699"/>
  </r>
  <r>
    <m/>
    <s v="Carlsson, Patrik"/>
    <m/>
    <m/>
    <s v="M55"/>
    <m/>
    <s v="04:42:19"/>
    <x v="2700"/>
  </r>
  <r>
    <m/>
    <s v="Keeton, Henry"/>
    <m/>
    <m/>
    <s v="M25"/>
    <m/>
    <s v="03:38:53"/>
    <x v="1979"/>
  </r>
  <r>
    <m/>
    <s v="Hetey Márton"/>
    <m/>
    <m/>
    <s v="M25"/>
    <m/>
    <s v="04:03:31"/>
    <x v="1730"/>
  </r>
  <r>
    <m/>
    <s v="Philippe, Roscamp"/>
    <m/>
    <m/>
    <s v="M50"/>
    <m/>
    <s v="03:50:28"/>
    <x v="1308"/>
  </r>
  <r>
    <m/>
    <s v="Meza, Alejandro"/>
    <m/>
    <m/>
    <s v="M25"/>
    <m/>
    <s v="03:56:08"/>
    <x v="1231"/>
  </r>
  <r>
    <m/>
    <s v="Ágota András"/>
    <m/>
    <m/>
    <s v="M45"/>
    <m/>
    <s v="03:51:08"/>
    <x v="2701"/>
  </r>
  <r>
    <m/>
    <s v="Metz, Thomas"/>
    <m/>
    <m/>
    <s v="M40"/>
    <m/>
    <s v="03:58:44"/>
    <x v="2022"/>
  </r>
  <r>
    <m/>
    <s v="Parkhomenko, Bohdan prof"/>
    <m/>
    <m/>
    <s v="M18"/>
    <m/>
    <s v="03:31:20"/>
    <x v="2702"/>
  </r>
  <r>
    <m/>
    <s v="Forsman, Sebastian"/>
    <m/>
    <m/>
    <s v="M25"/>
    <m/>
    <s v="03:13:39"/>
    <x v="2703"/>
  </r>
  <r>
    <m/>
    <s v="Arnaud, Ghera"/>
    <m/>
    <m/>
    <s v="M40"/>
    <m/>
    <s v="04:34:12"/>
    <x v="1351"/>
  </r>
  <r>
    <m/>
    <s v="Pugliese, Donato"/>
    <m/>
    <m/>
    <s v="M55"/>
    <m/>
    <s v="04:16:36"/>
    <x v="2704"/>
  </r>
  <r>
    <m/>
    <s v="Domonkos Szabolcs"/>
    <m/>
    <m/>
    <s v="M18"/>
    <m/>
    <s v="05:09:24"/>
    <x v="2705"/>
  </r>
  <r>
    <m/>
    <s v="Ungureanu, Nicolae"/>
    <m/>
    <m/>
    <s v="M50"/>
    <m/>
    <s v="04:17:22"/>
    <x v="2706"/>
  </r>
  <r>
    <m/>
    <s v="PUNTA BENITEZ, JOSE MIGUEL"/>
    <m/>
    <m/>
    <s v="M60"/>
    <m/>
    <s v="05:00:02"/>
    <x v="514"/>
  </r>
  <r>
    <m/>
    <s v="Keresztes Balázs"/>
    <m/>
    <m/>
    <s v="M18"/>
    <m/>
    <s v="05:08:59"/>
    <x v="2707"/>
  </r>
  <r>
    <m/>
    <s v="Petró Ádám"/>
    <m/>
    <m/>
    <s v="M40"/>
    <m/>
    <s v="03:44:34"/>
    <x v="2708"/>
  </r>
  <r>
    <m/>
    <s v="fee, kevin prof"/>
    <m/>
    <m/>
    <s v="M50"/>
    <m/>
    <s v="05:34:20"/>
    <x v="2709"/>
  </r>
  <r>
    <m/>
    <s v="Simó Szilveszter"/>
    <m/>
    <m/>
    <s v="M45"/>
    <m/>
    <s v="03:55:15"/>
    <x v="2577"/>
  </r>
  <r>
    <m/>
    <s v="Horváth Balázs"/>
    <m/>
    <m/>
    <s v="M45"/>
    <m/>
    <s v="04:13:50"/>
    <x v="1171"/>
  </r>
  <r>
    <m/>
    <s v="Cuénoud, Thierry"/>
    <m/>
    <m/>
    <s v="M50"/>
    <m/>
    <s v="04:28:21"/>
    <x v="543"/>
  </r>
  <r>
    <m/>
    <s v="Matthew, Lang"/>
    <m/>
    <m/>
    <s v="M35"/>
    <m/>
    <s v="03:35:59"/>
    <x v="2710"/>
  </r>
  <r>
    <m/>
    <s v="Farkas Arnold Péter Dr."/>
    <m/>
    <m/>
    <s v="M40"/>
    <m/>
    <s v="04:11:38"/>
    <x v="2606"/>
  </r>
  <r>
    <m/>
    <s v="Bernaert, Rene"/>
    <m/>
    <m/>
    <s v="M45"/>
    <m/>
    <s v="03:36:19"/>
    <x v="791"/>
  </r>
  <r>
    <m/>
    <s v="Oláh György"/>
    <m/>
    <m/>
    <s v="M60"/>
    <m/>
    <s v="03:42:04"/>
    <x v="2161"/>
  </r>
  <r>
    <m/>
    <s v="St leger, Michael prof"/>
    <m/>
    <m/>
    <s v="M25"/>
    <m/>
    <s v="03:43:43"/>
    <x v="189"/>
  </r>
  <r>
    <m/>
    <s v="Szerencsés Tamás"/>
    <m/>
    <m/>
    <s v="M45"/>
    <m/>
    <s v="05:07:22"/>
    <x v="2711"/>
  </r>
  <r>
    <m/>
    <s v="Szabari Péter"/>
    <m/>
    <m/>
    <s v="M45"/>
    <m/>
    <s v="04:23:22"/>
    <x v="2712"/>
  </r>
  <r>
    <m/>
    <s v="Gergely, Alexander"/>
    <m/>
    <m/>
    <s v="M35"/>
    <m/>
    <s v="03:30:08"/>
    <x v="281"/>
  </r>
  <r>
    <m/>
    <s v="Wróbel, Tomasz"/>
    <m/>
    <m/>
    <s v="M50"/>
    <m/>
    <s v="03:25:58"/>
    <x v="2713"/>
  </r>
  <r>
    <m/>
    <s v="Szeles Csaba"/>
    <m/>
    <m/>
    <s v="M50"/>
    <m/>
    <s v="05:16:24"/>
    <x v="2714"/>
  </r>
  <r>
    <m/>
    <s v="Hinnerup, Jens"/>
    <m/>
    <m/>
    <s v="M50"/>
    <m/>
    <s v="03:10:58"/>
    <x v="1674"/>
  </r>
  <r>
    <m/>
    <s v="Sipos Ádám Bence"/>
    <m/>
    <m/>
    <s v="M40"/>
    <m/>
    <s v="03:40:48"/>
    <x v="2715"/>
  </r>
  <r>
    <m/>
    <s v="Mckay, Alex"/>
    <m/>
    <m/>
    <s v="M30"/>
    <m/>
    <s v="03:58:09"/>
    <x v="1463"/>
  </r>
  <r>
    <m/>
    <s v="Halycsik Renátó"/>
    <m/>
    <m/>
    <s v="M25"/>
    <m/>
    <s v="04:41:52"/>
    <x v="2716"/>
  </r>
  <r>
    <m/>
    <s v="Török, Raimond"/>
    <m/>
    <m/>
    <s v="M20"/>
    <m/>
    <s v="04:57:54"/>
    <x v="271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3">
  <r>
    <x v="0"/>
    <x v="0"/>
    <x v="0"/>
    <n v="5"/>
    <x v="0"/>
    <x v="0"/>
    <m/>
    <x v="0"/>
  </r>
  <r>
    <x v="0"/>
    <x v="0"/>
    <x v="0"/>
    <n v="3"/>
    <x v="1"/>
    <x v="1"/>
    <m/>
    <x v="1"/>
  </r>
  <r>
    <x v="0"/>
    <x v="0"/>
    <x v="0"/>
    <n v="5"/>
    <x v="1"/>
    <x v="2"/>
    <m/>
    <x v="2"/>
  </r>
  <r>
    <x v="1"/>
    <x v="0"/>
    <x v="1"/>
    <n v="5"/>
    <x v="1"/>
    <x v="3"/>
    <m/>
    <x v="3"/>
  </r>
  <r>
    <x v="0"/>
    <x v="0"/>
    <x v="0"/>
    <n v="2"/>
    <x v="2"/>
    <x v="4"/>
    <m/>
    <x v="4"/>
  </r>
  <r>
    <x v="0"/>
    <x v="0"/>
    <x v="2"/>
    <n v="3"/>
    <x v="2"/>
    <x v="5"/>
    <m/>
    <x v="0"/>
  </r>
  <r>
    <x v="0"/>
    <x v="0"/>
    <x v="0"/>
    <n v="4"/>
    <x v="1"/>
    <x v="6"/>
    <m/>
    <x v="5"/>
  </r>
  <r>
    <x v="0"/>
    <x v="0"/>
    <x v="0"/>
    <n v="2"/>
    <x v="2"/>
    <x v="0"/>
    <m/>
    <x v="6"/>
  </r>
  <r>
    <x v="1"/>
    <x v="0"/>
    <x v="0"/>
    <n v="2"/>
    <x v="2"/>
    <x v="7"/>
    <m/>
    <x v="0"/>
  </r>
  <r>
    <x v="0"/>
    <x v="0"/>
    <x v="0"/>
    <n v="2"/>
    <x v="3"/>
    <x v="8"/>
    <m/>
    <x v="4"/>
  </r>
  <r>
    <x v="0"/>
    <x v="0"/>
    <x v="0"/>
    <n v="3"/>
    <x v="2"/>
    <x v="9"/>
    <m/>
    <x v="4"/>
  </r>
  <r>
    <x v="0"/>
    <x v="0"/>
    <x v="0"/>
    <n v="3"/>
    <x v="2"/>
    <x v="10"/>
    <m/>
    <x v="0"/>
  </r>
  <r>
    <x v="1"/>
    <x v="0"/>
    <x v="1"/>
    <n v="4"/>
    <x v="4"/>
    <x v="11"/>
    <m/>
    <x v="5"/>
  </r>
  <r>
    <x v="1"/>
    <x v="0"/>
    <x v="0"/>
    <n v="3"/>
    <x v="1"/>
    <x v="12"/>
    <m/>
    <x v="4"/>
  </r>
  <r>
    <x v="0"/>
    <x v="0"/>
    <x v="0"/>
    <n v="4"/>
    <x v="1"/>
    <x v="13"/>
    <m/>
    <x v="6"/>
  </r>
  <r>
    <x v="0"/>
    <x v="0"/>
    <x v="0"/>
    <n v="3"/>
    <x v="5"/>
    <x v="14"/>
    <m/>
    <x v="7"/>
  </r>
  <r>
    <x v="0"/>
    <x v="0"/>
    <x v="1"/>
    <n v="4"/>
    <x v="6"/>
    <x v="15"/>
    <m/>
    <x v="0"/>
  </r>
  <r>
    <x v="1"/>
    <x v="0"/>
    <x v="0"/>
    <n v="3"/>
    <x v="1"/>
    <x v="16"/>
    <m/>
    <x v="7"/>
  </r>
  <r>
    <x v="1"/>
    <x v="0"/>
    <x v="1"/>
    <n v="5"/>
    <x v="0"/>
    <x v="6"/>
    <m/>
    <x v="5"/>
  </r>
  <r>
    <x v="0"/>
    <x v="0"/>
    <x v="0"/>
    <n v="3"/>
    <x v="3"/>
    <x v="17"/>
    <m/>
    <x v="6"/>
  </r>
  <r>
    <x v="0"/>
    <x v="0"/>
    <x v="2"/>
    <n v="2"/>
    <x v="6"/>
    <x v="14"/>
    <m/>
    <x v="5"/>
  </r>
  <r>
    <x v="0"/>
    <x v="0"/>
    <x v="2"/>
    <n v="2"/>
    <x v="0"/>
    <x v="18"/>
    <m/>
    <x v="8"/>
  </r>
  <r>
    <x v="1"/>
    <x v="0"/>
    <x v="0"/>
    <n v="3"/>
    <x v="1"/>
    <x v="19"/>
    <m/>
    <x v="1"/>
  </r>
  <r>
    <x v="0"/>
    <x v="0"/>
    <x v="2"/>
    <n v="4"/>
    <x v="1"/>
    <x v="20"/>
    <m/>
    <x v="3"/>
  </r>
  <r>
    <x v="0"/>
    <x v="0"/>
    <x v="1"/>
    <n v="5"/>
    <x v="2"/>
    <x v="21"/>
    <m/>
    <x v="9"/>
  </r>
  <r>
    <x v="0"/>
    <x v="0"/>
    <x v="0"/>
    <n v="5"/>
    <x v="0"/>
    <x v="22"/>
    <m/>
    <x v="10"/>
  </r>
  <r>
    <x v="0"/>
    <x v="0"/>
    <x v="0"/>
    <n v="3"/>
    <x v="4"/>
    <x v="23"/>
    <m/>
    <x v="7"/>
  </r>
  <r>
    <x v="0"/>
    <x v="0"/>
    <x v="0"/>
    <n v="3"/>
    <x v="0"/>
    <x v="24"/>
    <m/>
    <x v="11"/>
  </r>
  <r>
    <x v="0"/>
    <x v="0"/>
    <x v="1"/>
    <n v="5"/>
    <x v="4"/>
    <x v="25"/>
    <m/>
    <x v="9"/>
  </r>
  <r>
    <x v="0"/>
    <x v="0"/>
    <x v="0"/>
    <n v="2"/>
    <x v="2"/>
    <x v="3"/>
    <m/>
    <x v="12"/>
  </r>
  <r>
    <x v="1"/>
    <x v="0"/>
    <x v="0"/>
    <n v="3"/>
    <x v="6"/>
    <x v="26"/>
    <m/>
    <x v="13"/>
  </r>
  <r>
    <x v="0"/>
    <x v="0"/>
    <x v="0"/>
    <n v="3"/>
    <x v="5"/>
    <x v="23"/>
    <m/>
    <x v="5"/>
  </r>
  <r>
    <x v="0"/>
    <x v="0"/>
    <x v="0"/>
    <n v="4"/>
    <x v="6"/>
    <x v="27"/>
    <m/>
    <x v="14"/>
  </r>
  <r>
    <x v="0"/>
    <x v="0"/>
    <x v="0"/>
    <n v="2"/>
    <x v="1"/>
    <x v="28"/>
    <m/>
    <x v="15"/>
  </r>
  <r>
    <x v="0"/>
    <x v="0"/>
    <x v="0"/>
    <n v="3"/>
    <x v="2"/>
    <x v="7"/>
    <m/>
    <x v="9"/>
  </r>
  <r>
    <x v="0"/>
    <x v="0"/>
    <x v="0"/>
    <n v="4"/>
    <x v="0"/>
    <x v="29"/>
    <m/>
    <x v="1"/>
  </r>
  <r>
    <x v="0"/>
    <x v="0"/>
    <x v="0"/>
    <n v="3"/>
    <x v="4"/>
    <x v="22"/>
    <m/>
    <x v="9"/>
  </r>
  <r>
    <x v="0"/>
    <x v="0"/>
    <x v="0"/>
    <n v="5"/>
    <x v="6"/>
    <x v="30"/>
    <m/>
    <x v="5"/>
  </r>
  <r>
    <x v="0"/>
    <x v="0"/>
    <x v="1"/>
    <n v="4"/>
    <x v="4"/>
    <x v="21"/>
    <m/>
    <x v="0"/>
  </r>
  <r>
    <x v="0"/>
    <x v="0"/>
    <x v="0"/>
    <n v="2"/>
    <x v="2"/>
    <x v="29"/>
    <m/>
    <x v="14"/>
  </r>
  <r>
    <x v="1"/>
    <x v="0"/>
    <x v="1"/>
    <n v="5"/>
    <x v="7"/>
    <x v="31"/>
    <m/>
    <x v="5"/>
  </r>
  <r>
    <x v="1"/>
    <x v="0"/>
    <x v="0"/>
    <n v="3"/>
    <x v="1"/>
    <x v="32"/>
    <m/>
    <x v="6"/>
  </r>
  <r>
    <x v="0"/>
    <x v="0"/>
    <x v="2"/>
    <n v="4"/>
    <x v="3"/>
    <x v="33"/>
    <m/>
    <x v="4"/>
  </r>
  <r>
    <x v="0"/>
    <x v="0"/>
    <x v="1"/>
    <n v="5"/>
    <x v="4"/>
    <x v="4"/>
    <m/>
    <x v="0"/>
  </r>
  <r>
    <x v="0"/>
    <x v="0"/>
    <x v="0"/>
    <n v="3"/>
    <x v="4"/>
    <x v="34"/>
    <m/>
    <x v="14"/>
  </r>
  <r>
    <x v="0"/>
    <x v="0"/>
    <x v="1"/>
    <n v="4"/>
    <x v="0"/>
    <x v="10"/>
    <m/>
    <x v="6"/>
  </r>
  <r>
    <x v="0"/>
    <x v="0"/>
    <x v="0"/>
    <n v="3"/>
    <x v="4"/>
    <x v="35"/>
    <m/>
    <x v="7"/>
  </r>
  <r>
    <x v="0"/>
    <x v="0"/>
    <x v="0"/>
    <n v="4"/>
    <x v="1"/>
    <x v="36"/>
    <m/>
    <x v="4"/>
  </r>
  <r>
    <x v="0"/>
    <x v="0"/>
    <x v="1"/>
    <n v="5"/>
    <x v="0"/>
    <x v="37"/>
    <m/>
    <x v="16"/>
  </r>
  <r>
    <x v="0"/>
    <x v="0"/>
    <x v="0"/>
    <n v="4"/>
    <x v="4"/>
    <x v="33"/>
    <m/>
    <x v="4"/>
  </r>
  <r>
    <x v="0"/>
    <x v="0"/>
    <x v="2"/>
    <n v="2"/>
    <x v="2"/>
    <x v="24"/>
    <m/>
    <x v="4"/>
  </r>
  <r>
    <x v="0"/>
    <x v="0"/>
    <x v="0"/>
    <n v="4"/>
    <x v="2"/>
    <x v="21"/>
    <m/>
    <x v="17"/>
  </r>
  <r>
    <x v="0"/>
    <x v="0"/>
    <x v="0"/>
    <n v="5"/>
    <x v="3"/>
    <x v="37"/>
    <m/>
    <x v="0"/>
  </r>
  <r>
    <x v="0"/>
    <x v="0"/>
    <x v="2"/>
    <n v="5"/>
    <x v="1"/>
    <x v="22"/>
    <m/>
    <x v="14"/>
  </r>
  <r>
    <x v="0"/>
    <x v="0"/>
    <x v="0"/>
    <n v="3"/>
    <x v="4"/>
    <x v="38"/>
    <m/>
    <x v="5"/>
  </r>
  <r>
    <x v="0"/>
    <x v="0"/>
    <x v="1"/>
    <n v="4"/>
    <x v="1"/>
    <x v="7"/>
    <m/>
    <x v="0"/>
  </r>
  <r>
    <x v="0"/>
    <x v="0"/>
    <x v="0"/>
    <n v="2"/>
    <x v="0"/>
    <x v="19"/>
    <m/>
    <x v="6"/>
  </r>
  <r>
    <x v="1"/>
    <x v="0"/>
    <x v="0"/>
    <n v="4"/>
    <x v="8"/>
    <x v="39"/>
    <m/>
    <x v="18"/>
  </r>
  <r>
    <x v="0"/>
    <x v="0"/>
    <x v="0"/>
    <n v="4"/>
    <x v="4"/>
    <x v="40"/>
    <m/>
    <x v="2"/>
  </r>
  <r>
    <x v="0"/>
    <x v="0"/>
    <x v="1"/>
    <n v="5"/>
    <x v="1"/>
    <x v="41"/>
    <m/>
    <x v="0"/>
  </r>
  <r>
    <x v="1"/>
    <x v="0"/>
    <x v="2"/>
    <n v="5"/>
    <x v="2"/>
    <x v="42"/>
    <m/>
    <x v="14"/>
  </r>
  <r>
    <x v="1"/>
    <x v="0"/>
    <x v="2"/>
    <n v="5"/>
    <x v="1"/>
    <x v="23"/>
    <m/>
    <x v="19"/>
  </r>
  <r>
    <x v="1"/>
    <x v="0"/>
    <x v="2"/>
    <n v="3"/>
    <x v="1"/>
    <x v="11"/>
    <m/>
    <x v="5"/>
  </r>
  <r>
    <x v="0"/>
    <x v="0"/>
    <x v="1"/>
    <n v="5"/>
    <x v="2"/>
    <x v="22"/>
    <m/>
    <x v="17"/>
  </r>
  <r>
    <x v="0"/>
    <x v="0"/>
    <x v="2"/>
    <n v="2"/>
    <x v="2"/>
    <x v="43"/>
    <m/>
    <x v="4"/>
  </r>
  <r>
    <x v="1"/>
    <x v="0"/>
    <x v="1"/>
    <n v="5"/>
    <x v="2"/>
    <x v="10"/>
    <m/>
    <x v="20"/>
  </r>
  <r>
    <x v="0"/>
    <x v="1"/>
    <x v="2"/>
    <n v="5"/>
    <x v="0"/>
    <x v="44"/>
    <m/>
    <x v="0"/>
  </r>
  <r>
    <x v="1"/>
    <x v="1"/>
    <x v="1"/>
    <n v="5"/>
    <x v="9"/>
    <x v="18"/>
    <m/>
    <x v="2"/>
  </r>
  <r>
    <x v="1"/>
    <x v="2"/>
    <x v="1"/>
    <n v="4"/>
    <x v="5"/>
    <x v="6"/>
    <m/>
    <x v="0"/>
  </r>
  <r>
    <x v="0"/>
    <x v="2"/>
    <x v="0"/>
    <n v="5"/>
    <x v="1"/>
    <x v="45"/>
    <m/>
    <x v="4"/>
  </r>
  <r>
    <x v="1"/>
    <x v="2"/>
    <x v="2"/>
    <n v="5"/>
    <x v="2"/>
    <x v="46"/>
    <m/>
    <x v="4"/>
  </r>
  <r>
    <x v="0"/>
    <x v="2"/>
    <x v="0"/>
    <n v="4"/>
    <x v="2"/>
    <x v="17"/>
    <m/>
    <x v="0"/>
  </r>
  <r>
    <x v="0"/>
    <x v="2"/>
    <x v="1"/>
    <n v="5"/>
    <x v="3"/>
    <x v="47"/>
    <m/>
    <x v="7"/>
  </r>
  <r>
    <x v="0"/>
    <x v="2"/>
    <x v="1"/>
    <n v="5"/>
    <x v="2"/>
    <x v="10"/>
    <m/>
    <x v="15"/>
  </r>
  <r>
    <x v="0"/>
    <x v="2"/>
    <x v="0"/>
    <n v="5"/>
    <x v="2"/>
    <x v="48"/>
    <m/>
    <x v="21"/>
  </r>
  <r>
    <x v="1"/>
    <x v="2"/>
    <x v="1"/>
    <n v="4"/>
    <x v="4"/>
    <x v="49"/>
    <m/>
    <x v="7"/>
  </r>
  <r>
    <x v="1"/>
    <x v="2"/>
    <x v="0"/>
    <n v="3"/>
    <x v="7"/>
    <x v="1"/>
    <m/>
    <x v="2"/>
  </r>
  <r>
    <x v="1"/>
    <x v="2"/>
    <x v="0"/>
    <n v="2"/>
    <x v="1"/>
    <x v="20"/>
    <m/>
    <x v="5"/>
  </r>
  <r>
    <x v="1"/>
    <x v="2"/>
    <x v="0"/>
    <n v="4"/>
    <x v="0"/>
    <x v="1"/>
    <m/>
    <x v="21"/>
  </r>
  <r>
    <x v="0"/>
    <x v="2"/>
    <x v="0"/>
    <n v="4"/>
    <x v="3"/>
    <x v="40"/>
    <m/>
    <x v="9"/>
  </r>
  <r>
    <x v="1"/>
    <x v="2"/>
    <x v="2"/>
    <n v="5"/>
    <x v="5"/>
    <x v="50"/>
    <m/>
    <x v="21"/>
  </r>
  <r>
    <x v="1"/>
    <x v="2"/>
    <x v="2"/>
    <n v="2"/>
    <x v="2"/>
    <x v="23"/>
    <m/>
    <x v="22"/>
  </r>
  <r>
    <x v="0"/>
    <x v="2"/>
    <x v="0"/>
    <n v="3"/>
    <x v="6"/>
    <x v="18"/>
    <m/>
    <x v="4"/>
  </r>
  <r>
    <x v="0"/>
    <x v="2"/>
    <x v="2"/>
    <n v="5"/>
    <x v="2"/>
    <x v="40"/>
    <m/>
    <x v="5"/>
  </r>
  <r>
    <x v="0"/>
    <x v="2"/>
    <x v="0"/>
    <n v="2"/>
    <x v="2"/>
    <x v="1"/>
    <m/>
    <x v="13"/>
  </r>
  <r>
    <x v="1"/>
    <x v="2"/>
    <x v="2"/>
    <n v="5"/>
    <x v="4"/>
    <x v="3"/>
    <m/>
    <x v="4"/>
  </r>
  <r>
    <x v="1"/>
    <x v="2"/>
    <x v="1"/>
    <n v="5"/>
    <x v="0"/>
    <x v="51"/>
    <m/>
    <x v="21"/>
  </r>
  <r>
    <x v="0"/>
    <x v="2"/>
    <x v="1"/>
    <n v="5"/>
    <x v="2"/>
    <x v="31"/>
    <m/>
    <x v="6"/>
  </r>
  <r>
    <x v="0"/>
    <x v="2"/>
    <x v="2"/>
    <n v="2"/>
    <x v="2"/>
    <x v="1"/>
    <m/>
    <x v="7"/>
  </r>
  <r>
    <x v="0"/>
    <x v="2"/>
    <x v="0"/>
    <n v="4"/>
    <x v="4"/>
    <x v="25"/>
    <m/>
    <x v="14"/>
  </r>
  <r>
    <x v="0"/>
    <x v="2"/>
    <x v="0"/>
    <n v="3"/>
    <x v="0"/>
    <x v="23"/>
    <m/>
    <x v="21"/>
  </r>
  <r>
    <x v="0"/>
    <x v="2"/>
    <x v="0"/>
    <n v="3"/>
    <x v="6"/>
    <x v="34"/>
    <m/>
    <x v="4"/>
  </r>
  <r>
    <x v="1"/>
    <x v="2"/>
    <x v="1"/>
    <n v="5"/>
    <x v="5"/>
    <x v="52"/>
    <m/>
    <x v="6"/>
  </r>
  <r>
    <x v="0"/>
    <x v="2"/>
    <x v="0"/>
    <n v="4"/>
    <x v="1"/>
    <x v="39"/>
    <m/>
    <x v="4"/>
  </r>
  <r>
    <x v="0"/>
    <x v="2"/>
    <x v="2"/>
    <n v="5"/>
    <x v="6"/>
    <x v="42"/>
    <m/>
    <x v="23"/>
  </r>
  <r>
    <x v="1"/>
    <x v="2"/>
    <x v="1"/>
    <n v="4"/>
    <x v="5"/>
    <x v="30"/>
    <m/>
    <x v="7"/>
  </r>
  <r>
    <x v="0"/>
    <x v="2"/>
    <x v="0"/>
    <n v="5"/>
    <x v="3"/>
    <x v="42"/>
    <m/>
    <x v="24"/>
  </r>
  <r>
    <x v="1"/>
    <x v="2"/>
    <x v="1"/>
    <n v="5"/>
    <x v="2"/>
    <x v="53"/>
    <m/>
    <x v="16"/>
  </r>
  <r>
    <x v="0"/>
    <x v="2"/>
    <x v="0"/>
    <n v="4"/>
    <x v="1"/>
    <x v="49"/>
    <m/>
    <x v="5"/>
  </r>
  <r>
    <x v="0"/>
    <x v="2"/>
    <x v="2"/>
    <n v="4"/>
    <x v="1"/>
    <x v="42"/>
    <m/>
    <x v="11"/>
  </r>
  <r>
    <x v="1"/>
    <x v="2"/>
    <x v="0"/>
    <n v="5"/>
    <x v="5"/>
    <x v="41"/>
    <m/>
    <x v="6"/>
  </r>
  <r>
    <x v="1"/>
    <x v="2"/>
    <x v="1"/>
    <n v="5"/>
    <x v="2"/>
    <x v="54"/>
    <m/>
    <x v="2"/>
  </r>
  <r>
    <x v="0"/>
    <x v="2"/>
    <x v="0"/>
    <n v="3"/>
    <x v="6"/>
    <x v="10"/>
    <m/>
    <x v="14"/>
  </r>
  <r>
    <x v="0"/>
    <x v="2"/>
    <x v="0"/>
    <n v="5"/>
    <x v="6"/>
    <x v="31"/>
    <m/>
    <x v="6"/>
  </r>
  <r>
    <x v="0"/>
    <x v="2"/>
    <x v="0"/>
    <n v="4"/>
    <x v="1"/>
    <x v="55"/>
    <m/>
    <x v="6"/>
  </r>
  <r>
    <x v="0"/>
    <x v="2"/>
    <x v="0"/>
    <n v="4"/>
    <x v="6"/>
    <x v="6"/>
    <m/>
    <x v="5"/>
  </r>
  <r>
    <x v="0"/>
    <x v="2"/>
    <x v="0"/>
    <n v="4"/>
    <x v="1"/>
    <x v="36"/>
    <m/>
    <x v="7"/>
  </r>
  <r>
    <x v="1"/>
    <x v="2"/>
    <x v="1"/>
    <n v="3"/>
    <x v="1"/>
    <x v="56"/>
    <m/>
    <x v="4"/>
  </r>
  <r>
    <x v="0"/>
    <x v="2"/>
    <x v="2"/>
    <n v="5"/>
    <x v="6"/>
    <x v="19"/>
    <m/>
    <x v="9"/>
  </r>
  <r>
    <x v="1"/>
    <x v="2"/>
    <x v="0"/>
    <n v="5"/>
    <x v="5"/>
    <x v="39"/>
    <m/>
    <x v="21"/>
  </r>
  <r>
    <x v="0"/>
    <x v="2"/>
    <x v="0"/>
    <n v="4"/>
    <x v="1"/>
    <x v="15"/>
    <m/>
    <x v="9"/>
  </r>
  <r>
    <x v="1"/>
    <x v="2"/>
    <x v="0"/>
    <n v="4"/>
    <x v="3"/>
    <x v="57"/>
    <m/>
    <x v="7"/>
  </r>
  <r>
    <x v="0"/>
    <x v="2"/>
    <x v="0"/>
    <n v="3"/>
    <x v="6"/>
    <x v="58"/>
    <m/>
    <x v="14"/>
  </r>
  <r>
    <x v="1"/>
    <x v="2"/>
    <x v="0"/>
    <n v="4"/>
    <x v="0"/>
    <x v="53"/>
    <m/>
    <x v="25"/>
  </r>
  <r>
    <x v="1"/>
    <x v="2"/>
    <x v="1"/>
    <n v="5"/>
    <x v="5"/>
    <x v="59"/>
    <m/>
    <x v="5"/>
  </r>
  <r>
    <x v="1"/>
    <x v="2"/>
    <x v="1"/>
    <n v="2"/>
    <x v="4"/>
    <x v="15"/>
    <m/>
    <x v="26"/>
  </r>
  <r>
    <x v="0"/>
    <x v="2"/>
    <x v="0"/>
    <n v="2"/>
    <x v="7"/>
    <x v="23"/>
    <m/>
    <x v="4"/>
  </r>
  <r>
    <x v="1"/>
    <x v="2"/>
    <x v="2"/>
    <n v="2"/>
    <x v="6"/>
    <x v="12"/>
    <m/>
    <x v="9"/>
  </r>
  <r>
    <x v="1"/>
    <x v="2"/>
    <x v="0"/>
    <n v="3"/>
    <x v="6"/>
    <x v="60"/>
    <m/>
    <x v="6"/>
  </r>
  <r>
    <x v="0"/>
    <x v="2"/>
    <x v="1"/>
    <n v="5"/>
    <x v="3"/>
    <x v="61"/>
    <m/>
    <x v="6"/>
  </r>
  <r>
    <x v="1"/>
    <x v="2"/>
    <x v="1"/>
    <n v="4"/>
    <x v="6"/>
    <x v="53"/>
    <m/>
    <x v="27"/>
  </r>
  <r>
    <x v="0"/>
    <x v="2"/>
    <x v="0"/>
    <n v="4"/>
    <x v="3"/>
    <x v="1"/>
    <m/>
    <x v="6"/>
  </r>
  <r>
    <x v="0"/>
    <x v="2"/>
    <x v="0"/>
    <n v="5"/>
    <x v="2"/>
    <x v="10"/>
    <m/>
    <x v="7"/>
  </r>
  <r>
    <x v="0"/>
    <x v="2"/>
    <x v="1"/>
    <n v="5"/>
    <x v="1"/>
    <x v="10"/>
    <m/>
    <x v="5"/>
  </r>
  <r>
    <x v="1"/>
    <x v="2"/>
    <x v="0"/>
    <n v="2"/>
    <x v="0"/>
    <x v="60"/>
    <m/>
    <x v="14"/>
  </r>
  <r>
    <x v="0"/>
    <x v="2"/>
    <x v="0"/>
    <n v="3"/>
    <x v="3"/>
    <x v="30"/>
    <m/>
    <x v="6"/>
  </r>
  <r>
    <x v="0"/>
    <x v="2"/>
    <x v="2"/>
    <n v="4"/>
    <x v="2"/>
    <x v="0"/>
    <m/>
    <x v="5"/>
  </r>
  <r>
    <x v="1"/>
    <x v="2"/>
    <x v="0"/>
    <n v="5"/>
    <x v="1"/>
    <x v="53"/>
    <m/>
    <x v="5"/>
  </r>
  <r>
    <x v="0"/>
    <x v="2"/>
    <x v="0"/>
    <n v="4"/>
    <x v="1"/>
    <x v="53"/>
    <m/>
    <x v="0"/>
  </r>
  <r>
    <x v="1"/>
    <x v="2"/>
    <x v="2"/>
    <n v="4"/>
    <x v="6"/>
    <x v="34"/>
    <m/>
    <x v="28"/>
  </r>
  <r>
    <x v="1"/>
    <x v="2"/>
    <x v="1"/>
    <n v="4"/>
    <x v="7"/>
    <x v="33"/>
    <m/>
    <x v="0"/>
  </r>
  <r>
    <x v="0"/>
    <x v="2"/>
    <x v="0"/>
    <n v="4"/>
    <x v="1"/>
    <x v="18"/>
    <m/>
    <x v="14"/>
  </r>
  <r>
    <x v="0"/>
    <x v="2"/>
    <x v="0"/>
    <n v="5"/>
    <x v="2"/>
    <x v="41"/>
    <m/>
    <x v="5"/>
  </r>
  <r>
    <x v="1"/>
    <x v="2"/>
    <x v="1"/>
    <n v="4"/>
    <x v="6"/>
    <x v="2"/>
    <m/>
    <x v="4"/>
  </r>
  <r>
    <x v="1"/>
    <x v="2"/>
    <x v="0"/>
    <n v="3"/>
    <x v="1"/>
    <x v="53"/>
    <m/>
    <x v="9"/>
  </r>
  <r>
    <x v="0"/>
    <x v="2"/>
    <x v="0"/>
    <n v="5"/>
    <x v="1"/>
    <x v="0"/>
    <m/>
    <x v="29"/>
  </r>
  <r>
    <x v="0"/>
    <x v="2"/>
    <x v="0"/>
    <n v="4"/>
    <x v="1"/>
    <x v="45"/>
    <m/>
    <x v="5"/>
  </r>
  <r>
    <x v="1"/>
    <x v="2"/>
    <x v="1"/>
    <n v="5"/>
    <x v="3"/>
    <x v="49"/>
    <m/>
    <x v="30"/>
  </r>
  <r>
    <x v="0"/>
    <x v="2"/>
    <x v="1"/>
    <n v="5"/>
    <x v="1"/>
    <x v="62"/>
    <m/>
    <x v="16"/>
  </r>
  <r>
    <x v="0"/>
    <x v="2"/>
    <x v="1"/>
    <n v="5"/>
    <x v="2"/>
    <x v="63"/>
    <m/>
    <x v="5"/>
  </r>
  <r>
    <x v="0"/>
    <x v="2"/>
    <x v="0"/>
    <n v="4"/>
    <x v="1"/>
    <x v="64"/>
    <m/>
    <x v="9"/>
  </r>
  <r>
    <x v="0"/>
    <x v="2"/>
    <x v="0"/>
    <n v="3"/>
    <x v="4"/>
    <x v="59"/>
    <m/>
    <x v="5"/>
  </r>
  <r>
    <x v="1"/>
    <x v="2"/>
    <x v="1"/>
    <n v="4"/>
    <x v="1"/>
    <x v="43"/>
    <m/>
    <x v="0"/>
  </r>
  <r>
    <x v="1"/>
    <x v="2"/>
    <x v="0"/>
    <n v="3"/>
    <x v="4"/>
    <x v="18"/>
    <m/>
    <x v="2"/>
  </r>
  <r>
    <x v="0"/>
    <x v="2"/>
    <x v="2"/>
    <n v="4"/>
    <x v="1"/>
    <x v="65"/>
    <m/>
    <x v="31"/>
  </r>
  <r>
    <x v="1"/>
    <x v="2"/>
    <x v="0"/>
    <n v="2"/>
    <x v="6"/>
    <x v="66"/>
    <m/>
    <x v="21"/>
  </r>
  <r>
    <x v="1"/>
    <x v="2"/>
    <x v="1"/>
    <n v="5"/>
    <x v="2"/>
    <x v="65"/>
    <m/>
    <x v="17"/>
  </r>
  <r>
    <x v="0"/>
    <x v="2"/>
    <x v="1"/>
    <n v="4"/>
    <x v="2"/>
    <x v="10"/>
    <m/>
    <x v="3"/>
  </r>
  <r>
    <x v="0"/>
    <x v="2"/>
    <x v="1"/>
    <n v="3"/>
    <x v="2"/>
    <x v="18"/>
    <m/>
    <x v="3"/>
  </r>
  <r>
    <x v="0"/>
    <x v="2"/>
    <x v="0"/>
    <n v="2"/>
    <x v="1"/>
    <x v="18"/>
    <m/>
    <x v="9"/>
  </r>
  <r>
    <x v="1"/>
    <x v="2"/>
    <x v="2"/>
    <n v="5"/>
    <x v="5"/>
    <x v="67"/>
    <m/>
    <x v="9"/>
  </r>
  <r>
    <x v="0"/>
    <x v="2"/>
    <x v="0"/>
    <n v="4"/>
    <x v="4"/>
    <x v="49"/>
    <m/>
    <x v="1"/>
  </r>
  <r>
    <x v="1"/>
    <x v="2"/>
    <x v="0"/>
    <n v="3"/>
    <x v="4"/>
    <x v="28"/>
    <m/>
    <x v="0"/>
  </r>
  <r>
    <x v="0"/>
    <x v="2"/>
    <x v="0"/>
    <n v="3"/>
    <x v="2"/>
    <x v="18"/>
    <m/>
    <x v="7"/>
  </r>
  <r>
    <x v="0"/>
    <x v="2"/>
    <x v="1"/>
    <n v="5"/>
    <x v="3"/>
    <x v="68"/>
    <m/>
    <x v="26"/>
  </r>
  <r>
    <x v="1"/>
    <x v="2"/>
    <x v="0"/>
    <n v="4"/>
    <x v="9"/>
    <x v="56"/>
    <m/>
    <x v="9"/>
  </r>
  <r>
    <x v="0"/>
    <x v="2"/>
    <x v="0"/>
    <n v="4"/>
    <x v="7"/>
    <x v="69"/>
    <m/>
    <x v="21"/>
  </r>
  <r>
    <x v="0"/>
    <x v="2"/>
    <x v="0"/>
    <n v="3"/>
    <x v="4"/>
    <x v="31"/>
    <m/>
    <x v="27"/>
  </r>
  <r>
    <x v="0"/>
    <x v="2"/>
    <x v="0"/>
    <n v="5"/>
    <x v="6"/>
    <x v="51"/>
    <m/>
    <x v="21"/>
  </r>
  <r>
    <x v="0"/>
    <x v="2"/>
    <x v="1"/>
    <n v="5"/>
    <x v="4"/>
    <x v="67"/>
    <m/>
    <x v="3"/>
  </r>
  <r>
    <x v="0"/>
    <x v="2"/>
    <x v="0"/>
    <n v="5"/>
    <x v="10"/>
    <x v="46"/>
    <m/>
    <x v="0"/>
  </r>
  <r>
    <x v="0"/>
    <x v="2"/>
    <x v="0"/>
    <n v="5"/>
    <x v="4"/>
    <x v="25"/>
    <m/>
    <x v="0"/>
  </r>
  <r>
    <x v="1"/>
    <x v="2"/>
    <x v="1"/>
    <n v="5"/>
    <x v="4"/>
    <x v="40"/>
    <m/>
    <x v="9"/>
  </r>
  <r>
    <x v="0"/>
    <x v="2"/>
    <x v="0"/>
    <n v="5"/>
    <x v="1"/>
    <x v="63"/>
    <m/>
    <x v="6"/>
  </r>
  <r>
    <x v="1"/>
    <x v="2"/>
    <x v="0"/>
    <n v="3"/>
    <x v="0"/>
    <x v="59"/>
    <m/>
    <x v="2"/>
  </r>
  <r>
    <x v="1"/>
    <x v="2"/>
    <x v="1"/>
    <n v="5"/>
    <x v="6"/>
    <x v="5"/>
    <m/>
    <x v="5"/>
  </r>
  <r>
    <x v="0"/>
    <x v="2"/>
    <x v="1"/>
    <n v="4"/>
    <x v="0"/>
    <x v="42"/>
    <m/>
    <x v="17"/>
  </r>
  <r>
    <x v="0"/>
    <x v="2"/>
    <x v="2"/>
    <n v="3"/>
    <x v="1"/>
    <x v="47"/>
    <m/>
    <x v="14"/>
  </r>
  <r>
    <x v="0"/>
    <x v="2"/>
    <x v="1"/>
    <n v="5"/>
    <x v="6"/>
    <x v="70"/>
    <m/>
    <x v="1"/>
  </r>
  <r>
    <x v="0"/>
    <x v="2"/>
    <x v="1"/>
    <n v="4"/>
    <x v="0"/>
    <x v="30"/>
    <m/>
    <x v="6"/>
  </r>
  <r>
    <x v="0"/>
    <x v="2"/>
    <x v="0"/>
    <n v="5"/>
    <x v="0"/>
    <x v="60"/>
    <m/>
    <x v="7"/>
  </r>
  <r>
    <x v="1"/>
    <x v="2"/>
    <x v="0"/>
    <n v="5"/>
    <x v="3"/>
    <x v="39"/>
    <m/>
    <x v="32"/>
  </r>
  <r>
    <x v="0"/>
    <x v="2"/>
    <x v="0"/>
    <n v="3"/>
    <x v="2"/>
    <x v="51"/>
    <m/>
    <x v="9"/>
  </r>
  <r>
    <x v="0"/>
    <x v="2"/>
    <x v="0"/>
    <n v="3"/>
    <x v="6"/>
    <x v="71"/>
    <m/>
    <x v="0"/>
  </r>
  <r>
    <x v="1"/>
    <x v="2"/>
    <x v="0"/>
    <n v="3"/>
    <x v="1"/>
    <x v="3"/>
    <m/>
    <x v="0"/>
  </r>
  <r>
    <x v="0"/>
    <x v="2"/>
    <x v="0"/>
    <n v="3"/>
    <x v="2"/>
    <x v="53"/>
    <m/>
    <x v="0"/>
  </r>
  <r>
    <x v="0"/>
    <x v="2"/>
    <x v="1"/>
    <n v="5"/>
    <x v="1"/>
    <x v="63"/>
    <m/>
    <x v="5"/>
  </r>
  <r>
    <x v="1"/>
    <x v="2"/>
    <x v="2"/>
    <n v="5"/>
    <x v="6"/>
    <x v="72"/>
    <m/>
    <x v="0"/>
  </r>
  <r>
    <x v="0"/>
    <x v="2"/>
    <x v="0"/>
    <n v="5"/>
    <x v="2"/>
    <x v="17"/>
    <m/>
    <x v="5"/>
  </r>
  <r>
    <x v="1"/>
    <x v="2"/>
    <x v="1"/>
    <n v="5"/>
    <x v="0"/>
    <x v="70"/>
    <m/>
    <x v="5"/>
  </r>
  <r>
    <x v="1"/>
    <x v="2"/>
    <x v="0"/>
    <n v="2"/>
    <x v="4"/>
    <x v="21"/>
    <m/>
    <x v="0"/>
  </r>
  <r>
    <x v="0"/>
    <x v="2"/>
    <x v="2"/>
    <n v="3"/>
    <x v="7"/>
    <x v="73"/>
    <m/>
    <x v="4"/>
  </r>
  <r>
    <x v="0"/>
    <x v="2"/>
    <x v="0"/>
    <n v="2"/>
    <x v="1"/>
    <x v="42"/>
    <m/>
    <x v="21"/>
  </r>
  <r>
    <x v="0"/>
    <x v="2"/>
    <x v="0"/>
    <n v="3"/>
    <x v="4"/>
    <x v="5"/>
    <m/>
    <x v="5"/>
  </r>
  <r>
    <x v="0"/>
    <x v="2"/>
    <x v="0"/>
    <n v="4"/>
    <x v="1"/>
    <x v="3"/>
    <m/>
    <x v="9"/>
  </r>
  <r>
    <x v="1"/>
    <x v="2"/>
    <x v="0"/>
    <n v="2"/>
    <x v="4"/>
    <x v="42"/>
    <m/>
    <x v="5"/>
  </r>
  <r>
    <x v="0"/>
    <x v="2"/>
    <x v="0"/>
    <n v="4"/>
    <x v="6"/>
    <x v="74"/>
    <m/>
    <x v="5"/>
  </r>
  <r>
    <x v="0"/>
    <x v="2"/>
    <x v="0"/>
    <n v="5"/>
    <x v="1"/>
    <x v="60"/>
    <m/>
    <x v="5"/>
  </r>
  <r>
    <x v="0"/>
    <x v="2"/>
    <x v="0"/>
    <n v="3"/>
    <x v="3"/>
    <x v="2"/>
    <m/>
    <x v="6"/>
  </r>
  <r>
    <x v="1"/>
    <x v="2"/>
    <x v="1"/>
    <n v="5"/>
    <x v="0"/>
    <x v="18"/>
    <m/>
    <x v="5"/>
  </r>
  <r>
    <x v="0"/>
    <x v="2"/>
    <x v="0"/>
    <n v="4"/>
    <x v="2"/>
    <x v="69"/>
    <m/>
    <x v="14"/>
  </r>
  <r>
    <x v="0"/>
    <x v="2"/>
    <x v="2"/>
    <n v="2"/>
    <x v="1"/>
    <x v="53"/>
    <m/>
    <x v="6"/>
  </r>
  <r>
    <x v="1"/>
    <x v="2"/>
    <x v="1"/>
    <n v="2"/>
    <x v="2"/>
    <x v="64"/>
    <m/>
    <x v="33"/>
  </r>
  <r>
    <x v="0"/>
    <x v="2"/>
    <x v="2"/>
    <n v="5"/>
    <x v="8"/>
    <x v="59"/>
    <m/>
    <x v="9"/>
  </r>
  <r>
    <x v="0"/>
    <x v="2"/>
    <x v="0"/>
    <n v="2"/>
    <x v="2"/>
    <x v="6"/>
    <m/>
    <x v="21"/>
  </r>
  <r>
    <x v="1"/>
    <x v="2"/>
    <x v="2"/>
    <n v="5"/>
    <x v="0"/>
    <x v="28"/>
    <m/>
    <x v="0"/>
  </r>
  <r>
    <x v="0"/>
    <x v="2"/>
    <x v="0"/>
    <n v="4"/>
    <x v="4"/>
    <x v="53"/>
    <m/>
    <x v="34"/>
  </r>
  <r>
    <x v="0"/>
    <x v="0"/>
    <x v="0"/>
    <n v="4"/>
    <x v="4"/>
    <x v="30"/>
    <m/>
    <x v="0"/>
  </r>
  <r>
    <x v="1"/>
    <x v="0"/>
    <x v="0"/>
    <n v="3"/>
    <x v="3"/>
    <x v="32"/>
    <m/>
    <x v="21"/>
  </r>
  <r>
    <x v="0"/>
    <x v="0"/>
    <x v="0"/>
    <n v="2"/>
    <x v="2"/>
    <x v="32"/>
    <m/>
    <x v="6"/>
  </r>
  <r>
    <x v="0"/>
    <x v="0"/>
    <x v="2"/>
    <n v="3"/>
    <x v="2"/>
    <x v="34"/>
    <m/>
    <x v="16"/>
  </r>
  <r>
    <x v="0"/>
    <x v="0"/>
    <x v="2"/>
    <n v="3"/>
    <x v="5"/>
    <x v="43"/>
    <m/>
    <x v="17"/>
  </r>
  <r>
    <x v="0"/>
    <x v="0"/>
    <x v="0"/>
    <n v="2"/>
    <x v="2"/>
    <x v="8"/>
    <m/>
    <x v="6"/>
  </r>
  <r>
    <x v="0"/>
    <x v="0"/>
    <x v="0"/>
    <n v="4"/>
    <x v="1"/>
    <x v="10"/>
    <m/>
    <x v="4"/>
  </r>
  <r>
    <x v="0"/>
    <x v="0"/>
    <x v="0"/>
    <n v="3"/>
    <x v="1"/>
    <x v="7"/>
    <m/>
    <x v="4"/>
  </r>
  <r>
    <x v="1"/>
    <x v="0"/>
    <x v="0"/>
    <n v="2"/>
    <x v="7"/>
    <x v="75"/>
    <m/>
    <x v="0"/>
  </r>
  <r>
    <x v="0"/>
    <x v="0"/>
    <x v="1"/>
    <n v="2"/>
    <x v="1"/>
    <x v="8"/>
    <m/>
    <x v="7"/>
  </r>
  <r>
    <x v="0"/>
    <x v="0"/>
    <x v="2"/>
    <n v="2"/>
    <x v="5"/>
    <x v="76"/>
    <m/>
    <x v="21"/>
  </r>
  <r>
    <x v="0"/>
    <x v="0"/>
    <x v="0"/>
    <n v="4"/>
    <x v="3"/>
    <x v="50"/>
    <m/>
    <x v="14"/>
  </r>
  <r>
    <x v="0"/>
    <x v="0"/>
    <x v="0"/>
    <n v="5"/>
    <x v="4"/>
    <x v="65"/>
    <m/>
    <x v="6"/>
  </r>
  <r>
    <x v="0"/>
    <x v="0"/>
    <x v="0"/>
    <n v="4"/>
    <x v="0"/>
    <x v="72"/>
    <m/>
    <x v="6"/>
  </r>
  <r>
    <x v="0"/>
    <x v="0"/>
    <x v="0"/>
    <n v="2"/>
    <x v="6"/>
    <x v="17"/>
    <m/>
    <x v="6"/>
  </r>
  <r>
    <x v="1"/>
    <x v="0"/>
    <x v="0"/>
    <n v="2"/>
    <x v="0"/>
    <x v="77"/>
    <m/>
    <x v="2"/>
  </r>
  <r>
    <x v="0"/>
    <x v="0"/>
    <x v="2"/>
    <n v="5"/>
    <x v="2"/>
    <x v="17"/>
    <m/>
    <x v="2"/>
  </r>
  <r>
    <x v="1"/>
    <x v="0"/>
    <x v="0"/>
    <n v="5"/>
    <x v="4"/>
    <x v="69"/>
    <m/>
    <x v="17"/>
  </r>
  <r>
    <x v="0"/>
    <x v="0"/>
    <x v="0"/>
    <n v="3"/>
    <x v="4"/>
    <x v="35"/>
    <m/>
    <x v="4"/>
  </r>
  <r>
    <x v="0"/>
    <x v="0"/>
    <x v="0"/>
    <n v="5"/>
    <x v="0"/>
    <x v="53"/>
    <m/>
    <x v="2"/>
  </r>
  <r>
    <x v="0"/>
    <x v="0"/>
    <x v="0"/>
    <n v="2"/>
    <x v="0"/>
    <x v="1"/>
    <m/>
    <x v="21"/>
  </r>
  <r>
    <x v="1"/>
    <x v="0"/>
    <x v="1"/>
    <n v="4"/>
    <x v="6"/>
    <x v="42"/>
    <m/>
    <x v="35"/>
  </r>
  <r>
    <x v="0"/>
    <x v="0"/>
    <x v="0"/>
    <n v="2"/>
    <x v="6"/>
    <x v="24"/>
    <m/>
    <x v="22"/>
  </r>
  <r>
    <x v="0"/>
    <x v="0"/>
    <x v="2"/>
    <n v="2"/>
    <x v="2"/>
    <x v="78"/>
    <m/>
    <x v="17"/>
  </r>
  <r>
    <x v="1"/>
    <x v="0"/>
    <x v="1"/>
    <n v="5"/>
    <x v="4"/>
    <x v="65"/>
    <m/>
    <x v="7"/>
  </r>
  <r>
    <x v="0"/>
    <x v="0"/>
    <x v="0"/>
    <n v="4"/>
    <x v="3"/>
    <x v="40"/>
    <m/>
    <x v="1"/>
  </r>
  <r>
    <x v="0"/>
    <x v="0"/>
    <x v="0"/>
    <n v="5"/>
    <x v="2"/>
    <x v="79"/>
    <m/>
    <x v="9"/>
  </r>
  <r>
    <x v="0"/>
    <x v="0"/>
    <x v="0"/>
    <n v="2"/>
    <x v="4"/>
    <x v="43"/>
    <m/>
    <x v="6"/>
  </r>
  <r>
    <x v="1"/>
    <x v="0"/>
    <x v="1"/>
    <n v="5"/>
    <x v="2"/>
    <x v="42"/>
    <m/>
    <x v="6"/>
  </r>
  <r>
    <x v="0"/>
    <x v="0"/>
    <x v="0"/>
    <n v="2"/>
    <x v="2"/>
    <x v="80"/>
    <m/>
    <x v="4"/>
  </r>
  <r>
    <x v="0"/>
    <x v="0"/>
    <x v="1"/>
    <n v="3"/>
    <x v="0"/>
    <x v="81"/>
    <m/>
    <x v="0"/>
  </r>
  <r>
    <x v="1"/>
    <x v="0"/>
    <x v="0"/>
    <n v="4"/>
    <x v="0"/>
    <x v="81"/>
    <m/>
    <x v="5"/>
  </r>
  <r>
    <x v="0"/>
    <x v="0"/>
    <x v="0"/>
    <n v="3"/>
    <x v="2"/>
    <x v="44"/>
    <m/>
    <x v="5"/>
  </r>
  <r>
    <x v="0"/>
    <x v="0"/>
    <x v="0"/>
    <n v="2"/>
    <x v="1"/>
    <x v="82"/>
    <m/>
    <x v="36"/>
  </r>
  <r>
    <x v="1"/>
    <x v="0"/>
    <x v="0"/>
    <n v="3"/>
    <x v="6"/>
    <x v="44"/>
    <m/>
    <x v="1"/>
  </r>
  <r>
    <x v="0"/>
    <x v="0"/>
    <x v="1"/>
    <n v="4"/>
    <x v="3"/>
    <x v="69"/>
    <m/>
    <x v="4"/>
  </r>
  <r>
    <x v="0"/>
    <x v="0"/>
    <x v="1"/>
    <n v="3"/>
    <x v="1"/>
    <x v="64"/>
    <m/>
    <x v="0"/>
  </r>
  <r>
    <x v="0"/>
    <x v="3"/>
    <x v="1"/>
    <n v="5"/>
    <x v="7"/>
    <x v="79"/>
    <m/>
    <x v="6"/>
  </r>
  <r>
    <x v="1"/>
    <x v="3"/>
    <x v="1"/>
    <n v="4"/>
    <x v="4"/>
    <x v="28"/>
    <m/>
    <x v="21"/>
  </r>
  <r>
    <x v="1"/>
    <x v="3"/>
    <x v="1"/>
    <n v="5"/>
    <x v="4"/>
    <x v="34"/>
    <m/>
    <x v="4"/>
  </r>
  <r>
    <x v="0"/>
    <x v="3"/>
    <x v="0"/>
    <n v="3"/>
    <x v="2"/>
    <x v="35"/>
    <m/>
    <x v="21"/>
  </r>
  <r>
    <x v="1"/>
    <x v="3"/>
    <x v="1"/>
    <n v="4"/>
    <x v="2"/>
    <x v="47"/>
    <m/>
    <x v="37"/>
  </r>
  <r>
    <x v="1"/>
    <x v="3"/>
    <x v="0"/>
    <n v="5"/>
    <x v="1"/>
    <x v="30"/>
    <m/>
    <x v="14"/>
  </r>
  <r>
    <x v="1"/>
    <x v="3"/>
    <x v="2"/>
    <n v="2"/>
    <x v="1"/>
    <x v="83"/>
    <m/>
    <x v="9"/>
  </r>
  <r>
    <x v="0"/>
    <x v="3"/>
    <x v="0"/>
    <n v="4"/>
    <x v="5"/>
    <x v="84"/>
    <m/>
    <x v="9"/>
  </r>
  <r>
    <x v="1"/>
    <x v="3"/>
    <x v="1"/>
    <n v="5"/>
    <x v="7"/>
    <x v="69"/>
    <m/>
    <x v="0"/>
  </r>
  <r>
    <x v="1"/>
    <x v="3"/>
    <x v="1"/>
    <n v="4"/>
    <x v="3"/>
    <x v="6"/>
    <m/>
    <x v="4"/>
  </r>
  <r>
    <x v="1"/>
    <x v="3"/>
    <x v="1"/>
    <n v="4"/>
    <x v="7"/>
    <x v="29"/>
    <m/>
    <x v="21"/>
  </r>
  <r>
    <x v="1"/>
    <x v="3"/>
    <x v="1"/>
    <n v="3"/>
    <x v="2"/>
    <x v="85"/>
    <m/>
    <x v="33"/>
  </r>
  <r>
    <x v="1"/>
    <x v="3"/>
    <x v="1"/>
    <n v="5"/>
    <x v="6"/>
    <x v="35"/>
    <m/>
    <x v="9"/>
  </r>
  <r>
    <x v="0"/>
    <x v="3"/>
    <x v="1"/>
    <n v="5"/>
    <x v="8"/>
    <x v="63"/>
    <m/>
    <x v="0"/>
  </r>
  <r>
    <x v="1"/>
    <x v="3"/>
    <x v="0"/>
    <n v="5"/>
    <x v="10"/>
    <x v="58"/>
    <m/>
    <x v="5"/>
  </r>
  <r>
    <x v="0"/>
    <x v="3"/>
    <x v="1"/>
    <n v="4"/>
    <x v="4"/>
    <x v="8"/>
    <m/>
    <x v="5"/>
  </r>
  <r>
    <x v="1"/>
    <x v="3"/>
    <x v="1"/>
    <n v="5"/>
    <x v="1"/>
    <x v="30"/>
    <m/>
    <x v="4"/>
  </r>
  <r>
    <x v="1"/>
    <x v="3"/>
    <x v="1"/>
    <n v="4"/>
    <x v="1"/>
    <x v="58"/>
    <m/>
    <x v="7"/>
  </r>
  <r>
    <x v="1"/>
    <x v="3"/>
    <x v="1"/>
    <n v="5"/>
    <x v="5"/>
    <x v="64"/>
    <m/>
    <x v="38"/>
  </r>
  <r>
    <x v="1"/>
    <x v="3"/>
    <x v="1"/>
    <n v="4"/>
    <x v="8"/>
    <x v="10"/>
    <m/>
    <x v="0"/>
  </r>
  <r>
    <x v="0"/>
    <x v="3"/>
    <x v="1"/>
    <n v="4"/>
    <x v="1"/>
    <x v="17"/>
    <m/>
    <x v="14"/>
  </r>
  <r>
    <x v="1"/>
    <x v="3"/>
    <x v="1"/>
    <n v="4"/>
    <x v="3"/>
    <x v="28"/>
    <m/>
    <x v="17"/>
  </r>
  <r>
    <x v="1"/>
    <x v="3"/>
    <x v="2"/>
    <n v="5"/>
    <x v="4"/>
    <x v="20"/>
    <m/>
    <x v="17"/>
  </r>
  <r>
    <x v="1"/>
    <x v="3"/>
    <x v="1"/>
    <n v="4"/>
    <x v="1"/>
    <x v="28"/>
    <m/>
    <x v="39"/>
  </r>
  <r>
    <x v="0"/>
    <x v="3"/>
    <x v="1"/>
    <n v="5"/>
    <x v="1"/>
    <x v="86"/>
    <m/>
    <x v="4"/>
  </r>
  <r>
    <x v="1"/>
    <x v="3"/>
    <x v="1"/>
    <n v="5"/>
    <x v="0"/>
    <x v="20"/>
    <m/>
    <x v="7"/>
  </r>
  <r>
    <x v="1"/>
    <x v="3"/>
    <x v="0"/>
    <n v="3"/>
    <x v="6"/>
    <x v="10"/>
    <m/>
    <x v="17"/>
  </r>
  <r>
    <x v="0"/>
    <x v="3"/>
    <x v="1"/>
    <n v="3"/>
    <x v="4"/>
    <x v="49"/>
    <m/>
    <x v="5"/>
  </r>
  <r>
    <x v="0"/>
    <x v="3"/>
    <x v="1"/>
    <n v="5"/>
    <x v="4"/>
    <x v="60"/>
    <m/>
    <x v="9"/>
  </r>
  <r>
    <x v="0"/>
    <x v="3"/>
    <x v="1"/>
    <n v="5"/>
    <x v="8"/>
    <x v="49"/>
    <m/>
    <x v="3"/>
  </r>
  <r>
    <x v="1"/>
    <x v="3"/>
    <x v="1"/>
    <n v="5"/>
    <x v="6"/>
    <x v="33"/>
    <m/>
    <x v="2"/>
  </r>
  <r>
    <x v="1"/>
    <x v="3"/>
    <x v="2"/>
    <n v="5"/>
    <x v="7"/>
    <x v="60"/>
    <m/>
    <x v="4"/>
  </r>
  <r>
    <x v="0"/>
    <x v="3"/>
    <x v="1"/>
    <n v="5"/>
    <x v="5"/>
    <x v="78"/>
    <m/>
    <x v="29"/>
  </r>
  <r>
    <x v="1"/>
    <x v="3"/>
    <x v="1"/>
    <n v="4"/>
    <x v="0"/>
    <x v="73"/>
    <m/>
    <x v="4"/>
  </r>
  <r>
    <x v="1"/>
    <x v="3"/>
    <x v="1"/>
    <n v="5"/>
    <x v="2"/>
    <x v="87"/>
    <m/>
    <x v="27"/>
  </r>
  <r>
    <x v="1"/>
    <x v="3"/>
    <x v="1"/>
    <n v="4"/>
    <x v="0"/>
    <x v="8"/>
    <m/>
    <x v="40"/>
  </r>
  <r>
    <x v="1"/>
    <x v="3"/>
    <x v="1"/>
    <n v="4"/>
    <x v="1"/>
    <x v="82"/>
    <m/>
    <x v="41"/>
  </r>
  <r>
    <x v="1"/>
    <x v="3"/>
    <x v="2"/>
    <n v="5"/>
    <x v="3"/>
    <x v="81"/>
    <m/>
    <x v="6"/>
  </r>
  <r>
    <x v="1"/>
    <x v="3"/>
    <x v="0"/>
    <n v="5"/>
    <x v="0"/>
    <x v="3"/>
    <m/>
    <x v="0"/>
  </r>
  <r>
    <x v="1"/>
    <x v="3"/>
    <x v="1"/>
    <n v="5"/>
    <x v="6"/>
    <x v="33"/>
    <m/>
    <x v="42"/>
  </r>
  <r>
    <x v="1"/>
    <x v="3"/>
    <x v="0"/>
    <n v="5"/>
    <x v="8"/>
    <x v="2"/>
    <m/>
    <x v="9"/>
  </r>
  <r>
    <x v="0"/>
    <x v="3"/>
    <x v="1"/>
    <n v="4"/>
    <x v="0"/>
    <x v="38"/>
    <m/>
    <x v="0"/>
  </r>
  <r>
    <x v="1"/>
    <x v="3"/>
    <x v="1"/>
    <n v="4"/>
    <x v="7"/>
    <x v="18"/>
    <m/>
    <x v="0"/>
  </r>
  <r>
    <x v="1"/>
    <x v="3"/>
    <x v="1"/>
    <n v="4"/>
    <x v="6"/>
    <x v="88"/>
    <m/>
    <x v="4"/>
  </r>
  <r>
    <x v="1"/>
    <x v="3"/>
    <x v="0"/>
    <n v="4"/>
    <x v="1"/>
    <x v="62"/>
    <m/>
    <x v="9"/>
  </r>
  <r>
    <x v="1"/>
    <x v="3"/>
    <x v="0"/>
    <n v="4"/>
    <x v="3"/>
    <x v="7"/>
    <m/>
    <x v="7"/>
  </r>
  <r>
    <x v="1"/>
    <x v="3"/>
    <x v="0"/>
    <n v="4"/>
    <x v="2"/>
    <x v="73"/>
    <m/>
    <x v="5"/>
  </r>
  <r>
    <x v="0"/>
    <x v="3"/>
    <x v="0"/>
    <n v="2"/>
    <x v="4"/>
    <x v="25"/>
    <m/>
    <x v="7"/>
  </r>
  <r>
    <x v="1"/>
    <x v="3"/>
    <x v="1"/>
    <n v="5"/>
    <x v="2"/>
    <x v="86"/>
    <m/>
    <x v="5"/>
  </r>
  <r>
    <x v="0"/>
    <x v="3"/>
    <x v="0"/>
    <n v="4"/>
    <x v="5"/>
    <x v="43"/>
    <m/>
    <x v="14"/>
  </r>
  <r>
    <x v="0"/>
    <x v="3"/>
    <x v="1"/>
    <n v="4"/>
    <x v="8"/>
    <x v="8"/>
    <m/>
    <x v="2"/>
  </r>
  <r>
    <x v="1"/>
    <x v="3"/>
    <x v="1"/>
    <n v="4"/>
    <x v="3"/>
    <x v="53"/>
    <m/>
    <x v="43"/>
  </r>
  <r>
    <x v="1"/>
    <x v="3"/>
    <x v="1"/>
    <n v="4"/>
    <x v="1"/>
    <x v="36"/>
    <m/>
    <x v="4"/>
  </r>
  <r>
    <x v="1"/>
    <x v="3"/>
    <x v="2"/>
    <n v="4"/>
    <x v="2"/>
    <x v="21"/>
    <m/>
    <x v="0"/>
  </r>
  <r>
    <x v="0"/>
    <x v="3"/>
    <x v="0"/>
    <n v="5"/>
    <x v="3"/>
    <x v="3"/>
    <m/>
    <x v="0"/>
  </r>
  <r>
    <x v="1"/>
    <x v="3"/>
    <x v="1"/>
    <n v="4"/>
    <x v="2"/>
    <x v="89"/>
    <m/>
    <x v="7"/>
  </r>
  <r>
    <x v="1"/>
    <x v="3"/>
    <x v="0"/>
    <n v="4"/>
    <x v="2"/>
    <x v="14"/>
    <m/>
    <x v="7"/>
  </r>
  <r>
    <x v="0"/>
    <x v="3"/>
    <x v="1"/>
    <n v="4"/>
    <x v="1"/>
    <x v="17"/>
    <m/>
    <x v="0"/>
  </r>
  <r>
    <x v="1"/>
    <x v="3"/>
    <x v="0"/>
    <n v="4"/>
    <x v="5"/>
    <x v="14"/>
    <m/>
    <x v="4"/>
  </r>
  <r>
    <x v="0"/>
    <x v="3"/>
    <x v="0"/>
    <n v="4"/>
    <x v="2"/>
    <x v="0"/>
    <m/>
    <x v="17"/>
  </r>
  <r>
    <x v="0"/>
    <x v="3"/>
    <x v="0"/>
    <n v="3"/>
    <x v="2"/>
    <x v="69"/>
    <m/>
    <x v="2"/>
  </r>
  <r>
    <x v="1"/>
    <x v="3"/>
    <x v="1"/>
    <n v="4"/>
    <x v="3"/>
    <x v="19"/>
    <m/>
    <x v="7"/>
  </r>
  <r>
    <x v="1"/>
    <x v="3"/>
    <x v="1"/>
    <n v="5"/>
    <x v="4"/>
    <x v="30"/>
    <m/>
    <x v="2"/>
  </r>
  <r>
    <x v="0"/>
    <x v="3"/>
    <x v="1"/>
    <n v="4"/>
    <x v="2"/>
    <x v="90"/>
    <m/>
    <x v="2"/>
  </r>
  <r>
    <x v="1"/>
    <x v="3"/>
    <x v="1"/>
    <n v="4"/>
    <x v="2"/>
    <x v="43"/>
    <m/>
    <x v="21"/>
  </r>
  <r>
    <x v="1"/>
    <x v="3"/>
    <x v="2"/>
    <n v="2"/>
    <x v="6"/>
    <x v="25"/>
    <m/>
    <x v="3"/>
  </r>
  <r>
    <x v="1"/>
    <x v="3"/>
    <x v="1"/>
    <n v="4"/>
    <x v="2"/>
    <x v="36"/>
    <m/>
    <x v="5"/>
  </r>
  <r>
    <x v="1"/>
    <x v="3"/>
    <x v="1"/>
    <n v="4"/>
    <x v="3"/>
    <x v="44"/>
    <m/>
    <x v="9"/>
  </r>
  <r>
    <x v="0"/>
    <x v="3"/>
    <x v="0"/>
    <n v="3"/>
    <x v="5"/>
    <x v="14"/>
    <m/>
    <x v="21"/>
  </r>
  <r>
    <x v="1"/>
    <x v="3"/>
    <x v="0"/>
    <n v="4"/>
    <x v="5"/>
    <x v="14"/>
    <m/>
    <x v="17"/>
  </r>
  <r>
    <x v="1"/>
    <x v="3"/>
    <x v="2"/>
    <n v="4"/>
    <x v="2"/>
    <x v="21"/>
    <m/>
    <x v="5"/>
  </r>
  <r>
    <x v="0"/>
    <x v="3"/>
    <x v="0"/>
    <n v="5"/>
    <x v="1"/>
    <x v="22"/>
    <m/>
    <x v="44"/>
  </r>
  <r>
    <x v="0"/>
    <x v="3"/>
    <x v="0"/>
    <n v="4"/>
    <x v="1"/>
    <x v="19"/>
    <m/>
    <x v="14"/>
  </r>
  <r>
    <x v="1"/>
    <x v="3"/>
    <x v="1"/>
    <n v="4"/>
    <x v="6"/>
    <x v="8"/>
    <m/>
    <x v="27"/>
  </r>
  <r>
    <x v="1"/>
    <x v="3"/>
    <x v="0"/>
    <n v="2"/>
    <x v="6"/>
    <x v="62"/>
    <m/>
    <x v="6"/>
  </r>
  <r>
    <x v="0"/>
    <x v="3"/>
    <x v="1"/>
    <n v="4"/>
    <x v="1"/>
    <x v="82"/>
    <m/>
    <x v="6"/>
  </r>
  <r>
    <x v="1"/>
    <x v="3"/>
    <x v="1"/>
    <n v="4"/>
    <x v="3"/>
    <x v="82"/>
    <m/>
    <x v="4"/>
  </r>
  <r>
    <x v="1"/>
    <x v="3"/>
    <x v="1"/>
    <n v="4"/>
    <x v="6"/>
    <x v="28"/>
    <m/>
    <x v="5"/>
  </r>
  <r>
    <x v="0"/>
    <x v="3"/>
    <x v="1"/>
    <n v="4"/>
    <x v="3"/>
    <x v="36"/>
    <m/>
    <x v="5"/>
  </r>
  <r>
    <x v="1"/>
    <x v="3"/>
    <x v="1"/>
    <n v="5"/>
    <x v="0"/>
    <x v="31"/>
    <m/>
    <x v="5"/>
  </r>
  <r>
    <x v="1"/>
    <x v="3"/>
    <x v="1"/>
    <n v="5"/>
    <x v="6"/>
    <x v="45"/>
    <m/>
    <x v="6"/>
  </r>
  <r>
    <x v="1"/>
    <x v="3"/>
    <x v="1"/>
    <n v="4"/>
    <x v="1"/>
    <x v="8"/>
    <m/>
    <x v="9"/>
  </r>
  <r>
    <x v="1"/>
    <x v="3"/>
    <x v="2"/>
    <n v="5"/>
    <x v="6"/>
    <x v="55"/>
    <m/>
    <x v="6"/>
  </r>
  <r>
    <x v="1"/>
    <x v="3"/>
    <x v="0"/>
    <n v="5"/>
    <x v="1"/>
    <x v="6"/>
    <m/>
    <x v="5"/>
  </r>
  <r>
    <x v="1"/>
    <x v="3"/>
    <x v="2"/>
    <n v="4"/>
    <x v="2"/>
    <x v="91"/>
    <m/>
    <x v="5"/>
  </r>
  <r>
    <x v="0"/>
    <x v="3"/>
    <x v="1"/>
    <n v="4"/>
    <x v="3"/>
    <x v="64"/>
    <m/>
    <x v="4"/>
  </r>
  <r>
    <x v="1"/>
    <x v="3"/>
    <x v="1"/>
    <n v="4"/>
    <x v="2"/>
    <x v="28"/>
    <m/>
    <x v="2"/>
  </r>
  <r>
    <x v="1"/>
    <x v="3"/>
    <x v="1"/>
    <n v="4"/>
    <x v="4"/>
    <x v="28"/>
    <m/>
    <x v="45"/>
  </r>
  <r>
    <x v="1"/>
    <x v="3"/>
    <x v="0"/>
    <n v="4"/>
    <x v="0"/>
    <x v="28"/>
    <m/>
    <x v="9"/>
  </r>
  <r>
    <x v="0"/>
    <x v="3"/>
    <x v="1"/>
    <n v="5"/>
    <x v="6"/>
    <x v="92"/>
    <m/>
    <x v="21"/>
  </r>
  <r>
    <x v="1"/>
    <x v="3"/>
    <x v="0"/>
    <n v="5"/>
    <x v="2"/>
    <x v="44"/>
    <m/>
    <x v="6"/>
  </r>
  <r>
    <x v="1"/>
    <x v="3"/>
    <x v="1"/>
    <n v="4"/>
    <x v="6"/>
    <x v="85"/>
    <m/>
    <x v="6"/>
  </r>
  <r>
    <x v="0"/>
    <x v="3"/>
    <x v="1"/>
    <n v="4"/>
    <x v="2"/>
    <x v="93"/>
    <m/>
    <x v="1"/>
  </r>
  <r>
    <x v="0"/>
    <x v="3"/>
    <x v="0"/>
    <n v="5"/>
    <x v="5"/>
    <x v="44"/>
    <m/>
    <x v="46"/>
  </r>
  <r>
    <x v="1"/>
    <x v="3"/>
    <x v="1"/>
    <n v="4"/>
    <x v="2"/>
    <x v="3"/>
    <m/>
    <x v="10"/>
  </r>
  <r>
    <x v="1"/>
    <x v="3"/>
    <x v="0"/>
    <n v="5"/>
    <x v="4"/>
    <x v="8"/>
    <m/>
    <x v="6"/>
  </r>
  <r>
    <x v="1"/>
    <x v="3"/>
    <x v="0"/>
    <n v="3"/>
    <x v="2"/>
    <x v="38"/>
    <m/>
    <x v="7"/>
  </r>
  <r>
    <x v="1"/>
    <x v="3"/>
    <x v="0"/>
    <n v="4"/>
    <x v="3"/>
    <x v="94"/>
    <m/>
    <x v="6"/>
  </r>
  <r>
    <x v="0"/>
    <x v="3"/>
    <x v="0"/>
    <n v="3"/>
    <x v="6"/>
    <x v="44"/>
    <m/>
    <x v="14"/>
  </r>
  <r>
    <x v="1"/>
    <x v="3"/>
    <x v="1"/>
    <n v="5"/>
    <x v="1"/>
    <x v="67"/>
    <m/>
    <x v="4"/>
  </r>
  <r>
    <x v="1"/>
    <x v="3"/>
    <x v="1"/>
    <n v="5"/>
    <x v="9"/>
    <x v="30"/>
    <m/>
    <x v="5"/>
  </r>
  <r>
    <x v="1"/>
    <x v="3"/>
    <x v="0"/>
    <n v="5"/>
    <x v="0"/>
    <x v="64"/>
    <m/>
    <x v="25"/>
  </r>
  <r>
    <x v="1"/>
    <x v="3"/>
    <x v="1"/>
    <n v="4"/>
    <x v="3"/>
    <x v="43"/>
    <m/>
    <x v="2"/>
  </r>
  <r>
    <x v="1"/>
    <x v="3"/>
    <x v="1"/>
    <n v="5"/>
    <x v="7"/>
    <x v="10"/>
    <m/>
    <x v="2"/>
  </r>
  <r>
    <x v="1"/>
    <x v="3"/>
    <x v="2"/>
    <n v="5"/>
    <x v="6"/>
    <x v="35"/>
    <m/>
    <x v="4"/>
  </r>
  <r>
    <x v="0"/>
    <x v="3"/>
    <x v="1"/>
    <n v="5"/>
    <x v="2"/>
    <x v="43"/>
    <m/>
    <x v="5"/>
  </r>
  <r>
    <x v="0"/>
    <x v="3"/>
    <x v="1"/>
    <n v="4"/>
    <x v="5"/>
    <x v="78"/>
    <m/>
    <x v="4"/>
  </r>
  <r>
    <x v="0"/>
    <x v="3"/>
    <x v="1"/>
    <n v="4"/>
    <x v="3"/>
    <x v="7"/>
    <m/>
    <x v="7"/>
  </r>
  <r>
    <x v="0"/>
    <x v="3"/>
    <x v="1"/>
    <n v="3"/>
    <x v="1"/>
    <x v="76"/>
    <m/>
    <x v="0"/>
  </r>
  <r>
    <x v="0"/>
    <x v="3"/>
    <x v="0"/>
    <n v="2"/>
    <x v="7"/>
    <x v="78"/>
    <m/>
    <x v="4"/>
  </r>
  <r>
    <x v="1"/>
    <x v="3"/>
    <x v="1"/>
    <n v="4"/>
    <x v="6"/>
    <x v="39"/>
    <m/>
    <x v="14"/>
  </r>
  <r>
    <x v="0"/>
    <x v="3"/>
    <x v="1"/>
    <n v="4"/>
    <x v="6"/>
    <x v="76"/>
    <m/>
    <x v="34"/>
  </r>
  <r>
    <x v="0"/>
    <x v="3"/>
    <x v="0"/>
    <n v="5"/>
    <x v="1"/>
    <x v="69"/>
    <m/>
    <x v="0"/>
  </r>
  <r>
    <x v="1"/>
    <x v="3"/>
    <x v="0"/>
    <n v="4"/>
    <x v="1"/>
    <x v="78"/>
    <m/>
    <x v="2"/>
  </r>
  <r>
    <x v="1"/>
    <x v="3"/>
    <x v="0"/>
    <n v="4"/>
    <x v="5"/>
    <x v="20"/>
    <m/>
    <x v="9"/>
  </r>
  <r>
    <x v="0"/>
    <x v="3"/>
    <x v="1"/>
    <n v="4"/>
    <x v="1"/>
    <x v="38"/>
    <m/>
    <x v="5"/>
  </r>
  <r>
    <x v="0"/>
    <x v="3"/>
    <x v="1"/>
    <n v="5"/>
    <x v="4"/>
    <x v="81"/>
    <m/>
    <x v="21"/>
  </r>
  <r>
    <x v="1"/>
    <x v="3"/>
    <x v="2"/>
    <n v="4"/>
    <x v="3"/>
    <x v="1"/>
    <m/>
    <x v="21"/>
  </r>
  <r>
    <x v="1"/>
    <x v="3"/>
    <x v="1"/>
    <n v="5"/>
    <x v="4"/>
    <x v="19"/>
    <m/>
    <x v="0"/>
  </r>
  <r>
    <x v="1"/>
    <x v="3"/>
    <x v="1"/>
    <n v="5"/>
    <x v="6"/>
    <x v="1"/>
    <m/>
    <x v="29"/>
  </r>
  <r>
    <x v="1"/>
    <x v="3"/>
    <x v="1"/>
    <n v="5"/>
    <x v="4"/>
    <x v="47"/>
    <m/>
    <x v="19"/>
  </r>
  <r>
    <x v="1"/>
    <x v="3"/>
    <x v="1"/>
    <n v="4"/>
    <x v="2"/>
    <x v="1"/>
    <m/>
    <x v="21"/>
  </r>
  <r>
    <x v="1"/>
    <x v="3"/>
    <x v="1"/>
    <n v="5"/>
    <x v="7"/>
    <x v="33"/>
    <m/>
    <x v="47"/>
  </r>
  <r>
    <x v="1"/>
    <x v="3"/>
    <x v="1"/>
    <n v="4"/>
    <x v="1"/>
    <x v="43"/>
    <m/>
    <x v="5"/>
  </r>
  <r>
    <x v="0"/>
    <x v="4"/>
    <x v="2"/>
    <n v="2"/>
    <x v="1"/>
    <x v="36"/>
    <m/>
    <x v="2"/>
  </r>
  <r>
    <x v="1"/>
    <x v="4"/>
    <x v="1"/>
    <n v="5"/>
    <x v="2"/>
    <x v="10"/>
    <m/>
    <x v="4"/>
  </r>
  <r>
    <x v="0"/>
    <x v="4"/>
    <x v="0"/>
    <n v="3"/>
    <x v="4"/>
    <x v="10"/>
    <m/>
    <x v="5"/>
  </r>
  <r>
    <x v="0"/>
    <x v="4"/>
    <x v="0"/>
    <n v="4"/>
    <x v="1"/>
    <x v="82"/>
    <m/>
    <x v="48"/>
  </r>
  <r>
    <x v="0"/>
    <x v="4"/>
    <x v="1"/>
    <n v="5"/>
    <x v="2"/>
    <x v="17"/>
    <m/>
    <x v="22"/>
  </r>
  <r>
    <x v="0"/>
    <x v="4"/>
    <x v="1"/>
    <n v="5"/>
    <x v="6"/>
    <x v="29"/>
    <m/>
    <x v="5"/>
  </r>
  <r>
    <x v="1"/>
    <x v="4"/>
    <x v="2"/>
    <n v="3"/>
    <x v="4"/>
    <x v="86"/>
    <m/>
    <x v="0"/>
  </r>
  <r>
    <x v="1"/>
    <x v="4"/>
    <x v="1"/>
    <n v="5"/>
    <x v="4"/>
    <x v="94"/>
    <m/>
    <x v="11"/>
  </r>
  <r>
    <x v="1"/>
    <x v="4"/>
    <x v="1"/>
    <n v="5"/>
    <x v="2"/>
    <x v="81"/>
    <m/>
    <x v="38"/>
  </r>
  <r>
    <x v="1"/>
    <x v="4"/>
    <x v="1"/>
    <n v="5"/>
    <x v="3"/>
    <x v="82"/>
    <m/>
    <x v="49"/>
  </r>
  <r>
    <x v="1"/>
    <x v="4"/>
    <x v="1"/>
    <n v="2"/>
    <x v="5"/>
    <x v="17"/>
    <m/>
    <x v="16"/>
  </r>
  <r>
    <x v="1"/>
    <x v="4"/>
    <x v="0"/>
    <n v="2"/>
    <x v="3"/>
    <x v="14"/>
    <m/>
    <x v="7"/>
  </r>
  <r>
    <x v="0"/>
    <x v="2"/>
    <x v="2"/>
    <n v="2"/>
    <x v="1"/>
    <x v="18"/>
    <m/>
    <x v="4"/>
  </r>
  <r>
    <x v="1"/>
    <x v="4"/>
    <x v="1"/>
    <n v="5"/>
    <x v="0"/>
    <x v="55"/>
    <m/>
    <x v="6"/>
  </r>
  <r>
    <x v="0"/>
    <x v="4"/>
    <x v="1"/>
    <n v="5"/>
    <x v="2"/>
    <x v="28"/>
    <m/>
    <x v="27"/>
  </r>
  <r>
    <x v="0"/>
    <x v="4"/>
    <x v="2"/>
    <n v="2"/>
    <x v="3"/>
    <x v="86"/>
    <m/>
    <x v="6"/>
  </r>
  <r>
    <x v="1"/>
    <x v="4"/>
    <x v="2"/>
    <n v="4"/>
    <x v="2"/>
    <x v="11"/>
    <m/>
    <x v="27"/>
  </r>
  <r>
    <x v="0"/>
    <x v="4"/>
    <x v="2"/>
    <n v="5"/>
    <x v="1"/>
    <x v="43"/>
    <m/>
    <x v="3"/>
  </r>
  <r>
    <x v="1"/>
    <x v="4"/>
    <x v="0"/>
    <n v="2"/>
    <x v="6"/>
    <x v="30"/>
    <m/>
    <x v="6"/>
  </r>
  <r>
    <x v="1"/>
    <x v="4"/>
    <x v="1"/>
    <n v="5"/>
    <x v="8"/>
    <x v="15"/>
    <m/>
    <x v="2"/>
  </r>
  <r>
    <x v="0"/>
    <x v="4"/>
    <x v="1"/>
    <n v="4"/>
    <x v="6"/>
    <x v="22"/>
    <m/>
    <x v="25"/>
  </r>
  <r>
    <x v="1"/>
    <x v="4"/>
    <x v="0"/>
    <n v="2"/>
    <x v="1"/>
    <x v="44"/>
    <m/>
    <x v="5"/>
  </r>
  <r>
    <x v="0"/>
    <x v="4"/>
    <x v="2"/>
    <n v="2"/>
    <x v="4"/>
    <x v="34"/>
    <m/>
    <x v="6"/>
  </r>
  <r>
    <x v="0"/>
    <x v="4"/>
    <x v="0"/>
    <n v="2"/>
    <x v="2"/>
    <x v="95"/>
    <m/>
    <x v="7"/>
  </r>
  <r>
    <x v="1"/>
    <x v="4"/>
    <x v="1"/>
    <n v="5"/>
    <x v="3"/>
    <x v="21"/>
    <m/>
    <x v="14"/>
  </r>
  <r>
    <x v="0"/>
    <x v="4"/>
    <x v="1"/>
    <n v="5"/>
    <x v="8"/>
    <x v="17"/>
    <m/>
    <x v="7"/>
  </r>
  <r>
    <x v="0"/>
    <x v="4"/>
    <x v="0"/>
    <n v="2"/>
    <x v="4"/>
    <x v="9"/>
    <m/>
    <x v="22"/>
  </r>
  <r>
    <x v="0"/>
    <x v="4"/>
    <x v="0"/>
    <n v="2"/>
    <x v="6"/>
    <x v="47"/>
    <m/>
    <x v="17"/>
  </r>
  <r>
    <x v="1"/>
    <x v="1"/>
    <x v="0"/>
    <n v="3"/>
    <x v="2"/>
    <x v="8"/>
    <m/>
    <x v="23"/>
  </r>
  <r>
    <x v="0"/>
    <x v="4"/>
    <x v="0"/>
    <n v="4"/>
    <x v="1"/>
    <x v="90"/>
    <m/>
    <x v="14"/>
  </r>
  <r>
    <x v="1"/>
    <x v="4"/>
    <x v="0"/>
    <n v="5"/>
    <x v="4"/>
    <x v="79"/>
    <m/>
    <x v="50"/>
  </r>
  <r>
    <x v="0"/>
    <x v="4"/>
    <x v="2"/>
    <n v="2"/>
    <x v="4"/>
    <x v="69"/>
    <m/>
    <x v="7"/>
  </r>
  <r>
    <x v="1"/>
    <x v="4"/>
    <x v="0"/>
    <n v="4"/>
    <x v="1"/>
    <x v="28"/>
    <m/>
    <x v="51"/>
  </r>
  <r>
    <x v="1"/>
    <x v="4"/>
    <x v="1"/>
    <n v="5"/>
    <x v="11"/>
    <x v="42"/>
    <m/>
    <x v="2"/>
  </r>
  <r>
    <x v="1"/>
    <x v="4"/>
    <x v="0"/>
    <n v="5"/>
    <x v="2"/>
    <x v="86"/>
    <m/>
    <x v="19"/>
  </r>
  <r>
    <x v="1"/>
    <x v="4"/>
    <x v="2"/>
    <n v="3"/>
    <x v="4"/>
    <x v="1"/>
    <m/>
    <x v="3"/>
  </r>
  <r>
    <x v="0"/>
    <x v="0"/>
    <x v="2"/>
    <n v="3"/>
    <x v="4"/>
    <x v="83"/>
    <m/>
    <x v="2"/>
  </r>
  <r>
    <x v="0"/>
    <x v="4"/>
    <x v="0"/>
    <n v="4"/>
    <x v="0"/>
    <x v="19"/>
    <m/>
    <x v="6"/>
  </r>
  <r>
    <x v="0"/>
    <x v="4"/>
    <x v="0"/>
    <n v="2"/>
    <x v="0"/>
    <x v="17"/>
    <m/>
    <x v="9"/>
  </r>
  <r>
    <x v="0"/>
    <x v="4"/>
    <x v="0"/>
    <n v="2"/>
    <x v="4"/>
    <x v="96"/>
    <m/>
    <x v="6"/>
  </r>
  <r>
    <x v="0"/>
    <x v="4"/>
    <x v="0"/>
    <n v="5"/>
    <x v="1"/>
    <x v="69"/>
    <m/>
    <x v="14"/>
  </r>
  <r>
    <x v="0"/>
    <x v="4"/>
    <x v="0"/>
    <n v="3"/>
    <x v="4"/>
    <x v="97"/>
    <m/>
    <x v="5"/>
  </r>
  <r>
    <x v="1"/>
    <x v="0"/>
    <x v="1"/>
    <n v="3"/>
    <x v="7"/>
    <x v="69"/>
    <m/>
    <x v="21"/>
  </r>
  <r>
    <x v="1"/>
    <x v="4"/>
    <x v="2"/>
    <n v="3"/>
    <x v="3"/>
    <x v="86"/>
    <m/>
    <x v="21"/>
  </r>
  <r>
    <x v="0"/>
    <x v="1"/>
    <x v="2"/>
    <n v="3"/>
    <x v="10"/>
    <x v="60"/>
    <m/>
    <x v="14"/>
  </r>
  <r>
    <x v="0"/>
    <x v="1"/>
    <x v="0"/>
    <n v="4"/>
    <x v="1"/>
    <x v="49"/>
    <m/>
    <x v="0"/>
  </r>
  <r>
    <x v="0"/>
    <x v="1"/>
    <x v="1"/>
    <n v="5"/>
    <x v="4"/>
    <x v="38"/>
    <m/>
    <x v="3"/>
  </r>
  <r>
    <x v="0"/>
    <x v="1"/>
    <x v="1"/>
    <n v="5"/>
    <x v="5"/>
    <x v="7"/>
    <m/>
    <x v="3"/>
  </r>
  <r>
    <x v="1"/>
    <x v="1"/>
    <x v="1"/>
    <n v="5"/>
    <x v="1"/>
    <x v="1"/>
    <m/>
    <x v="1"/>
  </r>
  <r>
    <x v="0"/>
    <x v="1"/>
    <x v="0"/>
    <n v="3"/>
    <x v="2"/>
    <x v="98"/>
    <m/>
    <x v="6"/>
  </r>
  <r>
    <x v="1"/>
    <x v="1"/>
    <x v="1"/>
    <n v="5"/>
    <x v="4"/>
    <x v="59"/>
    <m/>
    <x v="6"/>
  </r>
  <r>
    <x v="0"/>
    <x v="0"/>
    <x v="1"/>
    <n v="4"/>
    <x v="9"/>
    <x v="99"/>
    <m/>
    <x v="17"/>
  </r>
  <r>
    <x v="0"/>
    <x v="1"/>
    <x v="0"/>
    <n v="3"/>
    <x v="1"/>
    <x v="1"/>
    <m/>
    <x v="9"/>
  </r>
  <r>
    <x v="1"/>
    <x v="4"/>
    <x v="1"/>
    <n v="4"/>
    <x v="4"/>
    <x v="8"/>
    <m/>
    <x v="7"/>
  </r>
  <r>
    <x v="1"/>
    <x v="1"/>
    <x v="1"/>
    <n v="5"/>
    <x v="6"/>
    <x v="1"/>
    <m/>
    <x v="9"/>
  </r>
  <r>
    <x v="0"/>
    <x v="1"/>
    <x v="0"/>
    <n v="4"/>
    <x v="3"/>
    <x v="19"/>
    <m/>
    <x v="6"/>
  </r>
  <r>
    <x v="1"/>
    <x v="1"/>
    <x v="0"/>
    <n v="4"/>
    <x v="3"/>
    <x v="100"/>
    <m/>
    <x v="11"/>
  </r>
  <r>
    <x v="1"/>
    <x v="1"/>
    <x v="1"/>
    <n v="4"/>
    <x v="0"/>
    <x v="82"/>
    <m/>
    <x v="0"/>
  </r>
  <r>
    <x v="1"/>
    <x v="1"/>
    <x v="1"/>
    <n v="4"/>
    <x v="10"/>
    <x v="101"/>
    <m/>
    <x v="7"/>
  </r>
  <r>
    <x v="1"/>
    <x v="3"/>
    <x v="1"/>
    <n v="5"/>
    <x v="3"/>
    <x v="57"/>
    <m/>
    <x v="5"/>
  </r>
  <r>
    <x v="1"/>
    <x v="3"/>
    <x v="0"/>
    <n v="5"/>
    <x v="6"/>
    <x v="39"/>
    <m/>
    <x v="4"/>
  </r>
  <r>
    <x v="1"/>
    <x v="3"/>
    <x v="0"/>
    <n v="3"/>
    <x v="3"/>
    <x v="22"/>
    <m/>
    <x v="14"/>
  </r>
  <r>
    <x v="0"/>
    <x v="3"/>
    <x v="1"/>
    <n v="5"/>
    <x v="2"/>
    <x v="89"/>
    <m/>
    <x v="3"/>
  </r>
  <r>
    <x v="1"/>
    <x v="3"/>
    <x v="0"/>
    <n v="4"/>
    <x v="7"/>
    <x v="68"/>
    <m/>
    <x v="14"/>
  </r>
  <r>
    <x v="1"/>
    <x v="3"/>
    <x v="0"/>
    <n v="5"/>
    <x v="9"/>
    <x v="102"/>
    <m/>
    <x v="14"/>
  </r>
  <r>
    <x v="1"/>
    <x v="3"/>
    <x v="0"/>
    <n v="5"/>
    <x v="4"/>
    <x v="18"/>
    <m/>
    <x v="52"/>
  </r>
  <r>
    <x v="1"/>
    <x v="3"/>
    <x v="1"/>
    <n v="5"/>
    <x v="6"/>
    <x v="23"/>
    <m/>
    <x v="9"/>
  </r>
  <r>
    <x v="1"/>
    <x v="3"/>
    <x v="1"/>
    <n v="5"/>
    <x v="7"/>
    <x v="94"/>
    <m/>
    <x v="7"/>
  </r>
  <r>
    <x v="0"/>
    <x v="3"/>
    <x v="1"/>
    <n v="5"/>
    <x v="0"/>
    <x v="94"/>
    <m/>
    <x v="4"/>
  </r>
  <r>
    <x v="1"/>
    <x v="3"/>
    <x v="0"/>
    <n v="4"/>
    <x v="6"/>
    <x v="50"/>
    <m/>
    <x v="38"/>
  </r>
  <r>
    <x v="1"/>
    <x v="3"/>
    <x v="0"/>
    <n v="5"/>
    <x v="7"/>
    <x v="52"/>
    <m/>
    <x v="14"/>
  </r>
  <r>
    <x v="1"/>
    <x v="3"/>
    <x v="1"/>
    <n v="5"/>
    <x v="4"/>
    <x v="61"/>
    <m/>
    <x v="46"/>
  </r>
  <r>
    <x v="1"/>
    <x v="3"/>
    <x v="1"/>
    <n v="5"/>
    <x v="9"/>
    <x v="42"/>
    <m/>
    <x v="53"/>
  </r>
  <r>
    <x v="0"/>
    <x v="3"/>
    <x v="0"/>
    <n v="5"/>
    <x v="1"/>
    <x v="49"/>
    <m/>
    <x v="27"/>
  </r>
  <r>
    <x v="0"/>
    <x v="3"/>
    <x v="1"/>
    <n v="4"/>
    <x v="0"/>
    <x v="88"/>
    <m/>
    <x v="4"/>
  </r>
  <r>
    <x v="0"/>
    <x v="3"/>
    <x v="1"/>
    <n v="5"/>
    <x v="1"/>
    <x v="49"/>
    <m/>
    <x v="4"/>
  </r>
  <r>
    <x v="1"/>
    <x v="3"/>
    <x v="1"/>
    <n v="5"/>
    <x v="3"/>
    <x v="40"/>
    <m/>
    <x v="3"/>
  </r>
  <r>
    <x v="1"/>
    <x v="3"/>
    <x v="0"/>
    <n v="4"/>
    <x v="6"/>
    <x v="21"/>
    <m/>
    <x v="2"/>
  </r>
  <r>
    <x v="0"/>
    <x v="3"/>
    <x v="1"/>
    <n v="5"/>
    <x v="0"/>
    <x v="51"/>
    <m/>
    <x v="4"/>
  </r>
  <r>
    <x v="1"/>
    <x v="3"/>
    <x v="0"/>
    <n v="4"/>
    <x v="4"/>
    <x v="39"/>
    <m/>
    <x v="4"/>
  </r>
  <r>
    <x v="0"/>
    <x v="3"/>
    <x v="1"/>
    <n v="5"/>
    <x v="6"/>
    <x v="48"/>
    <m/>
    <x v="5"/>
  </r>
  <r>
    <x v="1"/>
    <x v="3"/>
    <x v="1"/>
    <n v="5"/>
    <x v="3"/>
    <x v="51"/>
    <m/>
    <x v="37"/>
  </r>
  <r>
    <x v="0"/>
    <x v="3"/>
    <x v="1"/>
    <n v="4"/>
    <x v="6"/>
    <x v="2"/>
    <m/>
    <x v="38"/>
  </r>
  <r>
    <x v="1"/>
    <x v="3"/>
    <x v="1"/>
    <n v="5"/>
    <x v="4"/>
    <x v="33"/>
    <m/>
    <x v="38"/>
  </r>
  <r>
    <x v="0"/>
    <x v="3"/>
    <x v="1"/>
    <n v="5"/>
    <x v="0"/>
    <x v="33"/>
    <m/>
    <x v="6"/>
  </r>
  <r>
    <x v="1"/>
    <x v="3"/>
    <x v="1"/>
    <n v="4"/>
    <x v="1"/>
    <x v="31"/>
    <m/>
    <x v="14"/>
  </r>
  <r>
    <x v="1"/>
    <x v="3"/>
    <x v="0"/>
    <n v="4"/>
    <x v="2"/>
    <x v="42"/>
    <m/>
    <x v="4"/>
  </r>
  <r>
    <x v="1"/>
    <x v="3"/>
    <x v="1"/>
    <n v="5"/>
    <x v="6"/>
    <x v="30"/>
    <m/>
    <x v="27"/>
  </r>
  <r>
    <x v="1"/>
    <x v="3"/>
    <x v="0"/>
    <n v="4"/>
    <x v="6"/>
    <x v="80"/>
    <m/>
    <x v="34"/>
  </r>
  <r>
    <x v="0"/>
    <x v="3"/>
    <x v="1"/>
    <n v="5"/>
    <x v="1"/>
    <x v="67"/>
    <m/>
    <x v="9"/>
  </r>
  <r>
    <x v="0"/>
    <x v="3"/>
    <x v="0"/>
    <n v="4"/>
    <x v="7"/>
    <x v="60"/>
    <m/>
    <x v="14"/>
  </r>
  <r>
    <x v="1"/>
    <x v="3"/>
    <x v="1"/>
    <n v="5"/>
    <x v="11"/>
    <x v="53"/>
    <m/>
    <x v="7"/>
  </r>
  <r>
    <x v="1"/>
    <x v="3"/>
    <x v="1"/>
    <n v="4"/>
    <x v="1"/>
    <x v="49"/>
    <m/>
    <x v="14"/>
  </r>
  <r>
    <x v="0"/>
    <x v="3"/>
    <x v="1"/>
    <n v="5"/>
    <x v="6"/>
    <x v="54"/>
    <m/>
    <x v="21"/>
  </r>
  <r>
    <x v="1"/>
    <x v="3"/>
    <x v="0"/>
    <n v="5"/>
    <x v="4"/>
    <x v="64"/>
    <m/>
    <x v="5"/>
  </r>
  <r>
    <x v="1"/>
    <x v="3"/>
    <x v="0"/>
    <n v="4"/>
    <x v="1"/>
    <x v="97"/>
    <m/>
    <x v="48"/>
  </r>
  <r>
    <x v="1"/>
    <x v="3"/>
    <x v="0"/>
    <n v="5"/>
    <x v="3"/>
    <x v="63"/>
    <m/>
    <x v="38"/>
  </r>
  <r>
    <x v="1"/>
    <x v="3"/>
    <x v="2"/>
    <n v="5"/>
    <x v="4"/>
    <x v="46"/>
    <m/>
    <x v="1"/>
  </r>
  <r>
    <x v="1"/>
    <x v="3"/>
    <x v="2"/>
    <n v="4"/>
    <x v="1"/>
    <x v="3"/>
    <m/>
    <x v="16"/>
  </r>
  <r>
    <x v="1"/>
    <x v="3"/>
    <x v="1"/>
    <n v="5"/>
    <x v="1"/>
    <x v="34"/>
    <m/>
    <x v="0"/>
  </r>
  <r>
    <x v="1"/>
    <x v="3"/>
    <x v="1"/>
    <n v="5"/>
    <x v="6"/>
    <x v="39"/>
    <m/>
    <x v="7"/>
  </r>
  <r>
    <x v="1"/>
    <x v="3"/>
    <x v="1"/>
    <n v="5"/>
    <x v="4"/>
    <x v="40"/>
    <m/>
    <x v="5"/>
  </r>
  <r>
    <x v="1"/>
    <x v="3"/>
    <x v="1"/>
    <n v="4"/>
    <x v="6"/>
    <x v="33"/>
    <m/>
    <x v="14"/>
  </r>
  <r>
    <x v="0"/>
    <x v="3"/>
    <x v="1"/>
    <n v="5"/>
    <x v="12"/>
    <x v="42"/>
    <m/>
    <x v="21"/>
  </r>
  <r>
    <x v="1"/>
    <x v="3"/>
    <x v="0"/>
    <n v="5"/>
    <x v="7"/>
    <x v="49"/>
    <m/>
    <x v="27"/>
  </r>
  <r>
    <x v="1"/>
    <x v="3"/>
    <x v="0"/>
    <n v="5"/>
    <x v="2"/>
    <x v="34"/>
    <m/>
    <x v="5"/>
  </r>
  <r>
    <x v="0"/>
    <x v="3"/>
    <x v="1"/>
    <n v="5"/>
    <x v="6"/>
    <x v="70"/>
    <m/>
    <x v="27"/>
  </r>
  <r>
    <x v="1"/>
    <x v="3"/>
    <x v="1"/>
    <n v="4"/>
    <x v="6"/>
    <x v="3"/>
    <m/>
    <x v="11"/>
  </r>
  <r>
    <x v="1"/>
    <x v="3"/>
    <x v="1"/>
    <n v="5"/>
    <x v="1"/>
    <x v="93"/>
    <m/>
    <x v="1"/>
  </r>
  <r>
    <x v="1"/>
    <x v="3"/>
    <x v="1"/>
    <n v="4"/>
    <x v="0"/>
    <x v="42"/>
    <m/>
    <x v="7"/>
  </r>
  <r>
    <x v="1"/>
    <x v="3"/>
    <x v="0"/>
    <n v="4"/>
    <x v="1"/>
    <x v="34"/>
    <m/>
    <x v="22"/>
  </r>
  <r>
    <x v="1"/>
    <x v="3"/>
    <x v="1"/>
    <n v="5"/>
    <x v="2"/>
    <x v="22"/>
    <m/>
    <x v="6"/>
  </r>
  <r>
    <x v="1"/>
    <x v="3"/>
    <x v="0"/>
    <n v="4"/>
    <x v="2"/>
    <x v="61"/>
    <m/>
    <x v="21"/>
  </r>
  <r>
    <x v="1"/>
    <x v="3"/>
    <x v="2"/>
    <n v="4"/>
    <x v="3"/>
    <x v="33"/>
    <m/>
    <x v="4"/>
  </r>
  <r>
    <x v="1"/>
    <x v="3"/>
    <x v="1"/>
    <n v="4"/>
    <x v="2"/>
    <x v="69"/>
    <m/>
    <x v="38"/>
  </r>
  <r>
    <x v="1"/>
    <x v="5"/>
    <x v="0"/>
    <n v="5"/>
    <x v="1"/>
    <x v="63"/>
    <m/>
    <x v="7"/>
  </r>
  <r>
    <x v="0"/>
    <x v="5"/>
    <x v="1"/>
    <n v="5"/>
    <x v="4"/>
    <x v="74"/>
    <m/>
    <x v="4"/>
  </r>
  <r>
    <x v="1"/>
    <x v="5"/>
    <x v="1"/>
    <n v="5"/>
    <x v="0"/>
    <x v="50"/>
    <m/>
    <x v="38"/>
  </r>
  <r>
    <x v="1"/>
    <x v="3"/>
    <x v="1"/>
    <n v="5"/>
    <x v="0"/>
    <x v="103"/>
    <m/>
    <x v="14"/>
  </r>
  <r>
    <x v="1"/>
    <x v="3"/>
    <x v="1"/>
    <n v="5"/>
    <x v="2"/>
    <x v="104"/>
    <m/>
    <x v="9"/>
  </r>
  <r>
    <x v="1"/>
    <x v="3"/>
    <x v="1"/>
    <n v="5"/>
    <x v="0"/>
    <x v="51"/>
    <m/>
    <x v="9"/>
  </r>
  <r>
    <x v="1"/>
    <x v="3"/>
    <x v="1"/>
    <n v="5"/>
    <x v="2"/>
    <x v="0"/>
    <m/>
    <x v="1"/>
  </r>
  <r>
    <x v="1"/>
    <x v="3"/>
    <x v="0"/>
    <n v="2"/>
    <x v="11"/>
    <x v="56"/>
    <m/>
    <x v="9"/>
  </r>
  <r>
    <x v="0"/>
    <x v="3"/>
    <x v="0"/>
    <n v="4"/>
    <x v="6"/>
    <x v="3"/>
    <m/>
    <x v="4"/>
  </r>
  <r>
    <x v="0"/>
    <x v="3"/>
    <x v="1"/>
    <n v="5"/>
    <x v="3"/>
    <x v="80"/>
    <m/>
    <x v="27"/>
  </r>
  <r>
    <x v="1"/>
    <x v="5"/>
    <x v="0"/>
    <n v="4"/>
    <x v="3"/>
    <x v="53"/>
    <m/>
    <x v="0"/>
  </r>
  <r>
    <x v="0"/>
    <x v="5"/>
    <x v="1"/>
    <n v="4"/>
    <x v="0"/>
    <x v="21"/>
    <m/>
    <x v="7"/>
  </r>
  <r>
    <x v="1"/>
    <x v="5"/>
    <x v="0"/>
    <n v="2"/>
    <x v="2"/>
    <x v="10"/>
    <m/>
    <x v="5"/>
  </r>
  <r>
    <x v="1"/>
    <x v="5"/>
    <x v="2"/>
    <n v="4"/>
    <x v="6"/>
    <x v="89"/>
    <m/>
    <x v="17"/>
  </r>
  <r>
    <x v="0"/>
    <x v="5"/>
    <x v="1"/>
    <n v="4"/>
    <x v="7"/>
    <x v="86"/>
    <m/>
    <x v="5"/>
  </r>
  <r>
    <x v="1"/>
    <x v="5"/>
    <x v="0"/>
    <n v="2"/>
    <x v="0"/>
    <x v="69"/>
    <m/>
    <x v="14"/>
  </r>
  <r>
    <x v="1"/>
    <x v="5"/>
    <x v="1"/>
    <n v="4"/>
    <x v="6"/>
    <x v="30"/>
    <m/>
    <x v="9"/>
  </r>
  <r>
    <x v="1"/>
    <x v="5"/>
    <x v="0"/>
    <n v="4"/>
    <x v="1"/>
    <x v="28"/>
    <m/>
    <x v="7"/>
  </r>
  <r>
    <x v="1"/>
    <x v="5"/>
    <x v="0"/>
    <n v="3"/>
    <x v="2"/>
    <x v="1"/>
    <m/>
    <x v="6"/>
  </r>
  <r>
    <x v="1"/>
    <x v="5"/>
    <x v="0"/>
    <n v="4"/>
    <x v="2"/>
    <x v="31"/>
    <m/>
    <x v="0"/>
  </r>
  <r>
    <x v="1"/>
    <x v="5"/>
    <x v="0"/>
    <n v="3"/>
    <x v="6"/>
    <x v="39"/>
    <m/>
    <x v="4"/>
  </r>
  <r>
    <x v="1"/>
    <x v="5"/>
    <x v="0"/>
    <n v="3"/>
    <x v="2"/>
    <x v="74"/>
    <m/>
    <x v="5"/>
  </r>
  <r>
    <x v="0"/>
    <x v="5"/>
    <x v="0"/>
    <n v="4"/>
    <x v="1"/>
    <x v="41"/>
    <m/>
    <x v="6"/>
  </r>
  <r>
    <x v="0"/>
    <x v="5"/>
    <x v="1"/>
    <n v="5"/>
    <x v="2"/>
    <x v="25"/>
    <m/>
    <x v="5"/>
  </r>
  <r>
    <x v="1"/>
    <x v="5"/>
    <x v="0"/>
    <n v="5"/>
    <x v="2"/>
    <x v="70"/>
    <m/>
    <x v="9"/>
  </r>
  <r>
    <x v="1"/>
    <x v="5"/>
    <x v="1"/>
    <n v="5"/>
    <x v="0"/>
    <x v="30"/>
    <m/>
    <x v="2"/>
  </r>
  <r>
    <x v="1"/>
    <x v="5"/>
    <x v="0"/>
    <n v="5"/>
    <x v="0"/>
    <x v="0"/>
    <m/>
    <x v="21"/>
  </r>
  <r>
    <x v="0"/>
    <x v="5"/>
    <x v="0"/>
    <n v="3"/>
    <x v="5"/>
    <x v="42"/>
    <m/>
    <x v="4"/>
  </r>
  <r>
    <x v="1"/>
    <x v="5"/>
    <x v="0"/>
    <n v="5"/>
    <x v="2"/>
    <x v="39"/>
    <m/>
    <x v="27"/>
  </r>
  <r>
    <x v="1"/>
    <x v="5"/>
    <x v="0"/>
    <n v="4"/>
    <x v="4"/>
    <x v="48"/>
    <m/>
    <x v="7"/>
  </r>
  <r>
    <x v="1"/>
    <x v="5"/>
    <x v="0"/>
    <n v="5"/>
    <x v="2"/>
    <x v="50"/>
    <m/>
    <x v="0"/>
  </r>
  <r>
    <x v="0"/>
    <x v="5"/>
    <x v="0"/>
    <n v="5"/>
    <x v="0"/>
    <x v="39"/>
    <m/>
    <x v="0"/>
  </r>
  <r>
    <x v="0"/>
    <x v="5"/>
    <x v="0"/>
    <n v="5"/>
    <x v="3"/>
    <x v="0"/>
    <m/>
    <x v="5"/>
  </r>
  <r>
    <x v="1"/>
    <x v="5"/>
    <x v="0"/>
    <n v="3"/>
    <x v="6"/>
    <x v="31"/>
    <m/>
    <x v="9"/>
  </r>
  <r>
    <x v="1"/>
    <x v="5"/>
    <x v="1"/>
    <n v="5"/>
    <x v="7"/>
    <x v="53"/>
    <m/>
    <x v="14"/>
  </r>
  <r>
    <x v="0"/>
    <x v="5"/>
    <x v="0"/>
    <n v="4"/>
    <x v="6"/>
    <x v="49"/>
    <m/>
    <x v="6"/>
  </r>
  <r>
    <x v="0"/>
    <x v="5"/>
    <x v="1"/>
    <n v="5"/>
    <x v="2"/>
    <x v="40"/>
    <m/>
    <x v="5"/>
  </r>
  <r>
    <x v="1"/>
    <x v="5"/>
    <x v="0"/>
    <n v="5"/>
    <x v="0"/>
    <x v="0"/>
    <m/>
    <x v="2"/>
  </r>
  <r>
    <x v="0"/>
    <x v="5"/>
    <x v="1"/>
    <n v="5"/>
    <x v="6"/>
    <x v="67"/>
    <m/>
    <x v="14"/>
  </r>
  <r>
    <x v="1"/>
    <x v="5"/>
    <x v="0"/>
    <n v="4"/>
    <x v="6"/>
    <x v="83"/>
    <m/>
    <x v="0"/>
  </r>
  <r>
    <x v="0"/>
    <x v="5"/>
    <x v="0"/>
    <n v="4"/>
    <x v="2"/>
    <x v="22"/>
    <m/>
    <x v="54"/>
  </r>
  <r>
    <x v="1"/>
    <x v="5"/>
    <x v="1"/>
    <n v="4"/>
    <x v="1"/>
    <x v="0"/>
    <m/>
    <x v="9"/>
  </r>
  <r>
    <x v="0"/>
    <x v="5"/>
    <x v="0"/>
    <n v="5"/>
    <x v="2"/>
    <x v="3"/>
    <m/>
    <x v="6"/>
  </r>
  <r>
    <x v="1"/>
    <x v="5"/>
    <x v="0"/>
    <n v="4"/>
    <x v="3"/>
    <x v="5"/>
    <m/>
    <x v="5"/>
  </r>
  <r>
    <x v="1"/>
    <x v="5"/>
    <x v="0"/>
    <n v="4"/>
    <x v="3"/>
    <x v="40"/>
    <m/>
    <x v="7"/>
  </r>
  <r>
    <x v="1"/>
    <x v="5"/>
    <x v="1"/>
    <n v="5"/>
    <x v="7"/>
    <x v="41"/>
    <m/>
    <x v="2"/>
  </r>
  <r>
    <x v="1"/>
    <x v="5"/>
    <x v="1"/>
    <n v="3"/>
    <x v="0"/>
    <x v="53"/>
    <m/>
    <x v="9"/>
  </r>
  <r>
    <x v="1"/>
    <x v="3"/>
    <x v="0"/>
    <n v="4"/>
    <x v="7"/>
    <x v="41"/>
    <m/>
    <x v="5"/>
  </r>
  <r>
    <x v="1"/>
    <x v="5"/>
    <x v="0"/>
    <n v="5"/>
    <x v="2"/>
    <x v="53"/>
    <m/>
    <x v="7"/>
  </r>
  <r>
    <x v="1"/>
    <x v="5"/>
    <x v="2"/>
    <n v="3"/>
    <x v="6"/>
    <x v="42"/>
    <m/>
    <x v="4"/>
  </r>
  <r>
    <x v="1"/>
    <x v="5"/>
    <x v="0"/>
    <n v="4"/>
    <x v="2"/>
    <x v="79"/>
    <m/>
    <x v="0"/>
  </r>
  <r>
    <x v="0"/>
    <x v="5"/>
    <x v="0"/>
    <n v="5"/>
    <x v="2"/>
    <x v="30"/>
    <m/>
    <x v="4"/>
  </r>
  <r>
    <x v="1"/>
    <x v="5"/>
    <x v="1"/>
    <n v="4"/>
    <x v="2"/>
    <x v="0"/>
    <m/>
    <x v="6"/>
  </r>
  <r>
    <x v="1"/>
    <x v="5"/>
    <x v="1"/>
    <n v="5"/>
    <x v="6"/>
    <x v="3"/>
    <m/>
    <x v="0"/>
  </r>
  <r>
    <x v="0"/>
    <x v="5"/>
    <x v="0"/>
    <n v="3"/>
    <x v="7"/>
    <x v="41"/>
    <m/>
    <x v="6"/>
  </r>
  <r>
    <x v="0"/>
    <x v="5"/>
    <x v="0"/>
    <n v="4"/>
    <x v="6"/>
    <x v="102"/>
    <m/>
    <x v="7"/>
  </r>
  <r>
    <x v="1"/>
    <x v="5"/>
    <x v="0"/>
    <n v="5"/>
    <x v="1"/>
    <x v="65"/>
    <m/>
    <x v="6"/>
  </r>
  <r>
    <x v="1"/>
    <x v="5"/>
    <x v="1"/>
    <n v="5"/>
    <x v="0"/>
    <x v="41"/>
    <m/>
    <x v="9"/>
  </r>
  <r>
    <x v="1"/>
    <x v="5"/>
    <x v="0"/>
    <n v="5"/>
    <x v="1"/>
    <x v="49"/>
    <m/>
    <x v="0"/>
  </r>
  <r>
    <x v="1"/>
    <x v="5"/>
    <x v="0"/>
    <n v="5"/>
    <x v="6"/>
    <x v="53"/>
    <m/>
    <x v="5"/>
  </r>
  <r>
    <x v="0"/>
    <x v="5"/>
    <x v="0"/>
    <n v="5"/>
    <x v="2"/>
    <x v="40"/>
    <m/>
    <x v="0"/>
  </r>
  <r>
    <x v="0"/>
    <x v="5"/>
    <x v="0"/>
    <n v="4"/>
    <x v="0"/>
    <x v="61"/>
    <m/>
    <x v="7"/>
  </r>
  <r>
    <x v="1"/>
    <x v="5"/>
    <x v="0"/>
    <n v="5"/>
    <x v="2"/>
    <x v="3"/>
    <m/>
    <x v="7"/>
  </r>
  <r>
    <x v="1"/>
    <x v="5"/>
    <x v="1"/>
    <n v="5"/>
    <x v="1"/>
    <x v="54"/>
    <m/>
    <x v="38"/>
  </r>
  <r>
    <x v="1"/>
    <x v="5"/>
    <x v="1"/>
    <n v="5"/>
    <x v="4"/>
    <x v="81"/>
    <m/>
    <x v="8"/>
  </r>
  <r>
    <x v="1"/>
    <x v="5"/>
    <x v="1"/>
    <n v="4"/>
    <x v="4"/>
    <x v="3"/>
    <m/>
    <x v="1"/>
  </r>
  <r>
    <x v="1"/>
    <x v="3"/>
    <x v="1"/>
    <n v="4"/>
    <x v="1"/>
    <x v="31"/>
    <m/>
    <x v="1"/>
  </r>
  <r>
    <x v="0"/>
    <x v="3"/>
    <x v="1"/>
    <n v="5"/>
    <x v="2"/>
    <x v="67"/>
    <m/>
    <x v="0"/>
  </r>
  <r>
    <x v="1"/>
    <x v="5"/>
    <x v="1"/>
    <n v="5"/>
    <x v="1"/>
    <x v="51"/>
    <m/>
    <x v="5"/>
  </r>
  <r>
    <x v="0"/>
    <x v="5"/>
    <x v="0"/>
    <n v="5"/>
    <x v="1"/>
    <x v="40"/>
    <m/>
    <x v="9"/>
  </r>
  <r>
    <x v="1"/>
    <x v="3"/>
    <x v="1"/>
    <n v="5"/>
    <x v="1"/>
    <x v="46"/>
    <m/>
    <x v="27"/>
  </r>
  <r>
    <x v="0"/>
    <x v="5"/>
    <x v="0"/>
    <n v="5"/>
    <x v="1"/>
    <x v="51"/>
    <m/>
    <x v="9"/>
  </r>
  <r>
    <x v="1"/>
    <x v="5"/>
    <x v="1"/>
    <n v="5"/>
    <x v="1"/>
    <x v="30"/>
    <m/>
    <x v="7"/>
  </r>
  <r>
    <x v="0"/>
    <x v="5"/>
    <x v="1"/>
    <n v="5"/>
    <x v="7"/>
    <x v="41"/>
    <m/>
    <x v="7"/>
  </r>
  <r>
    <x v="0"/>
    <x v="5"/>
    <x v="0"/>
    <n v="5"/>
    <x v="6"/>
    <x v="2"/>
    <m/>
    <x v="9"/>
  </r>
  <r>
    <x v="0"/>
    <x v="5"/>
    <x v="0"/>
    <n v="5"/>
    <x v="1"/>
    <x v="54"/>
    <m/>
    <x v="3"/>
  </r>
  <r>
    <x v="0"/>
    <x v="5"/>
    <x v="0"/>
    <n v="3"/>
    <x v="1"/>
    <x v="39"/>
    <m/>
    <x v="4"/>
  </r>
  <r>
    <x v="0"/>
    <x v="3"/>
    <x v="1"/>
    <n v="5"/>
    <x v="2"/>
    <x v="59"/>
    <m/>
    <x v="6"/>
  </r>
  <r>
    <x v="1"/>
    <x v="5"/>
    <x v="0"/>
    <n v="4"/>
    <x v="7"/>
    <x v="64"/>
    <m/>
    <x v="14"/>
  </r>
  <r>
    <x v="1"/>
    <x v="5"/>
    <x v="0"/>
    <n v="5"/>
    <x v="0"/>
    <x v="39"/>
    <m/>
    <x v="9"/>
  </r>
  <r>
    <x v="1"/>
    <x v="5"/>
    <x v="0"/>
    <n v="4"/>
    <x v="1"/>
    <x v="54"/>
    <m/>
    <x v="7"/>
  </r>
  <r>
    <x v="1"/>
    <x v="3"/>
    <x v="0"/>
    <n v="5"/>
    <x v="2"/>
    <x v="105"/>
    <m/>
    <x v="11"/>
  </r>
  <r>
    <x v="0"/>
    <x v="5"/>
    <x v="1"/>
    <n v="4"/>
    <x v="6"/>
    <x v="3"/>
    <m/>
    <x v="27"/>
  </r>
  <r>
    <x v="0"/>
    <x v="5"/>
    <x v="0"/>
    <n v="4"/>
    <x v="7"/>
    <x v="33"/>
    <m/>
    <x v="6"/>
  </r>
  <r>
    <x v="1"/>
    <x v="5"/>
    <x v="1"/>
    <n v="5"/>
    <x v="0"/>
    <x v="6"/>
    <m/>
    <x v="5"/>
  </r>
  <r>
    <x v="0"/>
    <x v="5"/>
    <x v="0"/>
    <n v="4"/>
    <x v="2"/>
    <x v="49"/>
    <m/>
    <x v="21"/>
  </r>
  <r>
    <x v="0"/>
    <x v="5"/>
    <x v="1"/>
    <n v="5"/>
    <x v="3"/>
    <x v="30"/>
    <m/>
    <x v="6"/>
  </r>
  <r>
    <x v="1"/>
    <x v="5"/>
    <x v="0"/>
    <n v="5"/>
    <x v="2"/>
    <x v="50"/>
    <m/>
    <x v="4"/>
  </r>
  <r>
    <x v="1"/>
    <x v="5"/>
    <x v="0"/>
    <n v="5"/>
    <x v="1"/>
    <x v="39"/>
    <m/>
    <x v="5"/>
  </r>
  <r>
    <x v="1"/>
    <x v="5"/>
    <x v="0"/>
    <n v="5"/>
    <x v="11"/>
    <x v="50"/>
    <m/>
    <x v="3"/>
  </r>
  <r>
    <x v="0"/>
    <x v="3"/>
    <x v="1"/>
    <n v="5"/>
    <x v="2"/>
    <x v="52"/>
    <m/>
    <x v="7"/>
  </r>
  <r>
    <x v="0"/>
    <x v="5"/>
    <x v="1"/>
    <n v="5"/>
    <x v="3"/>
    <x v="74"/>
    <m/>
    <x v="4"/>
  </r>
  <r>
    <x v="1"/>
    <x v="5"/>
    <x v="2"/>
    <n v="3"/>
    <x v="7"/>
    <x v="87"/>
    <m/>
    <x v="5"/>
  </r>
  <r>
    <x v="1"/>
    <x v="5"/>
    <x v="0"/>
    <n v="5"/>
    <x v="0"/>
    <x v="62"/>
    <m/>
    <x v="2"/>
  </r>
  <r>
    <x v="0"/>
    <x v="5"/>
    <x v="0"/>
    <n v="4"/>
    <x v="4"/>
    <x v="57"/>
    <m/>
    <x v="26"/>
  </r>
  <r>
    <x v="0"/>
    <x v="5"/>
    <x v="1"/>
    <n v="4"/>
    <x v="3"/>
    <x v="69"/>
    <m/>
    <x v="4"/>
  </r>
  <r>
    <x v="1"/>
    <x v="5"/>
    <x v="1"/>
    <n v="5"/>
    <x v="4"/>
    <x v="39"/>
    <m/>
    <x v="5"/>
  </r>
  <r>
    <x v="1"/>
    <x v="5"/>
    <x v="0"/>
    <n v="4"/>
    <x v="6"/>
    <x v="79"/>
    <m/>
    <x v="0"/>
  </r>
  <r>
    <x v="1"/>
    <x v="5"/>
    <x v="0"/>
    <n v="4"/>
    <x v="1"/>
    <x v="61"/>
    <m/>
    <x v="38"/>
  </r>
  <r>
    <x v="1"/>
    <x v="5"/>
    <x v="1"/>
    <n v="5"/>
    <x v="0"/>
    <x v="44"/>
    <m/>
    <x v="7"/>
  </r>
  <r>
    <x v="1"/>
    <x v="5"/>
    <x v="1"/>
    <n v="5"/>
    <x v="8"/>
    <x v="45"/>
    <m/>
    <x v="7"/>
  </r>
  <r>
    <x v="1"/>
    <x v="5"/>
    <x v="0"/>
    <n v="5"/>
    <x v="2"/>
    <x v="50"/>
    <m/>
    <x v="0"/>
  </r>
  <r>
    <x v="1"/>
    <x v="5"/>
    <x v="1"/>
    <n v="4"/>
    <x v="6"/>
    <x v="30"/>
    <m/>
    <x v="19"/>
  </r>
  <r>
    <x v="0"/>
    <x v="5"/>
    <x v="0"/>
    <n v="5"/>
    <x v="6"/>
    <x v="49"/>
    <m/>
    <x v="5"/>
  </r>
  <r>
    <x v="0"/>
    <x v="5"/>
    <x v="0"/>
    <n v="4"/>
    <x v="1"/>
    <x v="61"/>
    <m/>
    <x v="6"/>
  </r>
  <r>
    <x v="1"/>
    <x v="5"/>
    <x v="0"/>
    <n v="5"/>
    <x v="9"/>
    <x v="7"/>
    <m/>
    <x v="16"/>
  </r>
  <r>
    <x v="1"/>
    <x v="5"/>
    <x v="0"/>
    <n v="2"/>
    <x v="6"/>
    <x v="0"/>
    <m/>
    <x v="9"/>
  </r>
  <r>
    <x v="1"/>
    <x v="5"/>
    <x v="1"/>
    <n v="3"/>
    <x v="2"/>
    <x v="6"/>
    <m/>
    <x v="4"/>
  </r>
  <r>
    <x v="1"/>
    <x v="5"/>
    <x v="1"/>
    <n v="5"/>
    <x v="1"/>
    <x v="3"/>
    <m/>
    <x v="7"/>
  </r>
  <r>
    <x v="0"/>
    <x v="3"/>
    <x v="1"/>
    <n v="5"/>
    <x v="6"/>
    <x v="79"/>
    <m/>
    <x v="21"/>
  </r>
  <r>
    <x v="0"/>
    <x v="3"/>
    <x v="0"/>
    <n v="4"/>
    <x v="6"/>
    <x v="18"/>
    <m/>
    <x v="9"/>
  </r>
  <r>
    <x v="1"/>
    <x v="3"/>
    <x v="1"/>
    <n v="4"/>
    <x v="7"/>
    <x v="89"/>
    <m/>
    <x v="5"/>
  </r>
  <r>
    <x v="0"/>
    <x v="3"/>
    <x v="0"/>
    <n v="5"/>
    <x v="4"/>
    <x v="106"/>
    <m/>
    <x v="5"/>
  </r>
  <r>
    <x v="1"/>
    <x v="3"/>
    <x v="1"/>
    <n v="4"/>
    <x v="2"/>
    <x v="31"/>
    <m/>
    <x v="2"/>
  </r>
  <r>
    <x v="1"/>
    <x v="3"/>
    <x v="1"/>
    <n v="5"/>
    <x v="2"/>
    <x v="23"/>
    <m/>
    <x v="2"/>
  </r>
  <r>
    <x v="0"/>
    <x v="5"/>
    <x v="0"/>
    <n v="4"/>
    <x v="1"/>
    <x v="52"/>
    <m/>
    <x v="21"/>
  </r>
  <r>
    <x v="1"/>
    <x v="5"/>
    <x v="0"/>
    <n v="4"/>
    <x v="4"/>
    <x v="49"/>
    <m/>
    <x v="1"/>
  </r>
  <r>
    <x v="1"/>
    <x v="5"/>
    <x v="0"/>
    <n v="4"/>
    <x v="7"/>
    <x v="22"/>
    <m/>
    <x v="4"/>
  </r>
  <r>
    <x v="1"/>
    <x v="3"/>
    <x v="2"/>
    <n v="5"/>
    <x v="5"/>
    <x v="31"/>
    <m/>
    <x v="22"/>
  </r>
  <r>
    <x v="0"/>
    <x v="3"/>
    <x v="1"/>
    <n v="5"/>
    <x v="6"/>
    <x v="23"/>
    <m/>
    <x v="0"/>
  </r>
  <r>
    <x v="1"/>
    <x v="3"/>
    <x v="1"/>
    <n v="5"/>
    <x v="6"/>
    <x v="23"/>
    <m/>
    <x v="1"/>
  </r>
  <r>
    <x v="0"/>
    <x v="3"/>
    <x v="0"/>
    <n v="5"/>
    <x v="1"/>
    <x v="63"/>
    <m/>
    <x v="16"/>
  </r>
  <r>
    <x v="1"/>
    <x v="3"/>
    <x v="0"/>
    <n v="5"/>
    <x v="3"/>
    <x v="107"/>
    <m/>
    <x v="7"/>
  </r>
  <r>
    <x v="0"/>
    <x v="3"/>
    <x v="0"/>
    <n v="5"/>
    <x v="4"/>
    <x v="10"/>
    <m/>
    <x v="22"/>
  </r>
  <r>
    <x v="1"/>
    <x v="3"/>
    <x v="1"/>
    <n v="5"/>
    <x v="1"/>
    <x v="67"/>
    <m/>
    <x v="27"/>
  </r>
  <r>
    <x v="0"/>
    <x v="3"/>
    <x v="0"/>
    <n v="5"/>
    <x v="2"/>
    <x v="81"/>
    <m/>
    <x v="9"/>
  </r>
  <r>
    <x v="1"/>
    <x v="3"/>
    <x v="1"/>
    <n v="5"/>
    <x v="1"/>
    <x v="81"/>
    <m/>
    <x v="6"/>
  </r>
  <r>
    <x v="1"/>
    <x v="3"/>
    <x v="0"/>
    <n v="3"/>
    <x v="7"/>
    <x v="25"/>
    <m/>
    <x v="6"/>
  </r>
  <r>
    <x v="1"/>
    <x v="3"/>
    <x v="1"/>
    <n v="4"/>
    <x v="0"/>
    <x v="59"/>
    <m/>
    <x v="4"/>
  </r>
  <r>
    <x v="0"/>
    <x v="3"/>
    <x v="0"/>
    <n v="4"/>
    <x v="6"/>
    <x v="41"/>
    <m/>
    <x v="5"/>
  </r>
  <r>
    <x v="1"/>
    <x v="3"/>
    <x v="0"/>
    <n v="3"/>
    <x v="0"/>
    <x v="46"/>
    <m/>
    <x v="3"/>
  </r>
  <r>
    <x v="1"/>
    <x v="3"/>
    <x v="1"/>
    <n v="5"/>
    <x v="0"/>
    <x v="92"/>
    <m/>
    <x v="27"/>
  </r>
  <r>
    <x v="0"/>
    <x v="3"/>
    <x v="2"/>
    <n v="5"/>
    <x v="2"/>
    <x v="105"/>
    <m/>
    <x v="34"/>
  </r>
  <r>
    <x v="1"/>
    <x v="3"/>
    <x v="1"/>
    <n v="5"/>
    <x v="4"/>
    <x v="59"/>
    <m/>
    <x v="2"/>
  </r>
  <r>
    <x v="0"/>
    <x v="3"/>
    <x v="0"/>
    <n v="4"/>
    <x v="6"/>
    <x v="80"/>
    <m/>
    <x v="2"/>
  </r>
  <r>
    <x v="1"/>
    <x v="3"/>
    <x v="1"/>
    <n v="5"/>
    <x v="3"/>
    <x v="23"/>
    <m/>
    <x v="6"/>
  </r>
  <r>
    <x v="1"/>
    <x v="3"/>
    <x v="1"/>
    <n v="5"/>
    <x v="6"/>
    <x v="59"/>
    <m/>
    <x v="1"/>
  </r>
  <r>
    <x v="0"/>
    <x v="3"/>
    <x v="1"/>
    <n v="5"/>
    <x v="2"/>
    <x v="55"/>
    <m/>
    <x v="5"/>
  </r>
  <r>
    <x v="1"/>
    <x v="3"/>
    <x v="0"/>
    <n v="5"/>
    <x v="6"/>
    <x v="40"/>
    <m/>
    <x v="4"/>
  </r>
  <r>
    <x v="0"/>
    <x v="3"/>
    <x v="0"/>
    <n v="5"/>
    <x v="1"/>
    <x v="30"/>
    <m/>
    <x v="27"/>
  </r>
  <r>
    <x v="1"/>
    <x v="3"/>
    <x v="1"/>
    <n v="5"/>
    <x v="2"/>
    <x v="39"/>
    <m/>
    <x v="6"/>
  </r>
  <r>
    <x v="1"/>
    <x v="3"/>
    <x v="1"/>
    <n v="5"/>
    <x v="3"/>
    <x v="53"/>
    <m/>
    <x v="6"/>
  </r>
  <r>
    <x v="1"/>
    <x v="3"/>
    <x v="1"/>
    <n v="5"/>
    <x v="1"/>
    <x v="39"/>
    <m/>
    <x v="4"/>
  </r>
  <r>
    <x v="1"/>
    <x v="3"/>
    <x v="2"/>
    <n v="5"/>
    <x v="2"/>
    <x v="69"/>
    <m/>
    <x v="7"/>
  </r>
  <r>
    <x v="1"/>
    <x v="3"/>
    <x v="0"/>
    <n v="5"/>
    <x v="11"/>
    <x v="3"/>
    <m/>
    <x v="21"/>
  </r>
  <r>
    <x v="1"/>
    <x v="3"/>
    <x v="0"/>
    <n v="4"/>
    <x v="2"/>
    <x v="27"/>
    <m/>
    <x v="2"/>
  </r>
  <r>
    <x v="1"/>
    <x v="3"/>
    <x v="1"/>
    <n v="5"/>
    <x v="5"/>
    <x v="108"/>
    <m/>
    <x v="4"/>
  </r>
  <r>
    <x v="1"/>
    <x v="3"/>
    <x v="1"/>
    <n v="5"/>
    <x v="1"/>
    <x v="3"/>
    <m/>
    <x v="9"/>
  </r>
  <r>
    <x v="1"/>
    <x v="3"/>
    <x v="1"/>
    <n v="5"/>
    <x v="7"/>
    <x v="42"/>
    <m/>
    <x v="21"/>
  </r>
  <r>
    <x v="1"/>
    <x v="3"/>
    <x v="1"/>
    <n v="5"/>
    <x v="1"/>
    <x v="42"/>
    <m/>
    <x v="17"/>
  </r>
  <r>
    <x v="0"/>
    <x v="3"/>
    <x v="0"/>
    <n v="5"/>
    <x v="0"/>
    <x v="109"/>
    <m/>
    <x v="3"/>
  </r>
  <r>
    <x v="1"/>
    <x v="3"/>
    <x v="1"/>
    <n v="5"/>
    <x v="6"/>
    <x v="1"/>
    <m/>
    <x v="14"/>
  </r>
  <r>
    <x v="1"/>
    <x v="3"/>
    <x v="1"/>
    <n v="4"/>
    <x v="3"/>
    <x v="83"/>
    <m/>
    <x v="2"/>
  </r>
  <r>
    <x v="1"/>
    <x v="3"/>
    <x v="1"/>
    <n v="5"/>
    <x v="0"/>
    <x v="83"/>
    <m/>
    <x v="9"/>
  </r>
  <r>
    <x v="1"/>
    <x v="3"/>
    <x v="1"/>
    <n v="5"/>
    <x v="1"/>
    <x v="74"/>
    <m/>
    <x v="17"/>
  </r>
  <r>
    <x v="1"/>
    <x v="3"/>
    <x v="1"/>
    <n v="5"/>
    <x v="2"/>
    <x v="53"/>
    <m/>
    <x v="0"/>
  </r>
  <r>
    <x v="1"/>
    <x v="3"/>
    <x v="1"/>
    <n v="5"/>
    <x v="4"/>
    <x v="5"/>
    <m/>
    <x v="5"/>
  </r>
  <r>
    <x v="1"/>
    <x v="3"/>
    <x v="1"/>
    <n v="5"/>
    <x v="7"/>
    <x v="19"/>
    <m/>
    <x v="2"/>
  </r>
  <r>
    <x v="1"/>
    <x v="3"/>
    <x v="1"/>
    <n v="5"/>
    <x v="6"/>
    <x v="23"/>
    <m/>
    <x v="0"/>
  </r>
  <r>
    <x v="1"/>
    <x v="3"/>
    <x v="0"/>
    <n v="5"/>
    <x v="2"/>
    <x v="67"/>
    <m/>
    <x v="14"/>
  </r>
  <r>
    <x v="1"/>
    <x v="3"/>
    <x v="1"/>
    <n v="5"/>
    <x v="1"/>
    <x v="64"/>
    <m/>
    <x v="5"/>
  </r>
  <r>
    <x v="1"/>
    <x v="3"/>
    <x v="1"/>
    <n v="5"/>
    <x v="6"/>
    <x v="53"/>
    <m/>
    <x v="21"/>
  </r>
  <r>
    <x v="1"/>
    <x v="3"/>
    <x v="1"/>
    <n v="5"/>
    <x v="0"/>
    <x v="36"/>
    <m/>
    <x v="0"/>
  </r>
  <r>
    <x v="0"/>
    <x v="3"/>
    <x v="1"/>
    <n v="5"/>
    <x v="1"/>
    <x v="69"/>
    <m/>
    <x v="38"/>
  </r>
  <r>
    <x v="1"/>
    <x v="3"/>
    <x v="1"/>
    <n v="3"/>
    <x v="2"/>
    <x v="10"/>
    <m/>
    <x v="2"/>
  </r>
  <r>
    <x v="0"/>
    <x v="3"/>
    <x v="1"/>
    <n v="5"/>
    <x v="2"/>
    <x v="52"/>
    <m/>
    <x v="4"/>
  </r>
  <r>
    <x v="1"/>
    <x v="3"/>
    <x v="0"/>
    <n v="5"/>
    <x v="4"/>
    <x v="40"/>
    <m/>
    <x v="2"/>
  </r>
  <r>
    <x v="0"/>
    <x v="3"/>
    <x v="1"/>
    <n v="5"/>
    <x v="1"/>
    <x v="18"/>
    <m/>
    <x v="7"/>
  </r>
  <r>
    <x v="0"/>
    <x v="3"/>
    <x v="1"/>
    <n v="4"/>
    <x v="2"/>
    <x v="103"/>
    <m/>
    <x v="21"/>
  </r>
  <r>
    <x v="0"/>
    <x v="3"/>
    <x v="1"/>
    <n v="5"/>
    <x v="2"/>
    <x v="55"/>
    <m/>
    <x v="37"/>
  </r>
  <r>
    <x v="1"/>
    <x v="3"/>
    <x v="2"/>
    <n v="5"/>
    <x v="3"/>
    <x v="67"/>
    <m/>
    <x v="14"/>
  </r>
  <r>
    <x v="1"/>
    <x v="3"/>
    <x v="1"/>
    <n v="5"/>
    <x v="4"/>
    <x v="63"/>
    <m/>
    <x v="2"/>
  </r>
  <r>
    <x v="1"/>
    <x v="3"/>
    <x v="1"/>
    <n v="5"/>
    <x v="5"/>
    <x v="104"/>
    <m/>
    <x v="19"/>
  </r>
  <r>
    <x v="0"/>
    <x v="3"/>
    <x v="0"/>
    <n v="5"/>
    <x v="2"/>
    <x v="3"/>
    <m/>
    <x v="0"/>
  </r>
  <r>
    <x v="1"/>
    <x v="3"/>
    <x v="1"/>
    <n v="5"/>
    <x v="2"/>
    <x v="108"/>
    <m/>
    <x v="6"/>
  </r>
  <r>
    <x v="0"/>
    <x v="3"/>
    <x v="1"/>
    <n v="5"/>
    <x v="6"/>
    <x v="89"/>
    <m/>
    <x v="6"/>
  </r>
  <r>
    <x v="1"/>
    <x v="3"/>
    <x v="0"/>
    <n v="5"/>
    <x v="0"/>
    <x v="105"/>
    <m/>
    <x v="0"/>
  </r>
  <r>
    <x v="1"/>
    <x v="3"/>
    <x v="0"/>
    <n v="4"/>
    <x v="4"/>
    <x v="88"/>
    <m/>
    <x v="14"/>
  </r>
  <r>
    <x v="0"/>
    <x v="3"/>
    <x v="0"/>
    <n v="5"/>
    <x v="2"/>
    <x v="3"/>
    <m/>
    <x v="14"/>
  </r>
  <r>
    <x v="0"/>
    <x v="3"/>
    <x v="1"/>
    <n v="5"/>
    <x v="2"/>
    <x v="62"/>
    <m/>
    <x v="7"/>
  </r>
  <r>
    <x v="1"/>
    <x v="3"/>
    <x v="0"/>
    <n v="5"/>
    <x v="7"/>
    <x v="39"/>
    <m/>
    <x v="27"/>
  </r>
  <r>
    <x v="1"/>
    <x v="3"/>
    <x v="0"/>
    <n v="3"/>
    <x v="9"/>
    <x v="34"/>
    <m/>
    <x v="26"/>
  </r>
  <r>
    <x v="1"/>
    <x v="3"/>
    <x v="0"/>
    <n v="5"/>
    <x v="2"/>
    <x v="74"/>
    <m/>
    <x v="9"/>
  </r>
  <r>
    <x v="1"/>
    <x v="3"/>
    <x v="0"/>
    <n v="5"/>
    <x v="1"/>
    <x v="1"/>
    <m/>
    <x v="4"/>
  </r>
  <r>
    <x v="0"/>
    <x v="3"/>
    <x v="1"/>
    <n v="5"/>
    <x v="1"/>
    <x v="110"/>
    <m/>
    <x v="21"/>
  </r>
  <r>
    <x v="1"/>
    <x v="3"/>
    <x v="1"/>
    <n v="4"/>
    <x v="3"/>
    <x v="69"/>
    <m/>
    <x v="2"/>
  </r>
  <r>
    <x v="0"/>
    <x v="3"/>
    <x v="1"/>
    <n v="5"/>
    <x v="2"/>
    <x v="19"/>
    <m/>
    <x v="4"/>
  </r>
  <r>
    <x v="1"/>
    <x v="3"/>
    <x v="1"/>
    <n v="5"/>
    <x v="9"/>
    <x v="49"/>
    <m/>
    <x v="2"/>
  </r>
  <r>
    <x v="1"/>
    <x v="3"/>
    <x v="0"/>
    <n v="5"/>
    <x v="0"/>
    <x v="48"/>
    <m/>
    <x v="15"/>
  </r>
  <r>
    <x v="1"/>
    <x v="3"/>
    <x v="1"/>
    <n v="5"/>
    <x v="0"/>
    <x v="18"/>
    <m/>
    <x v="9"/>
  </r>
  <r>
    <x v="0"/>
    <x v="3"/>
    <x v="0"/>
    <n v="4"/>
    <x v="1"/>
    <x v="88"/>
    <m/>
    <x v="34"/>
  </r>
  <r>
    <x v="0"/>
    <x v="3"/>
    <x v="0"/>
    <n v="5"/>
    <x v="2"/>
    <x v="19"/>
    <m/>
    <x v="6"/>
  </r>
  <r>
    <x v="1"/>
    <x v="3"/>
    <x v="0"/>
    <n v="5"/>
    <x v="2"/>
    <x v="69"/>
    <m/>
    <x v="6"/>
  </r>
  <r>
    <x v="1"/>
    <x v="3"/>
    <x v="1"/>
    <n v="5"/>
    <x v="0"/>
    <x v="103"/>
    <m/>
    <x v="2"/>
  </r>
  <r>
    <x v="0"/>
    <x v="3"/>
    <x v="0"/>
    <n v="4"/>
    <x v="7"/>
    <x v="31"/>
    <m/>
    <x v="6"/>
  </r>
  <r>
    <x v="1"/>
    <x v="3"/>
    <x v="1"/>
    <n v="5"/>
    <x v="1"/>
    <x v="54"/>
    <m/>
    <x v="0"/>
  </r>
  <r>
    <x v="0"/>
    <x v="3"/>
    <x v="1"/>
    <n v="4"/>
    <x v="3"/>
    <x v="59"/>
    <m/>
    <x v="14"/>
  </r>
  <r>
    <x v="1"/>
    <x v="3"/>
    <x v="0"/>
    <n v="4"/>
    <x v="5"/>
    <x v="33"/>
    <m/>
    <x v="21"/>
  </r>
  <r>
    <x v="1"/>
    <x v="3"/>
    <x v="1"/>
    <n v="5"/>
    <x v="1"/>
    <x v="30"/>
    <m/>
    <x v="3"/>
  </r>
  <r>
    <x v="1"/>
    <x v="3"/>
    <x v="1"/>
    <n v="5"/>
    <x v="4"/>
    <x v="53"/>
    <m/>
    <x v="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3">
  <r>
    <s v="Zachar, Matej"/>
    <s v="M40"/>
    <s v="SVK"/>
    <s v="03:28:13"/>
    <x v="0"/>
  </r>
  <r>
    <s v="Szalai Barna"/>
    <s v="M20"/>
    <s v="HUN"/>
    <s v="04:05:38"/>
    <x v="1"/>
  </r>
  <r>
    <s v="Herman Patrik"/>
    <s v="M20"/>
    <s v="HUN"/>
    <s v="04:51:06"/>
    <x v="2"/>
  </r>
  <r>
    <s v="Ujszegi Róbert"/>
    <s v="M45"/>
    <s v="HUN"/>
    <s v="03:31:16"/>
    <x v="3"/>
  </r>
  <r>
    <s v="Dobos Tamás"/>
    <s v="M30"/>
    <s v="HUN"/>
    <s v="03:51:29"/>
    <x v="4"/>
  </r>
  <r>
    <s v="MORGAN, DAVID"/>
    <s v="M30"/>
    <s v="RSA"/>
    <s v="04:24:09"/>
    <x v="5"/>
  </r>
  <r>
    <s v="Zsöllei Ákos"/>
    <s v="M40"/>
    <s v="HUN"/>
    <s v="04:41:08"/>
    <x v="6"/>
  </r>
  <r>
    <s v="Katus Kristóf"/>
    <s v="M35"/>
    <s v="HUN"/>
    <s v="03:47:54"/>
    <x v="7"/>
  </r>
  <r>
    <s v="VINCENT, MIELLE"/>
    <s v="M35"/>
    <s v="FRA"/>
    <s v="04:05:21"/>
    <x v="8"/>
  </r>
  <r>
    <s v="Bajnóczki Csongor"/>
    <s v="M30"/>
    <s v="HUN"/>
    <s v="03:56:56"/>
    <x v="9"/>
  </r>
  <r>
    <s v="Roberts, Mark"/>
    <s v="M55"/>
    <s v="GBR"/>
    <s v="03:36:44"/>
    <x v="10"/>
  </r>
  <r>
    <s v="Pálfi Előd"/>
    <s v="M50"/>
    <s v="HUN"/>
    <s v="03:58:23"/>
    <x v="11"/>
  </r>
  <r>
    <s v="Brabrand, Kristoffer"/>
    <s v="M35"/>
    <s v="NOR"/>
    <s v="02:49:22"/>
    <x v="12"/>
  </r>
  <r>
    <s v="Szlaukó Róbert"/>
    <s v="M40"/>
    <s v="HUN"/>
    <s v="05:14:18"/>
    <x v="13"/>
  </r>
  <r>
    <s v="Wennerström, Per"/>
    <s v="M45"/>
    <s v="SWE"/>
    <s v="03:23:34"/>
    <x v="14"/>
  </r>
  <r>
    <s v="Manduch, Jan"/>
    <s v="M45"/>
    <s v="SVK"/>
    <s v="03:27:29"/>
    <x v="15"/>
  </r>
  <r>
    <s v="Jagasits Tamás"/>
    <s v="M40"/>
    <s v="HUN"/>
    <s v="03:45:59"/>
    <x v="16"/>
  </r>
  <r>
    <s v="Szabó Gyula"/>
    <s v="M30"/>
    <s v="HUN"/>
    <s v="05:26:03"/>
    <x v="17"/>
  </r>
  <r>
    <s v="Nour Eddin Abdul Nasser"/>
    <s v="M60"/>
    <s v="HUN"/>
    <s v="05:11:36"/>
    <x v="18"/>
  </r>
  <r>
    <s v="Strasser, Tobias"/>
    <s v="M20"/>
    <s v="GER"/>
    <s v="05:23:35"/>
    <x v="19"/>
  </r>
  <r>
    <s v="Molnár Péter"/>
    <s v="M45"/>
    <s v="HUN"/>
    <s v="03:09:16"/>
    <x v="20"/>
  </r>
  <r>
    <s v="Shearwood, Michael"/>
    <s v="M40"/>
    <s v="GBR"/>
    <s v="03:38:42"/>
    <x v="21"/>
  </r>
  <r>
    <s v="Bauer László"/>
    <s v="M55"/>
    <s v="HUN"/>
    <s v="05:25:05"/>
    <x v="22"/>
  </r>
  <r>
    <s v="Kukor Dávid"/>
    <s v="M30"/>
    <s v="HUN"/>
    <s v="03:26:35"/>
    <x v="23"/>
  </r>
  <r>
    <s v="MUNARI, FRANCO"/>
    <s v="M60"/>
    <s v="ITA"/>
    <s v="04:25:34"/>
    <x v="24"/>
  </r>
  <r>
    <s v="Bozó-Bódi Gábor"/>
    <s v="M25"/>
    <s v="HUN"/>
    <s v="03:47:38"/>
    <x v="25"/>
  </r>
  <r>
    <s v="Lukács Gábor"/>
    <s v="M60"/>
    <s v="HUN"/>
    <s v="04:45:27"/>
    <x v="26"/>
  </r>
  <r>
    <s v="Seignette, Max"/>
    <s v="M30"/>
    <s v="NED"/>
    <s v="03:09:08"/>
    <x v="27"/>
  </r>
  <r>
    <s v="Sasson, Nir"/>
    <s v="M45"/>
    <s v="ISR"/>
    <s v="03:47:35"/>
    <x v="28"/>
  </r>
  <r>
    <s v="Wyatt, Peter dr"/>
    <s v="M30"/>
    <s v="GBR"/>
    <s v="03:16:04"/>
    <x v="29"/>
  </r>
  <r>
    <s v="GAL, DARIUS"/>
    <s v="M35"/>
    <s v="SVK"/>
    <s v="04:45:30"/>
    <x v="30"/>
  </r>
  <r>
    <s v="Molnár Mihály"/>
    <s v="M55"/>
    <s v="HUN"/>
    <s v="05:11:04"/>
    <x v="31"/>
  </r>
  <r>
    <s v="Paggi, Patrizio"/>
    <s v="M45"/>
    <s v="ITA"/>
    <s v="03:41:47"/>
    <x v="32"/>
  </r>
  <r>
    <s v="Piskla, tefan"/>
    <s v="M35"/>
    <s v="SVK"/>
    <s v="03:25:51"/>
    <x v="33"/>
  </r>
  <r>
    <s v="KARAVIDAS, KONSTNATIN"/>
    <s v="M40"/>
    <s v="GRE"/>
    <s v="04:20:27"/>
    <x v="34"/>
  </r>
  <r>
    <s v="Kovács Csaba"/>
    <s v="M40"/>
    <s v="HUN"/>
    <s v="04:38:22"/>
    <x v="35"/>
  </r>
  <r>
    <s v="Franck, Thomas"/>
    <s v="M55"/>
    <s v="FRA"/>
    <s v="04:20:41"/>
    <x v="36"/>
  </r>
  <r>
    <s v="Nagy Péter"/>
    <s v="M40"/>
    <s v="HUN"/>
    <s v="04:00:44"/>
    <x v="37"/>
  </r>
  <r>
    <s v="Knezevic, Goran"/>
    <s v="M35"/>
    <s v="SRB"/>
    <s v="04:15:52"/>
    <x v="38"/>
  </r>
  <r>
    <s v="Hanley, Ryan"/>
    <s v="M30"/>
    <s v="GBR"/>
    <s v="04:35:05"/>
    <x v="39"/>
  </r>
  <r>
    <s v="Lückhoff, Gerhard"/>
    <s v="M60"/>
    <s v="GER"/>
    <s v="03:29:59"/>
    <x v="40"/>
  </r>
  <r>
    <s v="Csiki Tas"/>
    <s v="M30"/>
    <s v="HUN"/>
    <s v="03:40:53"/>
    <x v="41"/>
  </r>
  <r>
    <s v="Kládek, Attila"/>
    <s v="M35"/>
    <s v="SVK"/>
    <s v="03:48:04"/>
    <x v="42"/>
  </r>
  <r>
    <s v="Flynn, Daniel"/>
    <s v="M20"/>
    <s v="GBR"/>
    <s v="03:41:14"/>
    <x v="43"/>
  </r>
  <r>
    <s v="Ido, Rotman"/>
    <s v="M45"/>
    <s v="ISR"/>
    <s v="04:16:47"/>
    <x v="44"/>
  </r>
  <r>
    <s v="Szilágyi Zoltán"/>
    <s v="M45"/>
    <s v="HUN"/>
    <s v="03:25:16"/>
    <x v="45"/>
  </r>
  <r>
    <s v="Barta Gábor"/>
    <s v="M25"/>
    <s v="HUN"/>
    <s v="03:08:16"/>
    <x v="46"/>
  </r>
  <r>
    <s v="Mankiewicz, Mariusz"/>
    <s v="M30"/>
    <s v="POL"/>
    <s v="04:18:26"/>
    <x v="47"/>
  </r>
  <r>
    <s v="Czövek Andrys"/>
    <s v="M30"/>
    <s v="HUN"/>
    <s v="04:31:30"/>
    <x v="48"/>
  </r>
  <r>
    <s v="Kok, Rens"/>
    <s v="M30"/>
    <s v="NED"/>
    <s v="03:39:46"/>
    <x v="49"/>
  </r>
  <r>
    <s v="Webber, William"/>
    <s v="M20"/>
    <s v="GBR"/>
    <s v="03:30:02"/>
    <x v="50"/>
  </r>
  <r>
    <s v="Herbay András"/>
    <s v="M40"/>
    <s v="HUN"/>
    <s v="03:23:32"/>
    <x v="51"/>
  </r>
  <r>
    <s v="Ferencz Gyula"/>
    <s v="M50"/>
    <s v="HUN"/>
    <s v="04:14:59"/>
    <x v="52"/>
  </r>
  <r>
    <s v="Saad, Rageb"/>
    <s v="M30"/>
    <s v="ISR"/>
    <s v="03:54:03"/>
    <x v="53"/>
  </r>
  <r>
    <s v="ERDEI, NORBERT"/>
    <s v="M45"/>
    <s v="GER"/>
    <s v="03:48:23"/>
    <x v="54"/>
  </r>
  <r>
    <s v="Bredács István"/>
    <s v="M60"/>
    <s v="HUN"/>
    <s v="04:24:44"/>
    <x v="55"/>
  </r>
  <r>
    <s v="DIMITRIOS, KOUTSOUMPIDIS"/>
    <s v="M40"/>
    <s v="GRE"/>
    <s v="02:50:09"/>
    <x v="56"/>
  </r>
  <r>
    <s v="Szappanos Tamás"/>
    <s v="M35"/>
    <s v="HUN"/>
    <s v="03:46:23"/>
    <x v="57"/>
  </r>
  <r>
    <s v="Fucile, Fabrizio prof"/>
    <s v="M55"/>
    <s v="ITA"/>
    <s v="04:05:52"/>
    <x v="58"/>
  </r>
  <r>
    <s v="Illés Zoltán Dávid"/>
    <s v="M30"/>
    <s v="HUN"/>
    <s v="03:26:56"/>
    <x v="59"/>
  </r>
  <r>
    <s v="Berendi Dominik"/>
    <s v="M25"/>
    <s v="HUN"/>
    <s v="04:21:51"/>
    <x v="60"/>
  </r>
  <r>
    <s v="VERGAUWE, LUC"/>
    <s v="M50"/>
    <s v="BEL"/>
    <s v="04:19:35"/>
    <x v="61"/>
  </r>
  <r>
    <s v="Gilis, Maxim"/>
    <s v="M30"/>
    <s v="BEL"/>
    <s v="03:35:42"/>
    <x v="62"/>
  </r>
  <r>
    <s v="Földes Antal Márton"/>
    <s v="M45"/>
    <s v="HUN"/>
    <s v="03:17:48"/>
    <x v="63"/>
  </r>
  <r>
    <s v="Balázs Ervin"/>
    <s v="M25"/>
    <s v="HUN"/>
    <s v="04:10:30"/>
    <x v="64"/>
  </r>
  <r>
    <s v="Rácz Bence"/>
    <s v="M35"/>
    <s v="HUN"/>
    <s v="04:43:33"/>
    <x v="65"/>
  </r>
  <r>
    <s v="Pataki András"/>
    <s v="M45"/>
    <s v="HUN"/>
    <s v="04:11:08"/>
    <x v="66"/>
  </r>
  <r>
    <s v="Done, Andrew"/>
    <s v="M20"/>
    <s v="RSA"/>
    <s v="04:31:03"/>
    <x v="67"/>
  </r>
  <r>
    <s v="Béres Tamás"/>
    <s v="M40"/>
    <s v="HUN"/>
    <s v="03:51:36"/>
    <x v="68"/>
  </r>
  <r>
    <s v="Hernádi Edvin"/>
    <s v="M45"/>
    <s v="HUN"/>
    <s v="04:18:42"/>
    <x v="69"/>
  </r>
  <r>
    <s v="Ainscough, Tom prof"/>
    <s v="M25"/>
    <s v="GBR"/>
    <s v="02:58:12"/>
    <x v="70"/>
  </r>
  <r>
    <s v="Virag Gyula"/>
    <s v="M50"/>
    <s v="HUN"/>
    <s v="04:44:04"/>
    <x v="71"/>
  </r>
  <r>
    <s v="Hathi, Cameron"/>
    <s v="M20"/>
    <s v="GBR"/>
    <s v="03:37:40"/>
    <x v="72"/>
  </r>
  <r>
    <s v="Nagy-Győri László"/>
    <s v="M45"/>
    <s v="HUN"/>
    <s v="04:16:10"/>
    <x v="73"/>
  </r>
  <r>
    <s v="Czeglédy Krisztián"/>
    <s v="M30"/>
    <s v="HUN"/>
    <s v="04:42:59"/>
    <x v="74"/>
  </r>
  <r>
    <s v="Mengyi Péter"/>
    <s v="M35"/>
    <s v="HUN"/>
    <s v="03:47:27"/>
    <x v="75"/>
  </r>
  <r>
    <s v="Veress Péter"/>
    <s v="M40"/>
    <s v="HUN"/>
    <s v="03:46:48"/>
    <x v="76"/>
  </r>
  <r>
    <s v="Debreczeni Bence"/>
    <s v="M30"/>
    <s v="HUN"/>
    <s v="03:47:09"/>
    <x v="77"/>
  </r>
  <r>
    <s v="Brown, Laurie"/>
    <s v="M25"/>
    <s v="GBR"/>
    <s v="03:30:51"/>
    <x v="78"/>
  </r>
  <r>
    <s v="Szommer Lőrinc"/>
    <s v="M20"/>
    <s v="HUN"/>
    <s v="04:07:24"/>
    <x v="79"/>
  </r>
  <r>
    <s v="Lutor Tamás"/>
    <s v="M50"/>
    <s v="HUN"/>
    <s v="04:10:54"/>
    <x v="80"/>
  </r>
  <r>
    <s v="Balassa Balázs"/>
    <s v="M55"/>
    <s v="HUN"/>
    <s v="04:44:40"/>
    <x v="81"/>
  </r>
  <r>
    <s v="Raykov, Ivo"/>
    <s v="M25"/>
    <s v="BUL"/>
    <s v="04:04:01"/>
    <x v="82"/>
  </r>
  <r>
    <s v="Hompot Ferenc"/>
    <s v="M50"/>
    <s v="HUN"/>
    <s v="05:07:21"/>
    <x v="83"/>
  </r>
  <r>
    <s v="Horváth István"/>
    <s v="M45"/>
    <s v="HUN"/>
    <s v="03:08:43"/>
    <x v="84"/>
  </r>
  <r>
    <s v="Vaszkó Máté"/>
    <s v="M25"/>
    <s v="HUN"/>
    <s v="03:49:10"/>
    <x v="85"/>
  </r>
  <r>
    <s v="Somodi László Antal"/>
    <s v="M45"/>
    <s v="HUN"/>
    <s v="04:58:43"/>
    <x v="86"/>
  </r>
  <r>
    <s v="Kovács Krisztián"/>
    <s v="M45"/>
    <s v="HUN"/>
    <s v="04:48:13"/>
    <x v="87"/>
  </r>
  <r>
    <s v="Conlon, Argelnon"/>
    <s v="M30"/>
    <s v="RSA"/>
    <s v="03:50:58"/>
    <x v="88"/>
  </r>
  <r>
    <s v="Tóbiás Rajmund dr"/>
    <s v="M50"/>
    <s v="HUN"/>
    <s v="04:06:33"/>
    <x v="89"/>
  </r>
  <r>
    <s v="Pierre, Renauld"/>
    <s v="M30"/>
    <s v="FRA"/>
    <s v="02:47:38"/>
    <x v="90"/>
  </r>
  <r>
    <s v="Green, James"/>
    <s v="M40"/>
    <s v="GBR"/>
    <s v="03:51:07"/>
    <x v="91"/>
  </r>
  <r>
    <s v="Weissbrich, Alexander"/>
    <s v="M40"/>
    <s v="GER"/>
    <s v="03:54:49"/>
    <x v="92"/>
  </r>
  <r>
    <s v="Khairrul Saleh, Imran"/>
    <s v="M25"/>
    <s v="MAS"/>
    <s v="04:16:39"/>
    <x v="93"/>
  </r>
  <r>
    <s v="Király Béla"/>
    <s v="M55"/>
    <s v="HUN"/>
    <s v="05:11:16"/>
    <x v="94"/>
  </r>
  <r>
    <s v="Rác Benedek"/>
    <s v="M40"/>
    <s v="HUN"/>
    <s v="03:56:29"/>
    <x v="95"/>
  </r>
  <r>
    <s v="Loboncz Dávid"/>
    <s v="M30"/>
    <s v="HUN"/>
    <s v="05:00:50"/>
    <x v="96"/>
  </r>
  <r>
    <s v="Cserpák Tamás"/>
    <s v="M45"/>
    <s v="HUN"/>
    <s v="03:23:14"/>
    <x v="97"/>
  </r>
  <r>
    <s v="Adamson, Stewart"/>
    <s v="M35"/>
    <s v="GBR"/>
    <s v="04:19:43"/>
    <x v="98"/>
  </r>
  <r>
    <s v="Buzadić, Srdjan"/>
    <s v="M40"/>
    <s v="SRB"/>
    <s v="04:42:35"/>
    <x v="99"/>
  </r>
  <r>
    <s v="Bruck Dániel"/>
    <s v="M25"/>
    <s v="HUN"/>
    <s v="04:39:47"/>
    <x v="100"/>
  </r>
  <r>
    <s v="Mészáros Andris"/>
    <s v="M35"/>
    <s v="HUN"/>
    <s v="03:09:53"/>
    <x v="101"/>
  </r>
  <r>
    <s v="Michellier, Andy"/>
    <s v="M18"/>
    <s v="FRA"/>
    <s v="03:43:54"/>
    <x v="102"/>
  </r>
  <r>
    <s v="Gaszner Zsolt"/>
    <s v="M30"/>
    <s v="HUN"/>
    <s v="03:09:35"/>
    <x v="103"/>
  </r>
  <r>
    <s v="Cramphorn, Leigh"/>
    <s v="M45"/>
    <s v="GBR"/>
    <s v="03:53:15"/>
    <x v="104"/>
  </r>
  <r>
    <s v="Pospíil, Pavel"/>
    <s v="M40"/>
    <s v="CZE"/>
    <s v="03:04:50"/>
    <x v="105"/>
  </r>
  <r>
    <s v="Toth Peter"/>
    <s v="M40"/>
    <s v="HUN"/>
    <s v="04:22:30"/>
    <x v="106"/>
  </r>
  <r>
    <s v="Bíró Gábor"/>
    <s v="M40"/>
    <s v="HUN"/>
    <s v="03:41:32"/>
    <x v="107"/>
  </r>
  <r>
    <s v="Juhász József"/>
    <s v="M45"/>
    <s v="HUN"/>
    <s v="04:46:55"/>
    <x v="108"/>
  </r>
  <r>
    <s v="Csörgő Bálint dr"/>
    <s v="M40"/>
    <s v="HUN"/>
    <s v="03:42:12"/>
    <x v="109"/>
  </r>
  <r>
    <s v="Bisi Lajos"/>
    <s v="M45"/>
    <s v="HUN"/>
    <s v="04:18:11"/>
    <x v="110"/>
  </r>
  <r>
    <s v="Andres, De La Pe?a Gallegos prof"/>
    <s v="M25"/>
    <s v="MEX"/>
    <s v="03:27:24"/>
    <x v="111"/>
  </r>
  <r>
    <s v="Kalmár Nagy László"/>
    <s v="M50"/>
    <s v="HUN"/>
    <s v="03:44:08"/>
    <x v="112"/>
  </r>
  <r>
    <s v="Kukk Tamás"/>
    <s v="M30"/>
    <s v="HUN"/>
    <s v="04:29:09"/>
    <x v="113"/>
  </r>
  <r>
    <s v="Sacchi, Filippo"/>
    <s v="M60"/>
    <s v="ITA"/>
    <s v="03:54:39"/>
    <x v="114"/>
  </r>
  <r>
    <s v="Domboróczki Zsolt"/>
    <s v="M45"/>
    <s v="HUN"/>
    <s v="04:59:16"/>
    <x v="115"/>
  </r>
  <r>
    <s v="Lenkovics Attila"/>
    <s v="M25"/>
    <s v="HUN"/>
    <s v="03:48:30"/>
    <x v="116"/>
  </r>
  <r>
    <s v="Kretovics Gusztáv"/>
    <s v="M40"/>
    <s v="HUN"/>
    <s v="05:03:46"/>
    <x v="117"/>
  </r>
  <r>
    <s v="Glazachev, Evgenii"/>
    <s v="M30"/>
    <s v="RUS"/>
    <s v="03:23:05"/>
    <x v="118"/>
  </r>
  <r>
    <s v="Szabó Levente"/>
    <s v="M35"/>
    <s v="HUN"/>
    <s v="03:50:11"/>
    <x v="119"/>
  </r>
  <r>
    <s v="Léránt Gábor"/>
    <s v="M45"/>
    <s v="HUN"/>
    <s v="04:43:07"/>
    <x v="120"/>
  </r>
  <r>
    <s v="Melotti, Marco"/>
    <s v="M35"/>
    <s v="NED"/>
    <s v="05:14:27"/>
    <x v="121"/>
  </r>
  <r>
    <s v="Pap Sándor"/>
    <s v="M60"/>
    <s v="HUN"/>
    <s v="05:31:41"/>
    <x v="122"/>
  </r>
  <r>
    <s v="Papp Andor"/>
    <s v="M30"/>
    <s v="HUN"/>
    <s v="05:32:18"/>
    <x v="123"/>
  </r>
  <r>
    <s v="Faulks, Joshua"/>
    <s v="M25"/>
    <s v="GBR"/>
    <s v="03:38:41"/>
    <x v="124"/>
  </r>
  <r>
    <s v="Góbi Gyula"/>
    <s v="M55"/>
    <s v="HUN"/>
    <s v="04:13:03"/>
    <x v="125"/>
  </r>
  <r>
    <s v="Appert, Louis"/>
    <s v="M18"/>
    <s v="GBR"/>
    <s v="04:46:10"/>
    <x v="126"/>
  </r>
  <r>
    <s v="Bozsó Tamás"/>
    <s v="M30"/>
    <s v="HUN"/>
    <s v="04:48:15"/>
    <x v="127"/>
  </r>
  <r>
    <s v="Mikulski, Jacek"/>
    <s v="M50"/>
    <s v="POL"/>
    <s v="03:22:26"/>
    <x v="128"/>
  </r>
  <r>
    <s v="Kunc, Jakub"/>
    <s v="M35"/>
    <s v="CZE"/>
    <s v="03:44:16"/>
    <x v="129"/>
  </r>
  <r>
    <s v="Hall, Peter-Rory dr"/>
    <s v="M20"/>
    <s v="GBR"/>
    <s v="02:54:01"/>
    <x v="130"/>
  </r>
  <r>
    <s v="Hajdu Péter"/>
    <s v="M65"/>
    <s v="HUN"/>
    <s v="04:02:45"/>
    <x v="131"/>
  </r>
  <r>
    <s v="Preite, Piero"/>
    <s v="M60"/>
    <s v="ITA"/>
    <s v="05:30:11"/>
    <x v="132"/>
  </r>
  <r>
    <s v="Ambler, Arthur prof"/>
    <s v="M25"/>
    <s v="GBR"/>
    <s v="03:27:45"/>
    <x v="133"/>
  </r>
  <r>
    <s v="CLEPICOV, Alexei dr"/>
    <s v="M40"/>
    <s v="MDA"/>
    <s v="03:53:51"/>
    <x v="134"/>
  </r>
  <r>
    <s v="Tompa Péter"/>
    <s v="M20"/>
    <s v="HUN"/>
    <s v="04:45:38"/>
    <x v="135"/>
  </r>
  <r>
    <s v="Majerusz Ádám"/>
    <s v="M20"/>
    <s v="HUN"/>
    <s v="04:18:48"/>
    <x v="136"/>
  </r>
  <r>
    <s v="Nagy István"/>
    <s v="M50"/>
    <s v="HUN"/>
    <s v="04:49:29"/>
    <x v="137"/>
  </r>
  <r>
    <s v="van 't Verlaat, Jeroen"/>
    <s v="M55"/>
    <s v="NED"/>
    <s v="04:58:41"/>
    <x v="138"/>
  </r>
  <r>
    <s v="Kurpé László dr."/>
    <s v="M50"/>
    <s v="HUN"/>
    <s v="04:25:24"/>
    <x v="139"/>
  </r>
  <r>
    <s v="Kroc, Mirosław"/>
    <s v="M45"/>
    <s v="POL"/>
    <s v="03:25:59"/>
    <x v="140"/>
  </r>
  <r>
    <s v="Kiss Csongor"/>
    <s v="M25"/>
    <s v="HUN"/>
    <s v="04:12:14"/>
    <x v="141"/>
  </r>
  <r>
    <s v="Szekér Ferenc"/>
    <s v="M50"/>
    <s v="HUN"/>
    <s v="03:49:02"/>
    <x v="142"/>
  </r>
  <r>
    <s v="Malík, David"/>
    <s v="M25"/>
    <s v="CZE"/>
    <s v="05:02:52"/>
    <x v="143"/>
  </r>
  <r>
    <s v="Gavaldi János"/>
    <s v="M35"/>
    <s v="HUN"/>
    <s v="05:49:04"/>
    <x v="144"/>
  </r>
  <r>
    <s v="Ujhelyi Tamás"/>
    <s v="M45"/>
    <s v="HUN"/>
    <s v="04:58:46"/>
    <x v="145"/>
  </r>
  <r>
    <s v="Jurcsák Viktor"/>
    <s v="M40"/>
    <s v="HUN"/>
    <s v="04:00:07"/>
    <x v="146"/>
  </r>
  <r>
    <s v="Asztalos Andras"/>
    <s v="M35"/>
    <s v="HUN"/>
    <s v="03:43:29"/>
    <x v="147"/>
  </r>
  <r>
    <s v="Czaltig Zsolt"/>
    <s v="M50"/>
    <s v="HUN"/>
    <s v="04:07:40"/>
    <x v="148"/>
  </r>
  <r>
    <s v="Rugg, Sam"/>
    <s v="M25"/>
    <s v="GBR"/>
    <s v="02:56:57"/>
    <x v="149"/>
  </r>
  <r>
    <s v="Baksa János"/>
    <s v="M40"/>
    <s v="HUN"/>
    <s v="04:05:56"/>
    <x v="150"/>
  </r>
  <r>
    <s v="Raknes, Lars Peter"/>
    <s v="M35"/>
    <s v="NOR"/>
    <s v="02:37:20"/>
    <x v="151"/>
  </r>
  <r>
    <s v="Péter Kristóf dr"/>
    <s v="M25"/>
    <s v="HUN"/>
    <s v="04:28:22"/>
    <x v="152"/>
  </r>
  <r>
    <s v="Albastov, Zidan"/>
    <s v="M25"/>
    <s v="FRA"/>
    <s v="04:35:03"/>
    <x v="153"/>
  </r>
  <r>
    <s v="JO?O RENATO, Bainy Gomes de Pinho"/>
    <s v="M60"/>
    <s v="BRA"/>
    <s v="03:54:46"/>
    <x v="154"/>
  </r>
  <r>
    <s v="GARRITSEN, LENNART"/>
    <s v="M30"/>
    <s v="NED"/>
    <s v="03:40:20"/>
    <x v="155"/>
  </r>
  <r>
    <s v="Forde, Conor"/>
    <s v="M40"/>
    <s v="IRL"/>
    <s v="03:45:13"/>
    <x v="156"/>
  </r>
  <r>
    <s v="Czingráber László"/>
    <s v="M55"/>
    <s v="HUN"/>
    <s v="03:36:39"/>
    <x v="157"/>
  </r>
  <r>
    <s v="Sztojcsev Iván"/>
    <s v="M35"/>
    <s v="HUN"/>
    <s v="04:12:03"/>
    <x v="158"/>
  </r>
  <r>
    <s v="Kluitenberg, Friso"/>
    <s v="M30"/>
    <s v="NED"/>
    <s v="04:03:29"/>
    <x v="159"/>
  </r>
  <r>
    <s v="Takarics Béla"/>
    <s v="M40"/>
    <s v="HUN"/>
    <s v="04:22:31"/>
    <x v="160"/>
  </r>
  <r>
    <s v="Spányik Gábor"/>
    <s v="M45"/>
    <s v="HUN"/>
    <s v="04:14:05"/>
    <x v="161"/>
  </r>
  <r>
    <s v="Cox, Jack"/>
    <s v="M20"/>
    <s v="GBR"/>
    <s v="03:37:44"/>
    <x v="162"/>
  </r>
  <r>
    <s v="Páyer Imre"/>
    <s v="M45"/>
    <s v="HUN"/>
    <s v="03:59:36"/>
    <x v="163"/>
  </r>
  <r>
    <s v="Laczó Barnabás"/>
    <s v="M40"/>
    <s v="HUN"/>
    <s v="03:44:36"/>
    <x v="164"/>
  </r>
  <r>
    <s v="Gyulai László"/>
    <s v="M75"/>
    <s v="HUN"/>
    <s v="04:58:45"/>
    <x v="165"/>
  </r>
  <r>
    <s v="Macleod, Liam"/>
    <s v="M20"/>
    <s v="GBR"/>
    <s v="04:09:57"/>
    <x v="166"/>
  </r>
  <r>
    <s v="Szántó János"/>
    <s v="M45"/>
    <s v="HUN"/>
    <s v="03:43:41"/>
    <x v="167"/>
  </r>
  <r>
    <s v="Jakabfalvy Gábor"/>
    <s v="M45"/>
    <s v="HUN"/>
    <s v="04:50:00"/>
    <x v="168"/>
  </r>
  <r>
    <s v="Eklund, Marius"/>
    <s v="M20"/>
    <s v="NOR"/>
    <s v="03:32:54"/>
    <x v="169"/>
  </r>
  <r>
    <s v="Domjan Kornél"/>
    <s v="M45"/>
    <s v="HUN"/>
    <s v="04:11:22"/>
    <x v="170"/>
  </r>
  <r>
    <s v="Pap Áron"/>
    <s v="M25"/>
    <s v="HUN"/>
    <s v="04:03:23"/>
    <x v="171"/>
  </r>
  <r>
    <s v="Rebollo Pereira, Jose Carlos"/>
    <s v="M60"/>
    <s v="ESP"/>
    <s v="03:55:05"/>
    <x v="172"/>
  </r>
  <r>
    <s v="Herbertsson, Gunnar"/>
    <s v="M65"/>
    <s v="ISL"/>
    <s v="04:04:04"/>
    <x v="173"/>
  </r>
  <r>
    <s v="Vernimmen, Richard"/>
    <s v="M50"/>
    <s v="NED"/>
    <s v="02:52:02"/>
    <x v="174"/>
  </r>
  <r>
    <s v="Townsend, Lewis"/>
    <s v="M25"/>
    <s v="GBR"/>
    <s v="03:45:14"/>
    <x v="175"/>
  </r>
  <r>
    <s v="Clowes, Jason"/>
    <s v="M35"/>
    <s v="NZL"/>
    <s v="03:04:23"/>
    <x v="176"/>
  </r>
  <r>
    <s v="Horváth Zsolt"/>
    <s v="M50"/>
    <s v="HUN"/>
    <s v="04:34:22"/>
    <x v="177"/>
  </r>
  <r>
    <s v="Geesink, Derk"/>
    <s v="M25"/>
    <s v="NED"/>
    <s v="04:56:59"/>
    <x v="178"/>
  </r>
  <r>
    <s v="POPELEA, VIRGIL"/>
    <s v="M40"/>
    <s v="ROM"/>
    <s v="03:27:58"/>
    <x v="179"/>
  </r>
  <r>
    <s v="Havasi Ádám"/>
    <s v="M18"/>
    <s v="HUN"/>
    <s v="04:23:00"/>
    <x v="180"/>
  </r>
  <r>
    <s v="Szabó Gábor"/>
    <s v="M40"/>
    <s v="HUN"/>
    <s v="04:08:01"/>
    <x v="181"/>
  </r>
  <r>
    <s v="Szászi Tamás Dr."/>
    <s v="M50"/>
    <s v="HUN"/>
    <s v="05:22:37"/>
    <x v="182"/>
  </r>
  <r>
    <s v="Mátyás, Norbert"/>
    <s v="M40"/>
    <s v="ROM"/>
    <s v="03:47:11"/>
    <x v="183"/>
  </r>
  <r>
    <s v="MULLER, Frank"/>
    <s v="M65"/>
    <s v="LUX"/>
    <s v="03:59:51"/>
    <x v="184"/>
  </r>
  <r>
    <s v="Fábik Máté"/>
    <s v="M45"/>
    <s v="HUN"/>
    <s v="04:22:45"/>
    <x v="185"/>
  </r>
  <r>
    <s v="Ireland, Reece prof"/>
    <s v="M25"/>
    <s v="NZL"/>
    <s v="03:47:26"/>
    <x v="186"/>
  </r>
  <r>
    <s v="Kiss Attila"/>
    <s v="M35"/>
    <s v="HUN"/>
    <s v="04:14:57"/>
    <x v="187"/>
  </r>
  <r>
    <s v="Tóth Zoltán"/>
    <s v="M45"/>
    <s v="HUN"/>
    <s v="03:45:47"/>
    <x v="188"/>
  </r>
  <r>
    <s v="Witkowski, Lukasz"/>
    <s v="M40"/>
    <s v="POL"/>
    <s v="03:43:43"/>
    <x v="189"/>
  </r>
  <r>
    <s v="dijkstra, Mark"/>
    <s v="M35"/>
    <s v="NED"/>
    <s v="03:33:11"/>
    <x v="190"/>
  </r>
  <r>
    <s v="Wiernasz, Grzegorz prof"/>
    <s v="M45"/>
    <s v="POL"/>
    <s v="04:01:53"/>
    <x v="191"/>
  </r>
  <r>
    <s v="Bodor Dániel"/>
    <s v="M18"/>
    <s v="HUN"/>
    <s v="03:40:46"/>
    <x v="192"/>
  </r>
  <r>
    <s v="Pásztor Attila dr."/>
    <s v="M50"/>
    <s v="HUN"/>
    <s v="04:47:08"/>
    <x v="193"/>
  </r>
  <r>
    <s v="Li, CHENGBIN"/>
    <s v="M25"/>
    <s v="CHN"/>
    <s v="05:03:29"/>
    <x v="194"/>
  </r>
  <r>
    <s v="Guevara, Pablo"/>
    <s v="M45"/>
    <s v="MEX"/>
    <s v="03:49:07"/>
    <x v="195"/>
  </r>
  <r>
    <s v="FLORIAN, DAUBA"/>
    <s v="M40"/>
    <s v="FRA"/>
    <s v="02:42:32"/>
    <x v="196"/>
  </r>
  <r>
    <s v="Howe, Paul"/>
    <s v="M50"/>
    <s v="GBR"/>
    <s v="04:56:09"/>
    <x v="197"/>
  </r>
  <r>
    <s v="Kotsis Tibor"/>
    <s v="M50"/>
    <s v="HUN"/>
    <s v="04:21:14"/>
    <x v="198"/>
  </r>
  <r>
    <s v="Angyal Dániel"/>
    <s v="M20"/>
    <s v="HUN"/>
    <s v="05:30:29"/>
    <x v="199"/>
  </r>
  <r>
    <s v="Kiss Alajos"/>
    <s v="M50"/>
    <s v="HUN"/>
    <s v="03:47:30"/>
    <x v="200"/>
  </r>
  <r>
    <s v="Berglund, Einar"/>
    <s v="M25"/>
    <s v="SWE"/>
    <s v="03:58:48"/>
    <x v="201"/>
  </r>
  <r>
    <s v="Csuja Gábor"/>
    <s v="M45"/>
    <s v="HUN"/>
    <s v="03:02:31"/>
    <x v="202"/>
  </r>
  <r>
    <s v="Csernus Mátyás"/>
    <s v="M25"/>
    <s v="HUN"/>
    <s v="05:22:18"/>
    <x v="203"/>
  </r>
  <r>
    <s v="Koprivica, Pavle"/>
    <s v="M18"/>
    <s v="GBR"/>
    <s v="03:56:22"/>
    <x v="204"/>
  </r>
  <r>
    <s v="Way, Oliver prof"/>
    <s v="M20"/>
    <s v="GBR"/>
    <s v="03:57:32"/>
    <x v="205"/>
  </r>
  <r>
    <s v="Petrov, Yuri"/>
    <s v="M30"/>
    <s v="RUS"/>
    <s v="04:08:55"/>
    <x v="206"/>
  </r>
  <r>
    <s v="Tuohy, Eoin"/>
    <s v="M25"/>
    <s v="IRL"/>
    <s v="03:35:42"/>
    <x v="62"/>
  </r>
  <r>
    <s v="TZAMPAZAKIS, MATTHAIOS"/>
    <s v="M50"/>
    <s v="GRE"/>
    <s v="04:00:41"/>
    <x v="207"/>
  </r>
  <r>
    <s v="Szentirmai Endre"/>
    <s v="M50"/>
    <s v="HUN"/>
    <s v="04:16:33"/>
    <x v="208"/>
  </r>
  <r>
    <s v="Müller Viktor"/>
    <s v="M50"/>
    <s v="HUN"/>
    <s v="04:19:19"/>
    <x v="209"/>
  </r>
  <r>
    <s v="Rejtő András"/>
    <s v="M45"/>
    <s v="HUN"/>
    <s v="04:05:44"/>
    <x v="210"/>
  </r>
  <r>
    <s v="Santander, Damian"/>
    <s v="M20"/>
    <s v="MEX"/>
    <s v="03:40:10"/>
    <x v="211"/>
  </r>
  <r>
    <s v="Halász Krisztián"/>
    <s v="M40"/>
    <s v="HUN"/>
    <s v="03:57:51"/>
    <x v="212"/>
  </r>
  <r>
    <s v="Breznyán Bence"/>
    <s v="M25"/>
    <s v="HUN"/>
    <s v="04:43:10"/>
    <x v="213"/>
  </r>
  <r>
    <s v="Hellum, Knut"/>
    <s v="M55"/>
    <s v="NOR"/>
    <s v="03:22:10"/>
    <x v="214"/>
  </r>
  <r>
    <s v="Zsarkó-Berta László"/>
    <s v="M45"/>
    <s v="HUN"/>
    <s v="03:33:16"/>
    <x v="215"/>
  </r>
  <r>
    <s v="Piszker Zoltán"/>
    <s v="M35"/>
    <s v="HUN"/>
    <s v="05:22:34"/>
    <x v="216"/>
  </r>
  <r>
    <s v="Keliuh, Denis"/>
    <s v="M40"/>
    <s v="MDA"/>
    <s v="03:53:52"/>
    <x v="217"/>
  </r>
  <r>
    <s v="Siemieniak, Karol"/>
    <s v="M25"/>
    <s v="POL"/>
    <s v="03:56:48"/>
    <x v="218"/>
  </r>
  <r>
    <s v="Nagy Balázs"/>
    <s v="M45"/>
    <s v="HUN"/>
    <s v="04:06:26"/>
    <x v="219"/>
  </r>
  <r>
    <s v="Holecz Attila"/>
    <s v="M50"/>
    <s v="HUN"/>
    <s v="04:08:44"/>
    <x v="220"/>
  </r>
  <r>
    <s v="Kathan, Christoph"/>
    <s v="M40"/>
    <s v="AUT"/>
    <s v="03:13:51"/>
    <x v="221"/>
  </r>
  <r>
    <s v="Crook, Dalton"/>
    <s v="M30"/>
    <s v="GBR"/>
    <s v="03:36:34"/>
    <x v="222"/>
  </r>
  <r>
    <s v="Kolarovsky, Mihaly"/>
    <s v="M60"/>
    <s v="SVK"/>
    <s v="04:22:49"/>
    <x v="223"/>
  </r>
  <r>
    <s v="Diószegi Béla"/>
    <s v="M45"/>
    <s v="HUN"/>
    <s v="03:50:42"/>
    <x v="224"/>
  </r>
  <r>
    <s v="Babarczy Tamás"/>
    <s v="M60"/>
    <s v="HUN"/>
    <s v="03:51:07"/>
    <x v="91"/>
  </r>
  <r>
    <s v="Varga Gábor"/>
    <s v="M50"/>
    <s v="HUN"/>
    <s v="04:56:57"/>
    <x v="225"/>
  </r>
  <r>
    <s v="Schümann, Henry"/>
    <s v="M20"/>
    <s v="GER"/>
    <s v="03:33:56"/>
    <x v="226"/>
  </r>
  <r>
    <s v="Börcsök Imre"/>
    <s v="M45"/>
    <s v="HUN"/>
    <s v="05:12:30"/>
    <x v="227"/>
  </r>
  <r>
    <s v="Trella-Várhelyi Róbert"/>
    <s v="M35"/>
    <s v="HUN"/>
    <s v="03:32:06"/>
    <x v="228"/>
  </r>
  <r>
    <s v="Dennis, Haskins"/>
    <s v="M65"/>
    <s v="IRL"/>
    <s v="04:33:44"/>
    <x v="229"/>
  </r>
  <r>
    <s v="FEDORCZUK, MAREK"/>
    <s v="M55"/>
    <s v="POL"/>
    <s v="04:33:02"/>
    <x v="230"/>
  </r>
  <r>
    <s v="Jenkei Péter"/>
    <s v="M30"/>
    <s v="HUN"/>
    <s v="02:32:43"/>
    <x v="231"/>
  </r>
  <r>
    <s v="Lima, Fabio prof"/>
    <s v="M35"/>
    <s v="POR"/>
    <s v="03:10:50"/>
    <x v="232"/>
  </r>
  <r>
    <s v="Tagscherer Imre"/>
    <s v="M50"/>
    <s v="HUN"/>
    <s v="03:40:14"/>
    <x v="233"/>
  </r>
  <r>
    <s v="Jakab Zoltán"/>
    <s v="M45"/>
    <s v="HUN"/>
    <s v="04:21:13"/>
    <x v="234"/>
  </r>
  <r>
    <s v="Hornung András"/>
    <s v="M40"/>
    <s v="HUN"/>
    <s v="03:15:44"/>
    <x v="235"/>
  </r>
  <r>
    <s v="Delly Csaba"/>
    <s v="M25"/>
    <s v="HUN"/>
    <s v="03:53:46"/>
    <x v="236"/>
  </r>
  <r>
    <s v="Georges, Rescoussier"/>
    <s v="M55"/>
    <s v="FRA"/>
    <s v="04:39:21"/>
    <x v="237"/>
  </r>
  <r>
    <s v="Kretovics Zsolt"/>
    <s v="M35"/>
    <s v="HUN"/>
    <s v="05:03:47"/>
    <x v="238"/>
  </r>
  <r>
    <s v="Ádám János Péter"/>
    <s v="M45"/>
    <s v="HUN"/>
    <s v="04:13:44"/>
    <x v="239"/>
  </r>
  <r>
    <s v="Linde, Anton"/>
    <s v="M30"/>
    <s v="RSA"/>
    <s v="04:24:09"/>
    <x v="5"/>
  </r>
  <r>
    <s v="Kvapil, Tomá"/>
    <s v="M25"/>
    <s v="CZE"/>
    <s v="03:57:46"/>
    <x v="240"/>
  </r>
  <r>
    <s v="Daczi Imre"/>
    <s v="M55"/>
    <s v="HUN"/>
    <s v="04:13:38"/>
    <x v="241"/>
  </r>
  <r>
    <s v="Sabater, Mikel"/>
    <s v="M40"/>
    <s v="ESP"/>
    <s v="03:42:08"/>
    <x v="242"/>
  </r>
  <r>
    <s v="Hegedüs Péter"/>
    <s v="M30"/>
    <s v="HUN"/>
    <s v="03:44:53"/>
    <x v="243"/>
  </r>
  <r>
    <s v="Putzke, Holm prof"/>
    <s v="M50"/>
    <s v="GER"/>
    <s v="03:31:50"/>
    <x v="244"/>
  </r>
  <r>
    <s v="Wennerström, Per"/>
    <s v="M45"/>
    <s v="SWE"/>
    <s v="03:23:34"/>
    <x v="14"/>
  </r>
  <r>
    <s v="Csőke Martin"/>
    <s v="M20"/>
    <s v="HUN"/>
    <s v="03:26:35"/>
    <x v="23"/>
  </r>
  <r>
    <s v="Droogmans, Martijn"/>
    <s v="M40"/>
    <s v="BEL"/>
    <s v="03:32:22"/>
    <x v="245"/>
  </r>
  <r>
    <s v="Juchniewicz, Matt"/>
    <s v="M40"/>
    <s v="GBR"/>
    <s v="03:52:10"/>
    <x v="246"/>
  </r>
  <r>
    <s v="Shchori, Gal"/>
    <s v="M30"/>
    <s v="ISR"/>
    <s v="03:23:12"/>
    <x v="247"/>
  </r>
  <r>
    <s v="Dévai Ádám Dominik"/>
    <s v="M20"/>
    <s v="HUN"/>
    <s v="03:30:51"/>
    <x v="78"/>
  </r>
  <r>
    <s v="Zięba, Daniel"/>
    <s v="M25"/>
    <s v="POL"/>
    <s v="03:39:45"/>
    <x v="248"/>
  </r>
  <r>
    <s v="Gombás Tibor"/>
    <s v="M35"/>
    <s v="HUN"/>
    <s v="04:12:31"/>
    <x v="249"/>
  </r>
  <r>
    <s v="Oláh Gábor"/>
    <s v="M35"/>
    <s v="HUN"/>
    <s v="03:33:10"/>
    <x v="250"/>
  </r>
  <r>
    <s v="Vincent, Quenet"/>
    <s v="M20"/>
    <s v="FRA"/>
    <s v="05:09:49"/>
    <x v="251"/>
  </r>
  <r>
    <s v="Leheny, Seamus"/>
    <s v="M45"/>
    <s v="IRL"/>
    <s v="03:46:41"/>
    <x v="252"/>
  </r>
  <r>
    <s v="Bódi Gergely"/>
    <s v="M30"/>
    <s v="HUN"/>
    <s v="04:01:19"/>
    <x v="253"/>
  </r>
  <r>
    <s v="Ureczky Balázs"/>
    <s v="M35"/>
    <s v="HUN"/>
    <s v="03:37:54"/>
    <x v="254"/>
  </r>
  <r>
    <s v="Benton, Jack dr"/>
    <s v="M30"/>
    <s v="GBR"/>
    <s v="03:41:17"/>
    <x v="255"/>
  </r>
  <r>
    <s v="Versegi Zoltán"/>
    <s v="M60"/>
    <s v="HUN"/>
    <s v="04:00:12"/>
    <x v="256"/>
  </r>
  <r>
    <s v="Hand, Feargal"/>
    <s v="M30"/>
    <s v="IRL"/>
    <s v="04:01:01"/>
    <x v="257"/>
  </r>
  <r>
    <s v="Rábai Richárd"/>
    <s v="M45"/>
    <s v="HUN"/>
    <s v="04:25:57"/>
    <x v="258"/>
  </r>
  <r>
    <s v="Nagy, Zoltán"/>
    <s v="M50"/>
    <s v="SVK"/>
    <s v="04:25:28"/>
    <x v="259"/>
  </r>
  <r>
    <s v="Fodor Bertalan Balázs"/>
    <s v="M45"/>
    <s v="HUN"/>
    <s v="04:15:26"/>
    <x v="260"/>
  </r>
  <r>
    <s v="Szilágyi Gergő"/>
    <s v="M40"/>
    <s v="HUN"/>
    <s v="04:19:48"/>
    <x v="261"/>
  </r>
  <r>
    <s v="Ferenc Péter Muck"/>
    <s v="M30"/>
    <s v="HUN"/>
    <s v="03:59:08"/>
    <x v="262"/>
  </r>
  <r>
    <s v="Farkas, Csaba"/>
    <s v="M35"/>
    <s v="ROM"/>
    <s v="04:56:37"/>
    <x v="263"/>
  </r>
  <r>
    <s v="Gálfi Zsolt"/>
    <s v="M30"/>
    <s v="HUN"/>
    <s v="04:11:51"/>
    <x v="264"/>
  </r>
  <r>
    <s v="Jeffrey, Qin"/>
    <s v="M45"/>
    <s v="CHN"/>
    <s v="03:38:12"/>
    <x v="265"/>
  </r>
  <r>
    <s v="Bak Szabolcs"/>
    <s v="M25"/>
    <s v="HUN"/>
    <s v="03:09:06"/>
    <x v="266"/>
  </r>
  <r>
    <s v="Győrffy András"/>
    <s v="M45"/>
    <s v="HUN"/>
    <s v="04:14:16"/>
    <x v="267"/>
  </r>
  <r>
    <s v="Csikós Tamás"/>
    <s v="M30"/>
    <s v="HUN"/>
    <s v="04:14:59"/>
    <x v="52"/>
  </r>
  <r>
    <s v="Foo, Loon Wei"/>
    <s v="M20"/>
    <s v="SIN"/>
    <s v="03:14:50"/>
    <x v="268"/>
  </r>
  <r>
    <s v="Agong, David Apassnaba"/>
    <s v="M25"/>
    <s v="GER"/>
    <s v="04:55:49"/>
    <x v="269"/>
  </r>
  <r>
    <s v="Martin, Riccardo"/>
    <s v="M25"/>
    <s v="ITA"/>
    <s v="03:59:22"/>
    <x v="270"/>
  </r>
  <r>
    <s v="Lalande, Thibault"/>
    <s v="M20"/>
    <s v="FRA"/>
    <s v="03:26:57"/>
    <x v="271"/>
  </r>
  <r>
    <s v="Bódai Nimród"/>
    <s v="M25"/>
    <s v="HUN"/>
    <s v="03:45:41"/>
    <x v="272"/>
  </r>
  <r>
    <s v="Stadlbauer, Xaver-Paul"/>
    <s v="M25"/>
    <s v="AUT"/>
    <s v="02:53:18"/>
    <x v="273"/>
  </r>
  <r>
    <s v="Kim, Changhun"/>
    <s v="M45"/>
    <s v="KOR"/>
    <s v="03:34:04"/>
    <x v="274"/>
  </r>
  <r>
    <s v="Pizarro, Francisco prof"/>
    <s v="M40"/>
    <s v="CHI"/>
    <s v="03:43:59"/>
    <x v="275"/>
  </r>
  <r>
    <s v="Zarella, John"/>
    <s v="M20"/>
    <s v="USA"/>
    <s v="04:22:25"/>
    <x v="276"/>
  </r>
  <r>
    <s v="Lökösházi Béla"/>
    <s v="M45"/>
    <s v="HUN"/>
    <s v="04:03:14"/>
    <x v="277"/>
  </r>
  <r>
    <s v="Chitoriski, Lochlan prof"/>
    <s v="M30"/>
    <s v="GBR"/>
    <s v="03:54:04"/>
    <x v="278"/>
  </r>
  <r>
    <s v="Érsek Péter"/>
    <s v="M45"/>
    <s v="HUN"/>
    <s v="03:55:18"/>
    <x v="279"/>
  </r>
  <r>
    <s v="Fee, Adam"/>
    <s v="M18"/>
    <s v="IRL"/>
    <s v="05:01:11"/>
    <x v="280"/>
  </r>
  <r>
    <s v="CAPPELLA, EMANUELE"/>
    <s v="M45"/>
    <s v="ITA"/>
    <s v="03:30:08"/>
    <x v="281"/>
  </r>
  <r>
    <s v="Wahid, Kamran"/>
    <s v="M30"/>
    <s v="PAK"/>
    <s v="03:47:35"/>
    <x v="28"/>
  </r>
  <r>
    <s v="Mendel Dániel"/>
    <s v="M35"/>
    <s v="HUN"/>
    <s v="03:31:34"/>
    <x v="282"/>
  </r>
  <r>
    <s v="Harty, William"/>
    <s v="M25"/>
    <s v="AUS"/>
    <s v="03:51:53"/>
    <x v="283"/>
  </r>
  <r>
    <s v="Khazanehdari, Jamshid"/>
    <s v="M65"/>
    <s v="GBR"/>
    <s v="04:11:03"/>
    <x v="284"/>
  </r>
  <r>
    <s v="Knowles, Ben"/>
    <s v="M25"/>
    <s v="GBR"/>
    <s v="05:31:20"/>
    <x v="285"/>
  </r>
  <r>
    <s v="Rive, Charlie"/>
    <s v="M20"/>
    <m/>
    <s v="02:52:07"/>
    <x v="286"/>
  </r>
  <r>
    <s v="Kane, Noel"/>
    <s v="M30"/>
    <s v="IRL"/>
    <s v="04:14:30"/>
    <x v="287"/>
  </r>
  <r>
    <s v="Udvari Szabolcs"/>
    <s v="M50"/>
    <s v="HUN"/>
    <s v="03:32:53"/>
    <x v="288"/>
  </r>
  <r>
    <s v="Casey, Daniel"/>
    <s v="M20"/>
    <s v="IRL"/>
    <s v="04:46:39"/>
    <x v="289"/>
  </r>
  <r>
    <s v="Kerekes Máté"/>
    <s v="M25"/>
    <s v="HUN"/>
    <s v="05:13:03"/>
    <x v="290"/>
  </r>
  <r>
    <s v="Kosdi-Kovács Márton"/>
    <s v="M25"/>
    <s v="HUN"/>
    <s v="02:55:38"/>
    <x v="291"/>
  </r>
  <r>
    <s v="Chua, Charlie"/>
    <s v="M20"/>
    <s v="SIN"/>
    <s v="04:13:25"/>
    <x v="292"/>
  </r>
  <r>
    <s v="Szekretár János"/>
    <s v="M35"/>
    <s v="HUN"/>
    <s v="05:35:13"/>
    <x v="293"/>
  </r>
  <r>
    <s v="Jakub, liwiński dr"/>
    <s v="M40"/>
    <s v="POL"/>
    <s v="04:06:29"/>
    <x v="294"/>
  </r>
  <r>
    <s v="Zádori Ferenc"/>
    <s v="M30"/>
    <s v="HUN"/>
    <s v="03:34:05"/>
    <x v="295"/>
  </r>
  <r>
    <s v="Hudetz András"/>
    <s v="M45"/>
    <s v="HUN"/>
    <s v="05:17:45"/>
    <x v="296"/>
  </r>
  <r>
    <s v="Llewellyn, Neal prof"/>
    <s v="M20"/>
    <s v="GBR"/>
    <s v="03:36:31"/>
    <x v="297"/>
  </r>
  <r>
    <s v="Mózes Károly"/>
    <s v="M35"/>
    <s v="HUN"/>
    <s v="03:59:12"/>
    <x v="298"/>
  </r>
  <r>
    <s v="Kovács Krisztián"/>
    <s v="M30"/>
    <s v="HUN"/>
    <s v="04:02:49"/>
    <x v="299"/>
  </r>
  <r>
    <s v="Marceau, Jean-Louis"/>
    <s v="M55"/>
    <s v="FRA"/>
    <s v="04:43:57"/>
    <x v="300"/>
  </r>
  <r>
    <s v="Cayir, Ali"/>
    <s v="M45"/>
    <s v="BEL"/>
    <s v="03:21:33"/>
    <x v="301"/>
  </r>
  <r>
    <s v="Kun Fülöp"/>
    <s v="M35"/>
    <s v="HUN"/>
    <s v="04:02:09"/>
    <x v="302"/>
  </r>
  <r>
    <s v="Borbás Péter István"/>
    <s v="M40"/>
    <s v="HUN"/>
    <s v="05:12:09"/>
    <x v="303"/>
  </r>
  <r>
    <s v="Nádró Csaba"/>
    <s v="M35"/>
    <s v="HUN"/>
    <s v="04:59:54"/>
    <x v="304"/>
  </r>
  <r>
    <s v="Kasza László"/>
    <s v="M65"/>
    <s v="HUN"/>
    <s v="05:06:36"/>
    <x v="305"/>
  </r>
  <r>
    <s v="Nagy István"/>
    <s v="M35"/>
    <s v="HUN"/>
    <s v="03:09:06"/>
    <x v="266"/>
  </r>
  <r>
    <s v="Lénárt Viktor"/>
    <s v="M40"/>
    <s v="HUN"/>
    <s v="04:24:22"/>
    <x v="306"/>
  </r>
  <r>
    <s v="András Ákos"/>
    <s v="M30"/>
    <s v="HUN"/>
    <s v="03:22:24"/>
    <x v="307"/>
  </r>
  <r>
    <s v="File Balázs"/>
    <s v="M40"/>
    <s v="HUN"/>
    <s v="03:28:44"/>
    <x v="308"/>
  </r>
  <r>
    <s v="Kecskeméti György"/>
    <s v="M50"/>
    <s v="HUN"/>
    <s v="04:38:21"/>
    <x v="309"/>
  </r>
  <r>
    <s v="Brzeski, Dawid"/>
    <s v="M40"/>
    <s v="POL"/>
    <s v="03:54:15"/>
    <x v="310"/>
  </r>
  <r>
    <s v="Recski Ferenc"/>
    <s v="M40"/>
    <s v="HUN"/>
    <s v="04:12:55"/>
    <x v="311"/>
  </r>
  <r>
    <s v="Béres Bálint"/>
    <s v="M25"/>
    <s v="HUN"/>
    <s v="04:14:54"/>
    <x v="312"/>
  </r>
  <r>
    <s v="Anderlik Attila Lajos"/>
    <s v="M50"/>
    <s v="HUN"/>
    <s v="04:13:40"/>
    <x v="313"/>
  </r>
  <r>
    <s v="Imre, Tomá"/>
    <s v="M35"/>
    <s v="SVK"/>
    <s v="03:02:51"/>
    <x v="314"/>
  </r>
  <r>
    <s v="Gyurin Attila"/>
    <s v="M30"/>
    <s v="HUN"/>
    <s v="03:26:44"/>
    <x v="315"/>
  </r>
  <r>
    <s v="Fallon, Martin prof"/>
    <s v="M20"/>
    <s v="IRL"/>
    <s v="05:13:51"/>
    <x v="316"/>
  </r>
  <r>
    <s v="Lökösházi Béla"/>
    <s v="M20"/>
    <s v="HUN"/>
    <s v="04:03:14"/>
    <x v="277"/>
  </r>
  <r>
    <s v="Gémes Levente"/>
    <s v="M20"/>
    <s v="HUN"/>
    <s v="03:54:01"/>
    <x v="317"/>
  </r>
  <r>
    <s v="Németh Kálmán"/>
    <s v="M40"/>
    <s v="HUN"/>
    <s v="04:02:27"/>
    <x v="318"/>
  </r>
  <r>
    <s v="Kieran, Palmer"/>
    <s v="M25"/>
    <s v="GBR"/>
    <s v="04:28:38"/>
    <x v="319"/>
  </r>
  <r>
    <s v="Bakó Attila"/>
    <s v="M40"/>
    <s v="HUN"/>
    <s v="03:59:49"/>
    <x v="320"/>
  </r>
  <r>
    <s v="Sebők László"/>
    <s v="M40"/>
    <s v="HUN"/>
    <s v="04:32:27"/>
    <x v="321"/>
  </r>
  <r>
    <s v="Grassy Krisztián"/>
    <s v="M45"/>
    <s v="HUN"/>
    <s v="04:01:55"/>
    <x v="322"/>
  </r>
  <r>
    <s v="Szentes Gergely"/>
    <s v="M50"/>
    <s v="HUN"/>
    <s v="05:01:03"/>
    <x v="323"/>
  </r>
  <r>
    <s v="Elizek Viktor"/>
    <s v="M25"/>
    <s v="HUN"/>
    <s v="04:15:49"/>
    <x v="324"/>
  </r>
  <r>
    <s v="Horwitz, Noah prof"/>
    <s v="M20"/>
    <s v="NED"/>
    <s v="03:56:11"/>
    <x v="325"/>
  </r>
  <r>
    <s v="Nagy Attila"/>
    <s v="M45"/>
    <s v="HUN"/>
    <s v="04:46:26"/>
    <x v="326"/>
  </r>
  <r>
    <s v="Varga Márton Dr."/>
    <s v="M45"/>
    <s v="HUN"/>
    <s v="03:36:34"/>
    <x v="222"/>
  </r>
  <r>
    <s v="Tóth Károly Béla"/>
    <s v="M25"/>
    <s v="HUN"/>
    <s v="04:20:36"/>
    <x v="327"/>
  </r>
  <r>
    <s v="Tüske László"/>
    <s v="M45"/>
    <s v="HUN"/>
    <s v="04:08:25"/>
    <x v="328"/>
  </r>
  <r>
    <s v="Meffan, Samuel"/>
    <s v="M25"/>
    <s v="GBR"/>
    <s v="04:54:20"/>
    <x v="329"/>
  </r>
  <r>
    <s v="Tabányi Gábor"/>
    <s v="M40"/>
    <s v="HUN"/>
    <s v="03:44:36"/>
    <x v="164"/>
  </r>
  <r>
    <s v="Schárer Sándor"/>
    <s v="M45"/>
    <s v="HUN"/>
    <s v="04:46:58"/>
    <x v="330"/>
  </r>
  <r>
    <s v="Szoboszlai Gáspár István"/>
    <s v="M50"/>
    <s v="HUN"/>
    <s v="05:33:08"/>
    <x v="331"/>
  </r>
  <r>
    <s v="Bíró Balázs"/>
    <s v="M40"/>
    <s v="HUN"/>
    <s v="05:02:44"/>
    <x v="332"/>
  </r>
  <r>
    <s v="Fási István Róbert"/>
    <s v="M40"/>
    <s v="HUN"/>
    <s v="04:47:14"/>
    <x v="333"/>
  </r>
  <r>
    <s v="david, cusanno"/>
    <s v="M55"/>
    <s v="FRA"/>
    <s v="04:32:32"/>
    <x v="334"/>
  </r>
  <r>
    <s v="Farkas Gábor"/>
    <s v="M35"/>
    <s v="HUN"/>
    <s v="04:25:21"/>
    <x v="335"/>
  </r>
  <r>
    <s v="Wilding, Benjamin"/>
    <s v="M18"/>
    <s v="GBR"/>
    <s v="03:23:05"/>
    <x v="118"/>
  </r>
  <r>
    <s v="Gonzalez Unanua, Jose Javier"/>
    <s v="M50"/>
    <s v="ESP"/>
    <s v="04:11:56"/>
    <x v="336"/>
  </r>
  <r>
    <s v="Szalai Laszlo"/>
    <s v="M30"/>
    <s v="HUN"/>
    <s v="05:22:40"/>
    <x v="337"/>
  </r>
  <r>
    <s v="lasarte, ismael"/>
    <s v="M50"/>
    <s v="ESP"/>
    <s v="03:44:21"/>
    <x v="338"/>
  </r>
  <r>
    <s v="Kozma Zsolt dr"/>
    <s v="M55"/>
    <s v="HUN"/>
    <s v="04:00:54"/>
    <x v="339"/>
  </r>
  <r>
    <s v="Farkass Ábel"/>
    <s v="M25"/>
    <s v="HUN"/>
    <s v="03:27:19"/>
    <x v="340"/>
  </r>
  <r>
    <s v="Lloyd, Samuel"/>
    <s v="M40"/>
    <s v="USA"/>
    <s v="04:25:17"/>
    <x v="341"/>
  </r>
  <r>
    <s v="Charlop, Avi"/>
    <s v="M40"/>
    <s v="ISR"/>
    <s v="03:56:39"/>
    <x v="342"/>
  </r>
  <r>
    <s v="Péter, Dániel dr"/>
    <s v="M35"/>
    <s v="GER"/>
    <s v="03:28:53"/>
    <x v="343"/>
  </r>
  <r>
    <s v="Darabos Bence"/>
    <s v="M30"/>
    <s v="HUN"/>
    <s v="04:15:35"/>
    <x v="344"/>
  </r>
  <r>
    <s v="Mitchell, Oli"/>
    <s v="M35"/>
    <s v="GBR"/>
    <s v="04:33:17"/>
    <x v="345"/>
  </r>
  <r>
    <s v="Rajkó Tamás"/>
    <s v="M55"/>
    <s v="HUN"/>
    <s v="05:30:10"/>
    <x v="346"/>
  </r>
  <r>
    <s v="Horváth Zsolt István"/>
    <s v="M55"/>
    <s v="HUN"/>
    <s v="04:02:48"/>
    <x v="347"/>
  </r>
  <r>
    <s v="Gojdár Lóránt Balázs dr"/>
    <s v="M25"/>
    <s v="HUN"/>
    <s v="05:33:19"/>
    <x v="348"/>
  </r>
  <r>
    <s v="Badura, Michal"/>
    <s v="M45"/>
    <s v="POL"/>
    <s v="03:57:49"/>
    <x v="349"/>
  </r>
  <r>
    <s v="Smaldon, Michael"/>
    <s v="M40"/>
    <s v="GBR"/>
    <s v="03:25:52"/>
    <x v="350"/>
  </r>
  <r>
    <s v="Kardoss Bence"/>
    <s v="M20"/>
    <s v="HUN"/>
    <s v="04:36:48"/>
    <x v="351"/>
  </r>
  <r>
    <s v="Hadam, Ryszard"/>
    <s v="M50"/>
    <s v="POL"/>
    <s v="04:48:56"/>
    <x v="352"/>
  </r>
  <r>
    <s v="Aradi-Hankó Péter"/>
    <s v="M35"/>
    <s v="HUN"/>
    <s v="03:41:48"/>
    <x v="353"/>
  </r>
  <r>
    <s v="Rupnik, Janusz"/>
    <s v="M50"/>
    <s v="POL"/>
    <s v="04:32:44"/>
    <x v="354"/>
  </r>
  <r>
    <s v="Short, Dan"/>
    <s v="M25"/>
    <s v="GBR"/>
    <s v="03:29:16"/>
    <x v="355"/>
  </r>
  <r>
    <s v="Tshimbalanga, Jason"/>
    <s v="M30"/>
    <s v="GBR"/>
    <s v="03:55:23"/>
    <x v="356"/>
  </r>
  <r>
    <s v="Illés Ádám"/>
    <s v="M30"/>
    <s v="HUN"/>
    <s v="05:26:56"/>
    <x v="357"/>
  </r>
  <r>
    <s v="Sharif, Aboelnaga"/>
    <s v="M50"/>
    <s v="USA"/>
    <s v="03:11:01"/>
    <x v="358"/>
  </r>
  <r>
    <s v="Vrontakis, Iraklis"/>
    <s v="M45"/>
    <s v="GRE"/>
    <s v="03:39:37"/>
    <x v="359"/>
  </r>
  <r>
    <s v="Bart, van Brussel"/>
    <s v="M25"/>
    <s v="NED"/>
    <s v="04:55:45"/>
    <x v="360"/>
  </r>
  <r>
    <s v="Lee, Yue Heng"/>
    <s v="M20"/>
    <s v="SIN"/>
    <s v="05:21:27"/>
    <x v="361"/>
  </r>
  <r>
    <s v="Bartnicki, Jakub"/>
    <s v="M25"/>
    <s v="POL"/>
    <s v="03:29:26"/>
    <x v="362"/>
  </r>
  <r>
    <s v="Herbay Dávid"/>
    <s v="M35"/>
    <s v="HUN"/>
    <s v="05:18:44"/>
    <x v="363"/>
  </r>
  <r>
    <s v="Remport Gábor"/>
    <s v="M45"/>
    <s v="HUN"/>
    <s v="04:12:11"/>
    <x v="364"/>
  </r>
  <r>
    <s v="Baker, Joseph"/>
    <s v="M20"/>
    <s v="GBR"/>
    <s v="04:53:13"/>
    <x v="365"/>
  </r>
  <r>
    <s v="Mátray Ádám Balázs"/>
    <s v="M35"/>
    <s v="HUN"/>
    <s v="03:58:26"/>
    <x v="366"/>
  </r>
  <r>
    <s v="Pap Áron"/>
    <s v="M25"/>
    <s v="HUN"/>
    <s v="04:03:23"/>
    <x v="171"/>
  </r>
  <r>
    <s v="Zeller Róbert"/>
    <s v="M55"/>
    <s v="HUN"/>
    <s v="04:58:43"/>
    <x v="86"/>
  </r>
  <r>
    <s v="Maxence, LOIRE"/>
    <s v="M30"/>
    <s v="FRA"/>
    <s v="03:58:03"/>
    <x v="367"/>
  </r>
  <r>
    <s v="Kozma Géza"/>
    <s v="M50"/>
    <s v="HUN"/>
    <s v="05:24:04"/>
    <x v="368"/>
  </r>
  <r>
    <s v="Noam, Ben Zimra prof"/>
    <s v="M25"/>
    <s v="ISR"/>
    <s v="03:47:36"/>
    <x v="369"/>
  </r>
  <r>
    <s v="Haidu, Gyula"/>
    <s v="M45"/>
    <s v="ROM"/>
    <s v="03:49:03"/>
    <x v="370"/>
  </r>
  <r>
    <s v="Metzger Balázs"/>
    <s v="M45"/>
    <s v="HUN"/>
    <s v="03:41:18"/>
    <x v="371"/>
  </r>
  <r>
    <s v="Pljesovszki Roland"/>
    <s v="M30"/>
    <s v="HUN"/>
    <s v="05:14:57"/>
    <x v="372"/>
  </r>
  <r>
    <s v="Kaszab Máté"/>
    <s v="M30"/>
    <s v="HUN"/>
    <s v="04:38:50"/>
    <x v="373"/>
  </r>
  <r>
    <s v="Vásárhelyi Máté"/>
    <s v="M20"/>
    <s v="HUN"/>
    <s v="02:29:36"/>
    <x v="374"/>
  </r>
  <r>
    <s v="Tanárki Mihály"/>
    <s v="M35"/>
    <s v="HUN"/>
    <s v="03:48:24"/>
    <x v="375"/>
  </r>
  <r>
    <s v="Kövér Balázs"/>
    <s v="M45"/>
    <s v="HUN"/>
    <s v="03:14:58"/>
    <x v="376"/>
  </r>
  <r>
    <s v="Szekeres Gabor"/>
    <s v="M40"/>
    <s v="HUN"/>
    <s v="03:40:42"/>
    <x v="377"/>
  </r>
  <r>
    <s v="Olofsson, Jonas"/>
    <s v="M30"/>
    <s v="SWE"/>
    <s v="03:51:07"/>
    <x v="91"/>
  </r>
  <r>
    <s v="Bakk, Jutas"/>
    <s v="M40"/>
    <s v="ROM"/>
    <s v="04:38:55"/>
    <x v="378"/>
  </r>
  <r>
    <s v="Balogh Benjamin"/>
    <s v="M30"/>
    <s v="HUN"/>
    <s v="03:27:28"/>
    <x v="379"/>
  </r>
  <r>
    <s v="Fenyvesi Ákos"/>
    <s v="M25"/>
    <s v="HUN"/>
    <s v="03:57:22"/>
    <x v="380"/>
  </r>
  <r>
    <s v="Benedek Marcell"/>
    <s v="M25"/>
    <s v="HUN"/>
    <s v="03:25:40"/>
    <x v="381"/>
  </r>
  <r>
    <s v="Matveiev, Oleksandr"/>
    <s v="M35"/>
    <s v="UKR"/>
    <s v="04:27:48"/>
    <x v="382"/>
  </r>
  <r>
    <s v="Concas, Antonio prof"/>
    <s v="M50"/>
    <s v="ITA"/>
    <s v="04:05:28"/>
    <x v="383"/>
  </r>
  <r>
    <s v="Beke Károly"/>
    <s v="M40"/>
    <s v="HUN"/>
    <s v="04:45:59"/>
    <x v="384"/>
  </r>
  <r>
    <s v="Wolniaczyk, Marcin"/>
    <s v="M45"/>
    <s v="POL"/>
    <s v="03:27:03"/>
    <x v="385"/>
  </r>
  <r>
    <s v="Cseke Ádám"/>
    <s v="M25"/>
    <s v="HUN"/>
    <s v="03:39:29"/>
    <x v="386"/>
  </r>
  <r>
    <s v="Lilik Ádám"/>
    <s v="M35"/>
    <s v="HUN"/>
    <s v="03:29:36"/>
    <x v="387"/>
  </r>
  <r>
    <s v="Johnson, Alexander"/>
    <s v="M35"/>
    <s v="GBR"/>
    <s v="04:31:05"/>
    <x v="388"/>
  </r>
  <r>
    <s v="Juhász Balázs"/>
    <s v="M30"/>
    <s v="HUN"/>
    <s v="03:56:20"/>
    <x v="389"/>
  </r>
  <r>
    <s v="Garbacz Máté Soma"/>
    <s v="M20"/>
    <s v="HUN"/>
    <s v="04:41:33"/>
    <x v="390"/>
  </r>
  <r>
    <s v="Pipis László"/>
    <s v="M50"/>
    <s v="HUN"/>
    <s v="03:48:32"/>
    <x v="391"/>
  </r>
  <r>
    <s v="Antović, Vladimir"/>
    <s v="M50"/>
    <s v="SRB"/>
    <s v="03:08:46"/>
    <x v="392"/>
  </r>
  <r>
    <s v="Akpojaro, Princeton"/>
    <s v="M55"/>
    <s v="GBR"/>
    <s v="04:00:07"/>
    <x v="146"/>
  </r>
  <r>
    <s v="Pető Attila"/>
    <s v="M35"/>
    <s v="HUN"/>
    <s v="05:25:11"/>
    <x v="393"/>
  </r>
  <r>
    <s v="Patakfalvi Zsolt dr"/>
    <s v="M50"/>
    <s v="HUN"/>
    <s v="04:16:31"/>
    <x v="394"/>
  </r>
  <r>
    <s v="Sipos Sándor"/>
    <s v="M65"/>
    <s v="HUN"/>
    <s v="04:23:06"/>
    <x v="395"/>
  </r>
  <r>
    <s v="Morin, Philippe"/>
    <s v="M50"/>
    <s v="FRA"/>
    <s v="04:16:25"/>
    <x v="396"/>
  </r>
  <r>
    <s v="Antal István"/>
    <s v="M50"/>
    <s v="HUN"/>
    <s v="03:39:41"/>
    <x v="397"/>
  </r>
  <r>
    <s v="Böhm, Patrick"/>
    <s v="M50"/>
    <s v="GER"/>
    <s v="04:46:12"/>
    <x v="398"/>
  </r>
  <r>
    <s v="Csík Szabolcs dr."/>
    <s v="M45"/>
    <s v="HUN"/>
    <s v="04:08:20"/>
    <x v="399"/>
  </r>
  <r>
    <s v="O'Neill, Callum"/>
    <s v="M25"/>
    <s v="GBR"/>
    <s v="03:58:34"/>
    <x v="400"/>
  </r>
  <r>
    <s v="Bodnár Krisztián"/>
    <s v="M20"/>
    <s v="HUN"/>
    <s v="04:54:46"/>
    <x v="401"/>
  </r>
  <r>
    <s v="Magyar Zoltán"/>
    <s v="M45"/>
    <s v="HUN"/>
    <s v="04:49:41"/>
    <x v="402"/>
  </r>
  <r>
    <s v="Breglovics Milán"/>
    <s v="M40"/>
    <s v="HUN"/>
    <s v="04:13:35"/>
    <x v="403"/>
  </r>
  <r>
    <s v="Amaral Fonseca, Antonio Miguel"/>
    <s v="M45"/>
    <s v="POR"/>
    <s v="03:33:05"/>
    <x v="404"/>
  </r>
  <r>
    <s v="Csecsetka Dániel"/>
    <s v="M35"/>
    <s v="HUN"/>
    <s v="05:03:47"/>
    <x v="238"/>
  </r>
  <r>
    <s v="Samhaber, Christof"/>
    <s v="M50"/>
    <s v="AUT"/>
    <s v="03:56:33"/>
    <x v="405"/>
  </r>
  <r>
    <s v="Weinberger Tamás"/>
    <s v="M45"/>
    <s v="HUN"/>
    <s v="05:07:21"/>
    <x v="83"/>
  </r>
  <r>
    <s v="Öhman, Marcus prof"/>
    <s v="M35"/>
    <s v="SWE"/>
    <s v="03:54:45"/>
    <x v="406"/>
  </r>
  <r>
    <s v="Kariniemi, Roope"/>
    <s v="M20"/>
    <s v="FIN"/>
    <s v="02:51:59"/>
    <x v="407"/>
  </r>
  <r>
    <s v="Larsen, Jonas"/>
    <s v="M25"/>
    <s v="DEN"/>
    <s v="04:17:29"/>
    <x v="408"/>
  </r>
  <r>
    <s v="Debreczeni Dávid"/>
    <s v="M20"/>
    <s v="HUN"/>
    <s v="04:30:09"/>
    <x v="409"/>
  </r>
  <r>
    <s v="Pop Péter"/>
    <s v="M35"/>
    <s v="HUN"/>
    <s v="03:25:56"/>
    <x v="410"/>
  </r>
  <r>
    <s v="Somogyi Zsolt"/>
    <s v="M55"/>
    <s v="HUN"/>
    <s v="04:38:16"/>
    <x v="411"/>
  </r>
  <r>
    <s v="Mikecz András"/>
    <s v="M50"/>
    <s v="HUN"/>
    <s v="04:59:45"/>
    <x v="412"/>
  </r>
  <r>
    <s v="Józsa Péter"/>
    <s v="M40"/>
    <s v="HUN"/>
    <s v="03:25:40"/>
    <x v="381"/>
  </r>
  <r>
    <s v="Koch Kristóf dr"/>
    <s v="M25"/>
    <s v="HUN"/>
    <s v="03:28:10"/>
    <x v="413"/>
  </r>
  <r>
    <s v="Reisz Attila"/>
    <s v="M50"/>
    <s v="HUN"/>
    <s v="03:55:46"/>
    <x v="414"/>
  </r>
  <r>
    <s v="Furdan Dániel"/>
    <s v="M40"/>
    <s v="HUN"/>
    <s v="05:08:31"/>
    <x v="415"/>
  </r>
  <r>
    <s v="Giuricich, Luca"/>
    <s v="M25"/>
    <s v="RSA"/>
    <s v="03:18:23"/>
    <x v="416"/>
  </r>
  <r>
    <s v="Steinbach Marcell"/>
    <s v="M25"/>
    <s v="HUN"/>
    <s v="03:16:15"/>
    <x v="417"/>
  </r>
  <r>
    <s v="Panka Dániel"/>
    <s v="M30"/>
    <s v="HUN"/>
    <s v="03:46:01"/>
    <x v="418"/>
  </r>
  <r>
    <s v="Kőhegyi Máté"/>
    <s v="M25"/>
    <s v="HUN"/>
    <s v="04:31:06"/>
    <x v="419"/>
  </r>
  <r>
    <s v="Kanyó Balázs"/>
    <s v="M35"/>
    <s v="HUN"/>
    <s v="04:32:39"/>
    <x v="420"/>
  </r>
  <r>
    <s v="Spriggs, Josh"/>
    <s v="M20"/>
    <s v="GBR"/>
    <s v="04:15:36"/>
    <x v="421"/>
  </r>
  <r>
    <s v="Hunt, Richard"/>
    <s v="M50"/>
    <s v="GBR"/>
    <s v="04:32:42"/>
    <x v="422"/>
  </r>
  <r>
    <s v="Burián András"/>
    <s v="M50"/>
    <s v="HUN"/>
    <s v="03:51:33"/>
    <x v="423"/>
  </r>
  <r>
    <s v="O kane, Philip"/>
    <s v="M30"/>
    <s v="IRL"/>
    <s v="04:27:27"/>
    <x v="424"/>
  </r>
  <r>
    <s v="Rosenberg, Julius"/>
    <s v="M20"/>
    <s v="GER"/>
    <s v="04:32:15"/>
    <x v="425"/>
  </r>
  <r>
    <s v="Farkas Pál"/>
    <s v="M35"/>
    <s v="HUN"/>
    <s v="03:05:17"/>
    <x v="426"/>
  </r>
  <r>
    <s v="Pajerich Péter"/>
    <s v="M35"/>
    <s v="HUN"/>
    <s v="04:41:08"/>
    <x v="6"/>
  </r>
  <r>
    <s v="Tamás Csaba Gergely"/>
    <s v="M45"/>
    <s v="HUN"/>
    <s v="03:48:19"/>
    <x v="427"/>
  </r>
  <r>
    <s v="Barber, Harry"/>
    <s v="M25"/>
    <s v="GBR"/>
    <s v="04:05:20"/>
    <x v="428"/>
  </r>
  <r>
    <s v="Kertics Herbert"/>
    <s v="M40"/>
    <s v="HUN"/>
    <s v="04:51:05"/>
    <x v="429"/>
  </r>
  <r>
    <s v="Mortelette, Alexandre"/>
    <s v="M30"/>
    <s v="FRA"/>
    <s v="04:08:15"/>
    <x v="430"/>
  </r>
  <r>
    <s v="Lütolf, Brian"/>
    <s v="M30"/>
    <s v="SUI"/>
    <s v="04:05:39"/>
    <x v="431"/>
  </r>
  <r>
    <s v="Konstantakopoulos, Aristotelis"/>
    <s v="M50"/>
    <s v="GRE"/>
    <s v="04:46:05"/>
    <x v="432"/>
  </r>
  <r>
    <s v="Paggi, Patrizio"/>
    <s v="M45"/>
    <s v="ITA"/>
    <s v="03:41:47"/>
    <x v="32"/>
  </r>
  <r>
    <s v="Zelenský, Filip"/>
    <s v="M30"/>
    <s v="SVK"/>
    <s v="03:15:00"/>
    <x v="433"/>
  </r>
  <r>
    <s v="Bilik Péter"/>
    <s v="M25"/>
    <s v="HUN"/>
    <s v="04:00:42"/>
    <x v="434"/>
  </r>
  <r>
    <s v="Kovács László"/>
    <s v="M35"/>
    <s v="HUN"/>
    <s v="03:19:11"/>
    <x v="435"/>
  </r>
  <r>
    <s v="Baranyi Roland"/>
    <s v="M30"/>
    <s v="HUN"/>
    <s v="03:48:48"/>
    <x v="436"/>
  </r>
  <r>
    <s v="Lakatos Balázs"/>
    <s v="M25"/>
    <s v="HUN"/>
    <s v="03:57:17"/>
    <x v="437"/>
  </r>
  <r>
    <s v="Nagy Ádám László"/>
    <s v="M35"/>
    <s v="HUN"/>
    <s v="04:13:09"/>
    <x v="438"/>
  </r>
  <r>
    <s v="Katona György"/>
    <s v="M30"/>
    <s v="HUN"/>
    <s v="03:33:55"/>
    <x v="439"/>
  </r>
  <r>
    <s v="Gmyzo, Vasilii"/>
    <s v="M40"/>
    <s v="RUS"/>
    <s v="05:32:41"/>
    <x v="440"/>
  </r>
  <r>
    <s v="Nash, Tom"/>
    <s v="M25"/>
    <s v="GBR"/>
    <s v="03:55:59"/>
    <x v="441"/>
  </r>
  <r>
    <s v="Tarjányi Attila"/>
    <s v="M45"/>
    <s v="HUN"/>
    <s v="04:13:59"/>
    <x v="442"/>
  </r>
  <r>
    <s v="Farkas Szabolcs"/>
    <s v="M30"/>
    <s v="HUN"/>
    <s v="03:28:03"/>
    <x v="443"/>
  </r>
  <r>
    <s v="Tischer, Stefan"/>
    <s v="M40"/>
    <s v="GER"/>
    <s v="04:43:32"/>
    <x v="444"/>
  </r>
  <r>
    <s v="Janes, Christopher"/>
    <s v="M20"/>
    <s v="GBR"/>
    <s v="04:11:07"/>
    <x v="445"/>
  </r>
  <r>
    <s v="Budavári Zoltán"/>
    <s v="M45"/>
    <s v="HUN"/>
    <s v="03:58:48"/>
    <x v="201"/>
  </r>
  <r>
    <s v="LESCOAT, Philippe"/>
    <s v="M55"/>
    <s v="FRA"/>
    <s v="04:30:05"/>
    <x v="446"/>
  </r>
  <r>
    <s v="Nagy Izsó"/>
    <s v="M40"/>
    <s v="HUN"/>
    <s v="05:19:07"/>
    <x v="447"/>
  </r>
  <r>
    <s v="Kirzner, Igor prof"/>
    <s v="M30"/>
    <s v="ISR"/>
    <s v="04:19:18"/>
    <x v="448"/>
  </r>
  <r>
    <s v="Czesznak Zoltán"/>
    <s v="M45"/>
    <s v="HUN"/>
    <s v="05:19:00"/>
    <x v="449"/>
  </r>
  <r>
    <s v="Luangphetcharat, Songkij"/>
    <s v="M35"/>
    <s v="THA"/>
    <s v="04:49:02"/>
    <x v="450"/>
  </r>
  <r>
    <s v="Kamierczak, Karol"/>
    <s v="M25"/>
    <s v="POL"/>
    <s v="05:18:29"/>
    <x v="451"/>
  </r>
  <r>
    <s v="Dean, Lloyd"/>
    <s v="M40"/>
    <s v="GBR"/>
    <s v="05:39:40"/>
    <x v="452"/>
  </r>
  <r>
    <s v="Cameron, Thomas"/>
    <s v="M20"/>
    <s v="GBR"/>
    <s v="04:25:52"/>
    <x v="453"/>
  </r>
  <r>
    <s v="Gaston, David"/>
    <s v="M40"/>
    <s v="USA"/>
    <s v="03:35:03"/>
    <x v="454"/>
  </r>
  <r>
    <s v="Patos Attila"/>
    <s v="M45"/>
    <s v="HUN"/>
    <s v="03:37:04"/>
    <x v="455"/>
  </r>
  <r>
    <s v="Goosmann, Malthe"/>
    <s v="M25"/>
    <s v="DEN"/>
    <s v="03:58:11"/>
    <x v="456"/>
  </r>
  <r>
    <s v="Varga István János"/>
    <s v="M35"/>
    <s v="HUN"/>
    <s v="04:58:53"/>
    <x v="457"/>
  </r>
  <r>
    <s v="Horváth Attila"/>
    <s v="M45"/>
    <s v="HUN"/>
    <s v="03:48:53"/>
    <x v="458"/>
  </r>
  <r>
    <s v="Whittaker-Axon, Max"/>
    <s v="M20"/>
    <s v="GBR"/>
    <s v="05:01:00"/>
    <x v="459"/>
  </r>
  <r>
    <s v="Smith, Jackson"/>
    <s v="M25"/>
    <s v="AUS"/>
    <s v="03:22:51"/>
    <x v="460"/>
  </r>
  <r>
    <s v="Dr. Kovács Tamás"/>
    <s v="M40"/>
    <s v="HUN"/>
    <s v="05:13:38"/>
    <x v="461"/>
  </r>
  <r>
    <s v="Thomson, Gilbert"/>
    <s v="M25"/>
    <s v="GBR"/>
    <s v="03:27:30"/>
    <x v="462"/>
  </r>
  <r>
    <s v="Parker, Frederick"/>
    <s v="M18"/>
    <s v="GBR"/>
    <s v="03:50:51"/>
    <x v="463"/>
  </r>
  <r>
    <s v="Borbély Imre Attila"/>
    <s v="M55"/>
    <s v="HUN"/>
    <s v="04:22:10"/>
    <x v="464"/>
  </r>
  <r>
    <s v="Robinson, Philip"/>
    <s v="M55"/>
    <s v="GBR"/>
    <s v="04:24:14"/>
    <x v="465"/>
  </r>
  <r>
    <s v="Hamilton, Patrick"/>
    <s v="M50"/>
    <s v="IRL"/>
    <s v="03:18:56"/>
    <x v="466"/>
  </r>
  <r>
    <s v="Bos, Sean William"/>
    <s v="M30"/>
    <s v="RSA"/>
    <s v="03:10:46"/>
    <x v="467"/>
  </r>
  <r>
    <s v="Pongrácz Márton"/>
    <s v="M25"/>
    <s v="HUN"/>
    <s v="04:03:38"/>
    <x v="468"/>
  </r>
  <r>
    <s v="Kocsis Richárd"/>
    <s v="M30"/>
    <s v="HUN"/>
    <s v="03:15:32"/>
    <x v="469"/>
  </r>
  <r>
    <s v="Lowley James"/>
    <s v="M25"/>
    <s v="HUN"/>
    <s v="03:28:03"/>
    <x v="443"/>
  </r>
  <r>
    <s v="Révai József"/>
    <s v="M45"/>
    <s v="HUN"/>
    <s v="04:03:28"/>
    <x v="470"/>
  </r>
  <r>
    <s v="Cindrić, Igor"/>
    <s v="M40"/>
    <s v="CRO"/>
    <s v="03:38:44"/>
    <x v="471"/>
  </r>
  <r>
    <s v="Áncsán István"/>
    <s v="M50"/>
    <s v="HUN"/>
    <s v="03:43:39"/>
    <x v="472"/>
  </r>
  <r>
    <s v="Gajdos Imre"/>
    <s v="M35"/>
    <s v="HUN"/>
    <s v="03:46:58"/>
    <x v="473"/>
  </r>
  <r>
    <s v="Jack, Elworthy"/>
    <s v="M30"/>
    <s v="GBR"/>
    <s v="04:41:39"/>
    <x v="474"/>
  </r>
  <r>
    <s v="Zeleke, Samuel"/>
    <s v="M20"/>
    <s v="IRL"/>
    <s v="04:09:05"/>
    <x v="475"/>
  </r>
  <r>
    <s v="Németh Lajos"/>
    <s v="M40"/>
    <s v="HUN"/>
    <s v="04:45:37"/>
    <x v="476"/>
  </r>
  <r>
    <s v="Vaz, Tiago"/>
    <s v="M40"/>
    <s v="POR"/>
    <s v="03:30:36"/>
    <x v="477"/>
  </r>
  <r>
    <s v="Mészáros Márk dr."/>
    <s v="M35"/>
    <s v="HUN"/>
    <s v="05:02:33"/>
    <x v="478"/>
  </r>
  <r>
    <s v="Bangha Tamás Krisztián"/>
    <s v="M45"/>
    <s v="HUN"/>
    <s v="04:04:12"/>
    <x v="479"/>
  </r>
  <r>
    <s v="Ruskó Richárd"/>
    <s v="M35"/>
    <s v="HUN"/>
    <s v="04:35:18"/>
    <x v="480"/>
  </r>
  <r>
    <s v="Skobrák Dénes"/>
    <s v="M35"/>
    <s v="HUN"/>
    <s v="03:58:07"/>
    <x v="481"/>
  </r>
  <r>
    <s v="Stummer Balázs"/>
    <s v="M40"/>
    <s v="HUN"/>
    <s v="04:08:46"/>
    <x v="482"/>
  </r>
  <r>
    <s v="Ruiz de Leon Consuegra, Isaac"/>
    <s v="M45"/>
    <s v="ESP"/>
    <s v="03:55:45"/>
    <x v="483"/>
  </r>
  <r>
    <s v="Beamonte Córdoba, Eduardo dr"/>
    <s v="M55"/>
    <s v="ESP"/>
    <s v="04:39:36"/>
    <x v="484"/>
  </r>
  <r>
    <s v="Békési Bálint"/>
    <s v="M20"/>
    <s v="HUN"/>
    <s v="04:38:24"/>
    <x v="485"/>
  </r>
  <r>
    <s v="Summers, Richard"/>
    <s v="M65"/>
    <s v="GBR"/>
    <s v="04:59:24"/>
    <x v="486"/>
  </r>
  <r>
    <s v="CORDOBES ACEDO, JOSE LUIS"/>
    <s v="M55"/>
    <s v="ESP"/>
    <s v="03:40:43"/>
    <x v="487"/>
  </r>
  <r>
    <s v="Klint, Kasper"/>
    <s v="M40"/>
    <s v="DEN"/>
    <s v="04:13:47"/>
    <x v="488"/>
  </r>
  <r>
    <s v="Szikszai István"/>
    <s v="M35"/>
    <s v="HUN"/>
    <s v="04:05:32"/>
    <x v="489"/>
  </r>
  <r>
    <s v="Baixauli, Javier"/>
    <s v="M50"/>
    <s v="ESP"/>
    <s v="03:09:39"/>
    <x v="490"/>
  </r>
  <r>
    <s v="Mocsári Sándor"/>
    <s v="M50"/>
    <s v="HUN"/>
    <s v="04:10:50"/>
    <x v="491"/>
  </r>
  <r>
    <s v="CHIARAMONTE, IVAN ANTONIO ANDREA prof"/>
    <s v="M55"/>
    <s v="ITA"/>
    <s v="05:24:50"/>
    <x v="492"/>
  </r>
  <r>
    <s v="Borbás János"/>
    <s v="M30"/>
    <s v="HUN"/>
    <s v="04:06:52"/>
    <x v="493"/>
  </r>
  <r>
    <s v="Kazmierczak, Pawel dr"/>
    <s v="M50"/>
    <s v="POL"/>
    <s v="04:43:25"/>
    <x v="494"/>
  </r>
  <r>
    <s v="Mussini, Marco"/>
    <s v="M45"/>
    <s v="ITA"/>
    <s v="04:56:12"/>
    <x v="495"/>
  </r>
  <r>
    <s v="Gombai János"/>
    <s v="M45"/>
    <s v="HUN"/>
    <s v="04:18:07"/>
    <x v="496"/>
  </r>
  <r>
    <s v="Daniel Bozsoki"/>
    <s v="M30"/>
    <s v="HUN"/>
    <s v="04:15:00"/>
    <x v="497"/>
  </r>
  <r>
    <s v="Ennis, Oliver"/>
    <s v="M25"/>
    <s v="GBR"/>
    <s v="04:29:54"/>
    <x v="498"/>
  </r>
  <r>
    <s v="Wołowski, Lech dr"/>
    <s v="M45"/>
    <s v="POL"/>
    <s v="03:42:05"/>
    <x v="499"/>
  </r>
  <r>
    <s v="Kovacik, Michal"/>
    <s v="M40"/>
    <s v="SVK"/>
    <s v="03:59:18"/>
    <x v="500"/>
  </r>
  <r>
    <s v="Pis Sándor"/>
    <s v="M55"/>
    <s v="HUN"/>
    <s v="03:58:22"/>
    <x v="501"/>
  </r>
  <r>
    <s v="Herbert Gyula"/>
    <s v="M25"/>
    <s v="HUN"/>
    <s v="04:53:42"/>
    <x v="502"/>
  </r>
  <r>
    <s v="Turi Gábor"/>
    <s v="M45"/>
    <s v="HUN"/>
    <s v="03:08:11"/>
    <x v="503"/>
  </r>
  <r>
    <s v="György Péter"/>
    <s v="M25"/>
    <s v="HUN"/>
    <s v="04:08:09"/>
    <x v="504"/>
  </r>
  <r>
    <s v="Ashton, Neil"/>
    <s v="M55"/>
    <s v="GBR"/>
    <s v="04:45:22"/>
    <x v="505"/>
  </r>
  <r>
    <s v="Csató Gergő"/>
    <s v="M35"/>
    <s v="HUN"/>
    <s v="04:43:13"/>
    <x v="506"/>
  </r>
  <r>
    <s v="Tóth Gábor"/>
    <s v="M45"/>
    <s v="HUN"/>
    <s v="05:12:05"/>
    <x v="507"/>
  </r>
  <r>
    <s v="Kálmán Balázs"/>
    <s v="M45"/>
    <s v="HUN"/>
    <s v="04:31:42"/>
    <x v="508"/>
  </r>
  <r>
    <s v="Bernáth Bence dr"/>
    <s v="M30"/>
    <s v="HUN"/>
    <s v="04:20:00"/>
    <x v="509"/>
  </r>
  <r>
    <s v="Berzi Zoltán"/>
    <s v="M40"/>
    <s v="HUN"/>
    <s v="04:53:47"/>
    <x v="510"/>
  </r>
  <r>
    <s v="Rozgonyi Zoltán Attila"/>
    <s v="M45"/>
    <s v="HUN"/>
    <s v="03:37:48"/>
    <x v="511"/>
  </r>
  <r>
    <s v="Kahr, Manuel"/>
    <s v="M30"/>
    <s v="AUT"/>
    <s v="02:43:36"/>
    <x v="512"/>
  </r>
  <r>
    <s v="Franck, CHENU"/>
    <s v="M55"/>
    <s v="FRA"/>
    <s v="04:20:54"/>
    <x v="513"/>
  </r>
  <r>
    <s v="GONZALEZ HERNANDEZ, ANTONIO"/>
    <s v="M55"/>
    <s v="ESP"/>
    <s v="05:00:02"/>
    <x v="514"/>
  </r>
  <r>
    <s v="Kráž, Jakub"/>
    <s v="M35"/>
    <s v="SVK"/>
    <s v="03:34:42"/>
    <x v="515"/>
  </r>
  <r>
    <s v="Martínez, Javier"/>
    <s v="M35"/>
    <s v="COL"/>
    <s v="03:54:42"/>
    <x v="516"/>
  </r>
  <r>
    <s v="Valkó Bence"/>
    <s v="M20"/>
    <s v="HUN"/>
    <s v="04:34:15"/>
    <x v="517"/>
  </r>
  <r>
    <s v="Low, Jonathan"/>
    <s v="M20"/>
    <s v="SIN"/>
    <s v="02:59:02"/>
    <x v="518"/>
  </r>
  <r>
    <s v="Pintér Ferenc"/>
    <s v="M40"/>
    <s v="HUN"/>
    <s v="03:59:47"/>
    <x v="519"/>
  </r>
  <r>
    <s v="Palumby László Tamás"/>
    <s v="M50"/>
    <s v="HUN"/>
    <s v="04:47:55"/>
    <x v="520"/>
  </r>
  <r>
    <s v="Balatbat, Reynaldo"/>
    <s v="M55"/>
    <s v="CAN"/>
    <s v="03:47:14"/>
    <x v="521"/>
  </r>
  <r>
    <s v="Sáfrány Csaba"/>
    <s v="M40"/>
    <s v="HUN"/>
    <s v="04:43:50"/>
    <x v="522"/>
  </r>
  <r>
    <s v="Bólya Olivér"/>
    <s v="M30"/>
    <s v="HUN"/>
    <s v="02:58:06"/>
    <x v="523"/>
  </r>
  <r>
    <s v="Gaudefroy, Frédéric"/>
    <s v="M55"/>
    <s v="FRA"/>
    <s v="03:50:14"/>
    <x v="524"/>
  </r>
  <r>
    <s v="Molnár Tamás"/>
    <s v="M40"/>
    <s v="HUN"/>
    <s v="04:46:32"/>
    <x v="525"/>
  </r>
  <r>
    <s v="Serra, Angelo"/>
    <s v="M65"/>
    <s v="ITA"/>
    <s v="04:27:59"/>
    <x v="526"/>
  </r>
  <r>
    <s v="Amaan, Ghafoor"/>
    <s v="M25"/>
    <s v="GBR"/>
    <s v="04:59:19"/>
    <x v="527"/>
  </r>
  <r>
    <s v="Greenwood, Louis"/>
    <s v="M18"/>
    <s v="GBR"/>
    <s v="03:35:32"/>
    <x v="528"/>
  </r>
  <r>
    <s v="Dziewonski Michal"/>
    <s v="M25"/>
    <s v="HUN"/>
    <s v="03:53:34"/>
    <x v="529"/>
  </r>
  <r>
    <s v="Boros Máté"/>
    <s v="M30"/>
    <s v="HUN"/>
    <s v="03:57:47"/>
    <x v="530"/>
  </r>
  <r>
    <s v="Toth Gabor"/>
    <s v="M45"/>
    <s v="HUN"/>
    <s v="05:17:55"/>
    <x v="531"/>
  </r>
  <r>
    <s v="Zhang, Alexandre"/>
    <s v="M25"/>
    <s v="FRA"/>
    <s v="03:32:33"/>
    <x v="532"/>
  </r>
  <r>
    <s v="Andrei, Negru"/>
    <s v="M25"/>
    <s v="ROM"/>
    <s v="03:31:42"/>
    <x v="533"/>
  </r>
  <r>
    <s v="Dobos Kristóf"/>
    <s v="M30"/>
    <s v="HUN"/>
    <s v="03:55:43"/>
    <x v="534"/>
  </r>
  <r>
    <s v="Doig, Marcus dr"/>
    <s v="M30"/>
    <s v="GBR"/>
    <s v="03:41:51"/>
    <x v="535"/>
  </r>
  <r>
    <s v="Rojas, Nestor Luciano"/>
    <s v="M35"/>
    <s v="ARG"/>
    <s v="03:10:06"/>
    <x v="536"/>
  </r>
  <r>
    <s v="Stewart-Clark, Barney"/>
    <s v="M18"/>
    <s v="GBR"/>
    <s v="04:00:14"/>
    <x v="537"/>
  </r>
  <r>
    <s v="Cserháti Vencel"/>
    <s v="M50"/>
    <s v="HUN"/>
    <s v="04:58:57"/>
    <x v="538"/>
  </r>
  <r>
    <s v="Sand, H?vard Lyngvi"/>
    <s v="M40"/>
    <s v="NOR"/>
    <s v="03:15:54"/>
    <x v="539"/>
  </r>
  <r>
    <s v="Kovács Dániel"/>
    <s v="M40"/>
    <s v="HUN"/>
    <s v="03:46:01"/>
    <x v="418"/>
  </r>
  <r>
    <s v="Fekete András dr."/>
    <s v="M50"/>
    <s v="HUN"/>
    <s v="04:14:26"/>
    <x v="540"/>
  </r>
  <r>
    <s v="Megyesi Tamás"/>
    <s v="M40"/>
    <s v="HUN"/>
    <s v="05:00:29"/>
    <x v="541"/>
  </r>
  <r>
    <s v="Amedu, Akoji"/>
    <s v="M45"/>
    <s v="NGR"/>
    <s v="05:32:27"/>
    <x v="542"/>
  </r>
  <r>
    <s v="Gergely Nickl"/>
    <s v="M25"/>
    <s v="HUN"/>
    <s v="04:28:21"/>
    <x v="543"/>
  </r>
  <r>
    <s v="Béres Tamás"/>
    <s v="M40"/>
    <s v="HUN"/>
    <s v="03:51:36"/>
    <x v="68"/>
  </r>
  <r>
    <s v="Zimner, Steffen"/>
    <s v="M55"/>
    <s v="GER"/>
    <s v="03:57:14"/>
    <x v="544"/>
  </r>
  <r>
    <s v="Arnau, Zarzo Rascón"/>
    <s v="M20"/>
    <s v="ESP"/>
    <s v="04:00:42"/>
    <x v="434"/>
  </r>
  <r>
    <s v="Guiney, Dermot prof"/>
    <s v="M50"/>
    <s v="IRL"/>
    <s v="04:43:18"/>
    <x v="545"/>
  </r>
  <r>
    <s v="Kollias, Nikos"/>
    <s v="M45"/>
    <s v="GRE"/>
    <s v="03:18:55"/>
    <x v="546"/>
  </r>
  <r>
    <s v="Faragó Balázs"/>
    <s v="M35"/>
    <s v="HUN"/>
    <s v="04:39:21"/>
    <x v="237"/>
  </r>
  <r>
    <s v="nicolas, RUTER"/>
    <s v="M45"/>
    <s v="FRA"/>
    <s v="04:35:43"/>
    <x v="547"/>
  </r>
  <r>
    <s v="Balázsi Csaba"/>
    <s v="M30"/>
    <s v="HUN"/>
    <s v="05:12:57"/>
    <x v="548"/>
  </r>
  <r>
    <s v="Ismail, Kadioglu prof"/>
    <s v="M45"/>
    <s v="BEL"/>
    <s v="03:34:17"/>
    <x v="549"/>
  </r>
  <r>
    <s v="ALMAS, JOSE"/>
    <s v="M50"/>
    <s v="POR"/>
    <s v="03:58:48"/>
    <x v="201"/>
  </r>
  <r>
    <s v="Rizescu, Robert"/>
    <s v="M45"/>
    <s v="ROM"/>
    <s v="05:10:34"/>
    <x v="550"/>
  </r>
  <r>
    <s v="Varga Zoltán"/>
    <s v="M30"/>
    <s v="HUN"/>
    <s v="03:01:59"/>
    <x v="551"/>
  </r>
  <r>
    <s v="Komár Zsolt"/>
    <s v="M50"/>
    <s v="HUN"/>
    <s v="04:30:22"/>
    <x v="552"/>
  </r>
  <r>
    <s v="Nagy Zoltán"/>
    <s v="M40"/>
    <s v="HUN"/>
    <s v="03:54:28"/>
    <x v="553"/>
  </r>
  <r>
    <s v="Kovács Márton"/>
    <s v="M18"/>
    <s v="HUN"/>
    <s v="04:31:58"/>
    <x v="554"/>
  </r>
  <r>
    <s v="Gaál Zoltán"/>
    <s v="M40"/>
    <s v="HUN"/>
    <s v="04:53:26"/>
    <x v="555"/>
  </r>
  <r>
    <s v="Szabó László"/>
    <s v="M65"/>
    <s v="HUN"/>
    <s v="04:25:23"/>
    <x v="556"/>
  </r>
  <r>
    <s v="Maidell, Daniel dr"/>
    <s v="M45"/>
    <s v="SWE"/>
    <s v="03:44:53"/>
    <x v="243"/>
  </r>
  <r>
    <s v="Benedek Dávid"/>
    <s v="M30"/>
    <s v="HUN"/>
    <s v="04:17:56"/>
    <x v="557"/>
  </r>
  <r>
    <s v="Volák Sándor"/>
    <s v="M40"/>
    <s v="HUN"/>
    <s v="04:59:56"/>
    <x v="558"/>
  </r>
  <r>
    <s v="Piszter Gergely"/>
    <s v="M40"/>
    <s v="HUN"/>
    <s v="03:55:02"/>
    <x v="559"/>
  </r>
  <r>
    <s v="Gugleta, Uros"/>
    <s v="M20"/>
    <s v="SRB"/>
    <s v="04:58:22"/>
    <x v="560"/>
  </r>
  <r>
    <s v="Abdul Latiff, Mirza Bin"/>
    <s v="M20"/>
    <s v="SIN"/>
    <s v="04:22:34"/>
    <x v="561"/>
  </r>
  <r>
    <s v="Kupsza András"/>
    <s v="M45"/>
    <s v="HUN"/>
    <s v="04:36:20"/>
    <x v="562"/>
  </r>
  <r>
    <s v="Lovasi Zsolt"/>
    <s v="M45"/>
    <s v="HUN"/>
    <s v="05:10:26"/>
    <x v="563"/>
  </r>
  <r>
    <s v="Horvay Balázs"/>
    <s v="M25"/>
    <s v="HUN"/>
    <s v="03:10:43"/>
    <x v="564"/>
  </r>
  <r>
    <s v="Mariucci, Roberto"/>
    <s v="M50"/>
    <s v="ITA"/>
    <s v="03:34:18"/>
    <x v="565"/>
  </r>
  <r>
    <s v="Iván Bence"/>
    <s v="M25"/>
    <s v="HUN"/>
    <s v="04:40:55"/>
    <x v="566"/>
  </r>
  <r>
    <s v="LINTON, RICKY"/>
    <s v="M45"/>
    <s v="GBR"/>
    <s v="04:39:05"/>
    <x v="567"/>
  </r>
  <r>
    <s v="Gencsy Zoltán"/>
    <s v="M35"/>
    <s v="HUN"/>
    <s v="04:35:20"/>
    <x v="568"/>
  </r>
  <r>
    <s v="Huller Fülöp"/>
    <s v="M20"/>
    <s v="HUN"/>
    <s v="04:16:24"/>
    <x v="569"/>
  </r>
  <r>
    <s v="Vig Levente"/>
    <s v="M25"/>
    <s v="HUN"/>
    <s v="03:39:29"/>
    <x v="386"/>
  </r>
  <r>
    <s v="Altanov, Boris"/>
    <s v="M25"/>
    <s v="BUL"/>
    <s v="03:40:43"/>
    <x v="487"/>
  </r>
  <r>
    <s v="Rózsa Tamás"/>
    <s v="M45"/>
    <s v="HUN"/>
    <s v="04:54:31"/>
    <x v="570"/>
  </r>
  <r>
    <s v="Dejonckheere, Simon"/>
    <s v="M25"/>
    <s v="BEL"/>
    <s v="03:55:27"/>
    <x v="571"/>
  </r>
  <r>
    <s v="Soon, Yung"/>
    <s v="M20"/>
    <s v="SIN"/>
    <s v="05:30:47"/>
    <x v="572"/>
  </r>
  <r>
    <s v="Bak Szabolcs"/>
    <s v="M25"/>
    <s v="HUN"/>
    <s v="03:09:06"/>
    <x v="266"/>
  </r>
  <r>
    <s v="Jenkinson, William"/>
    <s v="M20"/>
    <s v="GBR"/>
    <s v="03:40:01"/>
    <x v="573"/>
  </r>
  <r>
    <s v="Karlsen, Sebastian"/>
    <s v="M30"/>
    <s v="NOR"/>
    <s v="03:10:04"/>
    <x v="574"/>
  </r>
  <r>
    <s v="AK, EMRE"/>
    <s v="M30"/>
    <s v="TUR"/>
    <s v="03:53:34"/>
    <x v="529"/>
  </r>
  <r>
    <s v="REQUIN, Christophe"/>
    <s v="M50"/>
    <s v="FRA"/>
    <s v="03:45:18"/>
    <x v="575"/>
  </r>
  <r>
    <s v="Markót András"/>
    <s v="M45"/>
    <s v="HUN"/>
    <s v="04:22:48"/>
    <x v="576"/>
  </r>
  <r>
    <s v="Corcoran, Séadh"/>
    <s v="M20"/>
    <s v="IRL"/>
    <s v="04:24:10"/>
    <x v="577"/>
  </r>
  <r>
    <s v="Sidó Attila"/>
    <s v="M30"/>
    <s v="HUN"/>
    <s v="04:00:30"/>
    <x v="578"/>
  </r>
  <r>
    <s v="Cozza, Fedele prof"/>
    <s v="M45"/>
    <s v="ITA"/>
    <s v="04:43:42"/>
    <x v="579"/>
  </r>
  <r>
    <s v="WINTGENS, ROMAIN"/>
    <s v="M20"/>
    <s v="FRA"/>
    <s v="04:00:07"/>
    <x v="146"/>
  </r>
  <r>
    <s v="Szamosi Szabolcs"/>
    <s v="M45"/>
    <s v="HUN"/>
    <s v="04:20:20"/>
    <x v="580"/>
  </r>
  <r>
    <s v="Soltész Márk Mihály"/>
    <s v="M45"/>
    <s v="HUN"/>
    <s v="05:18:20"/>
    <x v="581"/>
  </r>
  <r>
    <s v="Jablonski, Martin"/>
    <s v="M30"/>
    <s v="POL"/>
    <s v="03:57:44"/>
    <x v="582"/>
  </r>
  <r>
    <s v="Schwender, Fabian"/>
    <s v="M30"/>
    <s v="SUI"/>
    <s v="03:47:51"/>
    <x v="583"/>
  </r>
  <r>
    <s v="Vaz Vignolo, Carlos"/>
    <s v="M45"/>
    <s v="MOZ"/>
    <s v="03:59:00"/>
    <x v="584"/>
  </r>
  <r>
    <s v="Hamvas Péter"/>
    <s v="M45"/>
    <s v="HUN"/>
    <s v="03:49:00"/>
    <x v="585"/>
  </r>
  <r>
    <s v="Nagy Dániel"/>
    <s v="M30"/>
    <s v="HUN"/>
    <s v="03:18:35"/>
    <x v="586"/>
  </r>
  <r>
    <s v="Fiore, Raffaele prof"/>
    <s v="M60"/>
    <s v="ITA"/>
    <s v="05:12:02"/>
    <x v="587"/>
  </r>
  <r>
    <s v="Németh Balázs"/>
    <s v="M40"/>
    <s v="HUN"/>
    <s v="04:19:10"/>
    <x v="588"/>
  </r>
  <r>
    <s v="Randrup, Johnny"/>
    <s v="M45"/>
    <s v="DEN"/>
    <s v="03:25:13"/>
    <x v="589"/>
  </r>
  <r>
    <s v="Kápolnás József"/>
    <s v="M45"/>
    <s v="HUN"/>
    <s v="03:43:04"/>
    <x v="590"/>
  </r>
  <r>
    <s v="Camas Alcaide, Fernando prof"/>
    <s v="M55"/>
    <s v="ESP"/>
    <s v="04:19:00"/>
    <x v="591"/>
  </r>
  <r>
    <s v="Foglár Gábor"/>
    <s v="M35"/>
    <s v="HUN"/>
    <s v="05:21:04"/>
    <x v="592"/>
  </r>
  <r>
    <s v="Spalevic, Radovan"/>
    <s v="M30"/>
    <s v="DEN"/>
    <s v="03:43:46"/>
    <x v="593"/>
  </r>
  <r>
    <s v="Váradi Gábor"/>
    <s v="M45"/>
    <s v="HUN"/>
    <s v="04:40:27"/>
    <x v="594"/>
  </r>
  <r>
    <s v="Pucci, Elia prof"/>
    <s v="M30"/>
    <s v="ITA"/>
    <s v="02:57:02"/>
    <x v="595"/>
  </r>
  <r>
    <s v="Martin, Cuisy"/>
    <s v="M25"/>
    <s v="FRA"/>
    <s v="03:16:43"/>
    <x v="596"/>
  </r>
  <r>
    <s v="Wintersteller, Claus"/>
    <s v="M30"/>
    <s v="AUT"/>
    <s v="03:56:54"/>
    <x v="597"/>
  </r>
  <r>
    <s v="Takács Sándor"/>
    <s v="M50"/>
    <s v="HUN"/>
    <s v="04:15:12"/>
    <x v="598"/>
  </r>
  <r>
    <s v="Azzini, Davide Stefano Renato"/>
    <s v="M25"/>
    <s v="ITA"/>
    <s v="03:59:20"/>
    <x v="599"/>
  </r>
  <r>
    <s v="Sándor Miklós"/>
    <s v="M40"/>
    <s v="HUN"/>
    <s v="04:28:23"/>
    <x v="600"/>
  </r>
  <r>
    <s v="Szczepański, Marcin"/>
    <s v="M35"/>
    <s v="POL"/>
    <s v="04:21:09"/>
    <x v="601"/>
  </r>
  <r>
    <s v="OBrien, Garth"/>
    <s v="M45"/>
    <s v="AUS"/>
    <s v="04:05:15"/>
    <x v="602"/>
  </r>
  <r>
    <s v="Kreso, Velimir"/>
    <s v="M30"/>
    <s v="CRO"/>
    <s v="03:22:44"/>
    <x v="603"/>
  </r>
  <r>
    <s v="Fazekas Ottó"/>
    <s v="M45"/>
    <s v="HUN"/>
    <s v="03:32:21"/>
    <x v="604"/>
  </r>
  <r>
    <s v="Ascard, Martin"/>
    <s v="M30"/>
    <s v="SWE"/>
    <s v="04:07:01"/>
    <x v="605"/>
  </r>
  <r>
    <s v="Rojewski, Lukasz prof"/>
    <s v="M20"/>
    <s v="POL"/>
    <s v="04:25:20"/>
    <x v="606"/>
  </r>
  <r>
    <s v="Shchori, Gal"/>
    <s v="M30"/>
    <s v="ISR"/>
    <s v="03:23:12"/>
    <x v="247"/>
  </r>
  <r>
    <s v="Hackl Mihály ifj"/>
    <s v="M40"/>
    <s v="HUN"/>
    <s v="03:40:34"/>
    <x v="607"/>
  </r>
  <r>
    <s v="Gombár Zoltán"/>
    <s v="M55"/>
    <s v="HUN"/>
    <s v="03:55:03"/>
    <x v="608"/>
  </r>
  <r>
    <s v="Jenei Attila"/>
    <s v="M50"/>
    <s v="HUN"/>
    <s v="05:03:20"/>
    <x v="609"/>
  </r>
  <r>
    <s v="Kerényi Levente"/>
    <s v="M25"/>
    <s v="HUN"/>
    <s v="05:02:56"/>
    <x v="610"/>
  </r>
  <r>
    <s v="Nagy Gábor"/>
    <s v="M45"/>
    <s v="HUN"/>
    <s v="03:51:46"/>
    <x v="611"/>
  </r>
  <r>
    <s v="Groesbeek, Michel"/>
    <s v="M55"/>
    <s v="NED"/>
    <s v="04:18:27"/>
    <x v="612"/>
  </r>
  <r>
    <s v="Kovács, Előd"/>
    <s v="M35"/>
    <s v="ROM"/>
    <s v="03:39:31"/>
    <x v="613"/>
  </r>
  <r>
    <s v="Horvay Balázs"/>
    <s v="M25"/>
    <s v="HUN"/>
    <s v="03:10:43"/>
    <x v="564"/>
  </r>
  <r>
    <s v="David, Hitchen"/>
    <s v="M30"/>
    <s v="GBR"/>
    <s v="03:48:55"/>
    <x v="614"/>
  </r>
  <r>
    <s v="Fehér Dániel"/>
    <s v="M25"/>
    <s v="HUN"/>
    <s v="03:49:49"/>
    <x v="615"/>
  </r>
  <r>
    <s v="Bödör Tamás"/>
    <s v="M50"/>
    <s v="HUN"/>
    <s v="03:46:40"/>
    <x v="616"/>
  </r>
  <r>
    <s v="FERNANDEZ GONZALEZ, EMILIO prof"/>
    <s v="M55"/>
    <s v="ESP"/>
    <s v="03:53:20"/>
    <x v="617"/>
  </r>
  <r>
    <s v="FU, LEI"/>
    <s v="M30"/>
    <s v="CHN"/>
    <s v="02:58:23"/>
    <x v="618"/>
  </r>
  <r>
    <s v="Dove, Daniel"/>
    <s v="M25"/>
    <s v="GBR"/>
    <s v="04:08:28"/>
    <x v="619"/>
  </r>
  <r>
    <s v="Misoczki László"/>
    <s v="M50"/>
    <s v="HUN"/>
    <s v="04:21:40"/>
    <x v="620"/>
  </r>
  <r>
    <s v="Kuznik, Kasper"/>
    <s v="M25"/>
    <s v="POL"/>
    <s v="03:14:03"/>
    <x v="621"/>
  </r>
  <r>
    <s v="Verdeyen, Kris"/>
    <s v="M35"/>
    <s v="BEL"/>
    <s v="04:01:12"/>
    <x v="622"/>
  </r>
  <r>
    <s v="Bánfai Károly"/>
    <s v="M40"/>
    <s v="HUN"/>
    <s v="03:21:28"/>
    <x v="623"/>
  </r>
  <r>
    <s v="RAFFERTY, Colin"/>
    <s v="M40"/>
    <s v="IRL"/>
    <s v="03:31:56"/>
    <x v="624"/>
  </r>
  <r>
    <s v="Buyse, Geert"/>
    <s v="M60"/>
    <s v="BEL"/>
    <s v="04:32:28"/>
    <x v="625"/>
  </r>
  <r>
    <s v="Hambuch Bertold"/>
    <s v="M25"/>
    <s v="HUN"/>
    <s v="03:40:51"/>
    <x v="626"/>
  </r>
  <r>
    <s v="Toplak Béla"/>
    <s v="M50"/>
    <s v="HUN"/>
    <s v="03:45:33"/>
    <x v="627"/>
  </r>
  <r>
    <s v="Tóth Dávid István"/>
    <s v="M25"/>
    <s v="HUN"/>
    <s v="04:25:02"/>
    <x v="628"/>
  </r>
  <r>
    <s v="Nentwich, Steve"/>
    <s v="M45"/>
    <s v="GER"/>
    <s v="04:28:39"/>
    <x v="629"/>
  </r>
  <r>
    <s v="Herbay András"/>
    <s v="M40"/>
    <s v="HUN"/>
    <s v="03:23:32"/>
    <x v="51"/>
  </r>
  <r>
    <s v="Kopečný, Denis"/>
    <s v="M40"/>
    <s v="SVK"/>
    <s v="04:01:47"/>
    <x v="630"/>
  </r>
  <r>
    <s v="Jean-Christophe, LAZARD"/>
    <s v="M55"/>
    <s v="FRA"/>
    <s v="03:35:24"/>
    <x v="631"/>
  </r>
  <r>
    <s v="Gosztonyi Zsombor"/>
    <s v="M20"/>
    <s v="HUN"/>
    <s v="04:01:01"/>
    <x v="257"/>
  </r>
  <r>
    <s v="Zabihi, Behrooz"/>
    <s v="M45"/>
    <s v="ITA"/>
    <s v="02:52:25"/>
    <x v="632"/>
  </r>
  <r>
    <s v="Branković, Djordje"/>
    <s v="M40"/>
    <s v="SRB"/>
    <s v="04:24:03"/>
    <x v="633"/>
  </r>
  <r>
    <s v="Santana, Sebastian"/>
    <s v="M25"/>
    <s v="DOM"/>
    <s v="04:47:31"/>
    <x v="634"/>
  </r>
  <r>
    <s v="Bartus Ferenc"/>
    <s v="M45"/>
    <s v="HUN"/>
    <s v="03:19:05"/>
    <x v="635"/>
  </r>
  <r>
    <s v="Jackson, Mark"/>
    <s v="M45"/>
    <s v="GBR"/>
    <s v="04:14:16"/>
    <x v="267"/>
  </r>
  <r>
    <s v="NOLSOE, AMUNDUR"/>
    <s v="M55"/>
    <s v="DEN"/>
    <s v="03:51:20"/>
    <x v="636"/>
  </r>
  <r>
    <s v="Keller Elek"/>
    <s v="M45"/>
    <s v="HUN"/>
    <s v="03:28:35"/>
    <x v="637"/>
  </r>
  <r>
    <s v="Farkas Tamás"/>
    <s v="M55"/>
    <s v="HUN"/>
    <s v="04:53:48"/>
    <x v="638"/>
  </r>
  <r>
    <s v="Grieve, Robert"/>
    <s v="M50"/>
    <s v="GBR"/>
    <s v="05:26:10"/>
    <x v="639"/>
  </r>
  <r>
    <s v="Christensen, Bjorn"/>
    <s v="M50"/>
    <s v="NOR"/>
    <s v="03:09:03"/>
    <x v="640"/>
  </r>
  <r>
    <s v="Filippov, Anton"/>
    <s v="M30"/>
    <s v="RUS"/>
    <s v="04:02:25"/>
    <x v="641"/>
  </r>
  <r>
    <s v="Juchniewicz, Matt"/>
    <s v="M40"/>
    <s v="GBR"/>
    <s v="03:52:10"/>
    <x v="246"/>
  </r>
  <r>
    <s v="Bielan, Daniel"/>
    <s v="M30"/>
    <s v="CZE"/>
    <s v="03:43:02"/>
    <x v="642"/>
  </r>
  <r>
    <s v="PICKAVET, Geert"/>
    <s v="M50"/>
    <s v="BEL"/>
    <s v="04:13:45"/>
    <x v="643"/>
  </r>
  <r>
    <s v="Prigyeni László"/>
    <s v="M50"/>
    <s v="HUN"/>
    <s v="04:43:49"/>
    <x v="644"/>
  </r>
  <r>
    <s v="Wilding, Benjamin"/>
    <s v="M18"/>
    <s v="GBR"/>
    <s v="03:23:05"/>
    <x v="118"/>
  </r>
  <r>
    <s v="Juhász Tamás"/>
    <s v="M25"/>
    <s v="HUN"/>
    <s v="05:13:15"/>
    <x v="645"/>
  </r>
  <r>
    <s v="Tamás István"/>
    <s v="M65"/>
    <s v="HUN"/>
    <s v="04:42:29"/>
    <x v="646"/>
  </r>
  <r>
    <s v="Kudrycki, Jakub"/>
    <s v="M50"/>
    <s v="POL"/>
    <s v="03:56:24"/>
    <x v="647"/>
  </r>
  <r>
    <s v="Zoltai Zsolt"/>
    <s v="M25"/>
    <s v="HUN"/>
    <s v="03:23:23"/>
    <x v="648"/>
  </r>
  <r>
    <s v="Kiss László"/>
    <s v="M60"/>
    <s v="HUN"/>
    <s v="04:13:29"/>
    <x v="649"/>
  </r>
  <r>
    <s v="MORVANT, KEVIN"/>
    <s v="M40"/>
    <s v="FRA"/>
    <s v="04:20:35"/>
    <x v="650"/>
  </r>
  <r>
    <s v="Agócs Róbert"/>
    <s v="M45"/>
    <s v="HUN"/>
    <s v="04:46:33"/>
    <x v="651"/>
  </r>
  <r>
    <s v="Pártay Róbert Dénes"/>
    <s v="M30"/>
    <s v="HUN"/>
    <s v="03:59:03"/>
    <x v="652"/>
  </r>
  <r>
    <s v="Varga Lőrinc"/>
    <s v="M45"/>
    <s v="HUN"/>
    <s v="05:23:47"/>
    <x v="653"/>
  </r>
  <r>
    <s v="Jepsen, Henrik Berg"/>
    <s v="M35"/>
    <s v="DEN"/>
    <s v="03:22:00"/>
    <x v="654"/>
  </r>
  <r>
    <s v="Hrustinszky Zsolt"/>
    <s v="M50"/>
    <s v="HUN"/>
    <s v="05:04:06"/>
    <x v="655"/>
  </r>
  <r>
    <s v="JANIK, ROMAN"/>
    <s v="M70"/>
    <s v="POL"/>
    <s v="05:36:00"/>
    <x v="656"/>
  </r>
  <r>
    <s v="DE LA RIMADA MANELLA, CARLOS JAVIER"/>
    <s v="M55"/>
    <s v="ESP"/>
    <s v="03:40:43"/>
    <x v="487"/>
  </r>
  <r>
    <s v="Buday, Jozef"/>
    <s v="M40"/>
    <s v="SVK"/>
    <s v="03:19:45"/>
    <x v="657"/>
  </r>
  <r>
    <s v="Szalmási Dániel"/>
    <s v="M25"/>
    <s v="HUN"/>
    <s v="05:03:42"/>
    <x v="658"/>
  </r>
  <r>
    <s v="Forrai Miklós"/>
    <s v="M35"/>
    <s v="HUN"/>
    <s v="04:15:46"/>
    <x v="659"/>
  </r>
  <r>
    <s v="Pym, Cameron"/>
    <s v="M30"/>
    <s v="GBR"/>
    <s v="04:02:56"/>
    <x v="660"/>
  </r>
  <r>
    <s v="Macleod, Alistair"/>
    <s v="M60"/>
    <s v="GBR"/>
    <s v="04:32:47"/>
    <x v="661"/>
  </r>
  <r>
    <s v="Brájer Attila"/>
    <s v="M35"/>
    <s v="HUN"/>
    <s v="03:51:37"/>
    <x v="662"/>
  </r>
  <r>
    <s v="ebek, Duan"/>
    <s v="M50"/>
    <s v="CZE"/>
    <s v="04:16:01"/>
    <x v="663"/>
  </r>
  <r>
    <s v="McAlpin, Andrew"/>
    <s v="M25"/>
    <s v="GBR"/>
    <s v="03:25:34"/>
    <x v="664"/>
  </r>
  <r>
    <s v="Mohri Szirusz"/>
    <s v="M20"/>
    <s v="HUN"/>
    <s v="04:02:16"/>
    <x v="665"/>
  </r>
  <r>
    <s v="Way, Matt"/>
    <s v="M50"/>
    <s v="GBR"/>
    <s v="04:17:24"/>
    <x v="666"/>
  </r>
  <r>
    <s v="Babiak, Marek"/>
    <s v="M40"/>
    <s v="SVK"/>
    <s v="04:13:56"/>
    <x v="667"/>
  </r>
  <r>
    <s v="Dózsa Gergely"/>
    <s v="M45"/>
    <s v="HUN"/>
    <s v="03:56:57"/>
    <x v="668"/>
  </r>
  <r>
    <s v="Telek Gábor"/>
    <s v="M40"/>
    <s v="HUN"/>
    <s v="04:09:13"/>
    <x v="669"/>
  </r>
  <r>
    <s v="Ferenczi Zsombor"/>
    <s v="M25"/>
    <s v="HUN"/>
    <s v="04:28:42"/>
    <x v="670"/>
  </r>
  <r>
    <s v="Lam, Benjamin"/>
    <s v="M25"/>
    <s v="DEN"/>
    <s v="02:55:56"/>
    <x v="671"/>
  </r>
  <r>
    <s v="Nagy István"/>
    <s v="M40"/>
    <s v="HUN"/>
    <s v="03:16:21"/>
    <x v="672"/>
  </r>
  <r>
    <s v="Hieu, Tran"/>
    <s v="M20"/>
    <s v="USA"/>
    <s v="04:28:17"/>
    <x v="673"/>
  </r>
  <r>
    <s v="Malblanc, Richard prof"/>
    <s v="M55"/>
    <s v="FRA"/>
    <s v="03:22:59"/>
    <x v="674"/>
  </r>
  <r>
    <s v="Molnár Gábor"/>
    <s v="M45"/>
    <s v="HUN"/>
    <s v="03:50:54"/>
    <x v="675"/>
  </r>
  <r>
    <s v="Versényi Péter"/>
    <s v="M25"/>
    <s v="HUN"/>
    <s v="03:56:40"/>
    <x v="676"/>
  </r>
  <r>
    <s v="Schachter, Asaf"/>
    <s v="M45"/>
    <s v="ISR"/>
    <s v="04:40:15"/>
    <x v="677"/>
  </r>
  <r>
    <s v="Perez sedano, Diego"/>
    <s v="M50"/>
    <s v="ESP"/>
    <s v="03:49:37"/>
    <x v="678"/>
  </r>
  <r>
    <s v="Hoarton, George"/>
    <s v="M25"/>
    <s v="GBR"/>
    <s v="03:27:00"/>
    <x v="679"/>
  </r>
  <r>
    <s v="Tumuluri, Ramana"/>
    <s v="M50"/>
    <s v="USA"/>
    <s v="03:57:37"/>
    <x v="680"/>
  </r>
  <r>
    <s v="Visy Géza"/>
    <s v="M45"/>
    <s v="HUN"/>
    <s v="04:18:57"/>
    <x v="681"/>
  </r>
  <r>
    <s v="Korim Zsolt"/>
    <s v="M45"/>
    <s v="HUN"/>
    <s v="04:35:12"/>
    <x v="682"/>
  </r>
  <r>
    <s v="Füle Zsolt"/>
    <s v="M45"/>
    <s v="HUN"/>
    <s v="03:34:02"/>
    <x v="683"/>
  </r>
  <r>
    <s v="Quagini, Davide"/>
    <s v="M20"/>
    <s v="ITA"/>
    <s v="03:16:28"/>
    <x v="684"/>
  </r>
  <r>
    <s v="Urbán Zsolt"/>
    <s v="M50"/>
    <s v="HUN"/>
    <s v="03:17:30"/>
    <x v="685"/>
  </r>
  <r>
    <s v="Horváth Péter"/>
    <s v="M45"/>
    <s v="HUN"/>
    <s v="04:14:58"/>
    <x v="686"/>
  </r>
  <r>
    <s v="Nádasdi Gábor"/>
    <s v="M50"/>
    <s v="HUN"/>
    <s v="04:55:25"/>
    <x v="687"/>
  </r>
  <r>
    <s v="Henézi Ferenc Róbert"/>
    <s v="M45"/>
    <s v="HUN"/>
    <s v="04:31:33"/>
    <x v="688"/>
  </r>
  <r>
    <s v="Trunk Milán"/>
    <s v="M35"/>
    <s v="HUN"/>
    <s v="03:56:34"/>
    <x v="689"/>
  </r>
  <r>
    <s v="Israeli, Moshe"/>
    <s v="M45"/>
    <s v="ISR"/>
    <s v="03:51:30"/>
    <x v="690"/>
  </r>
  <r>
    <s v="Papp Norbert"/>
    <s v="M40"/>
    <s v="HUN"/>
    <s v="03:27:30"/>
    <x v="462"/>
  </r>
  <r>
    <s v="Keresztes Zoltan"/>
    <s v="M40"/>
    <s v="HUN"/>
    <s v="04:12:52"/>
    <x v="691"/>
  </r>
  <r>
    <s v="Jezsó Bence"/>
    <s v="M25"/>
    <s v="HUN"/>
    <s v="03:46:41"/>
    <x v="252"/>
  </r>
  <r>
    <s v="Kruis, Jeffrey"/>
    <s v="M30"/>
    <s v="NED"/>
    <s v="03:44:30"/>
    <x v="692"/>
  </r>
  <r>
    <s v="Pásztor Csaba"/>
    <s v="M40"/>
    <s v="HUN"/>
    <s v="04:07:05"/>
    <x v="693"/>
  </r>
  <r>
    <s v="Szerencse Ákos"/>
    <s v="M25"/>
    <s v="HUN"/>
    <s v="04:38:08"/>
    <x v="694"/>
  </r>
  <r>
    <s v="Sharif, Aboelnaga"/>
    <s v="M50"/>
    <s v="USA"/>
    <s v="03:11:01"/>
    <x v="358"/>
  </r>
  <r>
    <s v="BREZNEN, IGOR"/>
    <s v="M45"/>
    <s v="SVK"/>
    <s v="04:15:47"/>
    <x v="695"/>
  </r>
  <r>
    <s v="Silva, Diogo"/>
    <s v="M30"/>
    <s v="POR"/>
    <s v="03:16:47"/>
    <x v="696"/>
  </r>
  <r>
    <s v="KIM, MAN DEUK dr"/>
    <s v="M50"/>
    <s v="KOR"/>
    <s v="04:09:53"/>
    <x v="697"/>
  </r>
  <r>
    <s v="Keiler, Bernhard"/>
    <s v="M65"/>
    <s v="AUT"/>
    <s v="05:24:40"/>
    <x v="698"/>
  </r>
  <r>
    <s v="zagoni csaba"/>
    <s v="M40"/>
    <s v="HUN"/>
    <s v="03:37:36"/>
    <x v="699"/>
  </r>
  <r>
    <s v="Kruppa István Gábor"/>
    <s v="M35"/>
    <s v="HUN"/>
    <s v="04:19:00"/>
    <x v="591"/>
  </r>
  <r>
    <s v="Virág Péter"/>
    <s v="M40"/>
    <s v="HUN"/>
    <s v="04:16:26"/>
    <x v="700"/>
  </r>
  <r>
    <s v="Tóth Szilárd"/>
    <s v="M45"/>
    <s v="HUN"/>
    <s v="04:25:44"/>
    <x v="701"/>
  </r>
  <r>
    <s v="Forczek István"/>
    <s v="M25"/>
    <s v="HUN"/>
    <s v="04:56:25"/>
    <x v="702"/>
  </r>
  <r>
    <s v="LIBERNA, ZENON"/>
    <s v="M65"/>
    <s v="POL"/>
    <s v="04:25:51"/>
    <x v="703"/>
  </r>
  <r>
    <s v="Petresevics Róbert"/>
    <s v="M55"/>
    <s v="HUN"/>
    <s v="04:31:06"/>
    <x v="419"/>
  </r>
  <r>
    <s v="Peyer Zoltán"/>
    <s v="M40"/>
    <s v="HUN"/>
    <s v="03:44:08"/>
    <x v="112"/>
  </r>
  <r>
    <s v="Macišg, Krzysztof"/>
    <s v="M35"/>
    <s v="POL"/>
    <s v="03:00:33"/>
    <x v="704"/>
  </r>
  <r>
    <s v="Jánosi Balázs"/>
    <s v="M45"/>
    <s v="HUN"/>
    <s v="04:44:07"/>
    <x v="705"/>
  </r>
  <r>
    <s v="Michel, Malet"/>
    <s v="M65"/>
    <s v="SUI"/>
    <s v="04:58:21"/>
    <x v="706"/>
  </r>
  <r>
    <s v="Horváth József"/>
    <s v="M45"/>
    <s v="HUN"/>
    <s v="04:58:54"/>
    <x v="707"/>
  </r>
  <r>
    <s v="FERRIS, Marc"/>
    <s v="M50"/>
    <s v="FRA"/>
    <s v="03:50:26"/>
    <x v="708"/>
  </r>
  <r>
    <s v="Stengl, Christian"/>
    <s v="M45"/>
    <s v="GER"/>
    <s v="04:26:09"/>
    <x v="709"/>
  </r>
  <r>
    <s v="COLLETTE, Sébastien"/>
    <s v="M45"/>
    <s v="FRA"/>
    <s v="03:55:40"/>
    <x v="710"/>
  </r>
  <r>
    <s v="Willis, David"/>
    <s v="M45"/>
    <s v="GBR"/>
    <s v="04:50:15"/>
    <x v="711"/>
  </r>
  <r>
    <s v="Ward, Andy prof"/>
    <s v="M50"/>
    <s v="GBR"/>
    <s v="03:28:32"/>
    <x v="712"/>
  </r>
  <r>
    <s v="CORNILLEAU, SEBASTIEN"/>
    <s v="M55"/>
    <s v="FRA"/>
    <s v="03:48:36"/>
    <x v="713"/>
  </r>
  <r>
    <s v="Kárpáti Milán"/>
    <s v="M20"/>
    <s v="HUN"/>
    <s v="04:29:39"/>
    <x v="714"/>
  </r>
  <r>
    <s v="Kiss István Elek"/>
    <s v="M40"/>
    <s v="HUN"/>
    <s v="04:45:26"/>
    <x v="715"/>
  </r>
  <r>
    <s v="Bakondi Péter"/>
    <s v="M25"/>
    <s v="HUN"/>
    <s v="02:55:00"/>
    <x v="716"/>
  </r>
  <r>
    <s v="Galbovy Szabolcs"/>
    <s v="M30"/>
    <s v="HUN"/>
    <s v="04:00:56"/>
    <x v="717"/>
  </r>
  <r>
    <s v="Luká, Tkáč"/>
    <s v="M35"/>
    <s v="SVK"/>
    <s v="03:46:11"/>
    <x v="718"/>
  </r>
  <r>
    <s v="Tóth Tamás"/>
    <s v="M45"/>
    <s v="HUN"/>
    <s v="03:49:41"/>
    <x v="719"/>
  </r>
  <r>
    <s v="Dennis, Mark prof"/>
    <s v="M20"/>
    <s v="IRL"/>
    <s v="03:39:54"/>
    <x v="720"/>
  </r>
  <r>
    <s v="Beczek, Łukasz"/>
    <s v="M30"/>
    <s v="POL"/>
    <s v="04:25:49"/>
    <x v="721"/>
  </r>
  <r>
    <s v="LIBERNA, ZENON"/>
    <s v="M65"/>
    <s v="POL"/>
    <s v="04:25:51"/>
    <x v="703"/>
  </r>
  <r>
    <s v="Hanna, David"/>
    <s v="M55"/>
    <s v="IRL"/>
    <s v="04:04:05"/>
    <x v="722"/>
  </r>
  <r>
    <s v="Taylor, James prof"/>
    <s v="M30"/>
    <s v="GBR"/>
    <s v="03:55:38"/>
    <x v="723"/>
  </r>
  <r>
    <s v="Ribeiro Agostinho, Peterson"/>
    <s v="M40"/>
    <s v="BRA"/>
    <s v="04:25:39"/>
    <x v="724"/>
  </r>
  <r>
    <s v="Gander, Simon"/>
    <s v="M25"/>
    <s v="ITA"/>
    <s v="03:10:16"/>
    <x v="725"/>
  </r>
  <r>
    <s v="Norman, Swithun"/>
    <s v="M20"/>
    <s v="GBR"/>
    <s v="03:56:31"/>
    <x v="726"/>
  </r>
  <r>
    <s v="Norton, Conner"/>
    <s v="M30"/>
    <s v="USA"/>
    <s v="04:57:30"/>
    <x v="727"/>
  </r>
  <r>
    <s v="Chapman, John"/>
    <s v="M55"/>
    <s v="IRL"/>
    <s v="04:11:07"/>
    <x v="445"/>
  </r>
  <r>
    <s v="Puha, Dávid"/>
    <s v="M35"/>
    <s v="SVK"/>
    <s v="04:40:50"/>
    <x v="728"/>
  </r>
  <r>
    <s v="Muldrew, Edward"/>
    <s v="M25"/>
    <s v="GBR"/>
    <s v="03:33:05"/>
    <x v="404"/>
  </r>
  <r>
    <s v="Pozsgai Mihály"/>
    <s v="M30"/>
    <s v="HUN"/>
    <s v="05:11:24"/>
    <x v="729"/>
  </r>
  <r>
    <s v="Martínez, Aníbal"/>
    <s v="M60"/>
    <s v="COL"/>
    <s v="03:43:17"/>
    <x v="730"/>
  </r>
  <r>
    <s v="Rimár Zsolt"/>
    <s v="M55"/>
    <s v="HUN"/>
    <s v="03:29:13"/>
    <x v="731"/>
  </r>
  <r>
    <s v="Kiepsel, David"/>
    <s v="M40"/>
    <s v="GER"/>
    <s v="03:57:46"/>
    <x v="240"/>
  </r>
  <r>
    <s v="Papp László"/>
    <s v="M50"/>
    <s v="HUN"/>
    <s v="04:02:28"/>
    <x v="732"/>
  </r>
  <r>
    <s v="Gyarfas, Juraj"/>
    <s v="M40"/>
    <s v="SVK"/>
    <s v="05:00:59"/>
    <x v="733"/>
  </r>
  <r>
    <s v="Gál József"/>
    <s v="M45"/>
    <s v="HUN"/>
    <s v="04:03:06"/>
    <x v="734"/>
  </r>
  <r>
    <s v="Tamás Pál"/>
    <s v="M40"/>
    <s v="HUN"/>
    <s v="04:01:55"/>
    <x v="322"/>
  </r>
  <r>
    <s v="Csató Gábor dr"/>
    <s v="M40"/>
    <s v="HUN"/>
    <s v="03:56:14"/>
    <x v="735"/>
  </r>
  <r>
    <s v="Roberts, Louis prof"/>
    <s v="M20"/>
    <s v="GBR"/>
    <s v="04:24:35"/>
    <x v="736"/>
  </r>
  <r>
    <s v="Nedjalkov Balázs"/>
    <s v="M45"/>
    <s v="HUN"/>
    <s v="03:28:44"/>
    <x v="308"/>
  </r>
  <r>
    <s v="Sivo, Giovanni"/>
    <s v="M45"/>
    <s v="ITA"/>
    <s v="03:53:27"/>
    <x v="737"/>
  </r>
  <r>
    <s v="Chase, Cole"/>
    <s v="M25"/>
    <s v="GBR"/>
    <s v="03:37:46"/>
    <x v="738"/>
  </r>
  <r>
    <s v="Öhlund, Claes"/>
    <s v="M40"/>
    <s v="SWE"/>
    <s v="04:01:01"/>
    <x v="257"/>
  </r>
  <r>
    <s v="Garamszegi László"/>
    <s v="M45"/>
    <s v="HUN"/>
    <s v="04:37:31"/>
    <x v="739"/>
  </r>
  <r>
    <s v="Arie, Tomer"/>
    <s v="M20"/>
    <s v="ISR"/>
    <s v="03:55:38"/>
    <x v="723"/>
  </r>
  <r>
    <s v="Ignácz Attila dr."/>
    <s v="M55"/>
    <s v="HUN"/>
    <s v="05:11:55"/>
    <x v="740"/>
  </r>
  <r>
    <s v="Bjorgan, Johnny"/>
    <s v="M50"/>
    <s v="NOR"/>
    <s v="04:24:52"/>
    <x v="741"/>
  </r>
  <r>
    <s v="Whatmore, Daniel"/>
    <s v="M20"/>
    <s v="GBR"/>
    <s v="03:08:42"/>
    <x v="742"/>
  </r>
  <r>
    <s v="Mátyás Dávid"/>
    <s v="M20"/>
    <s v="HUN"/>
    <s v="04:01:54"/>
    <x v="743"/>
  </r>
  <r>
    <s v="Christensen, Tommy"/>
    <s v="M50"/>
    <s v="NOR"/>
    <s v="03:23:02"/>
    <x v="744"/>
  </r>
  <r>
    <s v="Mócz Gábor"/>
    <s v="M45"/>
    <s v="HUN"/>
    <s v="03:51:35"/>
    <x v="745"/>
  </r>
  <r>
    <s v="Pajor Zoltán"/>
    <s v="M45"/>
    <s v="HUN"/>
    <s v="04:13:33"/>
    <x v="746"/>
  </r>
  <r>
    <s v="Hajzer János"/>
    <s v="M25"/>
    <s v="HUN"/>
    <s v="03:56:19"/>
    <x v="747"/>
  </r>
  <r>
    <s v="Schuch Tamás"/>
    <s v="M55"/>
    <s v="HUN"/>
    <s v="04:54:24"/>
    <x v="748"/>
  </r>
  <r>
    <s v="Vida Ádám"/>
    <s v="M30"/>
    <s v="HUN"/>
    <s v="04:39:16"/>
    <x v="749"/>
  </r>
  <r>
    <s v="Bates, Tom"/>
    <s v="M35"/>
    <s v="GBR"/>
    <s v="03:34:56"/>
    <x v="750"/>
  </r>
  <r>
    <s v="Ujhelyi Tamás"/>
    <s v="M45"/>
    <s v="HUN"/>
    <s v="05:34:57"/>
    <x v="751"/>
  </r>
  <r>
    <s v="Hanna, David"/>
    <s v="M55"/>
    <s v="IRL"/>
    <s v="04:04:05"/>
    <x v="722"/>
  </r>
  <r>
    <s v="Chen, Bryan"/>
    <s v="M55"/>
    <s v="USA"/>
    <s v="03:43:31"/>
    <x v="752"/>
  </r>
  <r>
    <s v="Greasley, Jamie prof"/>
    <s v="M30"/>
    <s v="GBR"/>
    <s v="03:54:04"/>
    <x v="278"/>
  </r>
  <r>
    <s v="Cseresznyés Dániel"/>
    <s v="M35"/>
    <s v="HUN"/>
    <s v="03:46:48"/>
    <x v="76"/>
  </r>
  <r>
    <s v="Dóczé, Edmund"/>
    <s v="M50"/>
    <s v="SVK"/>
    <s v="03:35:02"/>
    <x v="753"/>
  </r>
  <r>
    <s v="Sturges, Alex"/>
    <s v="M20"/>
    <s v="IRL"/>
    <s v="05:16:29"/>
    <x v="754"/>
  </r>
  <r>
    <s v="Kucharik, Jiri"/>
    <s v="M30"/>
    <s v="CZE"/>
    <s v="03:05:22"/>
    <x v="755"/>
  </r>
  <r>
    <s v="Mikulski, Jacek"/>
    <s v="M50"/>
    <s v="POL"/>
    <s v="03:22:26"/>
    <x v="128"/>
  </r>
  <r>
    <s v="CASADO RODRIGUEZ, ADOLFO"/>
    <s v="M55"/>
    <s v="ESP"/>
    <s v="03:58:55"/>
    <x v="756"/>
  </r>
  <r>
    <s v="Rodrigo, Perez Boysselle"/>
    <s v="M40"/>
    <s v="MEX"/>
    <s v="03:30:01"/>
    <x v="757"/>
  </r>
  <r>
    <s v="Károlyi Attila"/>
    <s v="M25"/>
    <s v="HUN"/>
    <s v="03:32:55"/>
    <x v="758"/>
  </r>
  <r>
    <s v="Mattia, Marchi"/>
    <s v="M35"/>
    <s v="ITA"/>
    <s v="03:53:05"/>
    <x v="759"/>
  </r>
  <r>
    <s v="Hegedüs Levente"/>
    <s v="M30"/>
    <s v="HUN"/>
    <s v="02:59:01"/>
    <x v="760"/>
  </r>
  <r>
    <s v="Polyánki Bence"/>
    <s v="M20"/>
    <s v="HUN"/>
    <s v="02:38:43"/>
    <x v="761"/>
  </r>
  <r>
    <s v="Di Palma, Nicola"/>
    <s v="M25"/>
    <s v="ITA"/>
    <s v="03:08:02"/>
    <x v="762"/>
  </r>
  <r>
    <s v="Pitcher, Braden"/>
    <s v="M25"/>
    <s v="AUS"/>
    <s v="03:05:43"/>
    <x v="763"/>
  </r>
  <r>
    <s v="Rigó Béla"/>
    <s v="M45"/>
    <s v="HUN"/>
    <s v="04:00:36"/>
    <x v="764"/>
  </r>
  <r>
    <s v="Franck, Rescoussier"/>
    <s v="M50"/>
    <s v="FRA"/>
    <s v="04:39:22"/>
    <x v="765"/>
  </r>
  <r>
    <s v="Nyéki Gábor"/>
    <s v="M40"/>
    <s v="HUN"/>
    <s v="03:49:55"/>
    <x v="766"/>
  </r>
  <r>
    <s v="Meszaros Peter id"/>
    <s v="M45"/>
    <s v="HUN"/>
    <s v="03:18:35"/>
    <x v="586"/>
  </r>
  <r>
    <s v="Angaroni, Enrico prof"/>
    <s v="M30"/>
    <s v="ITA"/>
    <s v="03:41:21"/>
    <x v="767"/>
  </r>
  <r>
    <s v="Lestar, Robert"/>
    <s v="M50"/>
    <s v="AUT"/>
    <s v="03:57:18"/>
    <x v="768"/>
  </r>
  <r>
    <s v="Cernat, Danut"/>
    <s v="M50"/>
    <s v="ROM"/>
    <s v="04:33:54"/>
    <x v="769"/>
  </r>
  <r>
    <s v="Skrodzki Andrzej"/>
    <s v="M20"/>
    <s v="HUN"/>
    <s v="04:02:45"/>
    <x v="131"/>
  </r>
  <r>
    <s v="HERVE, RAMAT"/>
    <s v="M50"/>
    <s v="FRA"/>
    <s v="04:29:01"/>
    <x v="770"/>
  </r>
  <r>
    <s v="Konkoly Gergely"/>
    <s v="M40"/>
    <s v="HUN"/>
    <s v="03:55:37"/>
    <x v="771"/>
  </r>
  <r>
    <s v="Hajnal Balázs"/>
    <s v="M50"/>
    <s v="HUN"/>
    <s v="04:38:56"/>
    <x v="772"/>
  </r>
  <r>
    <s v="Chan, Alan"/>
    <s v="M20"/>
    <s v="SIN"/>
    <s v="05:31:36"/>
    <x v="773"/>
  </r>
  <r>
    <s v="Saey, Dennis"/>
    <s v="M35"/>
    <s v="BEL"/>
    <s v="04:08:21"/>
    <x v="774"/>
  </r>
  <r>
    <s v="Simonyik Levente"/>
    <s v="M18"/>
    <s v="HUN"/>
    <s v="04:00:52"/>
    <x v="775"/>
  </r>
  <r>
    <s v="Bronlund, Petter"/>
    <s v="M25"/>
    <s v="NOR"/>
    <s v="04:29:05"/>
    <x v="776"/>
  </r>
  <r>
    <s v="BUCKTOWAR, RALPH"/>
    <s v="M40"/>
    <s v="FRA"/>
    <s v="03:28:06"/>
    <x v="777"/>
  </r>
  <r>
    <s v="Penka, Wolfgang"/>
    <s v="M65"/>
    <s v="AUT"/>
    <s v="05:32:50"/>
    <x v="778"/>
  </r>
  <r>
    <s v="Briac, Andrei"/>
    <s v="M20"/>
    <s v="ROM"/>
    <s v="04:13:38"/>
    <x v="241"/>
  </r>
  <r>
    <s v="Maroda Máté"/>
    <s v="M20"/>
    <s v="HUN"/>
    <s v="04:26:20"/>
    <x v="779"/>
  </r>
  <r>
    <s v="Louwagie Sapena, Ruben"/>
    <s v="M25"/>
    <s v="ESP"/>
    <s v="03:07:39"/>
    <x v="780"/>
  </r>
  <r>
    <s v="Weiß, Ricardo"/>
    <s v="M40"/>
    <s v="GER"/>
    <s v="03:16:22"/>
    <x v="781"/>
  </r>
  <r>
    <s v="Limp Dávid"/>
    <s v="M35"/>
    <s v="HUN"/>
    <s v="04:00:38"/>
    <x v="782"/>
  </r>
  <r>
    <s v="Vadkerti Csaba"/>
    <s v="M50"/>
    <s v="HUN"/>
    <s v="03:53:19"/>
    <x v="783"/>
  </r>
  <r>
    <s v="Lenstra, Jelmer-Joost"/>
    <s v="M30"/>
    <s v="NED"/>
    <s v="02:45:55"/>
    <x v="784"/>
  </r>
  <r>
    <s v="Baukó Ferenc"/>
    <s v="M45"/>
    <s v="HUN"/>
    <s v="04:10:12"/>
    <x v="785"/>
  </r>
  <r>
    <s v="Magyar Csaba"/>
    <s v="M45"/>
    <s v="HUN"/>
    <s v="05:06:27"/>
    <x v="786"/>
  </r>
  <r>
    <s v="Suchna, Jiří"/>
    <s v="M40"/>
    <s v="CZE"/>
    <s v="03:49:51"/>
    <x v="787"/>
  </r>
  <r>
    <s v="Turcsi László"/>
    <s v="M45"/>
    <s v="HUN"/>
    <s v="03:55:19"/>
    <x v="788"/>
  </r>
  <r>
    <s v="Görgényi-Nagy Szabolcs"/>
    <s v="M40"/>
    <s v="HUN"/>
    <s v="04:49:56"/>
    <x v="789"/>
  </r>
  <r>
    <s v="Reszegi Sándor"/>
    <s v="M40"/>
    <s v="HUN"/>
    <s v="05:40:35"/>
    <x v="790"/>
  </r>
  <r>
    <s v="Németh Nándor Dr."/>
    <s v="M45"/>
    <s v="HUN"/>
    <s v="03:36:19"/>
    <x v="791"/>
  </r>
  <r>
    <s v="Kralován Árpád"/>
    <s v="M45"/>
    <s v="HUN"/>
    <s v="03:28:52"/>
    <x v="792"/>
  </r>
  <r>
    <s v="Martin, Connan"/>
    <s v="M20"/>
    <s v="FRA"/>
    <s v="05:10:23"/>
    <x v="793"/>
  </r>
  <r>
    <s v="Both Szabolcs"/>
    <s v="M40"/>
    <s v="HUN"/>
    <s v="05:32:48"/>
    <x v="794"/>
  </r>
  <r>
    <s v="Kovács Attila"/>
    <s v="M25"/>
    <s v="HUN"/>
    <s v="04:00:42"/>
    <x v="434"/>
  </r>
  <r>
    <s v="Bognár Károly"/>
    <s v="M40"/>
    <s v="HUN"/>
    <s v="04:27:50"/>
    <x v="795"/>
  </r>
  <r>
    <s v="Molnár Ferenc"/>
    <s v="M40"/>
    <s v="HUN"/>
    <s v="04:47:59"/>
    <x v="796"/>
  </r>
  <r>
    <s v="Pacifero, Giuliano"/>
    <s v="M65"/>
    <s v="ITA"/>
    <s v="04:58:11"/>
    <x v="797"/>
  </r>
  <r>
    <s v="Bíró Krisztián"/>
    <s v="M20"/>
    <s v="HUN"/>
    <s v="04:22:24"/>
    <x v="798"/>
  </r>
  <r>
    <s v="Bajdik János"/>
    <s v="M45"/>
    <s v="HUN"/>
    <s v="02:58:22"/>
    <x v="799"/>
  </r>
  <r>
    <s v="Marwane, Benakki"/>
    <s v="M25"/>
    <s v="MAR"/>
    <s v="03:26:04"/>
    <x v="800"/>
  </r>
  <r>
    <s v="Sándor Csaba"/>
    <s v="M40"/>
    <s v="HUN"/>
    <s v="04:32:42"/>
    <x v="422"/>
  </r>
  <r>
    <s v="László Péter"/>
    <s v="M25"/>
    <s v="HUN"/>
    <s v="03:47:21"/>
    <x v="801"/>
  </r>
  <r>
    <s v="Lajarige, William"/>
    <s v="M18"/>
    <s v="GBR"/>
    <s v="04:00:15"/>
    <x v="802"/>
  </r>
  <r>
    <s v="CERISIER, William"/>
    <s v="M30"/>
    <s v="FRA"/>
    <s v="03:14:57"/>
    <x v="803"/>
  </r>
  <r>
    <s v="Casiraghi, Gilberto"/>
    <s v="M55"/>
    <s v="ITA"/>
    <s v="03:15:44"/>
    <x v="235"/>
  </r>
  <r>
    <s v="Petrovay Zoltán"/>
    <s v="M50"/>
    <s v="HUN"/>
    <s v="05:03:04"/>
    <x v="804"/>
  </r>
  <r>
    <s v="Juhász Péter"/>
    <s v="M45"/>
    <s v="HUN"/>
    <s v="05:15:12"/>
    <x v="805"/>
  </r>
  <r>
    <s v="Horváth István"/>
    <s v="M65"/>
    <s v="HUN"/>
    <s v="04:24:16"/>
    <x v="806"/>
  </r>
  <r>
    <s v="Szekeres András"/>
    <s v="M25"/>
    <s v="HUN"/>
    <s v="04:29:35"/>
    <x v="807"/>
  </r>
  <r>
    <s v="Kim, Changwook"/>
    <s v="M40"/>
    <s v="KOR"/>
    <s v="04:07:56"/>
    <x v="808"/>
  </r>
  <r>
    <s v="Szabó Zoltán"/>
    <s v="M55"/>
    <s v="HUN"/>
    <s v="04:13:10"/>
    <x v="809"/>
  </r>
  <r>
    <s v="Siskov, Vasilij"/>
    <s v="M30"/>
    <s v="HUN"/>
    <s v="04:28:08"/>
    <x v="810"/>
  </r>
  <r>
    <s v="Kaali, Daniel"/>
    <s v="M40"/>
    <s v="HUN"/>
    <s v="03:15:06"/>
    <x v="811"/>
  </r>
  <r>
    <s v="Tóth Zoltán"/>
    <s v="M40"/>
    <s v="HUN"/>
    <s v="04:26:24"/>
    <x v="812"/>
  </r>
  <r>
    <s v="Torsnes, Sindre"/>
    <s v="M30"/>
    <s v="FRA"/>
    <s v="03:25:18"/>
    <x v="813"/>
  </r>
  <r>
    <s v="Wołowski, Lech dr"/>
    <s v="M45"/>
    <s v="SRB"/>
    <s v="03:42:05"/>
    <x v="499"/>
  </r>
  <r>
    <s v="Pelle Laszlo"/>
    <s v="M50"/>
    <s v="IRL"/>
    <s v="04:24:08"/>
    <x v="814"/>
  </r>
  <r>
    <s v="Francisco J., Ruz"/>
    <s v="M50"/>
    <s v="HUN"/>
    <s v="04:35:46"/>
    <x v="815"/>
  </r>
  <r>
    <s v="Ágoston Márton"/>
    <s v="M30"/>
    <s v="DEN"/>
    <s v="04:07:44"/>
    <x v="816"/>
  </r>
  <r>
    <s v="Sivó Balázs"/>
    <s v="M20"/>
    <s v="HUN"/>
    <s v="04:47:08"/>
    <x v="193"/>
  </r>
  <r>
    <s v="Nicolas, Carbon"/>
    <s v="M25"/>
    <s v="HUN"/>
    <s v="03:49:31"/>
    <x v="817"/>
  </r>
  <r>
    <s v="Baráth Péter"/>
    <s v="M45"/>
    <s v="GER"/>
    <s v="04:27:28"/>
    <x v="818"/>
  </r>
  <r>
    <s v="Varga János"/>
    <s v="M45"/>
    <s v="UKR"/>
    <s v="04:37:14"/>
    <x v="819"/>
  </r>
  <r>
    <s v="Sylvain, Ducat"/>
    <s v="M25"/>
    <s v="LIB"/>
    <s v="03:57:11"/>
    <x v="820"/>
  </r>
  <r>
    <s v="Ivancso, Béla dr."/>
    <s v="M40"/>
    <s v="HUN"/>
    <s v="03:34:15"/>
    <x v="821"/>
  </r>
  <r>
    <s v="Papai Laszlo"/>
    <s v="M70"/>
    <s v="GER"/>
    <s v="03:59:10"/>
    <x v="822"/>
  </r>
  <r>
    <s v="Kónya Benedek"/>
    <s v="M25"/>
    <s v="POL"/>
    <s v="03:59:48"/>
    <x v="823"/>
  </r>
  <r>
    <s v="F?rlie, Asbj?rn"/>
    <s v="M55"/>
    <s v="HUN"/>
    <s v="03:33:56"/>
    <x v="226"/>
  </r>
  <r>
    <s v="Guilhem, Maxime ifj"/>
    <s v="M30"/>
    <s v="HUN"/>
    <s v="04:18:37"/>
    <x v="824"/>
  </r>
  <r>
    <s v="Watson, Tom"/>
    <s v="M20"/>
    <s v="HUN"/>
    <s v="03:51:31"/>
    <x v="825"/>
  </r>
  <r>
    <s v="Tóth Adam"/>
    <s v="M35"/>
    <s v="HUN"/>
    <s v="03:33:28"/>
    <x v="826"/>
  </r>
  <r>
    <s v="da Cruz Almeida, Jo?o Pedro Afonso"/>
    <s v="M25"/>
    <s v="HUN"/>
    <s v="03:49:21"/>
    <x v="827"/>
  </r>
  <r>
    <s v="Cantave, Day dr"/>
    <s v="M20"/>
    <s v="HUN"/>
    <s v="03:17:24"/>
    <x v="828"/>
  </r>
  <r>
    <s v="Henrik, Ljung"/>
    <s v="M50"/>
    <s v="HUN"/>
    <s v="03:40:58"/>
    <x v="829"/>
  </r>
  <r>
    <s v="Dövényi-Nagy Ferenc"/>
    <s v="M40"/>
    <s v="HUN"/>
    <s v="03:46:31"/>
    <x v="830"/>
  </r>
  <r>
    <s v="BARDELOT, Stéphane"/>
    <s v="M50"/>
    <s v="JPN"/>
    <s v="03:49:31"/>
    <x v="817"/>
  </r>
  <r>
    <s v="Jánosi Péter"/>
    <s v="M45"/>
    <s v="GBR"/>
    <s v="04:35:28"/>
    <x v="831"/>
  </r>
  <r>
    <s v="Vigh Péter"/>
    <s v="M35"/>
    <s v="HUN"/>
    <s v="03:09:09"/>
    <x v="832"/>
  </r>
  <r>
    <s v="Remac, Milan dr"/>
    <s v="M40"/>
    <s v="GER"/>
    <s v="03:48:14"/>
    <x v="833"/>
  </r>
  <r>
    <s v="Kagan, Ryszard"/>
    <s v="M65"/>
    <s v="HUN"/>
    <s v="04:16:15"/>
    <x v="834"/>
  </r>
  <r>
    <s v="Ferrebee James"/>
    <s v="M40"/>
    <s v="RUS"/>
    <s v="04:42:00"/>
    <x v="835"/>
  </r>
  <r>
    <s v="Sarty, Robert"/>
    <s v="M25"/>
    <s v="HUN"/>
    <s v="03:04:49"/>
    <x v="836"/>
  </r>
  <r>
    <s v="Benedek Martin"/>
    <s v="M25"/>
    <s v="GER"/>
    <s v="05:25:17"/>
    <x v="837"/>
  </r>
  <r>
    <s v="Parkes, Harvey"/>
    <s v="M20"/>
    <s v="HUN"/>
    <s v="03:35:09"/>
    <x v="838"/>
  </r>
  <r>
    <s v="Sebők Attila"/>
    <s v="M40"/>
    <s v="HUN"/>
    <s v="03:56:05"/>
    <x v="839"/>
  </r>
  <r>
    <s v="Dimény Lóránt"/>
    <s v="M40"/>
    <s v="HUN"/>
    <s v="04:00:20"/>
    <x v="840"/>
  </r>
  <r>
    <s v="Pataki Tamás"/>
    <s v="M30"/>
    <s v="HUN"/>
    <s v="04:55:44"/>
    <x v="841"/>
  </r>
  <r>
    <s v="Hugo, Willemet"/>
    <s v="M20"/>
    <s v="POR"/>
    <s v="03:30:22"/>
    <x v="842"/>
  </r>
  <r>
    <s v="Kovács, Tamás"/>
    <s v="M35"/>
    <s v="JPN"/>
    <s v="03:38:23"/>
    <x v="843"/>
  </r>
  <r>
    <s v="Borbély Imre"/>
    <s v="M65"/>
    <s v="HUN"/>
    <s v="05:00:50"/>
    <x v="96"/>
  </r>
  <r>
    <s v="Dudás Péter"/>
    <s v="M40"/>
    <s v="HUN"/>
    <s v="03:28:03"/>
    <x v="443"/>
  </r>
  <r>
    <s v="Schwartz-Nagy Attila"/>
    <s v="M35"/>
    <s v="HUN"/>
    <s v="03:41:56"/>
    <x v="844"/>
  </r>
  <r>
    <s v="Gelányi Attila"/>
    <s v="M45"/>
    <s v="HUN"/>
    <s v="04:59:24"/>
    <x v="486"/>
  </r>
  <r>
    <s v="Kovács Árpád Csaba"/>
    <s v="M20"/>
    <s v="HUN"/>
    <s v="03:44:44"/>
    <x v="845"/>
  </r>
  <r>
    <s v="Vajda György"/>
    <s v="M55"/>
    <s v="HUN"/>
    <s v="04:44:54"/>
    <x v="846"/>
  </r>
  <r>
    <s v="BARBONE, DOMENICO"/>
    <s v="M45"/>
    <s v="FRA"/>
    <s v="03:43:07"/>
    <x v="847"/>
  </r>
  <r>
    <s v="Wiatrowski, Andrzej"/>
    <s v="M45"/>
    <s v="HUN"/>
    <s v="03:48:03"/>
    <x v="848"/>
  </r>
  <r>
    <s v="Gonçalves, Jorge prof"/>
    <s v="M40"/>
    <s v="HUN"/>
    <s v="03:45:05"/>
    <x v="849"/>
  </r>
  <r>
    <s v="Kálló Gábor"/>
    <s v="M30"/>
    <s v="HUN"/>
    <s v="05:07:37"/>
    <x v="850"/>
  </r>
  <r>
    <s v="Wester, Andreas"/>
    <s v="M45"/>
    <s v="HUN"/>
    <s v="04:08:24"/>
    <x v="851"/>
  </r>
  <r>
    <s v="Ugolini, Luigino"/>
    <s v="M55"/>
    <s v="FRA"/>
    <s v="03:57:06"/>
    <x v="852"/>
  </r>
  <r>
    <s v="Harbinja, Jasmin"/>
    <s v="M40"/>
    <s v="HUN"/>
    <s v="04:10:01"/>
    <x v="853"/>
  </r>
  <r>
    <s v="Suha Viktor"/>
    <s v="M20"/>
    <s v="HUN"/>
    <s v="05:35:27"/>
    <x v="854"/>
  </r>
  <r>
    <s v="Gambarana, Bruno"/>
    <s v="M50"/>
    <s v="HUN"/>
    <s v="03:57:45"/>
    <x v="855"/>
  </r>
  <r>
    <s v="Drandic, Sandi"/>
    <s v="M45"/>
    <s v="SVK"/>
    <s v="03:25:22"/>
    <x v="856"/>
  </r>
  <r>
    <s v="Sudjunadi, Wisakasuta"/>
    <s v="M50"/>
    <s v="BEL"/>
    <s v="03:56:37"/>
    <x v="857"/>
  </r>
  <r>
    <s v="Wéninger Ákos"/>
    <s v="M40"/>
    <s v="HUN"/>
    <s v="03:50:15"/>
    <x v="858"/>
  </r>
  <r>
    <s v="Yliluoma, Ville"/>
    <s v="M35"/>
    <s v="HUN"/>
    <s v="03:02:04"/>
    <x v="859"/>
  </r>
  <r>
    <s v="Fazakas Zsolt"/>
    <s v="M50"/>
    <s v="HUN"/>
    <s v="03:05:49"/>
    <x v="860"/>
  </r>
  <r>
    <s v="Sipos Szabolcs"/>
    <s v="M40"/>
    <s v="HUN"/>
    <s v="05:00:27"/>
    <x v="861"/>
  </r>
  <r>
    <s v="Kerényi Levente"/>
    <s v="M25"/>
    <s v="POL"/>
    <s v="05:02:56"/>
    <x v="610"/>
  </r>
  <r>
    <s v="Baranyai Levente"/>
    <s v="M25"/>
    <s v="GER"/>
    <s v="04:15:44"/>
    <x v="862"/>
  </r>
  <r>
    <s v="Ács Gábor"/>
    <s v="M35"/>
    <s v="HUN"/>
    <s v="04:13:46"/>
    <x v="863"/>
  </r>
  <r>
    <s v="Harestad, Snorre Alm"/>
    <s v="M30"/>
    <s v="HUN"/>
    <s v="04:40:54"/>
    <x v="864"/>
  </r>
  <r>
    <s v="László Tibor"/>
    <s v="M30"/>
    <s v="HUN"/>
    <s v="04:00:58"/>
    <x v="865"/>
  </r>
  <r>
    <s v="Leclerc, Jean-Pierre"/>
    <s v="M60"/>
    <s v="HUN"/>
    <s v="03:28:07"/>
    <x v="866"/>
  </r>
  <r>
    <s v="David, Kadar"/>
    <s v="M25"/>
    <s v="HUN"/>
    <s v="04:23:43"/>
    <x v="867"/>
  </r>
  <r>
    <s v="Szalkay Attila Kázmér"/>
    <s v="M50"/>
    <s v="HUN"/>
    <s v="05:25:53"/>
    <x v="868"/>
  </r>
  <r>
    <s v="Alimzhan uulu, Esen jr"/>
    <s v="M25"/>
    <s v="HUN"/>
    <s v="05:03:32"/>
    <x v="869"/>
  </r>
  <r>
    <s v="Wojciechowski, Tomasz"/>
    <s v="M45"/>
    <s v="HUN"/>
    <s v="03:18:34"/>
    <x v="870"/>
  </r>
  <r>
    <s v="Mocsári Gyula"/>
    <s v="M50"/>
    <s v="UKR"/>
    <s v="03:57:32"/>
    <x v="205"/>
  </r>
  <r>
    <s v="Kiss Ottó"/>
    <s v="M40"/>
    <s v="HUN"/>
    <s v="04:35:57"/>
    <x v="871"/>
  </r>
  <r>
    <s v="Kiss Attila"/>
    <s v="M40"/>
    <s v="HUN"/>
    <s v="04:03:05"/>
    <x v="872"/>
  </r>
  <r>
    <s v="Szabó-Lőrincz Ádám"/>
    <s v="M18"/>
    <s v="HUN"/>
    <s v="05:31:32"/>
    <x v="873"/>
  </r>
  <r>
    <s v="Vass János"/>
    <s v="M55"/>
    <s v="HUN"/>
    <s v="04:50:33"/>
    <x v="874"/>
  </r>
  <r>
    <s v="Lakkas, Theo"/>
    <s v="M40"/>
    <s v="HUN"/>
    <s v="05:03:09"/>
    <x v="875"/>
  </r>
  <r>
    <s v="Szőcs, Attila-Zsolt dr"/>
    <s v="M30"/>
    <s v="HUN"/>
    <s v="02:57:15"/>
    <x v="876"/>
  </r>
  <r>
    <s v="Sterckx, Peter"/>
    <s v="M40"/>
    <s v="HUN"/>
    <s v="03:18:30"/>
    <x v="877"/>
  </r>
  <r>
    <s v="Sulák Zsolt"/>
    <s v="M40"/>
    <s v="USA"/>
    <s v="03:19:15"/>
    <x v="878"/>
  </r>
  <r>
    <s v="Szabó Gergő"/>
    <s v="M25"/>
    <s v="HUN"/>
    <s v="04:44:03"/>
    <x v="879"/>
  </r>
  <r>
    <s v="Garbani, Marvin"/>
    <s v="M30"/>
    <s v="HUN"/>
    <s v="04:03:45"/>
    <x v="880"/>
  </r>
  <r>
    <s v="Ligeti András"/>
    <s v="M45"/>
    <s v="HUN"/>
    <s v="02:54:31"/>
    <x v="881"/>
  </r>
  <r>
    <s v="PANICO, GIUSEPPE"/>
    <s v="M55"/>
    <s v="HUN"/>
    <s v="04:36:24"/>
    <x v="882"/>
  </r>
  <r>
    <s v="Benkics Péter"/>
    <s v="M40"/>
    <s v="HUN"/>
    <s v="04:20:35"/>
    <x v="650"/>
  </r>
  <r>
    <s v="van Zanden, Menno"/>
    <s v="M45"/>
    <s v="HUN"/>
    <s v="03:54:34"/>
    <x v="883"/>
  </r>
  <r>
    <s v="Ronchi, Erwin"/>
    <s v="M45"/>
    <s v="HUN"/>
    <s v="03:23:08"/>
    <x v="884"/>
  </r>
  <r>
    <s v="Lantos Bence"/>
    <s v="M35"/>
    <s v="HUN"/>
    <s v="05:00:45"/>
    <x v="885"/>
  </r>
  <r>
    <s v="Courtnadge, Philip"/>
    <s v="M55"/>
    <s v="HUN"/>
    <s v="03:46:24"/>
    <x v="886"/>
  </r>
  <r>
    <s v="Mouhali, Liam"/>
    <s v="M20"/>
    <s v="ESP"/>
    <s v="04:27:55"/>
    <x v="887"/>
  </r>
  <r>
    <s v="Ibos Igor"/>
    <s v="M65"/>
    <s v="HUN"/>
    <s v="04:33:23"/>
    <x v="888"/>
  </r>
  <r>
    <s v="Kószó Péter"/>
    <s v="M45"/>
    <s v="HUN"/>
    <s v="04:42:48"/>
    <x v="889"/>
  </r>
  <r>
    <s v="Hertelendy Márton Maximilián"/>
    <s v="M25"/>
    <s v="CZE"/>
    <s v="04:45:30"/>
    <x v="30"/>
  </r>
  <r>
    <s v="Richter, Thorsten"/>
    <s v="M40"/>
    <s v="HUN"/>
    <s v="03:53:38"/>
    <x v="890"/>
  </r>
  <r>
    <s v="Vermes Balázs"/>
    <s v="M25"/>
    <s v="GBR"/>
    <s v="04:19:35"/>
    <x v="61"/>
  </r>
  <r>
    <s v="Gavula Sándor"/>
    <s v="M45"/>
    <s v="MLT"/>
    <s v="05:00:38"/>
    <x v="891"/>
  </r>
  <r>
    <s v="Stoichkov, Nikolay"/>
    <s v="M35"/>
    <s v="GBR"/>
    <s v="03:49:36"/>
    <x v="892"/>
  </r>
  <r>
    <s v="Kányási István"/>
    <s v="M40"/>
    <s v="POL"/>
    <s v="04:08:54"/>
    <x v="893"/>
  </r>
  <r>
    <s v="Benedek-Rápolti, Vajk"/>
    <s v="M40"/>
    <s v="HUN"/>
    <s v="04:11:04"/>
    <x v="894"/>
  </r>
  <r>
    <s v="Murkin, Keith"/>
    <s v="M55"/>
    <s v="NED"/>
    <s v="03:58:56"/>
    <x v="895"/>
  </r>
  <r>
    <s v="Csizér Márton"/>
    <s v="M45"/>
    <s v="SWE"/>
    <s v="04:19:45"/>
    <x v="896"/>
  </r>
  <r>
    <s v="Baranek, Lukas"/>
    <s v="M40"/>
    <s v="FRA"/>
    <s v="04:29:28"/>
    <x v="897"/>
  </r>
  <r>
    <s v="Baranyai Balázs"/>
    <s v="M45"/>
    <s v="HUN"/>
    <s v="03:28:03"/>
    <x v="443"/>
  </r>
  <r>
    <s v="Nijborg, Jarno"/>
    <s v="M30"/>
    <s v="HUN"/>
    <s v="04:00:50"/>
    <x v="898"/>
  </r>
  <r>
    <s v="Hugyecz András"/>
    <s v="M40"/>
    <s v="FRA"/>
    <s v="05:04:11"/>
    <x v="899"/>
  </r>
  <r>
    <s v="Babos Mátyás Market"/>
    <s v="M30"/>
    <s v="HUN"/>
    <s v="03:08:41"/>
    <x v="900"/>
  </r>
  <r>
    <s v="Nyist Gábor"/>
    <s v="M50"/>
    <s v="BEL"/>
    <s v="05:01:35"/>
    <x v="901"/>
  </r>
  <r>
    <s v="Davidson, Gary"/>
    <s v="M50"/>
    <s v="HUN"/>
    <s v="03:32:19"/>
    <x v="902"/>
  </r>
  <r>
    <s v="Zelnis, Daniel"/>
    <s v="M25"/>
    <s v="HUN"/>
    <s v="04:00:54"/>
    <x v="339"/>
  </r>
  <r>
    <s v="ALGECIRAS, JOSE"/>
    <s v="M65"/>
    <s v="HUN"/>
    <s v="05:00:01"/>
    <x v="903"/>
  </r>
  <r>
    <s v="O'Halloran, Damien"/>
    <s v="M40"/>
    <s v="HUN"/>
    <s v="04:26:16"/>
    <x v="904"/>
  </r>
  <r>
    <s v="Gyávol, Roland"/>
    <s v="M35"/>
    <s v="POL"/>
    <s v="04:45:01"/>
    <x v="905"/>
  </r>
  <r>
    <s v="Bugovics Péter"/>
    <s v="M25"/>
    <s v="GBR"/>
    <s v="04:58:43"/>
    <x v="86"/>
  </r>
  <r>
    <s v="Romeo, Bougon"/>
    <s v="M20"/>
    <s v="HUN"/>
    <s v="03:56:46"/>
    <x v="906"/>
  </r>
  <r>
    <s v="Rubóczki Béla ifj"/>
    <s v="M50"/>
    <s v="HUN"/>
    <s v="04:05:19"/>
    <x v="907"/>
  </r>
  <r>
    <s v="Benkő Ádám"/>
    <s v="M35"/>
    <s v="HUN"/>
    <s v="04:40:11"/>
    <x v="908"/>
  </r>
  <r>
    <s v="Jurecska Áron"/>
    <s v="M20"/>
    <s v="HUN"/>
    <s v="03:35:06"/>
    <x v="909"/>
  </r>
  <r>
    <s v="Tánczos-Szabó Tamás"/>
    <s v="M45"/>
    <s v="HUN"/>
    <s v="04:12:58"/>
    <x v="910"/>
  </r>
  <r>
    <s v="Gellén László"/>
    <s v="M45"/>
    <s v="HUN"/>
    <s v="04:11:11"/>
    <x v="911"/>
  </r>
  <r>
    <s v="Sabri, Beqiri"/>
    <s v="M35"/>
    <s v="GER"/>
    <s v="03:38:58"/>
    <x v="912"/>
  </r>
  <r>
    <s v="Mcinerney, Liam"/>
    <s v="M30"/>
    <s v="HUN"/>
    <s v="04:37:59"/>
    <x v="913"/>
  </r>
  <r>
    <s v="Szabados Balázs"/>
    <s v="M35"/>
    <s v="HUN"/>
    <s v="03:58:08"/>
    <x v="914"/>
  </r>
  <r>
    <s v="Soós Elek"/>
    <s v="M50"/>
    <s v="ITA"/>
    <s v="04:15:39"/>
    <x v="915"/>
  </r>
  <r>
    <s v="Kiss Mátyás"/>
    <s v="M25"/>
    <s v="HUN"/>
    <s v="04:40:29"/>
    <x v="916"/>
  </r>
  <r>
    <s v="ROMERO RUIZ, FRANCISCO"/>
    <s v="M65"/>
    <s v="HUN"/>
    <s v="05:00:02"/>
    <x v="514"/>
  </r>
  <r>
    <s v="Bálint Zoltán"/>
    <s v="M45"/>
    <s v="HUN"/>
    <s v="03:10:35"/>
    <x v="917"/>
  </r>
  <r>
    <s v="Seignette, Max"/>
    <s v="M30"/>
    <s v="HUN"/>
    <s v="03:09:08"/>
    <x v="27"/>
  </r>
  <r>
    <s v="Gebal, Adam"/>
    <s v="M35"/>
    <s v="HUN"/>
    <s v="03:18:08"/>
    <x v="918"/>
  </r>
  <r>
    <s v="Karkatzoulis, Panagiotis prof"/>
    <s v="M35"/>
    <s v="HUN"/>
    <s v="03:26:43"/>
    <x v="919"/>
  </r>
  <r>
    <s v="Tóth Péter"/>
    <s v="M35"/>
    <s v="HUN"/>
    <s v="03:26:30"/>
    <x v="920"/>
  </r>
  <r>
    <s v="Peck, Crispin"/>
    <s v="M60"/>
    <s v="HUN"/>
    <s v="03:57:06"/>
    <x v="852"/>
  </r>
  <r>
    <s v="Papp Tuma Attila"/>
    <s v="M55"/>
    <s v="HUN"/>
    <s v="04:58:38"/>
    <x v="921"/>
  </r>
  <r>
    <s v="Rahim, Ziyad"/>
    <s v="M50"/>
    <s v="GBR"/>
    <s v="05:24:52"/>
    <x v="922"/>
  </r>
  <r>
    <s v="Huang, Junbo"/>
    <s v="M25"/>
    <s v="HUN"/>
    <s v="05:35:28"/>
    <x v="923"/>
  </r>
  <r>
    <s v="Portin, Kaj"/>
    <s v="M55"/>
    <s v="HUN"/>
    <s v="03:37:41"/>
    <x v="924"/>
  </r>
  <r>
    <s v="Szabó Zsolt"/>
    <s v="M45"/>
    <s v="HUN"/>
    <s v="03:54:03"/>
    <x v="53"/>
  </r>
  <r>
    <s v="Nylund, Jesper"/>
    <s v="M35"/>
    <s v="HUN"/>
    <s v="04:19:09"/>
    <x v="925"/>
  </r>
  <r>
    <s v="Miklós, Tamás"/>
    <s v="M40"/>
    <s v="HUN"/>
    <s v="04:08:58"/>
    <x v="926"/>
  </r>
  <r>
    <s v="Polhammer Zsolt"/>
    <s v="M40"/>
    <s v="HUN"/>
    <s v="05:03:45"/>
    <x v="927"/>
  </r>
  <r>
    <s v="Machado, Francisco"/>
    <s v="M45"/>
    <s v="BEL"/>
    <s v="03:34:14"/>
    <x v="928"/>
  </r>
  <r>
    <s v="Juhász Ádám"/>
    <s v="M45"/>
    <s v="ITA"/>
    <s v="04:56:27"/>
    <x v="929"/>
  </r>
  <r>
    <s v="Bergermayer, Thomas"/>
    <s v="M35"/>
    <s v="HUN"/>
    <s v="03:10:26"/>
    <x v="930"/>
  </r>
  <r>
    <s v="Szczygieł, Mateusz"/>
    <s v="M30"/>
    <s v="GER"/>
    <s v="03:43:46"/>
    <x v="593"/>
  </r>
  <r>
    <s v="Gyarmati Erik"/>
    <s v="M45"/>
    <s v="BEL"/>
    <s v="03:16:28"/>
    <x v="684"/>
  </r>
  <r>
    <s v="Magyar Márk"/>
    <s v="M20"/>
    <s v="GBR"/>
    <s v="03:55:18"/>
    <x v="279"/>
  </r>
  <r>
    <s v="Kedziora, Cedric"/>
    <s v="M40"/>
    <s v="HUN"/>
    <s v="04:11:12"/>
    <x v="931"/>
  </r>
  <r>
    <s v="Budil, Jan"/>
    <s v="M55"/>
    <s v="HUN"/>
    <s v="03:23:21"/>
    <x v="932"/>
  </r>
  <r>
    <s v="Dieter, Frank"/>
    <s v="M60"/>
    <s v="HUN"/>
    <s v="04:31:52"/>
    <x v="933"/>
  </r>
  <r>
    <s v="Kéki Tamás"/>
    <s v="M30"/>
    <s v="GBR"/>
    <s v="02:37:28"/>
    <x v="934"/>
  </r>
  <r>
    <s v="Thierry, Guéna"/>
    <s v="M45"/>
    <s v="HUN"/>
    <s v="04:23:55"/>
    <x v="935"/>
  </r>
  <r>
    <s v="Magalh?es, José"/>
    <s v="M55"/>
    <s v="HUN"/>
    <s v="04:02:17"/>
    <x v="936"/>
  </r>
  <r>
    <s v="Gustavsson, Glenn"/>
    <s v="M55"/>
    <s v="FRA"/>
    <s v="04:20:48"/>
    <x v="937"/>
  </r>
  <r>
    <s v="Nagy Gábor Balázs"/>
    <s v="M18"/>
    <s v="POL"/>
    <s v="05:28:01"/>
    <x v="938"/>
  </r>
  <r>
    <s v="Asensio Garcia, David"/>
    <s v="M50"/>
    <s v="HUN"/>
    <s v="03:25:55"/>
    <x v="939"/>
  </r>
  <r>
    <s v="alsop, Jack"/>
    <s v="M20"/>
    <s v="RUS"/>
    <s v="04:58:41"/>
    <x v="138"/>
  </r>
  <r>
    <s v="Mazzotta, Alfredo"/>
    <s v="M40"/>
    <s v="HUN"/>
    <s v="03:28:24"/>
    <x v="940"/>
  </r>
  <r>
    <s v="Módra György"/>
    <s v="M40"/>
    <s v="HUN"/>
    <s v="03:23:38"/>
    <x v="941"/>
  </r>
  <r>
    <s v="Meszleny Zsolt"/>
    <s v="M40"/>
    <s v="GBR"/>
    <s v="03:54:25"/>
    <x v="942"/>
  </r>
  <r>
    <s v="Kardos Péter"/>
    <s v="M45"/>
    <s v="HUN"/>
    <s v="04:08:45"/>
    <x v="943"/>
  </r>
  <r>
    <s v="Gemmell, Stephen"/>
    <s v="M25"/>
    <s v="HUN"/>
    <s v="03:37:41"/>
    <x v="924"/>
  </r>
  <r>
    <s v="Hergesheimer, Jonathan"/>
    <s v="M30"/>
    <s v="SUI"/>
    <s v="04:19:38"/>
    <x v="944"/>
  </r>
  <r>
    <s v="Ruszin Mihály"/>
    <s v="M40"/>
    <s v="HUN"/>
    <s v="04:54:17"/>
    <x v="945"/>
  </r>
  <r>
    <s v="Kóczián Tibor"/>
    <s v="M55"/>
    <s v="HUN"/>
    <s v="03:53:53"/>
    <x v="946"/>
  </r>
  <r>
    <s v="Tóth István"/>
    <s v="M45"/>
    <s v="HUN"/>
    <s v="05:13:52"/>
    <x v="947"/>
  </r>
  <r>
    <s v="Fakoya, Oluwatobi Charles"/>
    <s v="M20"/>
    <s v="HUN"/>
    <s v="05:06:59"/>
    <x v="948"/>
  </r>
  <r>
    <s v="Krupa, Zbigniew"/>
    <s v="M45"/>
    <s v="HUN"/>
    <s v="04:24:45"/>
    <x v="949"/>
  </r>
  <r>
    <s v="Tóth József"/>
    <s v="M45"/>
    <s v="HUN"/>
    <s v="04:50:32"/>
    <x v="950"/>
  </r>
  <r>
    <s v="Maninger, Florian"/>
    <s v="M25"/>
    <s v="HUN"/>
    <s v="03:43:29"/>
    <x v="147"/>
  </r>
  <r>
    <s v="Miklós Péter"/>
    <s v="M40"/>
    <s v="HUN"/>
    <s v="03:55:07"/>
    <x v="951"/>
  </r>
  <r>
    <s v="Fodor Pál Zoltán"/>
    <s v="M50"/>
    <s v="SCO"/>
    <s v="04:10:44"/>
    <x v="952"/>
  </r>
  <r>
    <s v="COLACI, GREGORIO"/>
    <s v="M35"/>
    <s v="HUN"/>
    <s v="03:35:25"/>
    <x v="953"/>
  </r>
  <r>
    <s v="Szász Norbert"/>
    <s v="M45"/>
    <s v="SVK"/>
    <s v="03:28:57"/>
    <x v="954"/>
  </r>
  <r>
    <s v="Gyulai Dávid"/>
    <s v="M40"/>
    <s v="UKR"/>
    <s v="04:28:01"/>
    <x v="955"/>
  </r>
  <r>
    <s v="BEATRIX, Charles jr"/>
    <s v="M25"/>
    <s v="FRA"/>
    <s v="02:50:40"/>
    <x v="956"/>
  </r>
  <r>
    <s v="Rückert, Thomas"/>
    <s v="M35"/>
    <s v="CRO"/>
    <s v="04:12:10"/>
    <x v="957"/>
  </r>
  <r>
    <s v="Szikszai Ferenc ifj"/>
    <s v="M45"/>
    <s v="ESP"/>
    <s v="03:39:49"/>
    <x v="958"/>
  </r>
  <r>
    <s v="Resz András"/>
    <s v="M45"/>
    <s v="SWE"/>
    <s v="03:44:20"/>
    <x v="959"/>
  </r>
  <r>
    <s v="Daws, Peter"/>
    <s v="M70"/>
    <s v="HUN"/>
    <s v="04:54:54"/>
    <x v="960"/>
  </r>
  <r>
    <s v="Benedek Csaba"/>
    <s v="M25"/>
    <s v="HUN"/>
    <s v="04:08:35"/>
    <x v="961"/>
  </r>
  <r>
    <s v="PASOTTO, CORRADO"/>
    <s v="M60"/>
    <s v="HUN"/>
    <s v="04:12:56"/>
    <x v="962"/>
  </r>
  <r>
    <s v="Oláh Attila"/>
    <s v="M45"/>
    <s v="FRA"/>
    <s v="03:46:49"/>
    <x v="963"/>
  </r>
  <r>
    <s v="Mészáros Máté"/>
    <s v="M35"/>
    <s v="GBR"/>
    <s v="04:12:38"/>
    <x v="964"/>
  </r>
  <r>
    <s v="JUAN CARLOS, VILLALBA ANAYA"/>
    <s v="M55"/>
    <s v="HUN"/>
    <s v="04:40:52"/>
    <x v="965"/>
  </r>
  <r>
    <s v="Bestford, Daryl"/>
    <s v="M35"/>
    <s v="IRL"/>
    <s v="04:40:12"/>
    <x v="966"/>
  </r>
  <r>
    <s v="Baruti, Kastriot"/>
    <s v="M50"/>
    <s v="LIT"/>
    <s v="03:30:38"/>
    <x v="967"/>
  </r>
  <r>
    <s v="Bíró András"/>
    <s v="M18"/>
    <s v="HUN"/>
    <s v="03:36:08"/>
    <x v="968"/>
  </r>
  <r>
    <s v="Schaller, Ringo"/>
    <s v="M50"/>
    <s v="IRL"/>
    <s v="03:52:06"/>
    <x v="969"/>
  </r>
  <r>
    <s v="Horváth Márk dr"/>
    <s v="M25"/>
    <s v="HUN"/>
    <s v="04:00:42"/>
    <x v="434"/>
  </r>
  <r>
    <s v="Lenti József"/>
    <s v="M45"/>
    <s v="HUN"/>
    <s v="03:07:56"/>
    <x v="970"/>
  </r>
  <r>
    <s v="Pajor Attila"/>
    <s v="M45"/>
    <s v="HUN"/>
    <s v="03:39:46"/>
    <x v="49"/>
  </r>
  <r>
    <s v="Huszák Tamás"/>
    <s v="M35"/>
    <s v="HUN"/>
    <s v="03:59:00"/>
    <x v="584"/>
  </r>
  <r>
    <s v="DUVILLIER, Sébastien"/>
    <s v="M50"/>
    <s v="GBR"/>
    <s v="03:49:14"/>
    <x v="971"/>
  </r>
  <r>
    <s v="Silóczki József"/>
    <s v="M35"/>
    <s v="HUN"/>
    <s v="04:28:57"/>
    <x v="972"/>
  </r>
  <r>
    <s v="Csontos Balázs"/>
    <s v="M40"/>
    <s v="HUN"/>
    <s v="04:16:09"/>
    <x v="973"/>
  </r>
  <r>
    <s v="Matuk Bálint"/>
    <s v="M40"/>
    <s v="HUN"/>
    <s v="04:26:07"/>
    <x v="974"/>
  </r>
  <r>
    <s v="Lin, Yusheng"/>
    <s v="M45"/>
    <s v="HUN"/>
    <s v="04:13:48"/>
    <x v="975"/>
  </r>
  <r>
    <s v="Tal, Sasson"/>
    <s v="M40"/>
    <s v="NOR"/>
    <s v="03:25:51"/>
    <x v="33"/>
  </r>
  <r>
    <s v="Prajczer Péter Ferenc"/>
    <s v="M35"/>
    <s v="DEN"/>
    <s v="04:23:12"/>
    <x v="976"/>
  </r>
  <r>
    <s v="Smith, Jackson"/>
    <s v="M25"/>
    <s v="NED"/>
    <s v="03:22:51"/>
    <x v="460"/>
  </r>
  <r>
    <s v="Carpentsier, Fredrik"/>
    <s v="M50"/>
    <s v="GBR"/>
    <s v="03:05:06"/>
    <x v="977"/>
  </r>
  <r>
    <s v="Móró István"/>
    <s v="M45"/>
    <s v="HUN"/>
    <s v="03:41:49"/>
    <x v="978"/>
  </r>
  <r>
    <s v="Gasparics Gábor"/>
    <s v="M40"/>
    <s v="HUN"/>
    <s v="05:16:13"/>
    <x v="979"/>
  </r>
  <r>
    <s v="Humphries, Joseph"/>
    <s v="M25"/>
    <s v="HUN"/>
    <s v="03:29:06"/>
    <x v="980"/>
  </r>
  <r>
    <s v="Csikós Bálint dr"/>
    <s v="M25"/>
    <s v="HUN"/>
    <s v="04:30:15"/>
    <x v="981"/>
  </r>
  <r>
    <s v="Zimmermann, Martin"/>
    <s v="M25"/>
    <s v="HUN"/>
    <s v="04:31:24"/>
    <x v="982"/>
  </r>
  <r>
    <s v="Horváth Péter"/>
    <s v="M50"/>
    <s v="HUN"/>
    <s v="03:47:19"/>
    <x v="983"/>
  </r>
  <r>
    <s v="Stich Milán"/>
    <s v="M20"/>
    <s v="HUN"/>
    <s v="04:12:07"/>
    <x v="984"/>
  </r>
  <r>
    <s v="Warne, Tom"/>
    <s v="M25"/>
    <s v="HUN"/>
    <s v="04:37:59"/>
    <x v="913"/>
  </r>
  <r>
    <s v="Farkas Máté"/>
    <s v="M30"/>
    <s v="POL"/>
    <s v="02:57:06"/>
    <x v="985"/>
  </r>
  <r>
    <s v="Bakó Bálint"/>
    <s v="M30"/>
    <s v="HUN"/>
    <s v="03:02:19"/>
    <x v="986"/>
  </r>
  <r>
    <s v="Vágási Tibor"/>
    <s v="M45"/>
    <s v="ITA"/>
    <s v="04:44:14"/>
    <x v="987"/>
  </r>
  <r>
    <s v="Füki Gyula"/>
    <s v="M50"/>
    <s v="HUN"/>
    <s v="03:58:43"/>
    <x v="988"/>
  </r>
  <r>
    <s v="Lewis, Martin"/>
    <s v="M30"/>
    <s v="HUN"/>
    <s v="04:03:00"/>
    <x v="989"/>
  </r>
  <r>
    <s v="Makkos Lóránt"/>
    <s v="M45"/>
    <s v="HUN"/>
    <s v="03:55:27"/>
    <x v="571"/>
  </r>
  <r>
    <s v="Alt Gábor"/>
    <s v="M40"/>
    <s v="HUN"/>
    <s v="04:16:37"/>
    <x v="990"/>
  </r>
  <r>
    <s v="Horváth Bence"/>
    <s v="M30"/>
    <s v="POL"/>
    <s v="03:50:45"/>
    <x v="991"/>
  </r>
  <r>
    <s v="Marcus, De Gennes"/>
    <s v="M20"/>
    <s v="GRE"/>
    <s v="04:41:44"/>
    <x v="992"/>
  </r>
  <r>
    <s v="Durucz István"/>
    <s v="M45"/>
    <s v="UKR"/>
    <s v="03:50:50"/>
    <x v="993"/>
  </r>
  <r>
    <s v="Dienes Csaba"/>
    <s v="M35"/>
    <s v="RUS"/>
    <s v="03:29:21"/>
    <x v="994"/>
  </r>
  <r>
    <s v="Blastik Mátyás"/>
    <s v="M40"/>
    <s v="GER"/>
    <s v="03:39:56"/>
    <x v="995"/>
  </r>
  <r>
    <s v="Balogh Roland"/>
    <s v="M35"/>
    <s v="ITA"/>
    <s v="03:09:20"/>
    <x v="996"/>
  </r>
  <r>
    <s v="abete, miguel prof"/>
    <s v="M25"/>
    <s v="IRL"/>
    <s v="03:48:16"/>
    <x v="997"/>
  </r>
  <r>
    <s v="Pirga, Marcin"/>
    <s v="M25"/>
    <s v="SUI"/>
    <s v="04:17:02"/>
    <x v="998"/>
  </r>
  <r>
    <s v="Kecskés Ádám"/>
    <s v="M20"/>
    <s v="FIN"/>
    <s v="05:25:43"/>
    <x v="999"/>
  </r>
  <r>
    <s v="Prigyeni Tibor"/>
    <s v="M45"/>
    <s v="HUN"/>
    <s v="04:43:51"/>
    <x v="1000"/>
  </r>
  <r>
    <s v="Goldie, Christopher"/>
    <s v="M25"/>
    <s v="ESP"/>
    <s v="05:21:57"/>
    <x v="1001"/>
  </r>
  <r>
    <s v="Várföldi Krisztián"/>
    <s v="M35"/>
    <s v="HUN"/>
    <s v="04:31:29"/>
    <x v="1002"/>
  </r>
  <r>
    <s v="Thomas, Roef"/>
    <s v="M25"/>
    <s v="BEL"/>
    <s v="04:28:33"/>
    <x v="1003"/>
  </r>
  <r>
    <s v="Weisz László"/>
    <s v="M55"/>
    <s v="HUN"/>
    <s v="05:13:32"/>
    <x v="1004"/>
  </r>
  <r>
    <s v="Jámbor Marcell"/>
    <s v="M20"/>
    <s v="POL"/>
    <s v="04:56:40"/>
    <x v="1005"/>
  </r>
  <r>
    <s v="TAHA, GAMAL EL DIN"/>
    <s v="M60"/>
    <s v="GBR"/>
    <s v="03:27:16"/>
    <x v="1006"/>
  </r>
  <r>
    <s v="Szeibel Máté"/>
    <s v="M30"/>
    <s v="HUN"/>
    <s v="05:01:54"/>
    <x v="1007"/>
  </r>
  <r>
    <s v="Sódor Ádám Dr."/>
    <s v="M45"/>
    <s v="HUN"/>
    <s v="03:54:14"/>
    <x v="1008"/>
  </r>
  <r>
    <s v="Zsirai László dr."/>
    <s v="M50"/>
    <s v="NED"/>
    <s v="04:33:55"/>
    <x v="1009"/>
  </r>
  <r>
    <s v="Tóth Gábor"/>
    <s v="M40"/>
    <s v="THA"/>
    <s v="05:03:12"/>
    <x v="1010"/>
  </r>
  <r>
    <s v="Gazdic, Mirza"/>
    <s v="M25"/>
    <s v="DEN"/>
    <s v="03:35:04"/>
    <x v="1011"/>
  </r>
  <r>
    <s v="Feichter, Erich"/>
    <s v="M65"/>
    <s v="HUN"/>
    <s v="03:54:52"/>
    <x v="1012"/>
  </r>
  <r>
    <s v="Gyenis Dániel"/>
    <s v="M30"/>
    <s v="HUN"/>
    <s v="04:01:25"/>
    <x v="1013"/>
  </r>
  <r>
    <s v="Haven, Peter"/>
    <s v="M60"/>
    <s v="HUN"/>
    <s v="04:21:52"/>
    <x v="1014"/>
  </r>
  <r>
    <s v="Bartlett, Joseph"/>
    <s v="M20"/>
    <s v="HUN"/>
    <s v="02:38:36"/>
    <x v="1015"/>
  </r>
  <r>
    <s v="Hajdu Tibor"/>
    <s v="M35"/>
    <s v="DEN"/>
    <s v="04:16:19"/>
    <x v="1016"/>
  </r>
  <r>
    <s v="Homoki Mark"/>
    <s v="M30"/>
    <s v="HUN"/>
    <s v="03:14:01"/>
    <x v="1017"/>
  </r>
  <r>
    <s v="Fabók János"/>
    <s v="M45"/>
    <s v="SRB"/>
    <s v="05:02:39"/>
    <x v="1018"/>
  </r>
  <r>
    <s v="Malblanc, Richard prof"/>
    <s v="M55"/>
    <s v="CZE"/>
    <s v="03:22:59"/>
    <x v="674"/>
  </r>
  <r>
    <s v="Beaudoire, Teddy"/>
    <s v="M40"/>
    <s v="HUN"/>
    <s v="04:43:59"/>
    <x v="1019"/>
  </r>
  <r>
    <s v="Enzsöl Ákos"/>
    <s v="M30"/>
    <s v="GBR"/>
    <s v="04:28:22"/>
    <x v="152"/>
  </r>
  <r>
    <s v="Séner Gergő"/>
    <s v="M30"/>
    <s v="GER"/>
    <s v="05:18:38"/>
    <x v="1020"/>
  </r>
  <r>
    <s v="Schaller, Ringo"/>
    <s v="M50"/>
    <s v="HUN"/>
    <s v="03:52:06"/>
    <x v="969"/>
  </r>
  <r>
    <s v="Finta Kolos"/>
    <s v="M30"/>
    <s v="HKG"/>
    <s v="04:23:31"/>
    <x v="1021"/>
  </r>
  <r>
    <s v="Szoleczky Péter"/>
    <s v="M35"/>
    <s v="HUN"/>
    <s v="04:39:52"/>
    <x v="1022"/>
  </r>
  <r>
    <s v="Smits, Matthijs jr"/>
    <s v="M25"/>
    <s v="HUN"/>
    <s v="03:40:40"/>
    <x v="1023"/>
  </r>
  <r>
    <s v="Paulinyi Endre"/>
    <s v="M50"/>
    <s v="ITA"/>
    <s v="03:56:09"/>
    <x v="1024"/>
  </r>
  <r>
    <s v="Bjoerlo, Geir Jota"/>
    <s v="M50"/>
    <s v="FRA"/>
    <s v="04:17:16"/>
    <x v="1025"/>
  </r>
  <r>
    <s v="Vucinac, Stefan"/>
    <s v="M20"/>
    <s v="HUN"/>
    <s v="03:45:18"/>
    <x v="575"/>
  </r>
  <r>
    <s v="Davies, Adam"/>
    <s v="M45"/>
    <s v="HUN"/>
    <s v="03:23:18"/>
    <x v="1026"/>
  </r>
  <r>
    <s v="Triglianos, Athos jr"/>
    <s v="M20"/>
    <s v="HUN"/>
    <s v="03:37:44"/>
    <x v="162"/>
  </r>
  <r>
    <s v="Herman Károly"/>
    <s v="M55"/>
    <s v="HUN"/>
    <s v="04:18:24"/>
    <x v="1027"/>
  </r>
  <r>
    <s v="Ormonde, Brian"/>
    <s v="M50"/>
    <s v="HUN"/>
    <s v="04:39:00"/>
    <x v="1028"/>
  </r>
  <r>
    <s v="Mc Auliffe, liam"/>
    <s v="M40"/>
    <s v="HUN"/>
    <s v="03:56:57"/>
    <x v="668"/>
  </r>
  <r>
    <s v="Richards, Cian"/>
    <s v="M25"/>
    <s v="HUN"/>
    <s v="02:57:37"/>
    <x v="1029"/>
  </r>
  <r>
    <s v="Faragó Roland"/>
    <s v="M35"/>
    <s v="ROM"/>
    <s v="03:00:40"/>
    <x v="1030"/>
  </r>
  <r>
    <s v="Rasztovich Gyula"/>
    <s v="M40"/>
    <s v="HUN"/>
    <s v="03:35:18"/>
    <x v="1031"/>
  </r>
  <r>
    <s v="Szalay Miklós"/>
    <s v="M35"/>
    <s v="POL"/>
    <s v="04:12:24"/>
    <x v="1032"/>
  </r>
  <r>
    <s v="Bulfinsky, Mihai"/>
    <s v="M65"/>
    <s v="HUN"/>
    <s v="05:09:39"/>
    <x v="1033"/>
  </r>
  <r>
    <s v="Solti Péter"/>
    <s v="M40"/>
    <s v="HUN"/>
    <s v="03:17:32"/>
    <x v="1034"/>
  </r>
  <r>
    <s v="Koós Sándor"/>
    <s v="M40"/>
    <s v="SLO"/>
    <s v="04:09:47"/>
    <x v="1035"/>
  </r>
  <r>
    <s v="Boudier, Stephane"/>
    <s v="M50"/>
    <s v="HUN"/>
    <s v="03:14:45"/>
    <x v="1036"/>
  </r>
  <r>
    <s v="Dobi Zsigmond"/>
    <s v="M50"/>
    <s v="BEL"/>
    <s v="04:06:30"/>
    <x v="1037"/>
  </r>
  <r>
    <s v="Veeneman, Mads"/>
    <s v="M25"/>
    <s v="HUN"/>
    <s v="03:47:22"/>
    <x v="1038"/>
  </r>
  <r>
    <s v="Tóth Péter Tamás"/>
    <s v="M40"/>
    <s v="SVK"/>
    <s v="03:23:12"/>
    <x v="247"/>
  </r>
  <r>
    <s v="Eynon, Arthur"/>
    <s v="M20"/>
    <s v="HUN"/>
    <s v="04:22:10"/>
    <x v="464"/>
  </r>
  <r>
    <s v="Kovács Kristóf"/>
    <s v="M20"/>
    <s v="NED"/>
    <s v="04:24:27"/>
    <x v="1039"/>
  </r>
  <r>
    <s v="Budenszki Péter"/>
    <s v="M50"/>
    <s v="POL"/>
    <s v="04:11:27"/>
    <x v="1040"/>
  </r>
  <r>
    <s v="Móró István"/>
    <s v="M45"/>
    <s v="HUN"/>
    <s v="03:41:49"/>
    <x v="978"/>
  </r>
  <r>
    <s v="Balfour, Luke"/>
    <s v="M25"/>
    <s v="ESP"/>
    <s v="03:59:08"/>
    <x v="262"/>
  </r>
  <r>
    <s v="Helle Olav"/>
    <s v="M30"/>
    <s v="SLO"/>
    <s v="04:15:34"/>
    <x v="1041"/>
  </r>
  <r>
    <s v="Györgyi Ádám István"/>
    <s v="M20"/>
    <s v="HUN"/>
    <s v="04:59:14"/>
    <x v="1042"/>
  </r>
  <r>
    <s v="HATAKEYAMA, JUNYA"/>
    <s v="M35"/>
    <s v="HUN"/>
    <s v="04:41:08"/>
    <x v="6"/>
  </r>
  <r>
    <s v="Mosonczki Péter"/>
    <s v="M40"/>
    <s v="HUN"/>
    <s v="04:59:24"/>
    <x v="486"/>
  </r>
  <r>
    <s v="Schindler József"/>
    <s v="M30"/>
    <s v="ESP"/>
    <s v="03:30:55"/>
    <x v="1043"/>
  </r>
  <r>
    <s v="Elsholtz László"/>
    <s v="M40"/>
    <s v="FRA"/>
    <s v="03:28:23"/>
    <x v="1044"/>
  </r>
  <r>
    <s v="Szabó András"/>
    <s v="M40"/>
    <s v="HUN"/>
    <s v="03:37:11"/>
    <x v="1045"/>
  </r>
  <r>
    <s v="Giappichini, Alessandro"/>
    <s v="M55"/>
    <s v="FRA"/>
    <s v="05:18:01"/>
    <x v="1046"/>
  </r>
  <r>
    <s v="Hricisák László"/>
    <s v="M35"/>
    <s v="HUN"/>
    <s v="04:42:49"/>
    <x v="1047"/>
  </r>
  <r>
    <s v="LI, Shuo"/>
    <s v="M35"/>
    <s v="HUN"/>
    <s v="03:17:41"/>
    <x v="1048"/>
  </r>
  <r>
    <s v="Rózenthál Zoltán"/>
    <s v="M55"/>
    <s v="GER"/>
    <s v="04:27:48"/>
    <x v="382"/>
  </r>
  <r>
    <s v="Horvátth Balázs"/>
    <s v="M50"/>
    <s v="SUI"/>
    <s v="05:16:32"/>
    <x v="1049"/>
  </r>
  <r>
    <s v="Ostojic Mihailo"/>
    <s v="M25"/>
    <s v="HUN"/>
    <s v="03:41:42"/>
    <x v="1050"/>
  </r>
  <r>
    <s v="Szabó Patrik"/>
    <s v="M30"/>
    <s v="FIN"/>
    <s v="05:18:17"/>
    <x v="1051"/>
  </r>
  <r>
    <s v="Day, Dominic"/>
    <s v="M25"/>
    <s v="BEL"/>
    <s v="03:48:42"/>
    <x v="1052"/>
  </r>
  <r>
    <s v="Valovics Márton"/>
    <s v="M30"/>
    <s v="RSA"/>
    <s v="03:53:59"/>
    <x v="1053"/>
  </r>
  <r>
    <s v="Benitez Romero, Alan Michel"/>
    <s v="M25"/>
    <s v="FIN"/>
    <s v="04:01:16"/>
    <x v="1054"/>
  </r>
  <r>
    <s v="Gherzan, Theodor"/>
    <s v="M30"/>
    <s v="HUN"/>
    <s v="03:34:37"/>
    <x v="1055"/>
  </r>
  <r>
    <s v="DURSI, STEFANO"/>
    <s v="M45"/>
    <s v="HUN"/>
    <s v="03:37:25"/>
    <x v="1056"/>
  </r>
  <r>
    <s v="Robb, David"/>
    <s v="M25"/>
    <s v="HUN"/>
    <s v="04:08:36"/>
    <x v="1057"/>
  </r>
  <r>
    <s v="Miholcsek Zsolt"/>
    <s v="M40"/>
    <s v="HUN"/>
    <s v="04:03:21"/>
    <x v="1058"/>
  </r>
  <r>
    <s v="Maros Tamás dr"/>
    <s v="M45"/>
    <s v="HUN"/>
    <s v="04:28:36"/>
    <x v="1059"/>
  </r>
  <r>
    <s v="Faragó István"/>
    <s v="M30"/>
    <s v="HUN"/>
    <s v="04:38:21"/>
    <x v="309"/>
  </r>
  <r>
    <s v="Szirmai Péter"/>
    <s v="M45"/>
    <s v="FRA"/>
    <s v="02:52:45"/>
    <x v="1060"/>
  </r>
  <r>
    <s v="Hanssen, Henning"/>
    <s v="M40"/>
    <s v="ROM"/>
    <s v="02:59:38"/>
    <x v="1061"/>
  </r>
  <r>
    <s v="Turner John"/>
    <s v="M70"/>
    <s v="HUN"/>
    <s v="05:08:27"/>
    <x v="1062"/>
  </r>
  <r>
    <s v="Kiss, Roman"/>
    <s v="M45"/>
    <s v="FRA"/>
    <s v="03:37:41"/>
    <x v="924"/>
  </r>
  <r>
    <s v="Riseborough, Russell"/>
    <s v="M55"/>
    <s v="HUN"/>
    <s v="03:55:05"/>
    <x v="172"/>
  </r>
  <r>
    <s v="Winters, Robertus"/>
    <s v="M45"/>
    <s v="HUN"/>
    <s v="04:34:09"/>
    <x v="1063"/>
  </r>
  <r>
    <s v="REPECKI, MARCIN"/>
    <s v="M50"/>
    <s v="POL"/>
    <s v="03:19:51"/>
    <x v="1064"/>
  </r>
  <r>
    <s v="Reith Péter"/>
    <s v="M30"/>
    <s v="HUN"/>
    <s v="04:05:08"/>
    <x v="1065"/>
  </r>
  <r>
    <s v="Pető András"/>
    <s v="M45"/>
    <s v="ARG"/>
    <s v="03:25:20"/>
    <x v="1066"/>
  </r>
  <r>
    <s v="Hortobágyi Péter Szabolcs"/>
    <s v="M40"/>
    <s v="HUN"/>
    <s v="04:26:19"/>
    <x v="1067"/>
  </r>
  <r>
    <s v="Donelan, Sam"/>
    <s v="M25"/>
    <s v="HUN"/>
    <s v="03:30:09"/>
    <x v="1068"/>
  </r>
  <r>
    <s v="Jobbágy Zoltán"/>
    <s v="M45"/>
    <s v="HUN"/>
    <s v="03:38:28"/>
    <x v="1069"/>
  </r>
  <r>
    <s v="Batra, David"/>
    <s v="M45"/>
    <s v="FRA"/>
    <s v="03:33:15"/>
    <x v="1070"/>
  </r>
  <r>
    <s v="Bordoniqi, Granit"/>
    <s v="M30"/>
    <s v="HUN"/>
    <s v="03:51:09"/>
    <x v="1071"/>
  </r>
  <r>
    <s v="Franke Marcell"/>
    <s v="M30"/>
    <s v="ESP"/>
    <s v="03:58:57"/>
    <x v="1072"/>
  </r>
  <r>
    <s v="Tordai Ádám"/>
    <s v="M30"/>
    <s v="HUN"/>
    <s v="03:01:50"/>
    <x v="1073"/>
  </r>
  <r>
    <s v="Dobrosavljević, Slavia"/>
    <s v="M50"/>
    <s v="HUN"/>
    <s v="04:09:56"/>
    <x v="1074"/>
  </r>
  <r>
    <s v="Brejcha, Martin"/>
    <s v="M45"/>
    <s v="HUN"/>
    <s v="03:50:46"/>
    <x v="1075"/>
  </r>
  <r>
    <s v="Gebauer Ervin"/>
    <s v="M20"/>
    <s v="HUN"/>
    <s v="04:15:47"/>
    <x v="695"/>
  </r>
  <r>
    <s v="Le Roux Alain dr"/>
    <s v="M25"/>
    <s v="HUN"/>
    <s v="03:46:39"/>
    <x v="1076"/>
  </r>
  <r>
    <s v="Csiszár Krisztián"/>
    <s v="M45"/>
    <s v="RUS"/>
    <s v="03:54:44"/>
    <x v="1077"/>
  </r>
  <r>
    <s v="Freiberger, Werner"/>
    <s v="M60"/>
    <s v="HUN"/>
    <s v="04:05:18"/>
    <x v="1078"/>
  </r>
  <r>
    <s v="Stafiej, Mariusz"/>
    <s v="M55"/>
    <s v="FRA"/>
    <s v="03:34:19"/>
    <x v="1079"/>
  </r>
  <r>
    <s v="Narman, Alin"/>
    <s v="M25"/>
    <s v="HUN"/>
    <s v="04:08:44"/>
    <x v="220"/>
  </r>
  <r>
    <s v="Gregor Péter"/>
    <s v="M45"/>
    <s v="SWE"/>
    <s v="03:39:57"/>
    <x v="1080"/>
  </r>
  <r>
    <s v="Forgáč, Matú"/>
    <s v="M40"/>
    <s v="HUN"/>
    <s v="02:50:06"/>
    <x v="1081"/>
  </r>
  <r>
    <s v="Carvalh?o, Fernando"/>
    <s v="M40"/>
    <s v="HUN"/>
    <s v="03:51:32"/>
    <x v="1082"/>
  </r>
  <r>
    <s v="Gregárik Krisztián"/>
    <s v="M45"/>
    <s v="HUN"/>
    <s v="04:13:04"/>
    <x v="1083"/>
  </r>
  <r>
    <s v="Szerencsi Attila"/>
    <s v="M50"/>
    <s v="HUN"/>
    <s v="04:33:50"/>
    <x v="1084"/>
  </r>
  <r>
    <s v="Berencsi Tamás"/>
    <s v="M40"/>
    <s v="GBR"/>
    <s v="04:52:02"/>
    <x v="1085"/>
  </r>
  <r>
    <s v="Pető György"/>
    <s v="M40"/>
    <s v="HUN"/>
    <s v="04:02:07"/>
    <x v="1086"/>
  </r>
  <r>
    <s v="GIANLUCA, FUNES dr"/>
    <s v="M50"/>
    <s v="GBR"/>
    <s v="04:12:26"/>
    <x v="1087"/>
  </r>
  <r>
    <s v="Potocsnik Károly"/>
    <s v="M40"/>
    <s v="HUN"/>
    <s v="04:58:04"/>
    <x v="1088"/>
  </r>
  <r>
    <s v="Zadworny, Ireneusz"/>
    <s v="M55"/>
    <s v="GER"/>
    <s v="04:16:00"/>
    <x v="1089"/>
  </r>
  <r>
    <s v="Mucsi Krisztián"/>
    <s v="M25"/>
    <s v="HUN"/>
    <s v="04:49:12"/>
    <x v="1090"/>
  </r>
  <r>
    <s v="Fényes Szabolcs"/>
    <s v="M30"/>
    <s v="HUN"/>
    <s v="04:13:26"/>
    <x v="1091"/>
  </r>
  <r>
    <s v="Pardoe, Liam"/>
    <s v="M30"/>
    <s v="NED"/>
    <s v="04:17:06"/>
    <x v="1092"/>
  </r>
  <r>
    <s v="Tokmantcev, Anatolii prof"/>
    <s v="M35"/>
    <s v="HUN"/>
    <s v="03:25:27"/>
    <x v="1093"/>
  </r>
  <r>
    <s v="Schreij, Jos"/>
    <s v="M30"/>
    <s v="ROM"/>
    <s v="03:37:02"/>
    <x v="1094"/>
  </r>
  <r>
    <s v="Adam, Russell"/>
    <s v="M35"/>
    <s v="HUN"/>
    <s v="04:40:38"/>
    <x v="1095"/>
  </r>
  <r>
    <s v="Stampf Péter"/>
    <s v="M40"/>
    <s v="HUN"/>
    <s v="03:38:58"/>
    <x v="912"/>
  </r>
  <r>
    <s v="Zsöllei Kálmán"/>
    <s v="M40"/>
    <s v="HUN"/>
    <s v="04:54:43"/>
    <x v="1096"/>
  </r>
  <r>
    <s v="Komlósi Szabolcs"/>
    <s v="M45"/>
    <s v="HUN"/>
    <s v="04:05:41"/>
    <x v="1097"/>
  </r>
  <r>
    <s v="MOREL, François-Xavier"/>
    <s v="M45"/>
    <s v="TWN"/>
    <s v="04:55:13"/>
    <x v="1098"/>
  </r>
  <r>
    <s v="Domonkos, Alexander"/>
    <s v="M35"/>
    <s v="HUN"/>
    <s v="03:40:49"/>
    <x v="1099"/>
  </r>
  <r>
    <s v="Lakatos János"/>
    <s v="M30"/>
    <s v="HUN"/>
    <s v="03:07:07"/>
    <x v="1100"/>
  </r>
  <r>
    <s v="Kovács Ádám"/>
    <s v="M30"/>
    <s v="HUN"/>
    <s v="03:34:43"/>
    <x v="1101"/>
  </r>
  <r>
    <s v="Julian, Joachim"/>
    <s v="M20"/>
    <s v="NED"/>
    <s v="04:00:37"/>
    <x v="1102"/>
  </r>
  <r>
    <s v="Somogyi Balázs"/>
    <s v="M45"/>
    <s v="HUN"/>
    <s v="05:23:59"/>
    <x v="1103"/>
  </r>
  <r>
    <s v="Czifra Szabolcs"/>
    <s v="M45"/>
    <s v="HUN"/>
    <s v="04:20:00"/>
    <x v="509"/>
  </r>
  <r>
    <s v="Soós Ádám István dr."/>
    <s v="M35"/>
    <s v="HUN"/>
    <s v="05:15:00"/>
    <x v="1104"/>
  </r>
  <r>
    <s v="Ribier, Bruno"/>
    <s v="M30"/>
    <s v="HUN"/>
    <s v="02:58:45"/>
    <x v="1105"/>
  </r>
  <r>
    <s v="Török Zoltán"/>
    <s v="M45"/>
    <s v="POL"/>
    <s v="04:26:01"/>
    <x v="1106"/>
  </r>
  <r>
    <s v="Sim, Ban leng"/>
    <s v="M45"/>
    <s v="FRA"/>
    <s v="03:55:24"/>
    <x v="1107"/>
  </r>
  <r>
    <s v="Simonics Martin Balázs"/>
    <s v="M20"/>
    <s v="CHN"/>
    <s v="04:57:00"/>
    <x v="1108"/>
  </r>
  <r>
    <s v="Bán Gergely"/>
    <s v="M40"/>
    <s v="GBR"/>
    <s v="03:23:03"/>
    <x v="1109"/>
  </r>
  <r>
    <s v="Santens, Frederic"/>
    <s v="M50"/>
    <s v="HUN"/>
    <s v="04:42:20"/>
    <x v="1110"/>
  </r>
  <r>
    <s v="Selzer, Yoram"/>
    <s v="M55"/>
    <s v="HUN"/>
    <s v="04:31:51"/>
    <x v="1111"/>
  </r>
  <r>
    <s v="koflanc, Davorin"/>
    <s v="M45"/>
    <s v="ESP"/>
    <s v="03:29:54"/>
    <x v="1112"/>
  </r>
  <r>
    <s v="GALLAGHER, COLM prof"/>
    <s v="M40"/>
    <s v="HUN"/>
    <s v="03:34:22"/>
    <x v="1113"/>
  </r>
  <r>
    <s v="Tóth András"/>
    <s v="M45"/>
    <s v="HUN"/>
    <s v="04:21:48"/>
    <x v="1114"/>
  </r>
  <r>
    <s v="Janovics György"/>
    <s v="M50"/>
    <s v="HUN"/>
    <s v="04:58:06"/>
    <x v="1115"/>
  </r>
  <r>
    <s v="Leow, Jermaine"/>
    <s v="M40"/>
    <s v="GBR"/>
    <s v="03:54:38"/>
    <x v="1116"/>
  </r>
  <r>
    <s v="Berti, Nicola dr"/>
    <s v="M25"/>
    <s v="HUN"/>
    <s v="03:05:20"/>
    <x v="1117"/>
  </r>
  <r>
    <s v="Doig, Marcus dr"/>
    <s v="M30"/>
    <s v="HUN"/>
    <s v="03:41:51"/>
    <x v="535"/>
  </r>
  <r>
    <s v="Sipter László"/>
    <s v="M40"/>
    <s v="NED"/>
    <s v="04:07:20"/>
    <x v="1118"/>
  </r>
  <r>
    <s v="Manzini, Riccardo"/>
    <s v="M40"/>
    <s v="HUN"/>
    <s v="03:49:34"/>
    <x v="1119"/>
  </r>
  <r>
    <s v="Németh László"/>
    <s v="M45"/>
    <s v="GBR"/>
    <s v="04:02:06"/>
    <x v="1120"/>
  </r>
  <r>
    <s v="Johnstone, Scott"/>
    <s v="M30"/>
    <s v="HUN"/>
    <s v="04:14:26"/>
    <x v="540"/>
  </r>
  <r>
    <s v="Dando, Bryan"/>
    <s v="M40"/>
    <s v="HUN"/>
    <s v="04:43:04"/>
    <x v="1121"/>
  </r>
  <r>
    <s v="Debski, Andrzej prof"/>
    <s v="M45"/>
    <s v="BRA"/>
    <s v="03:52:13"/>
    <x v="1122"/>
  </r>
  <r>
    <s v="Almási Csaba Sándor"/>
    <s v="M35"/>
    <s v="NED"/>
    <s v="04:02:38"/>
    <x v="1123"/>
  </r>
  <r>
    <s v="Popken, Hans"/>
    <s v="M55"/>
    <s v="HUN"/>
    <s v="04:40:12"/>
    <x v="966"/>
  </r>
  <r>
    <s v="Tóth Barnabás"/>
    <s v="M30"/>
    <s v="HUN"/>
    <s v="03:39:33"/>
    <x v="1124"/>
  </r>
  <r>
    <s v="Veszeli Dániel"/>
    <s v="M40"/>
    <s v="HUN"/>
    <s v="04:21:19"/>
    <x v="1125"/>
  </r>
  <r>
    <s v="Olmeda Alvarez, Luis"/>
    <s v="M60"/>
    <s v="HUN"/>
    <s v="04:36:32"/>
    <x v="1126"/>
  </r>
  <r>
    <s v="Edwards, Gethin"/>
    <s v="M45"/>
    <s v="HUN"/>
    <s v="02:52:26"/>
    <x v="1127"/>
  </r>
  <r>
    <s v="Rausch Bence"/>
    <s v="M20"/>
    <s v="SWE"/>
    <s v="05:26:11"/>
    <x v="1128"/>
  </r>
  <r>
    <s v="Kenyeres József"/>
    <s v="M55"/>
    <s v="HUN"/>
    <s v="04:40:43"/>
    <x v="1129"/>
  </r>
  <r>
    <s v="Börcsök Ferenc"/>
    <s v="M25"/>
    <s v="SVK"/>
    <s v="03:52:02"/>
    <x v="1130"/>
  </r>
  <r>
    <s v="Donnelly, Lucas"/>
    <s v="M18"/>
    <s v="HUN"/>
    <s v="04:24:47"/>
    <x v="1131"/>
  </r>
  <r>
    <s v="Rivero, Diego"/>
    <s v="M35"/>
    <s v="HUN"/>
    <s v="03:33:51"/>
    <x v="1132"/>
  </r>
  <r>
    <s v="Kovács Bence"/>
    <s v="M30"/>
    <s v="HUN"/>
    <s v="04:17:43"/>
    <x v="1133"/>
  </r>
  <r>
    <s v="Brouwer, Olivier"/>
    <s v="M40"/>
    <s v="CHN"/>
    <s v="03:16:35"/>
    <x v="1134"/>
  </r>
  <r>
    <s v="Kochan, Radim"/>
    <s v="M25"/>
    <s v="HUN"/>
    <s v="03:03:03"/>
    <x v="1135"/>
  </r>
  <r>
    <s v="Pető, Dávid"/>
    <s v="M45"/>
    <s v="HUN"/>
    <s v="03:26:22"/>
    <x v="1136"/>
  </r>
  <r>
    <s v="Holmes, Lewis prof"/>
    <s v="M25"/>
    <s v="HUN"/>
    <s v="03:41:02"/>
    <x v="1137"/>
  </r>
  <r>
    <s v="Zandegiacomo De Zorzi, Francesco"/>
    <s v="M50"/>
    <s v="HUN"/>
    <s v="04:14:54"/>
    <x v="312"/>
  </r>
  <r>
    <s v="Kovács Péter"/>
    <s v="M45"/>
    <s v="POL"/>
    <s v="05:01:58"/>
    <x v="1138"/>
  </r>
  <r>
    <s v="Debski, Andrzej prof"/>
    <s v="M45"/>
    <s v="HUN"/>
    <s v="03:52:13"/>
    <x v="1122"/>
  </r>
  <r>
    <s v="Filipszki János"/>
    <s v="M30"/>
    <s v="HUN"/>
    <s v="04:01:10"/>
    <x v="1139"/>
  </r>
  <r>
    <s v="Baranyi Gergely dr."/>
    <s v="M40"/>
    <s v="HUN"/>
    <s v="03:41:29"/>
    <x v="1140"/>
  </r>
  <r>
    <s v="Récsányi József"/>
    <s v="M55"/>
    <s v="HUN"/>
    <s v="04:49:19"/>
    <x v="1141"/>
  </r>
  <r>
    <s v="Stelli Tibor"/>
    <s v="M45"/>
    <s v="SWE"/>
    <s v="03:54:43"/>
    <x v="1142"/>
  </r>
  <r>
    <s v="Kosztya Botond"/>
    <s v="M45"/>
    <s v="HUN"/>
    <s v="04:39:43"/>
    <x v="1143"/>
  </r>
  <r>
    <s v="Rácz István"/>
    <s v="M40"/>
    <s v="HUN"/>
    <s v="04:33:57"/>
    <x v="1144"/>
  </r>
  <r>
    <s v="Szűrös József"/>
    <s v="M40"/>
    <s v="HUN"/>
    <s v="04:17:38"/>
    <x v="1145"/>
  </r>
  <r>
    <s v="Rácz Rodrigó"/>
    <s v="M40"/>
    <s v="HUN"/>
    <s v="03:45:04"/>
    <x v="1146"/>
  </r>
  <r>
    <s v="Ivády Péter"/>
    <s v="M35"/>
    <s v="AUS"/>
    <s v="03:55:42"/>
    <x v="1147"/>
  </r>
  <r>
    <s v="Stojkovič, David"/>
    <s v="M20"/>
    <s v="HUN"/>
    <s v="03:35:42"/>
    <x v="62"/>
  </r>
  <r>
    <s v="Br?ndum, Frederik"/>
    <s v="M25"/>
    <s v="HUN"/>
    <s v="03:54:46"/>
    <x v="154"/>
  </r>
  <r>
    <s v="Kópiás Balázs"/>
    <s v="M45"/>
    <s v="HUN"/>
    <s v="03:29:34"/>
    <x v="1148"/>
  </r>
  <r>
    <s v="Nacci, Amedeo prof"/>
    <s v="M30"/>
    <s v="HUN"/>
    <s v="03:32:51"/>
    <x v="1149"/>
  </r>
  <r>
    <s v="Thuen, ?ivind Christian"/>
    <s v="M40"/>
    <s v="HUN"/>
    <s v="02:57:20"/>
    <x v="1150"/>
  </r>
  <r>
    <s v="Palmer, Oscar"/>
    <s v="M25"/>
    <s v="HUN"/>
    <s v="02:58:37"/>
    <x v="1151"/>
  </r>
  <r>
    <s v="Kabata, Jakub"/>
    <s v="M30"/>
    <s v="FRA"/>
    <s v="03:26:44"/>
    <x v="315"/>
  </r>
  <r>
    <s v="Crockatt, James"/>
    <s v="M30"/>
    <s v="POR"/>
    <s v="05:20:47"/>
    <x v="1152"/>
  </r>
  <r>
    <s v="Zsinór Gábor"/>
    <s v="M40"/>
    <s v="HUN"/>
    <s v="04:23:20"/>
    <x v="1153"/>
  </r>
  <r>
    <s v="Ács István Győző"/>
    <s v="M65"/>
    <s v="RUS"/>
    <s v="04:34:33"/>
    <x v="1154"/>
  </r>
  <r>
    <s v="Surányi Máté"/>
    <s v="M30"/>
    <s v="HUN"/>
    <s v="04:49:36"/>
    <x v="1155"/>
  </r>
  <r>
    <s v="Kovács Attila"/>
    <s v="M50"/>
    <s v="NZL"/>
    <s v="04:10:11"/>
    <x v="1156"/>
  </r>
  <r>
    <s v="FAC, MATEUSZ"/>
    <s v="M40"/>
    <s v="HUN"/>
    <s v="04:10:21"/>
    <x v="1157"/>
  </r>
  <r>
    <s v="Puskás Mihály"/>
    <s v="M45"/>
    <s v="ITA"/>
    <s v="04:37:56"/>
    <x v="1158"/>
  </r>
  <r>
    <s v="Csizmadia Máté"/>
    <s v="M30"/>
    <s v="HUN"/>
    <s v="05:17:09"/>
    <x v="1159"/>
  </r>
  <r>
    <s v="Horváth Péter dr."/>
    <s v="M50"/>
    <s v="GBR"/>
    <s v="03:59:00"/>
    <x v="584"/>
  </r>
  <r>
    <s v="Shaboo, Nishwan prof"/>
    <s v="M55"/>
    <s v="IND"/>
    <s v="04:08:21"/>
    <x v="774"/>
  </r>
  <r>
    <s v="Sundström Henrik"/>
    <s v="M45"/>
    <s v="HUN"/>
    <s v="04:31:42"/>
    <x v="508"/>
  </r>
  <r>
    <s v="Halmosi Gábor"/>
    <s v="M40"/>
    <s v="HUN"/>
    <s v="03:09:21"/>
    <x v="1160"/>
  </r>
  <r>
    <s v="Kilebu, Johannes"/>
    <s v="M20"/>
    <s v="HUN"/>
    <s v="03:31:11"/>
    <x v="1161"/>
  </r>
  <r>
    <s v="Pap Zsombor"/>
    <s v="M25"/>
    <s v="GBR"/>
    <s v="03:47:53"/>
    <x v="1162"/>
  </r>
  <r>
    <s v="Molnár Bence"/>
    <s v="M18"/>
    <s v="HUN"/>
    <s v="03:30:20"/>
    <x v="1163"/>
  </r>
  <r>
    <s v="Kóczán Tamás"/>
    <s v="M30"/>
    <s v="POL"/>
    <s v="04:02:44"/>
    <x v="1164"/>
  </r>
  <r>
    <s v="Uzseka Dániel"/>
    <s v="M25"/>
    <s v="HUN"/>
    <s v="04:19:04"/>
    <x v="1165"/>
  </r>
  <r>
    <s v="perez jimenez, jose luis dr"/>
    <s v="M50"/>
    <s v="HUN"/>
    <s v="04:25:28"/>
    <x v="259"/>
  </r>
  <r>
    <s v="Darko, Balić"/>
    <s v="M40"/>
    <s v="NED"/>
    <s v="03:22:21"/>
    <x v="1166"/>
  </r>
  <r>
    <s v="Gordos Árpád Mihály"/>
    <s v="M25"/>
    <s v="HUN"/>
    <s v="03:37:50"/>
    <x v="1167"/>
  </r>
  <r>
    <s v="Reinumägi, Risto"/>
    <s v="M30"/>
    <s v="HUN"/>
    <s v="03:44:41"/>
    <x v="1168"/>
  </r>
  <r>
    <s v="sébastien, le corre"/>
    <s v="M45"/>
    <s v="HUN"/>
    <s v="03:23:20"/>
    <x v="1169"/>
  </r>
  <r>
    <s v="Dehbi, Joan"/>
    <s v="M35"/>
    <s v="GBR"/>
    <s v="04:06:02"/>
    <x v="1170"/>
  </r>
  <r>
    <s v="Velencei Félix"/>
    <s v="M50"/>
    <s v="HUN"/>
    <s v="04:13:50"/>
    <x v="1171"/>
  </r>
  <r>
    <s v="Saliamanovitch, Dmitri"/>
    <s v="M50"/>
    <s v="RUS"/>
    <s v="02:54:30"/>
    <x v="1172"/>
  </r>
  <r>
    <s v="MEző Dávid"/>
    <s v="M25"/>
    <s v="HUN"/>
    <s v="03:53:51"/>
    <x v="134"/>
  </r>
  <r>
    <s v="Kerekes László"/>
    <s v="M30"/>
    <s v="HUN"/>
    <s v="03:28:04"/>
    <x v="1173"/>
  </r>
  <r>
    <s v="Duffy, Senan"/>
    <s v="M20"/>
    <s v="BRA"/>
    <s v="03:54:01"/>
    <x v="317"/>
  </r>
  <r>
    <s v="Manjunath, Srivijay"/>
    <s v="M25"/>
    <s v="HUN"/>
    <s v="04:01:56"/>
    <x v="1174"/>
  </r>
  <r>
    <s v="Filloramo, Sergio"/>
    <s v="M50"/>
    <s v="GBR"/>
    <s v="04:38:16"/>
    <x v="411"/>
  </r>
  <r>
    <s v="Rasmussen, Peter"/>
    <s v="M35"/>
    <s v="ESP"/>
    <s v="03:05:22"/>
    <x v="755"/>
  </r>
  <r>
    <s v="Laakkonen, Jukka"/>
    <s v="M40"/>
    <s v="HUN"/>
    <s v="03:05:47"/>
    <x v="1175"/>
  </r>
  <r>
    <s v="Büki Dávid"/>
    <s v="M25"/>
    <s v="HUN"/>
    <s v="04:54:58"/>
    <x v="1176"/>
  </r>
  <r>
    <s v="Harris, Ashley"/>
    <s v="M18"/>
    <s v="HUN"/>
    <s v="04:26:07"/>
    <x v="974"/>
  </r>
  <r>
    <s v="Bertha Gábor"/>
    <s v="M30"/>
    <s v="FRA"/>
    <s v="02:59:18"/>
    <x v="1177"/>
  </r>
  <r>
    <s v="Fövényi Zsombor"/>
    <s v="M20"/>
    <s v="POL"/>
    <s v="03:58:43"/>
    <x v="988"/>
  </r>
  <r>
    <s v="Rohr, Maximilian"/>
    <s v="M20"/>
    <s v="HUN"/>
    <s v="03:40:46"/>
    <x v="192"/>
  </r>
  <r>
    <s v="Fehér Lajos"/>
    <s v="M45"/>
    <s v="HUN"/>
    <s v="03:33:00"/>
    <x v="1178"/>
  </r>
  <r>
    <s v="Harangi Lajos"/>
    <s v="M30"/>
    <s v="HUN"/>
    <s v="05:30:01"/>
    <x v="1179"/>
  </r>
  <r>
    <s v="Kis Márkó"/>
    <s v="M25"/>
    <s v="HUN"/>
    <s v="03:49:15"/>
    <x v="1180"/>
  </r>
  <r>
    <s v="Nagy István"/>
    <s v="M45"/>
    <s v="DEN"/>
    <s v="04:38:22"/>
    <x v="35"/>
  </r>
  <r>
    <s v="Feldhoffer József"/>
    <s v="M30"/>
    <s v="HUN"/>
    <s v="04:02:41"/>
    <x v="1181"/>
  </r>
  <r>
    <s v="CONNAN, JULIEN"/>
    <s v="M45"/>
    <s v="MEX"/>
    <s v="05:28:10"/>
    <x v="1182"/>
  </r>
  <r>
    <s v="Sáfián László"/>
    <s v="M35"/>
    <s v="HUN"/>
    <s v="03:55:38"/>
    <x v="723"/>
  </r>
  <r>
    <s v="Florent, Bassani prof"/>
    <s v="M35"/>
    <s v="RUS"/>
    <s v="03:40:40"/>
    <x v="1023"/>
  </r>
  <r>
    <s v="Bossen, Henrik"/>
    <s v="M50"/>
    <s v="IRL"/>
    <s v="04:19:55"/>
    <x v="1183"/>
  </r>
  <r>
    <s v="Hawkins, Max"/>
    <s v="M20"/>
    <s v="RUS"/>
    <s v="05:19:58"/>
    <x v="1184"/>
  </r>
  <r>
    <s v="golner, Tihomir prof"/>
    <s v="M45"/>
    <s v="BEL"/>
    <s v="03:16:39"/>
    <x v="1185"/>
  </r>
  <r>
    <s v="Veerman, Alexander"/>
    <s v="M55"/>
    <s v="GER"/>
    <s v="04:03:34"/>
    <x v="1186"/>
  </r>
  <r>
    <s v="Ugodi Zoltán"/>
    <s v="M40"/>
    <s v="HUN"/>
    <s v="04:33:58"/>
    <x v="1187"/>
  </r>
  <r>
    <s v="Tramontini Zsolt"/>
    <s v="M45"/>
    <s v="HUN"/>
    <s v="05:25:08"/>
    <x v="1188"/>
  </r>
  <r>
    <s v="Ghezzi, Giampiero"/>
    <s v="M65"/>
    <s v="GBR"/>
    <s v="04:23:12"/>
    <x v="976"/>
  </r>
  <r>
    <s v="Borruat, Matthieu"/>
    <s v="M40"/>
    <s v="POL"/>
    <s v="04:44:53"/>
    <x v="1189"/>
  </r>
  <r>
    <s v="Auer Márk"/>
    <s v="M18"/>
    <s v="HUN"/>
    <s v="04:46:00"/>
    <x v="1190"/>
  </r>
  <r>
    <s v="Oláh Csaba"/>
    <s v="M50"/>
    <s v="HUN"/>
    <s v="05:17:04"/>
    <x v="1191"/>
  </r>
  <r>
    <s v="Christensen, Morten Herget dr"/>
    <s v="M40"/>
    <s v="HUN"/>
    <s v="03:39:35"/>
    <x v="1192"/>
  </r>
  <r>
    <s v="Stummer András"/>
    <s v="M35"/>
    <s v="GBR"/>
    <s v="04:46:07"/>
    <x v="1193"/>
  </r>
  <r>
    <s v="Szabo Balazs"/>
    <s v="M50"/>
    <s v="SVK"/>
    <s v="03:41:56"/>
    <x v="844"/>
  </r>
  <r>
    <s v="Gál, Lóránt"/>
    <s v="M35"/>
    <s v="HUN"/>
    <s v="04:17:09"/>
    <x v="1194"/>
  </r>
  <r>
    <s v="Vencel Mészáros"/>
    <s v="M20"/>
    <s v="SVK"/>
    <s v="03:41:23"/>
    <x v="1195"/>
  </r>
  <r>
    <s v="Major József"/>
    <s v="M35"/>
    <s v="HUN"/>
    <s v="04:57:40"/>
    <x v="1196"/>
  </r>
  <r>
    <s v="Kenyeres Bálint"/>
    <s v="M25"/>
    <s v="HUN"/>
    <s v="03:40:37"/>
    <x v="1197"/>
  </r>
  <r>
    <s v="Szakács Sándor Zsolt"/>
    <s v="M30"/>
    <s v="GBR"/>
    <s v="03:14:57"/>
    <x v="803"/>
  </r>
  <r>
    <s v="Taddeo, Fulvio"/>
    <s v="M60"/>
    <s v="HUN"/>
    <s v="03:32:22"/>
    <x v="245"/>
  </r>
  <r>
    <s v="Izsó László"/>
    <s v="M45"/>
    <s v="HUN"/>
    <s v="05:03:05"/>
    <x v="1198"/>
  </r>
  <r>
    <s v="Weixler, Manfred"/>
    <s v="M45"/>
    <s v="HUN"/>
    <s v="03:37:38"/>
    <x v="1199"/>
  </r>
  <r>
    <s v="Márkus György"/>
    <s v="M40"/>
    <s v="POL"/>
    <s v="03:59:34"/>
    <x v="1200"/>
  </r>
  <r>
    <s v="Campolo, Filippo prof"/>
    <s v="M35"/>
    <s v="HUN"/>
    <s v="03:55:32"/>
    <x v="1201"/>
  </r>
  <r>
    <s v="Retek Zoltán"/>
    <s v="M55"/>
    <s v="FRA"/>
    <s v="03:53:53"/>
    <x v="946"/>
  </r>
  <r>
    <s v="Gönczöl Csaba"/>
    <s v="M40"/>
    <s v="POL"/>
    <s v="03:57:15"/>
    <x v="1202"/>
  </r>
  <r>
    <s v="Csizmadia Csaba"/>
    <s v="M35"/>
    <s v="FRA"/>
    <s v="04:23:43"/>
    <x v="867"/>
  </r>
  <r>
    <s v="Pitz Tamás"/>
    <s v="M50"/>
    <s v="HUN"/>
    <s v="04:15:30"/>
    <x v="1203"/>
  </r>
  <r>
    <s v="Erskine, Timmy"/>
    <s v="M20"/>
    <s v="HUN"/>
    <s v="04:43:36"/>
    <x v="1204"/>
  </r>
  <r>
    <s v="WINTGENS, ADRIEN"/>
    <s v="M18"/>
    <s v="HUN"/>
    <s v="04:53:13"/>
    <x v="365"/>
  </r>
  <r>
    <s v="Debreczeni Károly Balázs"/>
    <s v="M20"/>
    <s v="HUN"/>
    <s v="05:03:10"/>
    <x v="1205"/>
  </r>
  <r>
    <s v="Halmosi Gábor"/>
    <s v="M40"/>
    <s v="HUN"/>
    <s v="03:09:21"/>
    <x v="1160"/>
  </r>
  <r>
    <s v="Regős Norbert dr."/>
    <s v="M45"/>
    <s v="CZE"/>
    <s v="03:43:10"/>
    <x v="1206"/>
  </r>
  <r>
    <s v="Mochulskii, Stanislav"/>
    <s v="M40"/>
    <s v="ITA"/>
    <s v="03:43:35"/>
    <x v="1207"/>
  </r>
  <r>
    <s v="Juhos Gábor"/>
    <s v="M55"/>
    <s v="ITA"/>
    <s v="03:48:57"/>
    <x v="1208"/>
  </r>
  <r>
    <s v="Doherty, Andrew"/>
    <s v="M30"/>
    <s v="HUN"/>
    <s v="03:58:14"/>
    <x v="1209"/>
  </r>
  <r>
    <s v="Takács Nándor"/>
    <s v="M25"/>
    <s v="ITA"/>
    <s v="04:41:13"/>
    <x v="1210"/>
  </r>
  <r>
    <s v="Harvie, John"/>
    <s v="M50"/>
    <s v="FRA"/>
    <s v="04:54:48"/>
    <x v="1211"/>
  </r>
  <r>
    <s v="Manev, Vihren"/>
    <s v="M40"/>
    <s v="HUN"/>
    <s v="04:00:26"/>
    <x v="1212"/>
  </r>
  <r>
    <s v="Borbély Tamás"/>
    <s v="M50"/>
    <s v="GBR"/>
    <s v="03:57:34"/>
    <x v="1213"/>
  </r>
  <r>
    <s v="Sancilio, Alexis"/>
    <s v="M35"/>
    <s v="HUN"/>
    <s v="03:43:57"/>
    <x v="1214"/>
  </r>
  <r>
    <s v="Hartung Tamás"/>
    <s v="M35"/>
    <s v="GER"/>
    <s v="03:44:15"/>
    <x v="1215"/>
  </r>
  <r>
    <s v="Williamson, Jack"/>
    <s v="M25"/>
    <s v="HUN"/>
    <s v="03:33:40"/>
    <x v="1216"/>
  </r>
  <r>
    <s v="Pajter Zoltán"/>
    <s v="M45"/>
    <s v="AUT"/>
    <s v="04:47:31"/>
    <x v="634"/>
  </r>
  <r>
    <s v="Woodward, Thomas"/>
    <s v="M25"/>
    <s v="HUN"/>
    <s v="03:50:53"/>
    <x v="1217"/>
  </r>
  <r>
    <s v="Rasmussen, Thomas dr"/>
    <s v="M45"/>
    <s v="HUN"/>
    <s v="03:10:27"/>
    <x v="1218"/>
  </r>
  <r>
    <s v="Hoffmann, Günther"/>
    <s v="M60"/>
    <s v="GER"/>
    <s v="04:26:16"/>
    <x v="904"/>
  </r>
  <r>
    <s v="Dombay Gábor"/>
    <s v="M50"/>
    <s v="HUN"/>
    <s v="03:46:58"/>
    <x v="473"/>
  </r>
  <r>
    <s v="Mándity Róbert"/>
    <s v="M50"/>
    <s v="HUN"/>
    <s v="04:37:17"/>
    <x v="1219"/>
  </r>
  <r>
    <s v="Horvay Ákos"/>
    <s v="M20"/>
    <s v="HUN"/>
    <s v="03:10:43"/>
    <x v="564"/>
  </r>
  <r>
    <s v="Verba László"/>
    <s v="M40"/>
    <s v="NED"/>
    <s v="04:38:45"/>
    <x v="1220"/>
  </r>
  <r>
    <s v="Varga Viktor"/>
    <s v="M35"/>
    <s v="HUN"/>
    <s v="04:08:37"/>
    <x v="1221"/>
  </r>
  <r>
    <s v="paolinetti, kevin"/>
    <s v="M35"/>
    <s v="SCO"/>
    <s v="03:40:45"/>
    <x v="1222"/>
  </r>
  <r>
    <s v="Bognár Attila"/>
    <s v="M55"/>
    <s v="HUN"/>
    <s v="03:45:12"/>
    <x v="1223"/>
  </r>
  <r>
    <s v="Kőnig Ferenc"/>
    <s v="M45"/>
    <s v="HUN"/>
    <s v="04:02:41"/>
    <x v="1181"/>
  </r>
  <r>
    <s v="Mezősi György"/>
    <s v="M45"/>
    <s v="HUN"/>
    <s v="04:23:54"/>
    <x v="1224"/>
  </r>
  <r>
    <s v="Fónad Péter"/>
    <s v="M40"/>
    <s v="CRO"/>
    <s v="03:50:05"/>
    <x v="1225"/>
  </r>
  <r>
    <s v="Grabiec, Piotr"/>
    <s v="M35"/>
    <s v="NED"/>
    <s v="04:43:56"/>
    <x v="1226"/>
  </r>
  <r>
    <s v="Pyrgidis, Nikos dr"/>
    <s v="M25"/>
    <s v="HUN"/>
    <s v="03:57:56"/>
    <x v="1227"/>
  </r>
  <r>
    <s v="Stummer Ernő"/>
    <s v="M40"/>
    <s v="HUN"/>
    <s v="05:00:54"/>
    <x v="1228"/>
  </r>
  <r>
    <s v="Rodriguez, Herminio"/>
    <s v="M55"/>
    <s v="HUN"/>
    <s v="03:37:40"/>
    <x v="72"/>
  </r>
  <r>
    <s v="Mayer, Erik"/>
    <s v="M35"/>
    <s v="HUN"/>
    <s v="03:15:47"/>
    <x v="1229"/>
  </r>
  <r>
    <s v="Wimmer, Thomas"/>
    <s v="M55"/>
    <s v="GER"/>
    <s v="03:41:27"/>
    <x v="1230"/>
  </r>
  <r>
    <s v="Pouzet, Martin"/>
    <s v="M35"/>
    <s v="HUN"/>
    <s v="03:56:08"/>
    <x v="1231"/>
  </r>
  <r>
    <s v="Csontos Márton"/>
    <s v="M25"/>
    <s v="HUN"/>
    <s v="03:48:03"/>
    <x v="848"/>
  </r>
  <r>
    <s v="Sarok Ferenc"/>
    <s v="M30"/>
    <s v="HUN"/>
    <s v="03:13:41"/>
    <x v="1232"/>
  </r>
  <r>
    <s v="Hug Dominik"/>
    <s v="M30"/>
    <s v="HUN"/>
    <s v="03:44:15"/>
    <x v="1215"/>
  </r>
  <r>
    <s v="Karli Márton"/>
    <s v="M18"/>
    <s v="GER"/>
    <s v="03:46:31"/>
    <x v="830"/>
  </r>
  <r>
    <s v="Cazorla Quiroga, Oscar"/>
    <s v="M40"/>
    <s v="HUN"/>
    <s v="03:29:13"/>
    <x v="731"/>
  </r>
  <r>
    <s v="Banerjee, Aryaman"/>
    <s v="M25"/>
    <s v="FRA"/>
    <s v="04:20:49"/>
    <x v="1233"/>
  </r>
  <r>
    <s v="Ferreira, Luis"/>
    <s v="M55"/>
    <s v="HUN"/>
    <s v="05:08:09"/>
    <x v="1234"/>
  </r>
  <r>
    <s v="Smith-Adams, Jamie"/>
    <s v="M20"/>
    <s v="HUN"/>
    <s v="04:22:46"/>
    <x v="1235"/>
  </r>
  <r>
    <s v="Uzcategui, Rafael"/>
    <s v="M25"/>
    <s v="SVK"/>
    <s v="03:19:57"/>
    <x v="1236"/>
  </r>
  <r>
    <s v="Graham, Henry"/>
    <s v="M30"/>
    <s v="HUN"/>
    <s v="03:31:36"/>
    <x v="1237"/>
  </r>
  <r>
    <s v="Stalevski, Darko"/>
    <s v="M45"/>
    <s v="CZE"/>
    <s v="04:44:00"/>
    <x v="1238"/>
  </r>
  <r>
    <s v="Tóth Roland"/>
    <s v="M25"/>
    <s v="HUN"/>
    <s v="04:21:17"/>
    <x v="1239"/>
  </r>
  <r>
    <s v="Szalay János"/>
    <s v="M30"/>
    <s v="HUN"/>
    <s v="04:18:08"/>
    <x v="1240"/>
  </r>
  <r>
    <s v="Sinka András"/>
    <s v="M30"/>
    <s v="HUN"/>
    <s v="03:06:04"/>
    <x v="1241"/>
  </r>
  <r>
    <s v="Balazs, Zoltan"/>
    <s v="M30"/>
    <s v="HUN"/>
    <s v="04:23:01"/>
    <x v="1242"/>
  </r>
  <r>
    <s v="Vukic, Domagoj dr"/>
    <s v="M35"/>
    <s v="POL"/>
    <s v="03:21:29"/>
    <x v="1243"/>
  </r>
  <r>
    <s v="Andersson, Emil"/>
    <s v="M25"/>
    <s v="CHN"/>
    <s v="04:05:57"/>
    <x v="1244"/>
  </r>
  <r>
    <s v="Tóth Attila"/>
    <s v="M40"/>
    <s v="HUN"/>
    <s v="03:50:43"/>
    <x v="1245"/>
  </r>
  <r>
    <s v="Imecs Ádám"/>
    <s v="M35"/>
    <s v="DEN"/>
    <s v="03:33:26"/>
    <x v="1246"/>
  </r>
  <r>
    <s v="Vág János ifj"/>
    <s v="M25"/>
    <s v="HUN"/>
    <s v="03:21:33"/>
    <x v="301"/>
  </r>
  <r>
    <s v="Shuldham, Michael"/>
    <s v="M25"/>
    <s v="HUN"/>
    <s v="03:53:37"/>
    <x v="1247"/>
  </r>
  <r>
    <s v="Gazda, Martin"/>
    <s v="M55"/>
    <s v="HUN"/>
    <s v="05:13:20"/>
    <x v="1248"/>
  </r>
  <r>
    <s v="Putt, Stephen"/>
    <s v="M35"/>
    <s v="HUN"/>
    <s v="05:27:38"/>
    <x v="1249"/>
  </r>
  <r>
    <s v="Széplaki Norbert"/>
    <s v="M45"/>
    <s v="DEN"/>
    <s v="03:14:20"/>
    <x v="1250"/>
  </r>
  <r>
    <s v="Töltési László"/>
    <s v="M50"/>
    <s v="ITA"/>
    <s v="04:59:50"/>
    <x v="1251"/>
  </r>
  <r>
    <s v="ISHIOKA, Kazuki"/>
    <s v="M35"/>
    <s v="HUN"/>
    <s v="02:52:49"/>
    <x v="1252"/>
  </r>
  <r>
    <s v="Mozheyko, Valery"/>
    <s v="M45"/>
    <s v="GBR"/>
    <s v="03:50:22"/>
    <x v="1253"/>
  </r>
  <r>
    <s v="BRCKOVIĆ, DAMIR"/>
    <s v="M55"/>
    <s v="HUN"/>
    <s v="03:48:09"/>
    <x v="1254"/>
  </r>
  <r>
    <s v="Drobilits Ferenc"/>
    <s v="M40"/>
    <s v="UKR"/>
    <s v="04:17:06"/>
    <x v="1092"/>
  </r>
  <r>
    <s v="Tózsa Balázs"/>
    <s v="M30"/>
    <s v="SVK"/>
    <s v="02:59:04"/>
    <x v="1255"/>
  </r>
  <r>
    <s v="Kovács Bence Áron"/>
    <s v="M20"/>
    <s v="FRA"/>
    <s v="05:19:15"/>
    <x v="1256"/>
  </r>
  <r>
    <s v="Rudner Dávid"/>
    <s v="M20"/>
    <s v="GBR"/>
    <s v="04:10:08"/>
    <x v="1257"/>
  </r>
  <r>
    <s v="Kis Gábor"/>
    <s v="M45"/>
    <s v="HUN"/>
    <s v="03:28:50"/>
    <x v="1258"/>
  </r>
  <r>
    <s v="Noakes, Ilyas"/>
    <s v="M20"/>
    <s v="HUN"/>
    <s v="05:09:19"/>
    <x v="1259"/>
  </r>
  <r>
    <s v="Pócsik Zoltán"/>
    <s v="M40"/>
    <s v="HUN"/>
    <s v="03:47:38"/>
    <x v="25"/>
  </r>
  <r>
    <s v="Pechl Ferenc"/>
    <s v="M50"/>
    <s v="FRA"/>
    <s v="03:48:11"/>
    <x v="1260"/>
  </r>
  <r>
    <s v="Szendrey Kálmán"/>
    <s v="M40"/>
    <s v="HUN"/>
    <s v="05:09:11"/>
    <x v="1261"/>
  </r>
  <r>
    <s v="Lukácsy Gergő"/>
    <s v="M40"/>
    <s v="HUN"/>
    <s v="04:53:28"/>
    <x v="1262"/>
  </r>
  <r>
    <s v="Lengyel István"/>
    <s v="M60"/>
    <s v="FRA"/>
    <s v="04:41:51"/>
    <x v="1263"/>
  </r>
  <r>
    <s v="Kiss Attila"/>
    <s v="M25"/>
    <s v="CZE"/>
    <s v="02:57:21"/>
    <x v="1264"/>
  </r>
  <r>
    <s v="Southam, Matt"/>
    <s v="M35"/>
    <s v="HUN"/>
    <s v="03:36:42"/>
    <x v="1265"/>
  </r>
  <r>
    <s v="Hornyák Bence"/>
    <s v="M30"/>
    <s v="HUN"/>
    <s v="03:41:42"/>
    <x v="1050"/>
  </r>
  <r>
    <s v="Grant-Conlin, Elliot"/>
    <s v="M25"/>
    <s v="POL"/>
    <s v="03:49:51"/>
    <x v="787"/>
  </r>
  <r>
    <s v="Hegedűs Balázs"/>
    <s v="M35"/>
    <s v="GBR"/>
    <s v="04:19:21"/>
    <x v="1266"/>
  </r>
  <r>
    <s v="Pataki Zoltán"/>
    <s v="M40"/>
    <s v="HUN"/>
    <s v="03:41:03"/>
    <x v="1267"/>
  </r>
  <r>
    <s v="Wyrzykowski, Tomasz"/>
    <s v="M50"/>
    <s v="GER"/>
    <s v="04:14:42"/>
    <x v="1268"/>
  </r>
  <r>
    <s v="Yordanov, Miroslav"/>
    <s v="M45"/>
    <s v="HUN"/>
    <s v="04:20:40"/>
    <x v="1269"/>
  </r>
  <r>
    <s v="Sütő Norbert"/>
    <s v="M35"/>
    <s v="HUN"/>
    <s v="03:18:58"/>
    <x v="1270"/>
  </r>
  <r>
    <s v="Benakis, Pavlos prof"/>
    <s v="M40"/>
    <s v="HUN"/>
    <s v="03:53:51"/>
    <x v="134"/>
  </r>
  <r>
    <s v="Major Balázs"/>
    <s v="M45"/>
    <s v="HUN"/>
    <s v="03:51:32"/>
    <x v="1082"/>
  </r>
  <r>
    <s v="Szlávik Bence"/>
    <s v="M30"/>
    <s v="HUN"/>
    <s v="03:56:21"/>
    <x v="1271"/>
  </r>
  <r>
    <s v="Győrfi Gergely"/>
    <s v="M30"/>
    <s v="HUN"/>
    <s v="04:01:13"/>
    <x v="1272"/>
  </r>
  <r>
    <s v="Bán Gergely"/>
    <s v="M40"/>
    <s v="HUN"/>
    <s v="03:23:03"/>
    <x v="1109"/>
  </r>
  <r>
    <s v="GAVRIELIDES, EVAGORAS"/>
    <s v="M55"/>
    <s v="FIN"/>
    <s v="04:40:01"/>
    <x v="1273"/>
  </r>
  <r>
    <s v="László-Varga, Zoltán"/>
    <s v="M50"/>
    <s v="HUN"/>
    <s v="03:05:54"/>
    <x v="1274"/>
  </r>
  <r>
    <s v="Fürjes Csaba"/>
    <s v="M50"/>
    <s v="HUN"/>
    <s v="03:32:44"/>
    <x v="1275"/>
  </r>
  <r>
    <s v="De Sausmarez, Peter"/>
    <s v="M25"/>
    <s v="CZE"/>
    <s v="02:59:21"/>
    <x v="1276"/>
  </r>
  <r>
    <s v="Lebarbé, Yannick"/>
    <s v="M50"/>
    <s v="FRA"/>
    <s v="04:40:04"/>
    <x v="1277"/>
  </r>
  <r>
    <s v="Szalay Krisztián"/>
    <s v="M50"/>
    <s v="HUN"/>
    <s v="05:30:16"/>
    <x v="1278"/>
  </r>
  <r>
    <s v="Rodolphe, ARCONTE"/>
    <s v="M35"/>
    <s v="HUN"/>
    <s v="04:11:49"/>
    <x v="1279"/>
  </r>
  <r>
    <s v="Bori János"/>
    <s v="M40"/>
    <s v="HUN"/>
    <s v="04:13:13"/>
    <x v="1280"/>
  </r>
  <r>
    <s v="Kakasy Gergely"/>
    <s v="M45"/>
    <s v="GRE"/>
    <s v="05:17:51"/>
    <x v="1281"/>
  </r>
  <r>
    <s v="Somogyi Dániel"/>
    <s v="M40"/>
    <s v="HUN"/>
    <s v="03:34:38"/>
    <x v="1282"/>
  </r>
  <r>
    <s v="binner, agustin dr"/>
    <s v="M55"/>
    <s v="HUN"/>
    <s v="04:03:57"/>
    <x v="1283"/>
  </r>
  <r>
    <s v="Molnár Damján"/>
    <s v="M25"/>
    <s v="FRA"/>
    <s v="03:59:14"/>
    <x v="1284"/>
  </r>
  <r>
    <s v="Novák Géza Attila"/>
    <s v="M40"/>
    <s v="HUN"/>
    <s v="04:24:55"/>
    <x v="1285"/>
  </r>
  <r>
    <s v="Pekker Róbert"/>
    <s v="M30"/>
    <s v="HUN"/>
    <s v="04:33:01"/>
    <x v="1286"/>
  </r>
  <r>
    <s v="Svejda, Jakub"/>
    <s v="M45"/>
    <s v="GBR"/>
    <s v="03:50:51"/>
    <x v="463"/>
  </r>
  <r>
    <s v="Székely Attila"/>
    <s v="M45"/>
    <s v="HUN"/>
    <s v="03:55:18"/>
    <x v="279"/>
  </r>
  <r>
    <s v="Arciszewski, Marcin"/>
    <s v="M45"/>
    <s v="HUN"/>
    <s v="03:23:04"/>
    <x v="1287"/>
  </r>
  <r>
    <s v="Berényi Gergely"/>
    <s v="M40"/>
    <s v="HUN"/>
    <s v="04:05:10"/>
    <x v="1288"/>
  </r>
  <r>
    <s v="Libresco, Jacques"/>
    <s v="M25"/>
    <s v="GBR"/>
    <s v="03:10:01"/>
    <x v="1289"/>
  </r>
  <r>
    <s v="Nejstgaard, Christopher"/>
    <s v="M20"/>
    <s v="GRE"/>
    <s v="03:10:23"/>
    <x v="1290"/>
  </r>
  <r>
    <s v="Bulitka László ifj"/>
    <s v="M30"/>
    <s v="HUN"/>
    <s v="05:37:47"/>
    <x v="1291"/>
  </r>
  <r>
    <s v="Mészáros Zsolt dr"/>
    <s v="M50"/>
    <s v="HUN"/>
    <s v="04:15:56"/>
    <x v="1292"/>
  </r>
  <r>
    <s v="Kancsár Tamás"/>
    <s v="M40"/>
    <s v="HUN"/>
    <s v="05:14:58"/>
    <x v="1293"/>
  </r>
  <r>
    <s v="Yann, Vicherat"/>
    <s v="M45"/>
    <s v="HUN"/>
    <s v="04:09:00"/>
    <x v="1294"/>
  </r>
  <r>
    <s v="Willemin, Jordan"/>
    <s v="M30"/>
    <s v="HUN"/>
    <s v="04:42:26"/>
    <x v="1295"/>
  </r>
  <r>
    <s v="Prisznyák Gábor"/>
    <s v="M30"/>
    <s v="FRA"/>
    <s v="02:53:44"/>
    <x v="1296"/>
  </r>
  <r>
    <s v="Takács András"/>
    <s v="M55"/>
    <s v="HUN"/>
    <s v="03:40:47"/>
    <x v="1297"/>
  </r>
  <r>
    <s v="Turchányi Miklós"/>
    <s v="M45"/>
    <s v="ITA"/>
    <s v="03:00:53"/>
    <x v="1298"/>
  </r>
  <r>
    <s v="Saliga Ákos"/>
    <s v="M45"/>
    <s v="HUN"/>
    <s v="04:12:44"/>
    <x v="1299"/>
  </r>
  <r>
    <s v="Tóth János"/>
    <s v="M25"/>
    <s v="HUN"/>
    <s v="02:58:38"/>
    <x v="1300"/>
  </r>
  <r>
    <s v="Nilsen, Sigve prof"/>
    <s v="M35"/>
    <s v="HUN"/>
    <s v="04:09:37"/>
    <x v="1301"/>
  </r>
  <r>
    <s v="Czermann Olivér"/>
    <s v="M20"/>
    <s v="HUN"/>
    <s v="04:01:08"/>
    <x v="1302"/>
  </r>
  <r>
    <s v="Szabó Péter"/>
    <s v="M40"/>
    <s v="HUN"/>
    <s v="03:57:33"/>
    <x v="1303"/>
  </r>
  <r>
    <s v="Józsa Péter"/>
    <s v="M45"/>
    <s v="POL"/>
    <s v="03:53:25"/>
    <x v="1304"/>
  </r>
  <r>
    <s v="Görcs Zoltán"/>
    <s v="M50"/>
    <s v="HUN"/>
    <s v="04:12:09"/>
    <x v="1305"/>
  </r>
  <r>
    <s v="Olesen, Alexander Vium"/>
    <s v="M25"/>
    <s v="HUN"/>
    <s v="03:40:55"/>
    <x v="1306"/>
  </r>
  <r>
    <s v="Lund-Ravn, Thomas prof"/>
    <s v="M50"/>
    <s v="HUN"/>
    <s v="03:51:58"/>
    <x v="1307"/>
  </r>
  <r>
    <s v="Victor, MAINGAULT"/>
    <s v="M30"/>
    <s v="HUN"/>
    <s v="03:50:28"/>
    <x v="1308"/>
  </r>
  <r>
    <s v="Viale, Patrice"/>
    <s v="M50"/>
    <s v="AUT"/>
    <s v="03:00:24"/>
    <x v="1309"/>
  </r>
  <r>
    <s v="Spasojević, Goran"/>
    <s v="M40"/>
    <s v="HUN"/>
    <s v="04:05:12"/>
    <x v="1310"/>
  </r>
  <r>
    <s v="Krejčí, Matěj"/>
    <s v="M18"/>
    <s v="HUN"/>
    <s v="03:56:32"/>
    <x v="1311"/>
  </r>
  <r>
    <s v="PODDIGHE, GAVINO"/>
    <s v="M45"/>
    <s v="HUN"/>
    <s v="04:07:06"/>
    <x v="1312"/>
  </r>
  <r>
    <s v="Ihantoja, matti"/>
    <s v="M40"/>
    <s v="GBR"/>
    <s v="05:12:12"/>
    <x v="1313"/>
  </r>
  <r>
    <s v="Orosz Dániel"/>
    <s v="M20"/>
    <s v="HUN"/>
    <s v="04:10:14"/>
    <x v="1314"/>
  </r>
  <r>
    <s v="Gruber István"/>
    <s v="M45"/>
    <s v="GER"/>
    <s v="04:46:27"/>
    <x v="1315"/>
  </r>
  <r>
    <s v="Kovács Zoltán József"/>
    <s v="M45"/>
    <s v="CZE"/>
    <s v="05:06:59"/>
    <x v="948"/>
  </r>
  <r>
    <s v="Javier, Chavarria Moreno prof"/>
    <s v="M35"/>
    <s v="SUI"/>
    <s v="03:01:07"/>
    <x v="1316"/>
  </r>
  <r>
    <s v="Agyagási Ákos"/>
    <s v="M40"/>
    <s v="SWE"/>
    <s v="03:25:49"/>
    <x v="1317"/>
  </r>
  <r>
    <s v="Tokai Tamás"/>
    <s v="M45"/>
    <s v="ISR"/>
    <s v="03:57:48"/>
    <x v="1318"/>
  </r>
  <r>
    <s v="Fermont, Hans"/>
    <s v="M50"/>
    <s v="HUN"/>
    <s v="03:10:46"/>
    <x v="467"/>
  </r>
  <r>
    <s v="Bátyi András"/>
    <s v="M30"/>
    <s v="ESP"/>
    <s v="03:40:54"/>
    <x v="1319"/>
  </r>
  <r>
    <s v="Reale, Andrea dr"/>
    <s v="M35"/>
    <s v="HUN"/>
    <s v="04:25:21"/>
    <x v="335"/>
  </r>
  <r>
    <s v="Pesti Krisztián"/>
    <s v="M40"/>
    <s v="HUN"/>
    <s v="05:00:25"/>
    <x v="1320"/>
  </r>
  <r>
    <s v="Altizer, Whitney"/>
    <s v="M45"/>
    <s v="HUN"/>
    <s v="03:31:32"/>
    <x v="1321"/>
  </r>
  <r>
    <s v="Kuropatwinski, Andrzej"/>
    <s v="M40"/>
    <s v="HUN"/>
    <s v="03:57:54"/>
    <x v="1322"/>
  </r>
  <r>
    <s v="Mitchell, Elias"/>
    <s v="M25"/>
    <s v="ITA"/>
    <s v="04:19:02"/>
    <x v="1323"/>
  </r>
  <r>
    <s v="Lillo, Rocco Gianni prof"/>
    <s v="M45"/>
    <s v="HUN"/>
    <s v="03:37:36"/>
    <x v="699"/>
  </r>
  <r>
    <s v="Sabater, Mikel"/>
    <s v="M40"/>
    <s v="HUN"/>
    <s v="03:42:08"/>
    <x v="242"/>
  </r>
  <r>
    <s v="Beke Tamás László"/>
    <s v="M40"/>
    <s v="HUN"/>
    <s v="03:58:10"/>
    <x v="1324"/>
  </r>
  <r>
    <s v="B. Németh Kristóf"/>
    <s v="M25"/>
    <s v="GBR"/>
    <s v="04:24:46"/>
    <x v="1325"/>
  </r>
  <r>
    <s v="Radomir János"/>
    <s v="M40"/>
    <s v="HUN"/>
    <s v="03:39:26"/>
    <x v="1326"/>
  </r>
  <r>
    <s v="Horváth Gergely"/>
    <s v="M35"/>
    <s v="HUN"/>
    <s v="03:55:01"/>
    <x v="1327"/>
  </r>
  <r>
    <s v="Szekretár János"/>
    <s v="M65"/>
    <s v="HUN"/>
    <s v="05:35:13"/>
    <x v="293"/>
  </r>
  <r>
    <s v="Nicolas, Pesquerel"/>
    <s v="M40"/>
    <s v="HUN"/>
    <s v="04:22:28"/>
    <x v="1328"/>
  </r>
  <r>
    <s v="Viola Gábor"/>
    <s v="M45"/>
    <s v="SRB"/>
    <s v="04:11:51"/>
    <x v="264"/>
  </r>
  <r>
    <s v="Tóth-Szarvas Levente"/>
    <s v="M30"/>
    <s v="HUN"/>
    <s v="04:20:40"/>
    <x v="1269"/>
  </r>
  <r>
    <s v="Krasznai Vilmos"/>
    <s v="M25"/>
    <s v="HUN"/>
    <s v="05:11:53"/>
    <x v="1329"/>
  </r>
  <r>
    <s v="Hornyak, Tomas"/>
    <s v="M35"/>
    <s v="HUN"/>
    <s v="03:51:59"/>
    <x v="1330"/>
  </r>
  <r>
    <s v="Németh Gábor László"/>
    <s v="M25"/>
    <s v="HUN"/>
    <s v="03:49:09"/>
    <x v="1331"/>
  </r>
  <r>
    <s v="Szentmáry Tamás"/>
    <s v="M50"/>
    <s v="HUN"/>
    <s v="04:52:04"/>
    <x v="1332"/>
  </r>
  <r>
    <s v="HEINRICH, HERVE"/>
    <s v="M50"/>
    <s v="CHN"/>
    <s v="04:52:15"/>
    <x v="1333"/>
  </r>
  <r>
    <s v="Dr.Nagy Sándor"/>
    <s v="M35"/>
    <s v="HUN"/>
    <s v="04:38:48"/>
    <x v="1334"/>
  </r>
  <r>
    <s v="Oliwia, cierczak"/>
    <s v="M25"/>
    <s v="HUN"/>
    <s v="04:20:33"/>
    <x v="1335"/>
  </r>
  <r>
    <s v="Vesztergombi Norbert"/>
    <s v="M50"/>
    <s v="HUN"/>
    <s v="05:14:31"/>
    <x v="1336"/>
  </r>
  <r>
    <s v="Koczian, Thomas"/>
    <s v="M35"/>
    <s v="FRA"/>
    <s v="04:53:30"/>
    <x v="1337"/>
  </r>
  <r>
    <s v="Jódy Károly"/>
    <s v="M50"/>
    <s v="HUN"/>
    <s v="03:55:16"/>
    <x v="1338"/>
  </r>
  <r>
    <s v="Gál Zoltán"/>
    <s v="M35"/>
    <s v="RUS"/>
    <s v="03:57:05"/>
    <x v="1339"/>
  </r>
  <r>
    <s v="NIKOPOULOS, DIMITRIOS"/>
    <s v="M45"/>
    <s v="GBR"/>
    <s v="03:43:54"/>
    <x v="102"/>
  </r>
  <r>
    <s v="Katona Dániel"/>
    <s v="M40"/>
    <s v="NOR"/>
    <s v="04:48:37"/>
    <x v="1340"/>
  </r>
  <r>
    <s v="Rakonczay Gábor"/>
    <s v="M40"/>
    <s v="HUN"/>
    <s v="04:19:13"/>
    <x v="1341"/>
  </r>
  <r>
    <s v="Koncz Ádám"/>
    <s v="M35"/>
    <s v="NED"/>
    <s v="04:05:18"/>
    <x v="1078"/>
  </r>
  <r>
    <s v="Stollmayer Ákos"/>
    <s v="M35"/>
    <s v="GBR"/>
    <s v="04:44:14"/>
    <x v="987"/>
  </r>
  <r>
    <s v="Szyjka, Krzysztof prof"/>
    <s v="M45"/>
    <s v="HUN"/>
    <s v="03:26:07"/>
    <x v="1342"/>
  </r>
  <r>
    <s v="Fermont, Hans"/>
    <s v="M50"/>
    <s v="HUN"/>
    <s v="03:10:46"/>
    <x v="467"/>
  </r>
  <r>
    <s v="Dencker, Andreas"/>
    <s v="M20"/>
    <s v="HUN"/>
    <s v="04:00:03"/>
    <x v="1343"/>
  </r>
  <r>
    <s v="Whitehouse, Jason"/>
    <s v="M30"/>
    <s v="HUN"/>
    <s v="04:24:57"/>
    <x v="1344"/>
  </r>
  <r>
    <s v="Csipak István"/>
    <s v="M45"/>
    <s v="HUN"/>
    <s v="03:51:59"/>
    <x v="1330"/>
  </r>
  <r>
    <s v="BIAŁOSKÓRSKI, ROBERT"/>
    <s v="M60"/>
    <s v="POL"/>
    <s v="04:43:54"/>
    <x v="1345"/>
  </r>
  <r>
    <s v="Minder, Steve"/>
    <s v="M30"/>
    <s v="FRA"/>
    <s v="03:18:18"/>
    <x v="1346"/>
  </r>
  <r>
    <s v="Fekete Gábor"/>
    <s v="M50"/>
    <s v="HUN"/>
    <s v="04:40:17"/>
    <x v="1347"/>
  </r>
  <r>
    <s v="Kiss Gábor"/>
    <s v="M50"/>
    <s v="HUN"/>
    <s v="04:41:29"/>
    <x v="1348"/>
  </r>
  <r>
    <s v="Hermans, Stephane"/>
    <s v="M40"/>
    <s v="HUN"/>
    <s v="02:58:58"/>
    <x v="1349"/>
  </r>
  <r>
    <s v="Tazaki, Katsuya"/>
    <s v="M55"/>
    <s v="HUN"/>
    <s v="04:33:00"/>
    <x v="1350"/>
  </r>
  <r>
    <s v="Joseph, Michael"/>
    <s v="M65"/>
    <s v="BEL"/>
    <s v="04:34:12"/>
    <x v="1351"/>
  </r>
  <r>
    <s v="Szabó Gábor"/>
    <s v="M40"/>
    <s v="SVK"/>
    <s v="03:33:45"/>
    <x v="1352"/>
  </r>
  <r>
    <s v="SCHULTE, laurent"/>
    <s v="M55"/>
    <s v="FRA"/>
    <s v="04:17:37"/>
    <x v="1353"/>
  </r>
  <r>
    <s v="Timár János"/>
    <s v="M50"/>
    <s v="HUN"/>
    <s v="04:36:37"/>
    <x v="1354"/>
  </r>
  <r>
    <s v="Madaghjian, Daniel prof"/>
    <s v="M20"/>
    <s v="HUN"/>
    <s v="03:56:47"/>
    <x v="1355"/>
  </r>
  <r>
    <s v="Jávorszky Zoltán"/>
    <s v="M30"/>
    <s v="HUN"/>
    <s v="04:15:48"/>
    <x v="1356"/>
  </r>
  <r>
    <s v="Doherty, Ryan"/>
    <s v="M25"/>
    <s v="RUS"/>
    <s v="04:25:39"/>
    <x v="724"/>
  </r>
  <r>
    <s v="SEBASTIAN, PLESINSKI"/>
    <s v="M45"/>
    <s v="FRA"/>
    <s v="03:29:22"/>
    <x v="1357"/>
  </r>
  <r>
    <s v="Vincent, BROSSARD"/>
    <s v="M45"/>
    <s v="POL"/>
    <s v="03:41:45"/>
    <x v="1358"/>
  </r>
  <r>
    <s v="Szép Ábris"/>
    <s v="M20"/>
    <s v="HUN"/>
    <s v="04:10:09"/>
    <x v="1359"/>
  </r>
  <r>
    <s v="Horvath Adrian"/>
    <s v="M45"/>
    <s v="FRA"/>
    <s v="03:29:24"/>
    <x v="1360"/>
  </r>
  <r>
    <s v="corona, adriano"/>
    <s v="M45"/>
    <s v="HUN"/>
    <s v="03:55:14"/>
    <x v="1361"/>
  </r>
  <r>
    <s v="Taranek Csongor"/>
    <s v="M45"/>
    <s v="HKG"/>
    <s v="04:03:30"/>
    <x v="1362"/>
  </r>
  <r>
    <s v="Ferreira de Cerqueira, Harley"/>
    <s v="M50"/>
    <s v="GER"/>
    <s v="04:37:54"/>
    <x v="1363"/>
  </r>
  <r>
    <s v="Mader, Thomas"/>
    <s v="M35"/>
    <s v="HUN"/>
    <s v="02:57:16"/>
    <x v="1364"/>
  </r>
  <r>
    <s v="Horján, Zoltán"/>
    <s v="M30"/>
    <s v="FRA"/>
    <s v="03:29:40"/>
    <x v="1365"/>
  </r>
  <r>
    <s v="WARD, PATRICK"/>
    <s v="M30"/>
    <s v="CZE"/>
    <s v="04:40:07"/>
    <x v="1366"/>
  </r>
  <r>
    <s v="Radosevic, Igor"/>
    <s v="M30"/>
    <s v="HUN"/>
    <s v="03:45:02"/>
    <x v="1367"/>
  </r>
  <r>
    <s v="Jávor Gellért"/>
    <s v="M30"/>
    <s v="CHN"/>
    <s v="02:59:11"/>
    <x v="1368"/>
  </r>
  <r>
    <s v="Gorbai Attila Csaba"/>
    <s v="M45"/>
    <s v="HUN"/>
    <s v="04:23:01"/>
    <x v="1242"/>
  </r>
  <r>
    <s v="Impallaria, Calogero"/>
    <s v="M50"/>
    <s v="HUN"/>
    <s v="04:59:14"/>
    <x v="1042"/>
  </r>
  <r>
    <s v="Wills, Ty"/>
    <s v="M25"/>
    <s v="GBR"/>
    <s v="03:14:21"/>
    <x v="1369"/>
  </r>
  <r>
    <s v="Balázs István"/>
    <s v="M35"/>
    <s v="HUN"/>
    <s v="03:25:56"/>
    <x v="410"/>
  </r>
  <r>
    <s v="Ban, Sam"/>
    <s v="M45"/>
    <s v="HUN"/>
    <s v="03:53:39"/>
    <x v="1370"/>
  </r>
  <r>
    <s v="Kristof Istvan"/>
    <s v="M40"/>
    <s v="SLO"/>
    <s v="03:51:52"/>
    <x v="1371"/>
  </r>
  <r>
    <s v="Bata Balázs"/>
    <s v="M60"/>
    <s v="HUN"/>
    <s v="04:58:16"/>
    <x v="1372"/>
  </r>
  <r>
    <s v="Brink, Matthijs"/>
    <s v="M25"/>
    <s v="HUN"/>
    <s v="04:10:21"/>
    <x v="1157"/>
  </r>
  <r>
    <s v="Kueffner, Thomas"/>
    <s v="M50"/>
    <s v="HUN"/>
    <s v="03:18:32"/>
    <x v="1373"/>
  </r>
  <r>
    <s v="Szirom Márk"/>
    <s v="M20"/>
    <s v="FIN"/>
    <s v="04:11:50"/>
    <x v="1374"/>
  </r>
  <r>
    <s v="Szász Dániel"/>
    <s v="M40"/>
    <s v="CHN"/>
    <s v="04:02:25"/>
    <x v="641"/>
  </r>
  <r>
    <s v="Davies, Gareth"/>
    <s v="M60"/>
    <s v="HUN"/>
    <s v="05:09:13"/>
    <x v="1375"/>
  </r>
  <r>
    <s v="Szél János"/>
    <s v="M50"/>
    <s v="HUN"/>
    <s v="04:04:05"/>
    <x v="722"/>
  </r>
  <r>
    <s v="Eberhardt Gábor"/>
    <s v="M50"/>
    <s v="SWE"/>
    <s v="04:10:27"/>
    <x v="1376"/>
  </r>
  <r>
    <s v="Farkas Attila"/>
    <s v="M40"/>
    <s v="USA"/>
    <s v="05:07:07"/>
    <x v="1377"/>
  </r>
  <r>
    <s v="Nagy Imre dr."/>
    <s v="M55"/>
    <s v="HUN"/>
    <s v="04:59:34"/>
    <x v="1378"/>
  </r>
  <r>
    <s v="Vrazsgyák Attila"/>
    <s v="M45"/>
    <s v="HUN"/>
    <s v="04:41:23"/>
    <x v="1379"/>
  </r>
  <r>
    <s v="Rácz Zsolt Dr."/>
    <s v="M40"/>
    <s v="SWE"/>
    <s v="04:16:42"/>
    <x v="1380"/>
  </r>
  <r>
    <s v="Mong Balazs dr"/>
    <s v="M25"/>
    <s v="ITA"/>
    <s v="04:19:28"/>
    <x v="1381"/>
  </r>
  <r>
    <s v="Varrecchia, Francesco"/>
    <s v="M70"/>
    <s v="HUN"/>
    <s v="04:07:46"/>
    <x v="1382"/>
  </r>
  <r>
    <s v="Zichó Krisztián"/>
    <s v="M25"/>
    <s v="GBR"/>
    <s v="03:01:12"/>
    <x v="1383"/>
  </r>
  <r>
    <s v="Krajcar, Zelko"/>
    <s v="M50"/>
    <s v="ISL"/>
    <s v="04:07:40"/>
    <x v="148"/>
  </r>
  <r>
    <s v="Rego, Antonio"/>
    <s v="M50"/>
    <s v="HUN"/>
    <s v="05:02:41"/>
    <x v="1384"/>
  </r>
  <r>
    <s v="Harper, Darian"/>
    <s v="M20"/>
    <s v="HUN"/>
    <s v="03:48:23"/>
    <x v="54"/>
  </r>
  <r>
    <s v="Dylan, Tipton"/>
    <s v="M30"/>
    <s v="HUN"/>
    <s v="04:39:41"/>
    <x v="1385"/>
  </r>
  <r>
    <s v="Szőke Boldizsár"/>
    <s v="M18"/>
    <s v="HUN"/>
    <s v="04:25:50"/>
    <x v="1386"/>
  </r>
  <r>
    <s v="Molnár Géza"/>
    <s v="M50"/>
    <s v="MAS"/>
    <s v="04:46:30"/>
    <x v="1387"/>
  </r>
  <r>
    <s v="Hartlieb Balázs dr."/>
    <s v="M45"/>
    <s v="HUN"/>
    <s v="04:13:56"/>
    <x v="667"/>
  </r>
  <r>
    <s v="Gordeev, Vladimir"/>
    <s v="M35"/>
    <s v="ITA"/>
    <s v="03:15:10"/>
    <x v="1388"/>
  </r>
  <r>
    <s v="Kerekes Zoltán"/>
    <s v="M30"/>
    <s v="HUN"/>
    <s v="04:16:20"/>
    <x v="1389"/>
  </r>
  <r>
    <s v="Byczyk, Jacek"/>
    <s v="M60"/>
    <s v="CZE"/>
    <s v="04:25:48"/>
    <x v="1390"/>
  </r>
  <r>
    <s v="Érmezei Zsolt"/>
    <s v="M45"/>
    <s v="HUN"/>
    <s v="04:58:22"/>
    <x v="560"/>
  </r>
  <r>
    <s v="Modee, Mattias"/>
    <s v="M45"/>
    <s v="HUN"/>
    <s v="04:22:00"/>
    <x v="1391"/>
  </r>
  <r>
    <s v="Szalai András"/>
    <s v="M40"/>
    <s v="HUN"/>
    <s v="03:55:13"/>
    <x v="1392"/>
  </r>
  <r>
    <s v="Kökényesi Antal"/>
    <s v="M40"/>
    <s v="HUN"/>
    <s v="04:28:53"/>
    <x v="1393"/>
  </r>
  <r>
    <s v="Nielsen, Mathias Liisberg"/>
    <s v="M25"/>
    <s v="HUN"/>
    <s v="02:47:40"/>
    <x v="1394"/>
  </r>
  <r>
    <s v="Zab Róbert"/>
    <s v="M55"/>
    <s v="HUN"/>
    <s v="04:36:46"/>
    <x v="1395"/>
  </r>
  <r>
    <s v="kardasz, jacek"/>
    <s v="M40"/>
    <s v="HUN"/>
    <s v="03:42:07"/>
    <x v="1396"/>
  </r>
  <r>
    <s v="Kusztor Kornél"/>
    <s v="M35"/>
    <s v="HUN"/>
    <s v="04:02:49"/>
    <x v="299"/>
  </r>
  <r>
    <s v="Tempfli Péter"/>
    <s v="M40"/>
    <s v="HUN"/>
    <s v="04:29:42"/>
    <x v="1397"/>
  </r>
  <r>
    <s v="Miták Pál"/>
    <s v="M35"/>
    <s v="FRA"/>
    <s v="05:16:31"/>
    <x v="1398"/>
  </r>
  <r>
    <s v="Buzás Botond"/>
    <s v="M40"/>
    <s v="BEL"/>
    <s v="04:21:58"/>
    <x v="1399"/>
  </r>
  <r>
    <s v="Peresztegi Bálint"/>
    <s v="M20"/>
    <s v="HUN"/>
    <s v="03:36:10"/>
    <x v="1400"/>
  </r>
  <r>
    <s v="Gündisch, Zoltán"/>
    <s v="M45"/>
    <s v="POL"/>
    <s v="04:22:59"/>
    <x v="1401"/>
  </r>
  <r>
    <s v="Illés, Péter"/>
    <s v="M25"/>
    <s v="HUN"/>
    <s v="03:04:46"/>
    <x v="1402"/>
  </r>
  <r>
    <s v="de Beer, Patrick"/>
    <s v="M50"/>
    <s v="HUN"/>
    <s v="04:27:34"/>
    <x v="1403"/>
  </r>
  <r>
    <s v="Dominique, Armand"/>
    <s v="M60"/>
    <s v="HUN"/>
    <s v="03:54:20"/>
    <x v="1404"/>
  </r>
  <r>
    <s v="Gordon, Lane"/>
    <s v="M25"/>
    <s v="HUN"/>
    <s v="04:15:39"/>
    <x v="915"/>
  </r>
  <r>
    <s v="Doran, Matt"/>
    <s v="M50"/>
    <s v="HUN"/>
    <s v="04:36:41"/>
    <x v="1405"/>
  </r>
  <r>
    <s v="DE LEERSNYDER, FLORENT prof"/>
    <s v="M45"/>
    <s v="HUN"/>
    <s v="03:27:19"/>
    <x v="340"/>
  </r>
  <r>
    <s v="Pintér Gábor"/>
    <s v="M45"/>
    <s v="DEN"/>
    <s v="04:15:27"/>
    <x v="1406"/>
  </r>
  <r>
    <s v="Berglund, Mikael"/>
    <s v="M55"/>
    <s v="CZE"/>
    <s v="04:39:43"/>
    <x v="1143"/>
  </r>
  <r>
    <s v="Felix, Sanchez Adan"/>
    <s v="M55"/>
    <s v="HUN"/>
    <s v="04:06:31"/>
    <x v="1407"/>
  </r>
  <r>
    <s v="COCHE-DEQUEANT, Manuel"/>
    <s v="M50"/>
    <s v="GBR"/>
    <s v="04:30:42"/>
    <x v="1408"/>
  </r>
  <r>
    <s v="Harmati Péter"/>
    <s v="M50"/>
    <s v="GER"/>
    <s v="05:16:53"/>
    <x v="1409"/>
  </r>
  <r>
    <s v="Montes de Oca Chavez, Ena Berenice"/>
    <s v="M35"/>
    <s v="HUN"/>
    <s v="04:40:42"/>
    <x v="1410"/>
  </r>
  <r>
    <s v="Dáné István Attila"/>
    <s v="M50"/>
    <s v="HUN"/>
    <s v="04:05:44"/>
    <x v="210"/>
  </r>
  <r>
    <s v="Wimmer, Thomas"/>
    <s v="M55"/>
    <s v="HUN"/>
    <s v="03:41:27"/>
    <x v="1230"/>
  </r>
  <r>
    <s v="Fejérdy Márton"/>
    <s v="M45"/>
    <s v="HUN"/>
    <s v="04:11:46"/>
    <x v="1411"/>
  </r>
  <r>
    <s v="Mole, Sam"/>
    <s v="M20"/>
    <s v="SWE"/>
    <s v="04:15:08"/>
    <x v="1412"/>
  </r>
  <r>
    <s v="Tóth Patony"/>
    <s v="M50"/>
    <s v="HUN"/>
    <s v="04:30:22"/>
    <x v="552"/>
  </r>
  <r>
    <s v="Mader, Roland"/>
    <s v="M45"/>
    <s v="HUN"/>
    <s v="03:18:47"/>
    <x v="1413"/>
  </r>
  <r>
    <s v="Koller Béla"/>
    <s v="M35"/>
    <s v="HUN"/>
    <s v="03:36:05"/>
    <x v="1414"/>
  </r>
  <r>
    <s v="Bonte, Maxens"/>
    <s v="M25"/>
    <s v="HUN"/>
    <s v="03:56:39"/>
    <x v="342"/>
  </r>
  <r>
    <s v="Barbero, Gianluca"/>
    <s v="M50"/>
    <s v="HUN"/>
    <s v="02:58:41"/>
    <x v="1415"/>
  </r>
  <r>
    <s v="Baixauli, Javier"/>
    <s v="M50"/>
    <s v="HUN"/>
    <s v="03:09:39"/>
    <x v="490"/>
  </r>
  <r>
    <s v="Demcsák Zoltán"/>
    <s v="M60"/>
    <s v="HUN"/>
    <s v="03:51:19"/>
    <x v="1416"/>
  </r>
  <r>
    <s v="Dagsland, William"/>
    <s v="M35"/>
    <s v="NOR"/>
    <s v="04:05:09"/>
    <x v="1417"/>
  </r>
  <r>
    <s v="Puszkarski, Marek"/>
    <s v="M55"/>
    <s v="GBR"/>
    <s v="04:24:44"/>
    <x v="55"/>
  </r>
  <r>
    <s v="Palenius, Juha"/>
    <s v="M45"/>
    <s v="HUN"/>
    <s v="04:32:04"/>
    <x v="1418"/>
  </r>
  <r>
    <s v="Varga István"/>
    <s v="M55"/>
    <s v="POL"/>
    <s v="03:44:36"/>
    <x v="164"/>
  </r>
  <r>
    <s v="Ötvös Krisztián"/>
    <s v="M45"/>
    <s v="GBR"/>
    <s v="03:46:57"/>
    <x v="1419"/>
  </r>
  <r>
    <s v="Toldi Levente"/>
    <s v="M25"/>
    <s v="RUS"/>
    <s v="03:10:28"/>
    <x v="1420"/>
  </r>
  <r>
    <s v="ABED, MILOUDI"/>
    <s v="M55"/>
    <s v="HUN"/>
    <s v="03:50:00"/>
    <x v="1421"/>
  </r>
  <r>
    <s v="Chevrolet, Laurent"/>
    <s v="M55"/>
    <s v="CZE"/>
    <s v="04:16:04"/>
    <x v="1422"/>
  </r>
  <r>
    <s v="Szabó István"/>
    <s v="M35"/>
    <s v="FRA"/>
    <s v="03:51:46"/>
    <x v="611"/>
  </r>
  <r>
    <s v="Jean Claude, ELVIRA MARTIN"/>
    <s v="M70"/>
    <s v="CAN"/>
    <s v="05:15:45"/>
    <x v="1423"/>
  </r>
  <r>
    <s v="Renton, Sam"/>
    <s v="M30"/>
    <s v="HUN"/>
    <s v="05:16:26"/>
    <x v="1424"/>
  </r>
  <r>
    <s v="Kiss Gellért"/>
    <s v="M25"/>
    <s v="HUN"/>
    <s v="03:34:31"/>
    <x v="1425"/>
  </r>
  <r>
    <s v="Baranyai Gergely"/>
    <s v="M40"/>
    <s v="FRA"/>
    <s v="04:18:17"/>
    <x v="1426"/>
  </r>
  <r>
    <s v="Csarnai Szilárd"/>
    <s v="M45"/>
    <s v="HUN"/>
    <s v="05:19:00"/>
    <x v="449"/>
  </r>
  <r>
    <s v="Semkovski, George"/>
    <s v="M55"/>
    <s v="HUN"/>
    <s v="03:52:05"/>
    <x v="1427"/>
  </r>
  <r>
    <s v="Reece, Elliott prof"/>
    <s v="M20"/>
    <s v="AUT"/>
    <s v="04:23:33"/>
    <x v="1428"/>
  </r>
  <r>
    <s v="Smit, Hans"/>
    <s v="M60"/>
    <s v="???"/>
    <s v="03:45:42"/>
    <x v="1429"/>
  </r>
  <r>
    <s v="Seuren, Julian"/>
    <s v="M20"/>
    <s v="BEL"/>
    <s v="04:02:23"/>
    <x v="1430"/>
  </r>
  <r>
    <s v="Fejér Gábor"/>
    <s v="M55"/>
    <s v="SLO"/>
    <s v="04:19:57"/>
    <x v="1431"/>
  </r>
  <r>
    <s v="Módra György"/>
    <s v="M40"/>
    <s v="ITA"/>
    <s v="03:23:38"/>
    <x v="941"/>
  </r>
  <r>
    <s v="Kotke, Tarmo"/>
    <s v="M40"/>
    <s v="GBR"/>
    <s v="04:13:22"/>
    <x v="1432"/>
  </r>
  <r>
    <s v="De Ruyck, Faust"/>
    <s v="M25"/>
    <s v="HUN"/>
    <s v="03:09:02"/>
    <x v="1433"/>
  </r>
  <r>
    <s v="Debreceni Dávid"/>
    <s v="M35"/>
    <s v="GER"/>
    <s v="03:57:33"/>
    <x v="1303"/>
  </r>
  <r>
    <s v="Davidson, James"/>
    <s v="M35"/>
    <s v="HUN"/>
    <s v="03:48:17"/>
    <x v="1434"/>
  </r>
  <r>
    <s v="Székely István"/>
    <s v="M45"/>
    <s v="HUN"/>
    <s v="05:13:25"/>
    <x v="1435"/>
  </r>
  <r>
    <s v="Bugáň, Tomá"/>
    <s v="M30"/>
    <s v="HUN"/>
    <s v="04:24:41"/>
    <x v="1436"/>
  </r>
  <r>
    <s v="CLUSAZ, ELVIS prof"/>
    <s v="M40"/>
    <s v="USA"/>
    <s v="03:29:23"/>
    <x v="1437"/>
  </r>
  <r>
    <s v="Blomfield, Stephen"/>
    <s v="M55"/>
    <s v="HUN"/>
    <s v="03:35:54"/>
    <x v="1438"/>
  </r>
  <r>
    <s v="Cole, Andrew"/>
    <s v="M55"/>
    <s v="HUN"/>
    <s v="03:56:21"/>
    <x v="1271"/>
  </r>
  <r>
    <s v="Lonati, Massimo"/>
    <s v="M50"/>
    <s v="HUN"/>
    <s v="03:38:01"/>
    <x v="1439"/>
  </r>
  <r>
    <s v="Kerekes Szabolcs"/>
    <s v="M50"/>
    <s v="HUN"/>
    <s v="03:57:22"/>
    <x v="380"/>
  </r>
  <r>
    <s v="Niemirowski, Kamil"/>
    <s v="M25"/>
    <s v="HUN"/>
    <s v="04:22:38"/>
    <x v="1440"/>
  </r>
  <r>
    <s v="Bolsius, Koen"/>
    <s v="M45"/>
    <s v="SVK"/>
    <s v="03:17:58"/>
    <x v="1441"/>
  </r>
  <r>
    <s v="Tibor Ákos"/>
    <s v="M50"/>
    <s v="HUN"/>
    <s v="03:59:27"/>
    <x v="1442"/>
  </r>
  <r>
    <s v="GHISTE, Cyrille"/>
    <s v="M45"/>
    <s v="HUN"/>
    <s v="04:27:28"/>
    <x v="818"/>
  </r>
  <r>
    <s v="Vedrov, Pavel"/>
    <s v="M30"/>
    <s v="JPN"/>
    <s v="03:16:08"/>
    <x v="1443"/>
  </r>
  <r>
    <s v="Engi Tibor"/>
    <s v="M40"/>
    <s v="HUN"/>
    <s v="03:46:06"/>
    <x v="1444"/>
  </r>
  <r>
    <s v="ALIBES, ARCADI"/>
    <s v="M65"/>
    <s v="HUN"/>
    <s v="04:29:19"/>
    <x v="1445"/>
  </r>
  <r>
    <s v="Kocsispéter Máté"/>
    <s v="M20"/>
    <s v="HUN"/>
    <s v="05:25:40"/>
    <x v="1446"/>
  </r>
  <r>
    <s v="Vas Gábor"/>
    <s v="M45"/>
    <s v="NZL"/>
    <s v="03:29:09"/>
    <x v="1447"/>
  </r>
  <r>
    <s v="Hyland, Eden"/>
    <s v="M30"/>
    <s v="HUN"/>
    <s v="03:44:24"/>
    <x v="1448"/>
  </r>
  <r>
    <s v="Szaniszló Balázs"/>
    <s v="M30"/>
    <s v="ESP"/>
    <s v="04:06:27"/>
    <x v="1449"/>
  </r>
  <r>
    <s v="Bíró Balázs"/>
    <s v="M40"/>
    <s v="HUN"/>
    <s v="05:02:44"/>
    <x v="332"/>
  </r>
  <r>
    <s v="Dóczi Zsolt"/>
    <s v="M30"/>
    <s v="HUN"/>
    <s v="03:37:37"/>
    <x v="1450"/>
  </r>
  <r>
    <s v="Kovách Tamás"/>
    <s v="M30"/>
    <s v="GBR"/>
    <s v="04:41:08"/>
    <x v="6"/>
  </r>
  <r>
    <s v="Smylie, Oisin"/>
    <s v="M25"/>
    <s v="HUN"/>
    <s v="03:29:25"/>
    <x v="1451"/>
  </r>
  <r>
    <s v="Mátéffy Kristóf"/>
    <s v="M25"/>
    <s v="HUN"/>
    <s v="04:07:40"/>
    <x v="148"/>
  </r>
  <r>
    <s v="Tóth Imre"/>
    <s v="M65"/>
    <s v="FIN"/>
    <s v="04:50:15"/>
    <x v="711"/>
  </r>
  <r>
    <s v="Marek József"/>
    <s v="M55"/>
    <s v="GBR"/>
    <s v="04:01:17"/>
    <x v="1452"/>
  </r>
  <r>
    <s v="Juhász Péter"/>
    <s v="M50"/>
    <s v="HUN"/>
    <s v="03:31:16"/>
    <x v="3"/>
  </r>
  <r>
    <s v="Neumann, Michael"/>
    <s v="M45"/>
    <s v="HUN"/>
    <s v="03:14:11"/>
    <x v="1453"/>
  </r>
  <r>
    <s v="Szabo Balazs"/>
    <s v="M40"/>
    <s v="HUN"/>
    <s v="03:50:49"/>
    <x v="1454"/>
  </r>
  <r>
    <s v="dominique, PERDRIAU"/>
    <s v="M70"/>
    <s v="HUN"/>
    <s v="04:22:32"/>
    <x v="1455"/>
  </r>
  <r>
    <s v="Hunter, Anthony prof"/>
    <s v="M25"/>
    <s v="BEL"/>
    <s v="04:09:43"/>
    <x v="1456"/>
  </r>
  <r>
    <s v="Pintér Ferenc"/>
    <s v="M50"/>
    <s v="HUN"/>
    <s v="02:55:48"/>
    <x v="1457"/>
  </r>
  <r>
    <s v="Szabó Balázs"/>
    <s v="M35"/>
    <s v="GBR"/>
    <s v="04:13:58"/>
    <x v="1458"/>
  </r>
  <r>
    <s v="Raineri, Mauro prof"/>
    <s v="M50"/>
    <s v="GBR"/>
    <s v="02:50:04"/>
    <x v="1459"/>
  </r>
  <r>
    <s v="Rádli Péter"/>
    <s v="M50"/>
    <s v="HUN"/>
    <s v="03:23:11"/>
    <x v="1460"/>
  </r>
  <r>
    <s v="Stengl, Christian"/>
    <s v="M45"/>
    <s v="FIN"/>
    <s v="04:26:09"/>
    <x v="709"/>
  </r>
  <r>
    <s v="Dzama Demjén László"/>
    <s v="M25"/>
    <s v="HUN"/>
    <s v="04:50:21"/>
    <x v="1461"/>
  </r>
  <r>
    <s v="BAISHYA, KAUSHIK"/>
    <s v="M30"/>
    <s v="AUT"/>
    <s v="05:27:00"/>
    <x v="1462"/>
  </r>
  <r>
    <s v="Dobó Gábor"/>
    <s v="M50"/>
    <s v="FRA"/>
    <s v="04:08:21"/>
    <x v="774"/>
  </r>
  <r>
    <s v="Mácsár Krisztián"/>
    <s v="M45"/>
    <s v="HUN"/>
    <s v="03:58:09"/>
    <x v="1463"/>
  </r>
  <r>
    <s v="Révész Máté"/>
    <s v="M18"/>
    <s v="HUN"/>
    <s v="04:22:08"/>
    <x v="1464"/>
  </r>
  <r>
    <s v="Gőgh Előd"/>
    <s v="M40"/>
    <s v="POL"/>
    <s v="04:53:49"/>
    <x v="1465"/>
  </r>
  <r>
    <s v="White, Robert"/>
    <s v="M50"/>
    <s v="HUN"/>
    <s v="02:49:28"/>
    <x v="1466"/>
  </r>
  <r>
    <s v="Garita, Carlos"/>
    <s v="M30"/>
    <s v="HUN"/>
    <s v="03:47:07"/>
    <x v="1467"/>
  </r>
  <r>
    <s v="Cameron, Thomas"/>
    <s v="M20"/>
    <s v="HUN"/>
    <s v="04:25:52"/>
    <x v="453"/>
  </r>
  <r>
    <s v="Thomas, Simon"/>
    <s v="M55"/>
    <s v="GBR"/>
    <s v="05:15:17"/>
    <x v="1468"/>
  </r>
  <r>
    <s v="Bowring, Christopher"/>
    <s v="M20"/>
    <s v="HUN"/>
    <s v="03:47:44"/>
    <x v="1469"/>
  </r>
  <r>
    <s v="Szabó Roland Krisztián"/>
    <s v="M25"/>
    <s v="GBR"/>
    <s v="04:13:09"/>
    <x v="438"/>
  </r>
  <r>
    <s v="mullin, alan"/>
    <s v="M45"/>
    <s v="NED"/>
    <s v="04:51:24"/>
    <x v="1470"/>
  </r>
  <r>
    <s v="Dr. Pintér Tamás"/>
    <s v="M40"/>
    <s v="SIN"/>
    <s v="03:59:00"/>
    <x v="584"/>
  </r>
  <r>
    <s v="Wylde, Jon"/>
    <s v="M30"/>
    <s v="HUN"/>
    <s v="04:22:52"/>
    <x v="1471"/>
  </r>
  <r>
    <s v="FERRER VILS, JOAN prof"/>
    <s v="M65"/>
    <s v="SUI"/>
    <s v="04:35:14"/>
    <x v="1472"/>
  </r>
  <r>
    <s v="Pasztor Kiss, Levente"/>
    <s v="M50"/>
    <s v="HUN"/>
    <s v="03:16:33"/>
    <x v="1473"/>
  </r>
  <r>
    <s v="Cheung, Wai Ki"/>
    <s v="M40"/>
    <s v="HUN"/>
    <s v="05:24:34"/>
    <x v="1474"/>
  </r>
  <r>
    <s v="Benke Balázs Attila"/>
    <s v="M35"/>
    <s v="HUN"/>
    <s v="04:29:34"/>
    <x v="1475"/>
  </r>
  <r>
    <s v="Major Balázs"/>
    <s v="M45"/>
    <s v="HUN"/>
    <s v="03:51:32"/>
    <x v="1082"/>
  </r>
  <r>
    <s v="Lengyel Richárd"/>
    <s v="M25"/>
    <s v="RUS"/>
    <s v="03:29:29"/>
    <x v="1476"/>
  </r>
  <r>
    <s v="Pavia, Luca"/>
    <s v="M45"/>
    <s v="ROM"/>
    <s v="03:25:37"/>
    <x v="1477"/>
  </r>
  <r>
    <s v="Bögi Ádám"/>
    <s v="M25"/>
    <s v="HUN"/>
    <s v="03:32:56"/>
    <x v="1478"/>
  </r>
  <r>
    <s v="Kaczur András"/>
    <s v="M50"/>
    <s v="VIE"/>
    <s v="03:50:22"/>
    <x v="1253"/>
  </r>
  <r>
    <s v="Flobergseter, ?yvind"/>
    <s v="M30"/>
    <s v="HUN"/>
    <s v="02:52:12"/>
    <x v="1479"/>
  </r>
  <r>
    <s v="Kiss Vilmos"/>
    <s v="M45"/>
    <s v="HUN"/>
    <s v="04:09:06"/>
    <x v="1480"/>
  </r>
  <r>
    <s v="Mucsi Zoltán"/>
    <s v="M65"/>
    <s v="RUS"/>
    <s v="04:29:29"/>
    <x v="1481"/>
  </r>
  <r>
    <s v="Ispánovity Péter Dusán"/>
    <s v="M40"/>
    <s v="HUN"/>
    <s v="02:59:19"/>
    <x v="1482"/>
  </r>
  <r>
    <s v="Włodarek, Jacek"/>
    <s v="M30"/>
    <s v="HUN"/>
    <s v="03:57:35"/>
    <x v="1483"/>
  </r>
  <r>
    <s v="Pavlíček, Martin"/>
    <s v="M35"/>
    <s v="HUN"/>
    <s v="05:13:41"/>
    <x v="1484"/>
  </r>
  <r>
    <s v="Scott, Steven"/>
    <s v="M50"/>
    <s v="HUN"/>
    <s v="03:54:20"/>
    <x v="1404"/>
  </r>
  <r>
    <s v="wu, hao"/>
    <s v="M25"/>
    <s v="HUN"/>
    <s v="04:12:56"/>
    <x v="962"/>
  </r>
  <r>
    <s v="Law, Harry"/>
    <s v="M20"/>
    <s v="BRA"/>
    <s v="03:46:27"/>
    <x v="1485"/>
  </r>
  <r>
    <s v="Mena Gutierrez, Guillermo Enrique"/>
    <s v="M25"/>
    <s v="GBR"/>
    <s v="05:11:00"/>
    <x v="1486"/>
  </r>
  <r>
    <s v="Gáthy Balázs"/>
    <s v="M35"/>
    <s v="HUN"/>
    <s v="03:08:39"/>
    <x v="1487"/>
  </r>
  <r>
    <s v="Przybyłowicz, Dominik"/>
    <s v="M25"/>
    <s v="HUN"/>
    <s v="04:27:15"/>
    <x v="1488"/>
  </r>
  <r>
    <s v="Lepine, Patrick"/>
    <s v="M55"/>
    <s v="HUN"/>
    <s v="03:33:43"/>
    <x v="1489"/>
  </r>
  <r>
    <s v="Futó Zsolt"/>
    <s v="M35"/>
    <s v="HUN"/>
    <s v="03:40:57"/>
    <x v="1490"/>
  </r>
  <r>
    <s v="Baksay Attila"/>
    <s v="M45"/>
    <s v="HUN"/>
    <s v="04:13:56"/>
    <x v="667"/>
  </r>
  <r>
    <s v="Cahill, Shane"/>
    <s v="M35"/>
    <s v="UKR"/>
    <s v="03:30:26"/>
    <x v="1491"/>
  </r>
  <r>
    <s v="Knill Zsolt"/>
    <s v="M45"/>
    <s v="HUN"/>
    <s v="04:44:34"/>
    <x v="1492"/>
  </r>
  <r>
    <s v="Szántó András"/>
    <s v="M45"/>
    <s v="NED"/>
    <s v="03:59:09"/>
    <x v="1493"/>
  </r>
  <r>
    <s v="Díaz, Marcos"/>
    <s v="M60"/>
    <s v="HUN"/>
    <s v="04:59:17"/>
    <x v="1494"/>
  </r>
  <r>
    <s v="Sobczak, Tomasz"/>
    <s v="M50"/>
    <s v="FRA"/>
    <s v="03:34:14"/>
    <x v="928"/>
  </r>
  <r>
    <s v="Teply, Tomas"/>
    <s v="M50"/>
    <s v="HUN"/>
    <s v="04:01:05"/>
    <x v="1495"/>
  </r>
  <r>
    <s v="Sheppard, Jason"/>
    <s v="M25"/>
    <s v="HUN"/>
    <s v="04:29:37"/>
    <x v="1496"/>
  </r>
  <r>
    <s v="vanoverskelds, dominique prof"/>
    <s v="M60"/>
    <s v="UKR"/>
    <s v="03:55:31"/>
    <x v="1497"/>
  </r>
  <r>
    <s v="Chasco Arpón, Daniel prof"/>
    <s v="M25"/>
    <s v="HUN"/>
    <s v="03:57:34"/>
    <x v="1213"/>
  </r>
  <r>
    <s v="Végső Csaba"/>
    <s v="M45"/>
    <s v="HUN"/>
    <s v="04:21:02"/>
    <x v="1498"/>
  </r>
  <r>
    <s v="Csővári Szabolcs"/>
    <s v="M40"/>
    <s v="HUN"/>
    <s v="03:53:22"/>
    <x v="1499"/>
  </r>
  <r>
    <s v="Ranauro, Raffaele"/>
    <s v="M50"/>
    <s v="POL"/>
    <s v="03:35:03"/>
    <x v="454"/>
  </r>
  <r>
    <s v="Harris, Ashley"/>
    <s v="M18"/>
    <s v="ROM"/>
    <s v="04:26:07"/>
    <x v="974"/>
  </r>
  <r>
    <s v="Kis Árpád"/>
    <s v="M25"/>
    <s v="HUN"/>
    <s v="04:24:36"/>
    <x v="1500"/>
  </r>
  <r>
    <s v="LANCO, Thomas"/>
    <s v="M40"/>
    <s v="HUN"/>
    <s v="03:28:41"/>
    <x v="1501"/>
  </r>
  <r>
    <s v="Jimmy, Lomba"/>
    <s v="M45"/>
    <s v="HUN"/>
    <s v="04:16:54"/>
    <x v="1502"/>
  </r>
  <r>
    <s v="Urbancsek Balázs"/>
    <s v="M20"/>
    <s v="HUN"/>
    <s v="04:45:37"/>
    <x v="476"/>
  </r>
  <r>
    <s v="Christopher, Barney"/>
    <s v="M30"/>
    <s v="POL"/>
    <s v="04:00:15"/>
    <x v="802"/>
  </r>
  <r>
    <s v="Marian, Alexe dr"/>
    <s v="M30"/>
    <s v="HUN"/>
    <s v="03:25:29"/>
    <x v="1503"/>
  </r>
  <r>
    <s v="Mestyán Márton"/>
    <s v="M30"/>
    <s v="UKR"/>
    <s v="04:03:10"/>
    <x v="1504"/>
  </r>
  <r>
    <s v="Kovács László"/>
    <s v="M40"/>
    <s v="HUN"/>
    <s v="03:46:37"/>
    <x v="1505"/>
  </r>
  <r>
    <s v="BARNABA, ANDREA"/>
    <s v="M55"/>
    <s v="HUN"/>
    <s v="04:07:30"/>
    <x v="1506"/>
  </r>
  <r>
    <s v="Kelemen József"/>
    <s v="M60"/>
    <s v="SRB"/>
    <s v="03:44:04"/>
    <x v="1507"/>
  </r>
  <r>
    <s v="Tánczos László"/>
    <s v="M65"/>
    <s v="GER"/>
    <s v="04:29:29"/>
    <x v="1481"/>
  </r>
  <r>
    <s v="Széll Endre"/>
    <s v="M45"/>
    <s v="FIN"/>
    <s v="03:46:23"/>
    <x v="57"/>
  </r>
  <r>
    <s v="Virág János"/>
    <s v="M65"/>
    <s v="HUN"/>
    <s v="04:53:27"/>
    <x v="1508"/>
  </r>
  <r>
    <s v="Miholcsek Zsolt"/>
    <s v="M40"/>
    <s v="CZE"/>
    <s v="04:03:21"/>
    <x v="1058"/>
  </r>
  <r>
    <s v="Blázsik Endre"/>
    <s v="M35"/>
    <s v="HUN"/>
    <s v="04:10:21"/>
    <x v="1157"/>
  </r>
  <r>
    <s v="Békésy András"/>
    <s v="M35"/>
    <s v="HUN"/>
    <s v="04:58:36"/>
    <x v="1509"/>
  </r>
  <r>
    <s v="Perez Cascajares, Manuel"/>
    <s v="M45"/>
    <s v="HUN"/>
    <s v="03:57:33"/>
    <x v="1303"/>
  </r>
  <r>
    <s v="Dönisch, Georg"/>
    <s v="M30"/>
    <s v="HUN"/>
    <s v="04:45:53"/>
    <x v="1510"/>
  </r>
  <r>
    <s v="Wing, Jack"/>
    <s v="M20"/>
    <s v="GBR"/>
    <s v="04:42:30"/>
    <x v="1511"/>
  </r>
  <r>
    <s v="Baranyi Gergely dr."/>
    <s v="M40"/>
    <s v="HUN"/>
    <s v="03:41:29"/>
    <x v="1140"/>
  </r>
  <r>
    <s v="Varga István"/>
    <s v="M40"/>
    <s v="HUN"/>
    <s v="03:09:35"/>
    <x v="103"/>
  </r>
  <r>
    <s v="Marcsa Dániel dr"/>
    <s v="M40"/>
    <s v="HUN"/>
    <s v="03:25:13"/>
    <x v="589"/>
  </r>
  <r>
    <s v="Gebei Tamas"/>
    <s v="M40"/>
    <s v="HUN"/>
    <s v="05:31:44"/>
    <x v="1512"/>
  </r>
  <r>
    <s v="Pünkösty András Dr."/>
    <s v="M40"/>
    <s v="HUN"/>
    <s v="03:38:38"/>
    <x v="1513"/>
  </r>
  <r>
    <s v="Kovács István"/>
    <s v="M45"/>
    <s v="FRA"/>
    <s v="04:46:41"/>
    <x v="1514"/>
  </r>
  <r>
    <s v="Lienhard, Martin"/>
    <s v="M60"/>
    <s v="GBR"/>
    <s v="03:55:55"/>
    <x v="1515"/>
  </r>
  <r>
    <s v="Mitja, Zitnik"/>
    <s v="M50"/>
    <s v="HUN"/>
    <s v="03:07:13"/>
    <x v="1516"/>
  </r>
  <r>
    <s v="Szlavinics Dániel"/>
    <s v="M30"/>
    <s v="FRA"/>
    <s v="04:27:29"/>
    <x v="1517"/>
  </r>
  <r>
    <s v="Kaluz Ákos Bertalan"/>
    <s v="M40"/>
    <s v="GBR"/>
    <s v="03:30:12"/>
    <x v="1518"/>
  </r>
  <r>
    <s v="Molnár Zoltán"/>
    <s v="M40"/>
    <s v="POL"/>
    <s v="04:55:33"/>
    <x v="1519"/>
  </r>
  <r>
    <s v="Kretovics Gusztáv"/>
    <s v="M40"/>
    <s v="FIN"/>
    <s v="05:03:46"/>
    <x v="117"/>
  </r>
  <r>
    <s v="Vincent, BROSSARD"/>
    <s v="M45"/>
    <s v="HUN"/>
    <s v="03:41:45"/>
    <x v="1358"/>
  </r>
  <r>
    <s v="Szabó András"/>
    <s v="M45"/>
    <s v="HUN"/>
    <s v="03:57:21"/>
    <x v="1520"/>
  </r>
  <r>
    <s v="Ortner, Julian"/>
    <s v="M25"/>
    <s v="HUN"/>
    <s v="03:28:59"/>
    <x v="1521"/>
  </r>
  <r>
    <s v="Csécsei Zoltán"/>
    <s v="M45"/>
    <s v="HUN"/>
    <s v="04:42:26"/>
    <x v="1295"/>
  </r>
  <r>
    <s v="Kantzilieris, Michael Angelos"/>
    <s v="M40"/>
    <s v="ESP"/>
    <s v="04:07:57"/>
    <x v="1522"/>
  </r>
  <r>
    <s v="Palancsa Zsolt"/>
    <s v="M45"/>
    <s v="HUN"/>
    <s v="04:22:33"/>
    <x v="1523"/>
  </r>
  <r>
    <s v="Ivanic, Zoran"/>
    <s v="M45"/>
    <s v="RSA"/>
    <s v="05:12:30"/>
    <x v="227"/>
  </r>
  <r>
    <s v="Szabó István"/>
    <s v="M35"/>
    <s v="HUN"/>
    <s v="03:51:46"/>
    <x v="611"/>
  </r>
  <r>
    <s v="Noguchi, Hitoshi"/>
    <s v="M40"/>
    <s v="HUN"/>
    <s v="04:38:54"/>
    <x v="1524"/>
  </r>
  <r>
    <s v="Lojkó Zoltán"/>
    <s v="M50"/>
    <s v="FRA"/>
    <s v="04:15:04"/>
    <x v="1525"/>
  </r>
  <r>
    <s v="Mészáros Imre"/>
    <s v="M50"/>
    <s v="HUN"/>
    <s v="03:25:15"/>
    <x v="1526"/>
  </r>
  <r>
    <s v="Silvano, Rafael prof"/>
    <s v="M35"/>
    <s v="FRA"/>
    <s v="03:57:24"/>
    <x v="1527"/>
  </r>
  <r>
    <s v="Ritchie, Peter"/>
    <s v="M60"/>
    <s v="HUN"/>
    <s v="05:22:50"/>
    <x v="1528"/>
  </r>
  <r>
    <s v="Padova, Carmelo"/>
    <s v="M55"/>
    <s v="HUN"/>
    <s v="03:22:53"/>
    <x v="1529"/>
  </r>
  <r>
    <s v="Szaszkó Dominik"/>
    <s v="M25"/>
    <s v="SVK"/>
    <s v="04:14:54"/>
    <x v="312"/>
  </r>
  <r>
    <s v="Sweeney, Patrick"/>
    <s v="M30"/>
    <s v="GBR"/>
    <s v="03:43:09"/>
    <x v="1530"/>
  </r>
  <r>
    <s v="Andrikó Máté"/>
    <s v="M40"/>
    <s v="ITA"/>
    <s v="03:37:57"/>
    <x v="1531"/>
  </r>
  <r>
    <s v="Götz, Lars"/>
    <s v="M50"/>
    <s v="GER"/>
    <s v="03:28:03"/>
    <x v="443"/>
  </r>
  <r>
    <s v="Kelemen Bálint"/>
    <s v="M25"/>
    <s v="RUS"/>
    <s v="04:21:40"/>
    <x v="620"/>
  </r>
  <r>
    <s v="Verbaanderd, Gunther"/>
    <s v="M55"/>
    <s v="HUN"/>
    <s v="03:23:03"/>
    <x v="1109"/>
  </r>
  <r>
    <s v="Souza, David"/>
    <s v="M30"/>
    <s v="HUN"/>
    <s v="04:03:04"/>
    <x v="1532"/>
  </r>
  <r>
    <s v="Bronswijk, Jeroen"/>
    <s v="M30"/>
    <s v="HUN"/>
    <s v="04:12:29"/>
    <x v="1533"/>
  </r>
  <r>
    <s v="Baráth Márk"/>
    <s v="M30"/>
    <s v="HUN"/>
    <s v="04:47:06"/>
    <x v="1534"/>
  </r>
  <r>
    <s v="Kapidis, Vasilis"/>
    <s v="M45"/>
    <s v="GER"/>
    <s v="04:31:12"/>
    <x v="1535"/>
  </r>
  <r>
    <s v="Százdi László Tamás Dr."/>
    <s v="M45"/>
    <s v="HUN"/>
    <s v="03:29:25"/>
    <x v="1451"/>
  </r>
  <r>
    <s v="Juujärvi, Peitsa"/>
    <s v="M55"/>
    <s v="GBR"/>
    <s v="04:10:36"/>
    <x v="1536"/>
  </r>
  <r>
    <s v="Tardos Gábor"/>
    <s v="M60"/>
    <s v="HUN"/>
    <s v="04:33:20"/>
    <x v="1537"/>
  </r>
  <r>
    <s v="Török István"/>
    <s v="M40"/>
    <s v="FRA"/>
    <s v="05:24:45"/>
    <x v="1538"/>
  </r>
  <r>
    <s v="Bacsó Krisztián"/>
    <s v="M25"/>
    <s v="GBR"/>
    <s v="05:22:17"/>
    <x v="1539"/>
  </r>
  <r>
    <s v="Farkas Gyula"/>
    <s v="M50"/>
    <s v="HUN"/>
    <s v="05:26:16"/>
    <x v="1540"/>
  </r>
  <r>
    <s v="Nemeth David"/>
    <s v="M20"/>
    <s v="HUN"/>
    <s v="03:25:21"/>
    <x v="1541"/>
  </r>
  <r>
    <s v="Tóth Tamás"/>
    <s v="M35"/>
    <s v="HUN"/>
    <s v="04:10:32"/>
    <x v="1542"/>
  </r>
  <r>
    <s v="Delmarche, Antoine"/>
    <s v="M35"/>
    <s v="HUN"/>
    <s v="03:57:10"/>
    <x v="1543"/>
  </r>
  <r>
    <s v="Réthelyi János"/>
    <s v="M50"/>
    <s v="USA"/>
    <s v="04:07:05"/>
    <x v="693"/>
  </r>
  <r>
    <s v="Leblanc, Renaud"/>
    <s v="M35"/>
    <s v="HUN"/>
    <s v="02:47:03"/>
    <x v="1544"/>
  </r>
  <r>
    <s v="Deák János"/>
    <s v="M45"/>
    <s v="HUN"/>
    <s v="04:13:37"/>
    <x v="1545"/>
  </r>
  <r>
    <s v="Huszár Gábor"/>
    <s v="M40"/>
    <s v="ITA"/>
    <s v="04:23:21"/>
    <x v="1546"/>
  </r>
  <r>
    <s v="Thompson, Simon"/>
    <s v="M35"/>
    <s v="FRA"/>
    <s v="03:40:06"/>
    <x v="1547"/>
  </r>
  <r>
    <s v="Antoine, Guéranger"/>
    <s v="M20"/>
    <s v="GER"/>
    <s v="03:54:31"/>
    <x v="1548"/>
  </r>
  <r>
    <s v="Zenz, Dirk"/>
    <s v="M55"/>
    <s v="HUN"/>
    <s v="04:21:19"/>
    <x v="1125"/>
  </r>
  <r>
    <s v="Matuk Bálint"/>
    <s v="M40"/>
    <s v="HUN"/>
    <s v="04:26:07"/>
    <x v="974"/>
  </r>
  <r>
    <s v="Menyhárt Zoltán"/>
    <s v="M45"/>
    <s v="HUN"/>
    <s v="03:45:23"/>
    <x v="1549"/>
  </r>
  <r>
    <s v="KYPRIANOU, PANTELIS"/>
    <s v="M50"/>
    <s v="HUN"/>
    <s v="03:53:53"/>
    <x v="946"/>
  </r>
  <r>
    <s v="Sallai, Zsolt"/>
    <s v="M40"/>
    <s v="GBR"/>
    <s v="03:55:03"/>
    <x v="608"/>
  </r>
  <r>
    <s v="Góbor Peti"/>
    <s v="M35"/>
    <s v="HUN"/>
    <s v="04:09:15"/>
    <x v="1550"/>
  </r>
  <r>
    <s v="Ashworth, Benedict"/>
    <s v="M20"/>
    <s v="GBR"/>
    <s v="04:22:34"/>
    <x v="561"/>
  </r>
  <r>
    <s v="Csecsetka Dániel"/>
    <s v="M35"/>
    <s v="UKR"/>
    <s v="05:03:47"/>
    <x v="238"/>
  </r>
  <r>
    <s v="Lamoureux, Bertrand prof"/>
    <s v="M45"/>
    <s v="FRA"/>
    <s v="03:49:50"/>
    <x v="1551"/>
  </r>
  <r>
    <s v="Autar, Miki"/>
    <s v="M35"/>
    <s v="HUN"/>
    <s v="04:12:05"/>
    <x v="1552"/>
  </r>
  <r>
    <s v="Alexandru Marian, Negura"/>
    <s v="M25"/>
    <s v="GBR"/>
    <s v="03:58:57"/>
    <x v="1072"/>
  </r>
  <r>
    <s v="Petrovay Zoltán"/>
    <s v="M50"/>
    <s v="HUN"/>
    <s v="05:03:04"/>
    <x v="804"/>
  </r>
  <r>
    <s v="De Waal, Sybrand"/>
    <s v="M30"/>
    <s v="HUN"/>
    <s v="03:17:04"/>
    <x v="1553"/>
  </r>
  <r>
    <s v="Morrison, Iain"/>
    <s v="M30"/>
    <s v="HUN"/>
    <s v="04:32:46"/>
    <x v="1554"/>
  </r>
  <r>
    <s v="Aguiar, Nicolas"/>
    <s v="M25"/>
    <s v="HUN"/>
    <s v="04:30:17"/>
    <x v="1555"/>
  </r>
  <r>
    <s v="Komáromi-Nagy Márton"/>
    <s v="M20"/>
    <s v="FRA"/>
    <s v="04:41:33"/>
    <x v="390"/>
  </r>
  <r>
    <s v="Nagy László"/>
    <s v="M30"/>
    <s v="HUN"/>
    <s v="04:33:22"/>
    <x v="1556"/>
  </r>
  <r>
    <s v="Attila Mészáros"/>
    <s v="M20"/>
    <s v="AUT"/>
    <s v="05:07:32"/>
    <x v="1557"/>
  </r>
  <r>
    <s v="Orbán Attila"/>
    <s v="M50"/>
    <s v="HUN"/>
    <s v="05:24:41"/>
    <x v="1558"/>
  </r>
  <r>
    <s v="Belecz Péter"/>
    <s v="M45"/>
    <s v="HUN"/>
    <s v="03:56:15"/>
    <x v="1559"/>
  </r>
  <r>
    <s v="Henglár György"/>
    <s v="M40"/>
    <s v="HUN"/>
    <s v="04:12:16"/>
    <x v="1560"/>
  </r>
  <r>
    <s v="Knai, Ole"/>
    <s v="M45"/>
    <s v="HUN"/>
    <s v="03:18:14"/>
    <x v="1561"/>
  </r>
  <r>
    <s v="Marcali Tibor Zoltán"/>
    <s v="M40"/>
    <s v="HUN"/>
    <s v="03:26:22"/>
    <x v="1136"/>
  </r>
  <r>
    <s v="Virágh Pál"/>
    <s v="M45"/>
    <s v="GBR"/>
    <s v="04:44:18"/>
    <x v="1562"/>
  </r>
  <r>
    <s v="Raiman, Julian"/>
    <s v="M55"/>
    <s v="HUN"/>
    <s v="04:31:42"/>
    <x v="508"/>
  </r>
  <r>
    <s v="Németvölgyi Márk"/>
    <s v="M35"/>
    <s v="RUS"/>
    <s v="04:02:10"/>
    <x v="1563"/>
  </r>
  <r>
    <s v="Péchy Krisztián"/>
    <s v="M40"/>
    <s v="HUN"/>
    <s v="04:14:25"/>
    <x v="1564"/>
  </r>
  <r>
    <s v="Pataki Róbert"/>
    <s v="M50"/>
    <s v="FRA"/>
    <s v="04:20:00"/>
    <x v="509"/>
  </r>
  <r>
    <s v="Molnar, Franz"/>
    <s v="M55"/>
    <s v="HUN"/>
    <s v="04:03:41"/>
    <x v="1565"/>
  </r>
  <r>
    <s v="Luignano, Salvatore"/>
    <s v="M45"/>
    <s v="HUN"/>
    <s v="04:25:52"/>
    <x v="453"/>
  </r>
  <r>
    <s v="Yilmaz Attila"/>
    <s v="M25"/>
    <s v="HUN"/>
    <s v="04:30:29"/>
    <x v="1566"/>
  </r>
  <r>
    <s v="Csoma, Botond"/>
    <s v="M45"/>
    <s v="HUN"/>
    <s v="04:09:45"/>
    <x v="1567"/>
  </r>
  <r>
    <s v="Boorsma, Kees Jan"/>
    <s v="M60"/>
    <s v="HUN"/>
    <s v="03:33:54"/>
    <x v="1568"/>
  </r>
  <r>
    <s v="Downs-Smithen, Quade"/>
    <s v="M20"/>
    <s v="HUN"/>
    <s v="03:41:22"/>
    <x v="1569"/>
  </r>
  <r>
    <s v="Binnie-Tkacz, Michael"/>
    <s v="M25"/>
    <s v="BEL"/>
    <s v="05:14:04"/>
    <x v="1570"/>
  </r>
  <r>
    <s v="Middleton, Glynn"/>
    <s v="M45"/>
    <s v="ITA"/>
    <s v="04:03:02"/>
    <x v="1571"/>
  </r>
  <r>
    <s v="Samu Szabolcs"/>
    <s v="M50"/>
    <s v="HUN"/>
    <s v="04:27:54"/>
    <x v="1572"/>
  </r>
  <r>
    <s v="Kovács Gábor"/>
    <s v="M45"/>
    <s v="SVK"/>
    <s v="03:32:16"/>
    <x v="1573"/>
  </r>
  <r>
    <s v="Csillik Áron"/>
    <s v="M45"/>
    <s v="IRL"/>
    <s v="04:13:07"/>
    <x v="1574"/>
  </r>
  <r>
    <s v="Hazley, Daniel"/>
    <s v="M25"/>
    <s v="HUN"/>
    <s v="03:48:26"/>
    <x v="1575"/>
  </r>
  <r>
    <s v="Stahl Norbert"/>
    <s v="M40"/>
    <s v="BIH"/>
    <s v="04:16:34"/>
    <x v="1576"/>
  </r>
  <r>
    <s v="Tarcsay Péter ifj"/>
    <s v="M50"/>
    <s v="HUN"/>
    <s v="04:16:21"/>
    <x v="1577"/>
  </r>
  <r>
    <s v="O'Halloran, Damien"/>
    <s v="M40"/>
    <s v="HUN"/>
    <s v="04:26:16"/>
    <x v="904"/>
  </r>
  <r>
    <s v="Graziano, Gentili prof"/>
    <s v="M45"/>
    <s v="HUN"/>
    <s v="03:19:12"/>
    <x v="1578"/>
  </r>
  <r>
    <s v="Lyall-Collins, Angus"/>
    <s v="M25"/>
    <s v="HUN"/>
    <s v="03:51:49"/>
    <x v="1579"/>
  </r>
  <r>
    <s v="Pók János"/>
    <s v="M60"/>
    <s v="POL"/>
    <s v="04:03:33"/>
    <x v="1580"/>
  </r>
  <r>
    <s v="Martin Garcia, Oscar prof"/>
    <s v="M55"/>
    <s v="POL"/>
    <s v="04:05:44"/>
    <x v="210"/>
  </r>
  <r>
    <s v="Brans, Jeroen dr"/>
    <s v="M40"/>
    <s v="HUN"/>
    <s v="03:42:15"/>
    <x v="1581"/>
  </r>
  <r>
    <s v="Janssen, Rob"/>
    <s v="M40"/>
    <s v="FRA"/>
    <s v="03:29:22"/>
    <x v="1357"/>
  </r>
  <r>
    <s v="Pákozdi Tibor"/>
    <s v="M55"/>
    <s v="HUN"/>
    <s v="03:50:44"/>
    <x v="1582"/>
  </r>
  <r>
    <s v="Blanco, Lorenzo"/>
    <s v="M20"/>
    <s v="NED"/>
    <s v="04:36:23"/>
    <x v="1583"/>
  </r>
  <r>
    <s v="Szatmári Balázs"/>
    <s v="M25"/>
    <s v="HUN"/>
    <s v="04:16:23"/>
    <x v="1584"/>
  </r>
  <r>
    <s v="Hugauf Árpád"/>
    <s v="M55"/>
    <s v="GBR"/>
    <s v="05:13:43"/>
    <x v="1585"/>
  </r>
  <r>
    <s v="Varga Ádám"/>
    <s v="M35"/>
    <s v="AUS"/>
    <s v="05:03:52"/>
    <x v="1586"/>
  </r>
  <r>
    <s v="BAE, SEONGMUN"/>
    <s v="M35"/>
    <s v="POL"/>
    <s v="04:36:03"/>
    <x v="1587"/>
  </r>
  <r>
    <s v="Károly László"/>
    <s v="M40"/>
    <s v="HUN"/>
    <s v="04:44:19"/>
    <x v="1588"/>
  </r>
  <r>
    <s v="Gere Lajos"/>
    <s v="M30"/>
    <s v="HUN"/>
    <s v="03:35:14"/>
    <x v="1589"/>
  </r>
  <r>
    <s v="Mohammed Muhemin dr"/>
    <s v="M35"/>
    <s v="HUN"/>
    <s v="04:19:25"/>
    <x v="1590"/>
  </r>
  <r>
    <s v="Mester Péter"/>
    <s v="M40"/>
    <s v="HUN"/>
    <s v="03:09:02"/>
    <x v="1433"/>
  </r>
  <r>
    <s v="Vida Renato"/>
    <s v="M35"/>
    <s v="NED"/>
    <s v="03:28:34"/>
    <x v="1591"/>
  </r>
  <r>
    <s v="Kiss Dániel"/>
    <s v="M30"/>
    <s v="UKR"/>
    <s v="04:59:07"/>
    <x v="1592"/>
  </r>
  <r>
    <s v="Bordás Csaba"/>
    <s v="M55"/>
    <s v="HUN"/>
    <s v="04:15:51"/>
    <x v="1593"/>
  </r>
  <r>
    <s v="VAN DER VOORT, SEBASTIEN"/>
    <s v="M50"/>
    <s v="RUS"/>
    <s v="04:03:01"/>
    <x v="1594"/>
  </r>
  <r>
    <s v="Marlow, Jamie"/>
    <s v="M40"/>
    <s v="GER"/>
    <s v="03:28:00"/>
    <x v="1595"/>
  </r>
  <r>
    <s v="Postema, Harro"/>
    <s v="M50"/>
    <s v="HUN"/>
    <s v="03:53:39"/>
    <x v="1370"/>
  </r>
  <r>
    <s v="Telekes Tamás"/>
    <s v="M50"/>
    <s v="HUN"/>
    <s v="03:40:46"/>
    <x v="192"/>
  </r>
  <r>
    <s v="Tougher, John"/>
    <s v="M50"/>
    <s v="FRA"/>
    <s v="03:45:46"/>
    <x v="1596"/>
  </r>
  <r>
    <s v="Gulyás Balázs"/>
    <s v="M40"/>
    <s v="HUN"/>
    <s v="03:17:57"/>
    <x v="1597"/>
  </r>
  <r>
    <s v="Kovács Gábor"/>
    <s v="M18"/>
    <s v="HUN"/>
    <s v="04:57:04"/>
    <x v="1598"/>
  </r>
  <r>
    <s v="Kiss István"/>
    <s v="M60"/>
    <s v="HUN"/>
    <s v="04:15:12"/>
    <x v="598"/>
  </r>
  <r>
    <s v="Fetés, Szabolcs"/>
    <s v="M30"/>
    <s v="HUN"/>
    <s v="03:38:42"/>
    <x v="21"/>
  </r>
  <r>
    <s v="Selapugin, Grigori"/>
    <s v="M40"/>
    <s v="HUN"/>
    <s v="03:38:31"/>
    <x v="1599"/>
  </r>
  <r>
    <s v="Görög Krisztián Dr."/>
    <s v="M45"/>
    <s v="ROM"/>
    <s v="04:22:32"/>
    <x v="1455"/>
  </r>
  <r>
    <s v="Hingi Viktor"/>
    <s v="M35"/>
    <s v="HUN"/>
    <s v="03:58:15"/>
    <x v="1600"/>
  </r>
  <r>
    <s v="Kiss Ádám"/>
    <s v="M20"/>
    <s v="ITA"/>
    <s v="05:20:51"/>
    <x v="1601"/>
  </r>
  <r>
    <s v="Török János"/>
    <s v="M40"/>
    <s v="HUN"/>
    <s v="04:29:08"/>
    <x v="1602"/>
  </r>
  <r>
    <s v="Rezső András Péter"/>
    <s v="M40"/>
    <s v="HUN"/>
    <s v="03:17:59"/>
    <x v="1603"/>
  </r>
  <r>
    <s v="Panchenko, Serhii prof"/>
    <s v="M65"/>
    <s v="HUN"/>
    <s v="03:21:43"/>
    <x v="1604"/>
  </r>
  <r>
    <s v="Fajó János"/>
    <s v="M35"/>
    <s v="HUN"/>
    <s v="04:11:57"/>
    <x v="1605"/>
  </r>
  <r>
    <s v="Achtergaele, Jannick"/>
    <s v="M30"/>
    <s v="ITA"/>
    <s v="03:31:51"/>
    <x v="1606"/>
  </r>
  <r>
    <s v="Ramus, Matthew prof"/>
    <s v="M50"/>
    <s v="HUN"/>
    <s v="03:41:44"/>
    <x v="1607"/>
  </r>
  <r>
    <s v="Tamura, Tetsu"/>
    <s v="M50"/>
    <s v="ISR"/>
    <s v="03:35:46"/>
    <x v="1608"/>
  </r>
  <r>
    <s v="Nusser Tamás"/>
    <s v="M35"/>
    <s v="HUN"/>
    <s v="03:20:01"/>
    <x v="1609"/>
  </r>
  <r>
    <s v="Yerasimou, Christos"/>
    <s v="M45"/>
    <s v="ROM"/>
    <s v="04:38:23"/>
    <x v="1610"/>
  </r>
  <r>
    <s v="Truesdale, Charles"/>
    <s v="M20"/>
    <s v="HUN"/>
    <s v="04:00:31"/>
    <x v="1611"/>
  </r>
  <r>
    <s v="Papp Zoltán"/>
    <s v="M50"/>
    <s v="HUN"/>
    <s v="03:57:42"/>
    <x v="1612"/>
  </r>
  <r>
    <s v="Simon András"/>
    <s v="M60"/>
    <s v="HUN"/>
    <s v="03:59:34"/>
    <x v="1200"/>
  </r>
  <r>
    <s v="BUfe, Michael"/>
    <s v="M60"/>
    <s v="POL"/>
    <s v="03:08:12"/>
    <x v="1613"/>
  </r>
  <r>
    <s v="Magyi Zsolt"/>
    <s v="M30"/>
    <s v="CZE"/>
    <s v="02:55:10"/>
    <x v="1614"/>
  </r>
  <r>
    <s v="Alimzhan uulu, Esen jr"/>
    <s v="M25"/>
    <s v="CHI"/>
    <s v="05:03:32"/>
    <x v="869"/>
  </r>
  <r>
    <s v="Csiki Gergely"/>
    <s v="M40"/>
    <s v="ITA"/>
    <s v="03:20:57"/>
    <x v="1615"/>
  </r>
  <r>
    <s v="Saláta Péter"/>
    <s v="M25"/>
    <s v="HUN"/>
    <s v="03:25:13"/>
    <x v="589"/>
  </r>
  <r>
    <s v="DRAKE, FELIX prof"/>
    <s v="M30"/>
    <s v="HUN"/>
    <s v="03:51:44"/>
    <x v="1616"/>
  </r>
  <r>
    <s v="Yong, Jun Han Louis"/>
    <s v="M20"/>
    <s v="GBR"/>
    <s v="04:17:39"/>
    <x v="1617"/>
  </r>
  <r>
    <s v="Arnelo, Albin"/>
    <s v="M25"/>
    <s v="HUN"/>
    <s v="03:47:22"/>
    <x v="1038"/>
  </r>
  <r>
    <s v="Kovács Gergely"/>
    <s v="M20"/>
    <s v="HUN"/>
    <s v="04:10:59"/>
    <x v="1618"/>
  </r>
  <r>
    <s v="Abell, Harry"/>
    <s v="M25"/>
    <s v="HUN"/>
    <s v="03:29:05"/>
    <x v="1619"/>
  </r>
  <r>
    <s v="Gobert, Stephane"/>
    <s v="M50"/>
    <s v="HUN"/>
    <s v="05:01:33"/>
    <x v="1620"/>
  </r>
  <r>
    <s v="Antal András"/>
    <s v="M20"/>
    <s v="HUN"/>
    <s v="04:22:25"/>
    <x v="276"/>
  </r>
  <r>
    <s v="Bognár Lajos"/>
    <s v="M45"/>
    <s v="GBR"/>
    <s v="04:42:26"/>
    <x v="1295"/>
  </r>
  <r>
    <s v="Pintér Balázs"/>
    <s v="M35"/>
    <s v="HUN"/>
    <s v="03:16:21"/>
    <x v="672"/>
  </r>
  <r>
    <s v="Breznyán Gergő András"/>
    <s v="M20"/>
    <s v="HUN"/>
    <s v="03:55:50"/>
    <x v="1621"/>
  </r>
  <r>
    <s v="Nyikos Bendegúz Richárd"/>
    <s v="M30"/>
    <s v="HUN"/>
    <s v="04:28:57"/>
    <x v="972"/>
  </r>
  <r>
    <s v="Kuchcinski, Marcin"/>
    <s v="M45"/>
    <s v="POL"/>
    <s v="05:01:41"/>
    <x v="1622"/>
  </r>
  <r>
    <s v="Runt, Luká"/>
    <s v="M20"/>
    <s v="MEX"/>
    <s v="03:14:25"/>
    <x v="1623"/>
  </r>
  <r>
    <s v="Lökösházi Béla"/>
    <s v="M20"/>
    <s v="HUN"/>
    <s v="04:03:14"/>
    <x v="277"/>
  </r>
  <r>
    <s v="Mészáros Lajos"/>
    <s v="M60"/>
    <s v="HUN"/>
    <s v="03:49:00"/>
    <x v="585"/>
  </r>
  <r>
    <s v="Konkoly Balázs"/>
    <s v="M35"/>
    <s v="HUN"/>
    <s v="03:16:21"/>
    <x v="672"/>
  </r>
  <r>
    <s v="Sodolski, Stanisław"/>
    <s v="M25"/>
    <s v="HUN"/>
    <s v="04:40:32"/>
    <x v="1624"/>
  </r>
  <r>
    <s v="Walters, Philip Samuel"/>
    <s v="M20"/>
    <s v="HUN"/>
    <s v="03:19:59"/>
    <x v="1625"/>
  </r>
  <r>
    <s v="Di Palma, Federico"/>
    <s v="M25"/>
    <s v="HUN"/>
    <s v="03:54:55"/>
    <x v="1626"/>
  </r>
  <r>
    <s v="Kökényesi András"/>
    <s v="M30"/>
    <s v="GBR"/>
    <s v="03:49:52"/>
    <x v="1627"/>
  </r>
  <r>
    <s v="Barabás Áron"/>
    <s v="M35"/>
    <s v="HUN"/>
    <s v="03:36:12"/>
    <x v="1628"/>
  </r>
  <r>
    <s v="Pavlek, Sasa"/>
    <s v="M40"/>
    <s v="HUN"/>
    <s v="03:36:11"/>
    <x v="1629"/>
  </r>
  <r>
    <s v="CASALE, GIUSEPPE"/>
    <s v="M60"/>
    <s v="GBR"/>
    <s v="04:35:59"/>
    <x v="1630"/>
  </r>
  <r>
    <s v="Bódis Tamás"/>
    <s v="M35"/>
    <s v="HUN"/>
    <s v="02:33:23"/>
    <x v="1631"/>
  </r>
  <r>
    <s v="Dimény László"/>
    <s v="M45"/>
    <s v="HUN"/>
    <s v="03:35:41"/>
    <x v="1632"/>
  </r>
  <r>
    <s v="Horváth Ferenc"/>
    <s v="M55"/>
    <s v="BEL"/>
    <s v="04:34:56"/>
    <x v="1633"/>
  </r>
  <r>
    <s v="Cselényi Zoltán"/>
    <s v="M60"/>
    <s v="AUS"/>
    <s v="04:17:14"/>
    <x v="1634"/>
  </r>
  <r>
    <s v="Kiss, Ladislav"/>
    <s v="M40"/>
    <s v="HUN"/>
    <s v="02:49:50"/>
    <x v="1635"/>
  </r>
  <r>
    <s v="Orsós Ferenc"/>
    <s v="M40"/>
    <s v="SYR"/>
    <s v="04:12:18"/>
    <x v="1636"/>
  </r>
  <r>
    <s v="Roeckx, Witse"/>
    <s v="M20"/>
    <s v="HUN"/>
    <s v="03:46:13"/>
    <x v="1637"/>
  </r>
  <r>
    <s v="Vahey, Simon"/>
    <s v="M25"/>
    <s v="HUN"/>
    <s v="04:24:04"/>
    <x v="1638"/>
  </r>
  <r>
    <s v="Vilho, Lehtoaho"/>
    <s v="M55"/>
    <s v="HUN"/>
    <s v="03:00:30"/>
    <x v="1639"/>
  </r>
  <r>
    <s v="Cserei Bence"/>
    <s v="M25"/>
    <s v="HUN"/>
    <s v="04:36:32"/>
    <x v="1126"/>
  </r>
  <r>
    <s v="RENARD, XAVIER"/>
    <s v="M50"/>
    <s v="RUS"/>
    <s v="04:01:46"/>
    <x v="1640"/>
  </r>
  <r>
    <s v="THAIZE, Nicolas"/>
    <s v="M20"/>
    <s v="HUN"/>
    <s v="04:56:50"/>
    <x v="1641"/>
  </r>
  <r>
    <s v="Deák András"/>
    <s v="M35"/>
    <s v="LAT"/>
    <s v="03:47:59"/>
    <x v="1642"/>
  </r>
  <r>
    <s v="McGrath, Liam"/>
    <s v="M20"/>
    <s v="GBR"/>
    <s v="04:12:43"/>
    <x v="1643"/>
  </r>
  <r>
    <s v="Taylor, Michael"/>
    <s v="M25"/>
    <s v="HUN"/>
    <s v="03:23:32"/>
    <x v="51"/>
  </r>
  <r>
    <s v="KRITIKOPOULOS, LAZAROS"/>
    <s v="M55"/>
    <s v="HUN"/>
    <s v="03:50:06"/>
    <x v="1644"/>
  </r>
  <r>
    <s v="Fiam Tamás"/>
    <s v="M40"/>
    <s v="HUN"/>
    <s v="04:01:36"/>
    <x v="1645"/>
  </r>
  <r>
    <s v="Tanevic, Matija"/>
    <s v="M18"/>
    <s v="HUN"/>
    <s v="04:37:32"/>
    <x v="1646"/>
  </r>
  <r>
    <s v="Emilien, Debrosse"/>
    <s v="M25"/>
    <s v="HUN"/>
    <s v="04:28:20"/>
    <x v="1647"/>
  </r>
  <r>
    <s v="Stolzlederer, Robert"/>
    <s v="M40"/>
    <s v="HUN"/>
    <s v="03:07:51"/>
    <x v="1648"/>
  </r>
  <r>
    <s v="Stewardson, Rob"/>
    <s v="M35"/>
    <s v="HUN"/>
    <s v="03:32:21"/>
    <x v="604"/>
  </r>
  <r>
    <s v="Kunkli Áron"/>
    <s v="M25"/>
    <s v="INA"/>
    <s v="04:24:32"/>
    <x v="1649"/>
  </r>
  <r>
    <s v="Várkonyi István"/>
    <s v="M35"/>
    <s v="HUN"/>
    <s v="03:54:23"/>
    <x v="1650"/>
  </r>
  <r>
    <s v="Snowball, Spencer"/>
    <s v="M25"/>
    <s v="HUN"/>
    <s v="04:51:59"/>
    <x v="1651"/>
  </r>
  <r>
    <s v="Kajli Ákos"/>
    <s v="M25"/>
    <s v="HUN"/>
    <s v="03:37:59"/>
    <x v="1652"/>
  </r>
  <r>
    <s v="Grabowski, Grzegorz"/>
    <s v="M55"/>
    <s v="POL"/>
    <s v="05:03:13"/>
    <x v="1653"/>
  </r>
  <r>
    <s v="László Attila"/>
    <s v="M45"/>
    <s v="HUN"/>
    <s v="03:23:21"/>
    <x v="932"/>
  </r>
  <r>
    <s v="Tay, Yong Sheng James"/>
    <s v="M20"/>
    <s v="GER"/>
    <s v="05:12:33"/>
    <x v="1654"/>
  </r>
  <r>
    <s v="Giorgio, Roberto prof"/>
    <s v="M50"/>
    <s v="HUN"/>
    <s v="03:23:24"/>
    <x v="1655"/>
  </r>
  <r>
    <s v="Meyer, Heinz"/>
    <s v="M35"/>
    <s v="DEN"/>
    <s v="03:32:39"/>
    <x v="1656"/>
  </r>
  <r>
    <s v="Szalai László"/>
    <s v="M55"/>
    <s v="HUN"/>
    <s v="03:59:17"/>
    <x v="1657"/>
  </r>
  <r>
    <s v="O Sullivan, Ciaran"/>
    <s v="M20"/>
    <s v="HUN"/>
    <s v="03:19:00"/>
    <x v="1658"/>
  </r>
  <r>
    <s v="O'Halloran, David"/>
    <s v="M20"/>
    <s v="HUN"/>
    <s v="04:03:40"/>
    <x v="1659"/>
  </r>
  <r>
    <s v="Marhas, Imre"/>
    <s v="M45"/>
    <s v="SWE"/>
    <s v="05:12:32"/>
    <x v="1660"/>
  </r>
  <r>
    <s v="Monteiro, Rodrigo Cyrino"/>
    <s v="M50"/>
    <s v="HUN"/>
    <s v="03:09:27"/>
    <x v="1661"/>
  </r>
  <r>
    <s v="Salgado, Sergio prof"/>
    <s v="M50"/>
    <s v="HUN"/>
    <s v="04:08:04"/>
    <x v="1662"/>
  </r>
  <r>
    <s v="Mészáros Márk dr."/>
    <s v="M35"/>
    <s v="HUN"/>
    <s v="05:02:33"/>
    <x v="478"/>
  </r>
  <r>
    <s v="Olariu Csaba"/>
    <s v="M55"/>
    <s v="GBR"/>
    <s v="04:40:40"/>
    <x v="1663"/>
  </r>
  <r>
    <s v="Victor, Codron prof"/>
    <s v="M25"/>
    <s v="HUN"/>
    <s v="03:45:16"/>
    <x v="1664"/>
  </r>
  <r>
    <s v="Farkas Gábor"/>
    <s v="M45"/>
    <s v="HUN"/>
    <s v="03:47:22"/>
    <x v="1038"/>
  </r>
  <r>
    <s v="Début, Julien"/>
    <s v="M40"/>
    <s v="HUN"/>
    <s v="03:53:35"/>
    <x v="1665"/>
  </r>
  <r>
    <s v="Summers, Jack prof"/>
    <s v="M25"/>
    <s v="GBR"/>
    <s v="04:07:21"/>
    <x v="1666"/>
  </r>
  <r>
    <s v="Szamecz Béla dr"/>
    <s v="M45"/>
    <s v="HUN"/>
    <s v="04:19:53"/>
    <x v="1667"/>
  </r>
  <r>
    <s v="Frank Zoltán"/>
    <s v="M40"/>
    <s v="HUN"/>
    <s v="03:39:37"/>
    <x v="359"/>
  </r>
  <r>
    <s v="Grabowski, Tomasz jr"/>
    <s v="M30"/>
    <s v="HUN"/>
    <s v="05:03:12"/>
    <x v="1010"/>
  </r>
  <r>
    <s v="Garzó Gergely"/>
    <s v="M40"/>
    <s v="HUN"/>
    <s v="04:25:33"/>
    <x v="1668"/>
  </r>
  <r>
    <s v="Madejski, Sławomir"/>
    <s v="M35"/>
    <s v="HUN"/>
    <s v="02:58:48"/>
    <x v="1669"/>
  </r>
  <r>
    <s v="Nowinowski, Andrzej"/>
    <s v="M45"/>
    <s v="HUN"/>
    <s v="03:18:05"/>
    <x v="1670"/>
  </r>
  <r>
    <s v="Grabowski, Tomasz jr"/>
    <s v="M30"/>
    <s v="HUN"/>
    <s v="05:03:12"/>
    <x v="1010"/>
  </r>
  <r>
    <s v="Fernando, Arco"/>
    <s v="M55"/>
    <s v="HUN"/>
    <s v="03:18:35"/>
    <x v="586"/>
  </r>
  <r>
    <s v="Geiszt Róbert"/>
    <s v="M30"/>
    <s v="HUN"/>
    <s v="04:39:18"/>
    <x v="1671"/>
  </r>
  <r>
    <s v="Vojtkó Tibor"/>
    <s v="M55"/>
    <s v="KAZ"/>
    <s v="05:16:58"/>
    <x v="1672"/>
  </r>
  <r>
    <s v="Ramiro Prieto, Ruben prof"/>
    <s v="M40"/>
    <s v="HUN"/>
    <s v="03:21:18"/>
    <x v="1673"/>
  </r>
  <r>
    <s v="Hinnerup, Jens"/>
    <s v="M50"/>
    <s v="POL"/>
    <s v="03:10:58"/>
    <x v="1674"/>
  </r>
  <r>
    <s v="Isokoski, Erkki"/>
    <s v="M40"/>
    <s v="ESP"/>
    <s v="03:35:26"/>
    <x v="1675"/>
  </r>
  <r>
    <s v="Kiss Zsolt"/>
    <s v="M45"/>
    <s v="HUN"/>
    <s v="03:46:02"/>
    <x v="1676"/>
  </r>
  <r>
    <s v="Kuusik, Alex prof"/>
    <s v="M30"/>
    <s v="HUN"/>
    <s v="02:37:01"/>
    <x v="1677"/>
  </r>
  <r>
    <s v="de Fabribeckers, Henry"/>
    <s v="M35"/>
    <s v="HUN"/>
    <s v="03:57:36"/>
    <x v="1678"/>
  </r>
  <r>
    <s v="Oluwalana, Sam"/>
    <s v="M30"/>
    <s v="HUN"/>
    <s v="05:29:22"/>
    <x v="1679"/>
  </r>
  <r>
    <s v="Gasparro, Angelo Scipio"/>
    <s v="M50"/>
    <s v="GBR"/>
    <s v="03:37:37"/>
    <x v="1450"/>
  </r>
  <r>
    <s v="Lee, Kenny"/>
    <s v="M55"/>
    <s v="HUN"/>
    <s v="04:01:13"/>
    <x v="1272"/>
  </r>
  <r>
    <s v="Novák, Michal"/>
    <s v="M25"/>
    <s v="POL"/>
    <s v="03:59:39"/>
    <x v="1680"/>
  </r>
  <r>
    <s v="Marancsics Zsolt"/>
    <s v="M40"/>
    <s v="ESP"/>
    <s v="04:13:23"/>
    <x v="1681"/>
  </r>
  <r>
    <s v="Kuris Oszkár"/>
    <s v="M60"/>
    <s v="HUN"/>
    <s v="04:02:54"/>
    <x v="1682"/>
  </r>
  <r>
    <s v="MacLeod, Colin"/>
    <s v="M40"/>
    <s v="HUN"/>
    <s v="04:26:14"/>
    <x v="1683"/>
  </r>
  <r>
    <s v="Szalai Ferenc"/>
    <s v="M50"/>
    <s v="HUN"/>
    <s v="03:31:46"/>
    <x v="1684"/>
  </r>
  <r>
    <s v="Sharma, Cyrus"/>
    <s v="M20"/>
    <s v="HUN"/>
    <s v="03:25:13"/>
    <x v="589"/>
  </r>
  <r>
    <s v="KARAGITY MÁRK ADRIÁN"/>
    <s v="M30"/>
    <s v="HUN"/>
    <s v="04:08:35"/>
    <x v="961"/>
  </r>
  <r>
    <s v="Lesniak, Guillaume"/>
    <s v="M40"/>
    <s v="HUN"/>
    <s v="04:51:08"/>
    <x v="1685"/>
  </r>
  <r>
    <s v="Stegner, Christian"/>
    <s v="M25"/>
    <s v="POL"/>
    <s v="04:34:36"/>
    <x v="1686"/>
  </r>
  <r>
    <s v="Toldi Levente"/>
    <s v="M25"/>
    <s v="ROM"/>
    <s v="03:10:28"/>
    <x v="1420"/>
  </r>
  <r>
    <s v="Antal Tamás"/>
    <s v="M30"/>
    <s v="HUN"/>
    <s v="03:22:18"/>
    <x v="1687"/>
  </r>
  <r>
    <s v="Hull, Archie"/>
    <s v="M20"/>
    <s v="HUN"/>
    <s v="04:45:04"/>
    <x v="1688"/>
  </r>
  <r>
    <s v="Kristoffersen, Thomas"/>
    <s v="M40"/>
    <s v="NOR"/>
    <s v="03:19:32"/>
    <x v="1689"/>
  </r>
  <r>
    <s v="Morris, Owen"/>
    <s v="M20"/>
    <s v="GBR"/>
    <s v="03:50:18"/>
    <x v="1690"/>
  </r>
  <r>
    <s v="Brzustowicz, Marek"/>
    <s v="M65"/>
    <s v="HUN"/>
    <s v="04:01:36"/>
    <x v="1645"/>
  </r>
  <r>
    <s v="Pál Levente"/>
    <s v="M30"/>
    <s v="HUN"/>
    <s v="03:29:07"/>
    <x v="1691"/>
  </r>
  <r>
    <s v="Vénkuti Krisztián"/>
    <s v="M40"/>
    <s v="GER"/>
    <s v="03:16:24"/>
    <x v="1692"/>
  </r>
  <r>
    <s v="Neumann, Jörg"/>
    <s v="M50"/>
    <s v="HUN"/>
    <s v="03:26:54"/>
    <x v="1693"/>
  </r>
  <r>
    <s v="Tóth Kristóf"/>
    <s v="M30"/>
    <s v="SVK"/>
    <s v="03:59:27"/>
    <x v="1442"/>
  </r>
  <r>
    <s v="Horváth Richárd"/>
    <s v="M25"/>
    <s v="FRA"/>
    <s v="04:42:08"/>
    <x v="1694"/>
  </r>
  <r>
    <s v="Andrew, Abrams"/>
    <s v="M30"/>
    <s v="HUN"/>
    <s v="03:42:58"/>
    <x v="1695"/>
  </r>
  <r>
    <s v="Schulz, Christian"/>
    <s v="M40"/>
    <s v="HUN"/>
    <s v="03:48:27"/>
    <x v="1696"/>
  </r>
  <r>
    <s v="Wickett, George"/>
    <s v="M30"/>
    <s v="HUN"/>
    <s v="03:29:25"/>
    <x v="1451"/>
  </r>
  <r>
    <s v="Palkovics Péter"/>
    <s v="M45"/>
    <s v="HUN"/>
    <s v="04:34:41"/>
    <x v="1697"/>
  </r>
  <r>
    <s v="NAGY, EDE"/>
    <s v="M40"/>
    <s v="HUN"/>
    <s v="03:51:13"/>
    <x v="1698"/>
  </r>
  <r>
    <s v="Melter László"/>
    <s v="M60"/>
    <s v="SUI"/>
    <s v="04:44:03"/>
    <x v="879"/>
  </r>
  <r>
    <s v="Antoine, Carbon"/>
    <s v="M25"/>
    <s v="HUN"/>
    <s v="03:56:59"/>
    <x v="1699"/>
  </r>
  <r>
    <s v="Behrens, Ben"/>
    <s v="M35"/>
    <s v="CAN"/>
    <s v="03:39:52"/>
    <x v="1700"/>
  </r>
  <r>
    <s v="Campestrin, Andrea"/>
    <s v="M25"/>
    <s v="SVK"/>
    <s v="05:13:42"/>
    <x v="1701"/>
  </r>
  <r>
    <s v="van der Neut, André"/>
    <s v="M50"/>
    <s v="HUN"/>
    <s v="04:13:34"/>
    <x v="1702"/>
  </r>
  <r>
    <s v="Neger, Edwin prof"/>
    <s v="M45"/>
    <s v="GER"/>
    <s v="03:36:20"/>
    <x v="1703"/>
  </r>
  <r>
    <s v="Luignano, Salvatore"/>
    <s v="M45"/>
    <s v="FRA"/>
    <s v="04:25:52"/>
    <x v="453"/>
  </r>
  <r>
    <s v="Varga Csaba"/>
    <s v="M50"/>
    <s v="HUN"/>
    <s v="03:28:24"/>
    <x v="940"/>
  </r>
  <r>
    <s v="Sławomir, Włoch"/>
    <s v="M50"/>
    <s v="HUN"/>
    <s v="03:43:45"/>
    <x v="1704"/>
  </r>
  <r>
    <s v="Domiter Zoltán"/>
    <s v="M45"/>
    <s v="AUT"/>
    <s v="03:41:03"/>
    <x v="1267"/>
  </r>
  <r>
    <s v="Adank, Gian"/>
    <s v="M20"/>
    <s v="ESP"/>
    <s v="03:36:35"/>
    <x v="1705"/>
  </r>
  <r>
    <s v="Palakovics Péter dr"/>
    <s v="M30"/>
    <s v="HUN"/>
    <s v="03:58:30"/>
    <x v="1706"/>
  </r>
  <r>
    <s v="Révai József"/>
    <s v="M45"/>
    <s v="POL"/>
    <s v="04:03:28"/>
    <x v="470"/>
  </r>
  <r>
    <s v="Lyall-Collins, Angus"/>
    <s v="M25"/>
    <s v="RSA"/>
    <s v="03:51:49"/>
    <x v="1579"/>
  </r>
  <r>
    <s v="OKAZAKI, TAKAFUMI"/>
    <s v="M40"/>
    <s v="HUN"/>
    <s v="04:07:16"/>
    <x v="1707"/>
  </r>
  <r>
    <s v="Pollák András"/>
    <s v="M30"/>
    <s v="GBR"/>
    <s v="05:03:32"/>
    <x v="869"/>
  </r>
  <r>
    <s v="Gaszner Zsolt"/>
    <s v="M30"/>
    <s v="FRA"/>
    <s v="03:09:35"/>
    <x v="103"/>
  </r>
  <r>
    <s v="Fehér Sándor Adrián"/>
    <s v="M35"/>
    <s v="HUN"/>
    <s v="04:07:25"/>
    <x v="1708"/>
  </r>
  <r>
    <s v="Korpics Zsolt"/>
    <s v="M40"/>
    <s v="HUN"/>
    <s v="03:36:24"/>
    <x v="1709"/>
  </r>
  <r>
    <s v="Fehér László"/>
    <s v="M50"/>
    <s v="HUN"/>
    <s v="03:28:30"/>
    <x v="1710"/>
  </r>
  <r>
    <s v="XU, SHIDONG"/>
    <s v="M40"/>
    <s v="HUN"/>
    <s v="03:04:16"/>
    <x v="1711"/>
  </r>
  <r>
    <s v="Karikó Zalán"/>
    <s v="M18"/>
    <s v="HUN"/>
    <s v="03:57:54"/>
    <x v="1322"/>
  </r>
  <r>
    <s v="Govil, Rajiv prof"/>
    <s v="M55"/>
    <s v="FRA"/>
    <s v="04:41:33"/>
    <x v="390"/>
  </r>
  <r>
    <s v="Bálint Zoltán"/>
    <s v="M45"/>
    <s v="HUN"/>
    <s v="03:10:35"/>
    <x v="917"/>
  </r>
  <r>
    <s v="Mézes, Mátyás"/>
    <s v="M30"/>
    <s v="SVK"/>
    <s v="03:56:20"/>
    <x v="389"/>
  </r>
  <r>
    <s v="Jaller, Carl"/>
    <s v="M35"/>
    <s v="HUN"/>
    <s v="04:19:10"/>
    <x v="588"/>
  </r>
  <r>
    <s v="Slobodianyk, Maksym"/>
    <s v="M20"/>
    <s v="HUN"/>
    <s v="03:14:10"/>
    <x v="1712"/>
  </r>
  <r>
    <s v="Murden, Philip"/>
    <s v="M35"/>
    <s v="HUN"/>
    <s v="03:10:02"/>
    <x v="1713"/>
  </r>
  <r>
    <s v="Horvay Ákos"/>
    <s v="M20"/>
    <s v="SVK"/>
    <s v="03:10:43"/>
    <x v="564"/>
  </r>
  <r>
    <s v="Magyar Attila"/>
    <s v="M30"/>
    <s v="HUN"/>
    <s v="03:29:22"/>
    <x v="1357"/>
  </r>
  <r>
    <s v="Jelenek Ferenc"/>
    <s v="M35"/>
    <s v="HUN"/>
    <s v="04:02:38"/>
    <x v="1123"/>
  </r>
  <r>
    <s v="Sélley Gábor"/>
    <s v="M45"/>
    <s v="HUN"/>
    <s v="03:56:00"/>
    <x v="1714"/>
  </r>
  <r>
    <s v="Shaw, Stephen"/>
    <s v="M60"/>
    <s v="INA"/>
    <s v="04:27:52"/>
    <x v="1715"/>
  </r>
  <r>
    <s v="Avgenikos, Ioannis"/>
    <s v="M50"/>
    <s v="HUN"/>
    <s v="03:37:47"/>
    <x v="1716"/>
  </r>
  <r>
    <s v="LOUVIOT, Benoit"/>
    <s v="M45"/>
    <s v="CZE"/>
    <s v="04:52:59"/>
    <x v="1717"/>
  </r>
  <r>
    <s v="BRONDIN, JACKY"/>
    <s v="M55"/>
    <s v="HUN"/>
    <s v="04:53:16"/>
    <x v="1718"/>
  </r>
  <r>
    <s v="Tóth Ákos"/>
    <s v="M25"/>
    <s v="HUN"/>
    <s v="04:30:21"/>
    <x v="1719"/>
  </r>
  <r>
    <s v="Béres Szilárd"/>
    <s v="M50"/>
    <s v="HUN"/>
    <s v="04:16:48"/>
    <x v="1720"/>
  </r>
  <r>
    <s v="Bíró Gábor"/>
    <s v="M40"/>
    <s v="HUN"/>
    <s v="03:41:32"/>
    <x v="107"/>
  </r>
  <r>
    <s v="Kovács Csaba Gyula"/>
    <s v="M45"/>
    <s v="HUN"/>
    <s v="04:53:08"/>
    <x v="1721"/>
  </r>
  <r>
    <s v="Cadden, James"/>
    <s v="M40"/>
    <s v="HUN"/>
    <s v="03:44:15"/>
    <x v="1215"/>
  </r>
  <r>
    <s v="Nyiri László"/>
    <s v="M40"/>
    <s v="HUN"/>
    <s v="04:27:49"/>
    <x v="1722"/>
  </r>
  <r>
    <s v="Bokker Tamás"/>
    <s v="M45"/>
    <s v="HUN"/>
    <s v="03:53:36"/>
    <x v="1723"/>
  </r>
  <r>
    <s v="Morcillo, Francisco Luis"/>
    <s v="M35"/>
    <s v="HUN"/>
    <s v="03:27:55"/>
    <x v="1724"/>
  </r>
  <r>
    <s v="Guillaume, Lefin"/>
    <s v="M25"/>
    <s v="HUN"/>
    <s v="04:16:22"/>
    <x v="1725"/>
  </r>
  <r>
    <s v="Takács Csaba"/>
    <s v="M50"/>
    <s v="HUN"/>
    <s v="04:49:30"/>
    <x v="1726"/>
  </r>
  <r>
    <s v="Nyolcas Patrik"/>
    <s v="M20"/>
    <s v="HUN"/>
    <s v="04:28:27"/>
    <x v="1727"/>
  </r>
  <r>
    <s v="Kuczkó Róbert"/>
    <s v="M45"/>
    <s v="HUN"/>
    <s v="03:22:41"/>
    <x v="1728"/>
  </r>
  <r>
    <s v="Johansson, Anders"/>
    <s v="M55"/>
    <s v="HUN"/>
    <s v="04:17:56"/>
    <x v="557"/>
  </r>
  <r>
    <s v="Green, Nick"/>
    <s v="M40"/>
    <s v="RUS"/>
    <s v="04:32:42"/>
    <x v="422"/>
  </r>
  <r>
    <s v="Kassai Károly dr"/>
    <s v="M60"/>
    <s v="GBR"/>
    <s v="03:31:56"/>
    <x v="624"/>
  </r>
  <r>
    <s v="Zsigmond István"/>
    <s v="M35"/>
    <s v="FRA"/>
    <s v="03:46:33"/>
    <x v="1729"/>
  </r>
  <r>
    <s v="Szemerédi Gábor"/>
    <s v="M30"/>
    <s v="HUN"/>
    <s v="03:55:05"/>
    <x v="172"/>
  </r>
  <r>
    <s v="Walter, EIKE"/>
    <s v="M65"/>
    <s v="HUN"/>
    <s v="04:03:31"/>
    <x v="1730"/>
  </r>
  <r>
    <s v="Buza Rómeó"/>
    <s v="M20"/>
    <s v="BEL"/>
    <s v="04:03:38"/>
    <x v="468"/>
  </r>
  <r>
    <s v="Balassa Vilmos"/>
    <s v="M20"/>
    <s v="POL"/>
    <s v="04:09:25"/>
    <x v="1731"/>
  </r>
  <r>
    <s v="Tunquist, Eric"/>
    <s v="M60"/>
    <s v="NED"/>
    <s v="04:12:00"/>
    <x v="1732"/>
  </r>
  <r>
    <s v="Plaza, Dariusz"/>
    <s v="M50"/>
    <s v="HUN"/>
    <s v="03:30:39"/>
    <x v="1733"/>
  </r>
  <r>
    <s v="Craescu Gabriel"/>
    <s v="M20"/>
    <s v="FRA"/>
    <s v="04:20:17"/>
    <x v="1734"/>
  </r>
  <r>
    <s v="Kocsis Péter"/>
    <s v="M40"/>
    <s v="HUN"/>
    <s v="04:56:53"/>
    <x v="1735"/>
  </r>
  <r>
    <s v="Brans, Jeroen dr"/>
    <s v="M40"/>
    <s v="SVK"/>
    <s v="03:42:15"/>
    <x v="1581"/>
  </r>
  <r>
    <s v="Füleki Ádám"/>
    <s v="M50"/>
    <s v="FIN"/>
    <s v="04:24:30"/>
    <x v="1736"/>
  </r>
  <r>
    <s v="Surányi, Attila"/>
    <s v="M45"/>
    <s v="DEN"/>
    <s v="04:32:53"/>
    <x v="1737"/>
  </r>
  <r>
    <s v="Farkas Gábor dr"/>
    <s v="M40"/>
    <s v="HUN"/>
    <s v="04:59:02"/>
    <x v="1738"/>
  </r>
  <r>
    <s v="Helder van den, Marc prof"/>
    <s v="M40"/>
    <s v="POL"/>
    <s v="02:52:07"/>
    <x v="286"/>
  </r>
  <r>
    <s v="Dos Santos Ribeiro, José Fortunato prof"/>
    <s v="M55"/>
    <s v="HUN"/>
    <s v="03:43:44"/>
    <x v="1739"/>
  </r>
  <r>
    <s v="Montag, Andreas"/>
    <s v="M65"/>
    <s v="HUN"/>
    <s v="03:56:17"/>
    <x v="1740"/>
  </r>
  <r>
    <s v="Pető Zoltán"/>
    <s v="M30"/>
    <s v="FRA"/>
    <s v="02:54:43"/>
    <x v="1741"/>
  </r>
  <r>
    <s v="Watson, Glenn"/>
    <s v="M30"/>
    <s v="HUN"/>
    <s v="04:10:09"/>
    <x v="1359"/>
  </r>
  <r>
    <s v="Hammond, Dean"/>
    <s v="M30"/>
    <s v="HUN"/>
    <s v="03:46:40"/>
    <x v="616"/>
  </r>
  <r>
    <s v="Nyári Zoltán"/>
    <s v="M45"/>
    <s v="HUN"/>
    <s v="04:58:04"/>
    <x v="1088"/>
  </r>
  <r>
    <s v="Sander, Jona"/>
    <s v="M30"/>
    <s v="ITA"/>
    <s v="04:01:21"/>
    <x v="1742"/>
  </r>
  <r>
    <s v="Horváth Norbert"/>
    <s v="M35"/>
    <s v="HUN"/>
    <s v="04:49:58"/>
    <x v="1743"/>
  </r>
  <r>
    <s v="Ramus, Matthew prof"/>
    <s v="M50"/>
    <s v="HUN"/>
    <s v="03:41:44"/>
    <x v="1607"/>
  </r>
  <r>
    <s v="Muhammad, Ali dr"/>
    <s v="M35"/>
    <s v="HUN"/>
    <s v="04:42:39"/>
    <x v="1744"/>
  </r>
  <r>
    <s v="Mulhern, Matthew"/>
    <s v="M30"/>
    <s v="HUN"/>
    <s v="04:50:22"/>
    <x v="1745"/>
  </r>
  <r>
    <s v="Debreczeni Károly Balázs"/>
    <s v="M20"/>
    <s v="ROM"/>
    <s v="05:03:10"/>
    <x v="1205"/>
  </r>
  <r>
    <s v="Campestrin, Simone prof"/>
    <s v="M25"/>
    <s v="HUN"/>
    <s v="05:11:48"/>
    <x v="1746"/>
  </r>
  <r>
    <s v="Szakál Endre"/>
    <s v="M45"/>
    <s v="HUN"/>
    <s v="03:49:07"/>
    <x v="195"/>
  </r>
  <r>
    <s v="Chiorean, Adrian Raul"/>
    <s v="M25"/>
    <s v="HUN"/>
    <s v="04:11:13"/>
    <x v="1747"/>
  </r>
  <r>
    <s v="Reynolds, Mark"/>
    <s v="M55"/>
    <s v="GER"/>
    <s v="03:09:13"/>
    <x v="1748"/>
  </r>
  <r>
    <s v="Fenyő József"/>
    <s v="M60"/>
    <s v="GBR"/>
    <s v="04:22:19"/>
    <x v="1749"/>
  </r>
  <r>
    <s v="Roajac, Semir"/>
    <s v="M40"/>
    <s v="ESP"/>
    <s v="04:02:16"/>
    <x v="665"/>
  </r>
  <r>
    <s v="Caballero, Romulo"/>
    <s v="M35"/>
    <s v="HUN"/>
    <s v="04:57:01"/>
    <x v="1750"/>
  </r>
  <r>
    <s v="Taylor, Charlie"/>
    <s v="M20"/>
    <s v="HUN"/>
    <s v="03:44:45"/>
    <x v="1751"/>
  </r>
  <r>
    <s v="Zoltán, ILLÉ"/>
    <s v="M45"/>
    <s v="HUN"/>
    <s v="04:26:13"/>
    <x v="1752"/>
  </r>
  <r>
    <s v="Jenei Zsolt Ferenc"/>
    <s v="M35"/>
    <s v="HUN"/>
    <s v="05:01:03"/>
    <x v="323"/>
  </r>
  <r>
    <s v="Pólik Ádám"/>
    <s v="M20"/>
    <s v="GBR"/>
    <s v="05:11:44"/>
    <x v="1753"/>
  </r>
  <r>
    <s v="Grant, Ben"/>
    <s v="M18"/>
    <s v="HUN"/>
    <s v="03:50:52"/>
    <x v="1754"/>
  </r>
  <r>
    <s v="Vincze István ifj"/>
    <s v="M30"/>
    <s v="HUN"/>
    <s v="04:21:39"/>
    <x v="1755"/>
  </r>
  <r>
    <s v="Gyimesi Benedek"/>
    <s v="M20"/>
    <s v="NED"/>
    <s v="03:49:28"/>
    <x v="1756"/>
  </r>
  <r>
    <s v="Feldhoffer Benedek József"/>
    <s v="M30"/>
    <s v="HUN"/>
    <s v="04:02:56"/>
    <x v="660"/>
  </r>
  <r>
    <s v="Szökrönyös László"/>
    <s v="M45"/>
    <s v="HUN"/>
    <s v="04:10:04"/>
    <x v="1757"/>
  </r>
  <r>
    <s v="Bagger, Mads"/>
    <s v="M25"/>
    <s v="DEN"/>
    <s v="03:54:20"/>
    <x v="1404"/>
  </r>
  <r>
    <s v="ANDRE, VIGNES"/>
    <s v="M50"/>
    <s v="FRA"/>
    <s v="04:44:47"/>
    <x v="1758"/>
  </r>
  <r>
    <s v="Görög Tamás"/>
    <s v="M45"/>
    <s v="HUN"/>
    <s v="04:34:10"/>
    <x v="1759"/>
  </r>
  <r>
    <s v="Tena Sebastián, Javier dr"/>
    <s v="M25"/>
    <s v="HUN"/>
    <s v="04:11:19"/>
    <x v="1760"/>
  </r>
  <r>
    <s v="Smylie, Lorcan"/>
    <s v="M30"/>
    <s v="HUN"/>
    <s v="03:33:16"/>
    <x v="215"/>
  </r>
  <r>
    <s v="Barla Tamás"/>
    <s v="M25"/>
    <s v="HUN"/>
    <s v="04:53:38"/>
    <x v="1761"/>
  </r>
  <r>
    <s v="ERIC, FERNANDEZ LOMBARDO"/>
    <s v="M35"/>
    <s v="HUN"/>
    <s v="03:23:20"/>
    <x v="1169"/>
  </r>
  <r>
    <s v="Németh Zoltán"/>
    <s v="M20"/>
    <s v="HUN"/>
    <s v="03:08:47"/>
    <x v="1762"/>
  </r>
  <r>
    <s v="Kopunec, Michal"/>
    <s v="M40"/>
    <s v="HUN"/>
    <s v="03:16:56"/>
    <x v="1763"/>
  </r>
  <r>
    <s v="Szinger Balázs"/>
    <s v="M45"/>
    <s v="HUN"/>
    <s v="04:44:16"/>
    <x v="1764"/>
  </r>
  <r>
    <s v="Kovács Imre"/>
    <s v="M35"/>
    <s v="FRA"/>
    <s v="04:46:17"/>
    <x v="1765"/>
  </r>
  <r>
    <s v="Antal Tamás"/>
    <s v="M30"/>
    <s v="HUN"/>
    <s v="03:22:18"/>
    <x v="1687"/>
  </r>
  <r>
    <s v="Klap, Roel"/>
    <s v="M30"/>
    <s v="SLO"/>
    <s v="04:13:14"/>
    <x v="1766"/>
  </r>
  <r>
    <s v="Bálint Márton"/>
    <s v="M30"/>
    <s v="POL"/>
    <s v="04:15:18"/>
    <x v="1767"/>
  </r>
  <r>
    <s v="Iklódi Zsolt"/>
    <s v="M25"/>
    <s v="NED"/>
    <s v="02:59:06"/>
    <x v="1768"/>
  </r>
  <r>
    <s v="Nagy Róbert Sándor"/>
    <s v="M50"/>
    <s v="SWE"/>
    <s v="04:01:41"/>
    <x v="1769"/>
  </r>
  <r>
    <s v="Grienitz, Stefan"/>
    <s v="M40"/>
    <s v="HUN"/>
    <s v="04:53:31"/>
    <x v="1770"/>
  </r>
  <r>
    <s v="Harrit, Kasper"/>
    <s v="M25"/>
    <s v="HUN"/>
    <s v="03:56:00"/>
    <x v="1714"/>
  </r>
  <r>
    <s v="Chenet, Nicolas"/>
    <s v="M30"/>
    <s v="HUN"/>
    <s v="03:45:07"/>
    <x v="1771"/>
  </r>
  <r>
    <s v="Demeter Attila"/>
    <s v="M65"/>
    <s v="HUN"/>
    <s v="04:54:02"/>
    <x v="1772"/>
  </r>
  <r>
    <s v="Addelio, Vincenzo Pietro"/>
    <s v="M60"/>
    <s v="POL"/>
    <s v="04:17:59"/>
    <x v="1773"/>
  </r>
  <r>
    <s v="Cercelaru, Constantin"/>
    <s v="M35"/>
    <s v="POR"/>
    <s v="03:19:29"/>
    <x v="1774"/>
  </r>
  <r>
    <s v="Bernabeu Calatayud, Jorge"/>
    <s v="M45"/>
    <s v="HUN"/>
    <s v="03:46:35"/>
    <x v="1775"/>
  </r>
  <r>
    <s v="Ronchi, Erwin"/>
    <s v="M45"/>
    <s v="HUN"/>
    <s v="03:23:08"/>
    <x v="884"/>
  </r>
  <r>
    <s v="Thompson, Taylor dr"/>
    <s v="M25"/>
    <s v="HUN"/>
    <s v="03:48:34"/>
    <x v="1776"/>
  </r>
  <r>
    <s v="Román László"/>
    <s v="M40"/>
    <s v="SLO"/>
    <s v="04:11:21"/>
    <x v="1777"/>
  </r>
  <r>
    <s v="Szakál Péter"/>
    <s v="M40"/>
    <s v="NED"/>
    <s v="04:20:01"/>
    <x v="1778"/>
  </r>
  <r>
    <s v="Király Balázs"/>
    <s v="M45"/>
    <s v="FRA"/>
    <s v="03:52:05"/>
    <x v="1427"/>
  </r>
  <r>
    <s v="Francisco Jo´se, Vaquero Ramos"/>
    <s v="M45"/>
    <s v="HUN"/>
    <s v="03:16:33"/>
    <x v="1473"/>
  </r>
  <r>
    <s v="Heyl, Thomas"/>
    <s v="M55"/>
    <s v="GBR"/>
    <s v="04:39:50"/>
    <x v="1779"/>
  </r>
  <r>
    <s v="Babos Csaba"/>
    <s v="M45"/>
    <s v="HUN"/>
    <s v="03:26:59"/>
    <x v="1780"/>
  </r>
  <r>
    <s v="DONGYUE, Liu"/>
    <s v="M40"/>
    <s v="HUN"/>
    <s v="04:06:11"/>
    <x v="1781"/>
  </r>
  <r>
    <s v="Hartmann Dániel"/>
    <s v="M40"/>
    <s v="FRA"/>
    <s v="04:38:08"/>
    <x v="694"/>
  </r>
  <r>
    <s v="Brown, Payton"/>
    <s v="M20"/>
    <s v="HUN"/>
    <s v="03:42:06"/>
    <x v="1782"/>
  </r>
  <r>
    <s v="Stanley, Lloyd"/>
    <s v="M45"/>
    <s v="HUN"/>
    <s v="03:46:16"/>
    <x v="1783"/>
  </r>
  <r>
    <s v="Herbertsson, Gunnar"/>
    <s v="M65"/>
    <s v="UKR"/>
    <s v="04:04:04"/>
    <x v="173"/>
  </r>
  <r>
    <s v="Veres Gábor"/>
    <s v="M45"/>
    <s v="BEL"/>
    <s v="04:52:10"/>
    <x v="1784"/>
  </r>
  <r>
    <s v="McGee, Conor"/>
    <s v="M25"/>
    <s v="HUN"/>
    <s v="04:58:39"/>
    <x v="1785"/>
  </r>
  <r>
    <s v="Konrád Sándor"/>
    <s v="M35"/>
    <s v="HUN"/>
    <s v="03:50:30"/>
    <x v="1786"/>
  </r>
  <r>
    <s v="Maroda Máté"/>
    <s v="M20"/>
    <s v="HUN"/>
    <s v="04:26:20"/>
    <x v="779"/>
  </r>
  <r>
    <s v="Kovac, Pavel"/>
    <s v="M30"/>
    <s v="FRA"/>
    <s v="04:20:22"/>
    <x v="1787"/>
  </r>
  <r>
    <s v="Szabo Balazs"/>
    <s v="M50"/>
    <s v="HUN"/>
    <s v="03:41:56"/>
    <x v="844"/>
  </r>
  <r>
    <s v="Wurmański, Wiktor"/>
    <s v="M40"/>
    <s v="GRE"/>
    <s v="04:23:53"/>
    <x v="1788"/>
  </r>
  <r>
    <s v="Kiss Balázs"/>
    <s v="M45"/>
    <s v="HUN"/>
    <s v="04:44:12"/>
    <x v="1789"/>
  </r>
  <r>
    <s v="Lyne, Harvey prof"/>
    <s v="M20"/>
    <s v="POL"/>
    <s v="03:31:28"/>
    <x v="1790"/>
  </r>
  <r>
    <s v="Dósa Attila"/>
    <s v="M40"/>
    <s v="HUN"/>
    <s v="04:43:51"/>
    <x v="1000"/>
  </r>
  <r>
    <s v="Bokros Péter"/>
    <s v="M35"/>
    <s v="UKR"/>
    <s v="04:10:44"/>
    <x v="952"/>
  </r>
  <r>
    <s v="SCHINIOU, KYRIACOS"/>
    <s v="M55"/>
    <s v="HUN"/>
    <s v="03:30:11"/>
    <x v="1791"/>
  </r>
  <r>
    <s v="Catois, Quentin"/>
    <s v="M30"/>
    <s v="HUN"/>
    <s v="03:43:56"/>
    <x v="1792"/>
  </r>
  <r>
    <s v="Pongrácz Márton"/>
    <s v="M25"/>
    <s v="HUN"/>
    <s v="04:03:38"/>
    <x v="468"/>
  </r>
  <r>
    <s v="Négyesi László ifj"/>
    <s v="M45"/>
    <s v="GBR"/>
    <s v="04:34:44"/>
    <x v="1793"/>
  </r>
  <r>
    <s v="Zhuo, Chen"/>
    <s v="M20"/>
    <s v="HUN"/>
    <s v="04:44:04"/>
    <x v="71"/>
  </r>
  <r>
    <s v="Masters, Dorian"/>
    <s v="M25"/>
    <s v="GER"/>
    <s v="03:04:44"/>
    <x v="1794"/>
  </r>
  <r>
    <s v="Hernández Ramos, Ignacio prof"/>
    <s v="M50"/>
    <s v="POL"/>
    <s v="04:16:38"/>
    <x v="1795"/>
  </r>
  <r>
    <s v="Bozsik Balázs"/>
    <s v="M45"/>
    <s v="CZE"/>
    <s v="03:33:30"/>
    <x v="1796"/>
  </r>
  <r>
    <s v="Farkas Péter"/>
    <s v="M40"/>
    <s v="UKR"/>
    <s v="03:41:25"/>
    <x v="1797"/>
  </r>
  <r>
    <s v="Illés Mátyás"/>
    <s v="M45"/>
    <s v="UKR"/>
    <s v="03:16:47"/>
    <x v="696"/>
  </r>
  <r>
    <s v="Madrigal Villalobos, Marvin dr"/>
    <s v="M40"/>
    <s v="HUN"/>
    <s v="03:22:14"/>
    <x v="1798"/>
  </r>
  <r>
    <s v="Pogonyi Márton"/>
    <s v="M20"/>
    <s v="BEL"/>
    <s v="03:46:27"/>
    <x v="1485"/>
  </r>
  <r>
    <s v="Cservák György"/>
    <s v="M35"/>
    <s v="HUN"/>
    <s v="04:16:26"/>
    <x v="700"/>
  </r>
  <r>
    <s v="Baranyi Gábor"/>
    <s v="M50"/>
    <s v="NED"/>
    <s v="05:17:58"/>
    <x v="1799"/>
  </r>
  <r>
    <s v="Davies, Adam"/>
    <s v="M45"/>
    <s v="HUN"/>
    <s v="03:23:18"/>
    <x v="1026"/>
  </r>
  <r>
    <s v="Nagy Péter"/>
    <s v="M45"/>
    <s v="HUN"/>
    <s v="03:45:19"/>
    <x v="1800"/>
  </r>
  <r>
    <s v="Ulrich, Argeo"/>
    <s v="M25"/>
    <s v="HUN"/>
    <s v="03:53:57"/>
    <x v="1801"/>
  </r>
  <r>
    <s v="NAVARRO SANCHEZ, FRANCISCO MANUEL"/>
    <s v="M50"/>
    <s v="SVK"/>
    <s v="05:00:00"/>
    <x v="1802"/>
  </r>
  <r>
    <s v="Darányi János"/>
    <s v="M60"/>
    <s v="HUN"/>
    <s v="03:59:35"/>
    <x v="1803"/>
  </r>
  <r>
    <s v="Gramatikov, Martin dr"/>
    <s v="M50"/>
    <s v="HUN"/>
    <s v="03:08:20"/>
    <x v="1804"/>
  </r>
  <r>
    <s v="Tóth Péter Tamás"/>
    <s v="M40"/>
    <s v="POR"/>
    <s v="03:23:12"/>
    <x v="247"/>
  </r>
  <r>
    <s v="Yasyukevich, Dmitry"/>
    <s v="M40"/>
    <s v="HUN"/>
    <s v="03:43:52"/>
    <x v="1805"/>
  </r>
  <r>
    <s v="Kajtar, Alpar Jozsef"/>
    <s v="M30"/>
    <s v="HUN"/>
    <s v="03:35:29"/>
    <x v="1806"/>
  </r>
  <r>
    <s v="Trnkocy, Martin"/>
    <s v="M40"/>
    <s v="HUN"/>
    <s v="03:53:09"/>
    <x v="1807"/>
  </r>
  <r>
    <s v="Bopushev, Stalbek"/>
    <s v="M35"/>
    <s v="HUN"/>
    <s v="04:11:52"/>
    <x v="1808"/>
  </r>
  <r>
    <s v="Bajusz Péter"/>
    <s v="M45"/>
    <s v="IRL"/>
    <s v="04:36:12"/>
    <x v="1809"/>
  </r>
  <r>
    <s v="Minter, Daniel"/>
    <s v="M25"/>
    <s v="AUT"/>
    <s v="03:38:13"/>
    <x v="1810"/>
  </r>
  <r>
    <s v="Reynolds, Mark"/>
    <s v="M55"/>
    <s v="HUN"/>
    <s v="03:09:13"/>
    <x v="1748"/>
  </r>
  <r>
    <s v="Peters, Liam"/>
    <s v="M20"/>
    <s v="NED"/>
    <s v="03:37:42"/>
    <x v="1811"/>
  </r>
  <r>
    <s v="Molnár Ferenc Dr."/>
    <s v="M50"/>
    <s v="HUN"/>
    <s v="04:15:10"/>
    <x v="1812"/>
  </r>
  <r>
    <s v="Felföldi Bálint"/>
    <s v="M20"/>
    <s v="HUN"/>
    <s v="04:32:23"/>
    <x v="1813"/>
  </r>
  <r>
    <s v="Vitéz Attila"/>
    <s v="M50"/>
    <s v="HUN"/>
    <s v="04:43:35"/>
    <x v="1814"/>
  </r>
  <r>
    <s v="Homoki Bálint"/>
    <s v="M50"/>
    <s v="HUN"/>
    <s v="03:49:06"/>
    <x v="1815"/>
  </r>
  <r>
    <s v="Kovács Szabolcs"/>
    <s v="M25"/>
    <s v="GBR"/>
    <s v="02:42:18"/>
    <x v="1816"/>
  </r>
  <r>
    <s v="Wolstenholme, Ian"/>
    <s v="M40"/>
    <s v="HUN"/>
    <s v="04:51:25"/>
    <x v="1817"/>
  </r>
  <r>
    <s v="Pruzsinszki Bence"/>
    <s v="M20"/>
    <s v="ITA"/>
    <s v="03:16:59"/>
    <x v="1818"/>
  </r>
  <r>
    <s v="Bernard, WOLLENBURGER"/>
    <s v="M50"/>
    <s v="NED"/>
    <s v="03:57:07"/>
    <x v="1819"/>
  </r>
  <r>
    <s v="Fabók János"/>
    <s v="M45"/>
    <s v="HUN"/>
    <s v="05:02:39"/>
    <x v="1018"/>
  </r>
  <r>
    <s v="Prencsok József"/>
    <s v="M40"/>
    <s v="HUN"/>
    <s v="03:55:39"/>
    <x v="1820"/>
  </r>
  <r>
    <s v="Papp Dominik"/>
    <s v="M25"/>
    <s v="HUN"/>
    <s v="04:29:42"/>
    <x v="1397"/>
  </r>
  <r>
    <s v="Hegyi Tibor"/>
    <s v="M50"/>
    <s v="HUN"/>
    <s v="04:20:35"/>
    <x v="650"/>
  </r>
  <r>
    <s v="Jean-Valery, Atohoun"/>
    <s v="M30"/>
    <s v="FIN"/>
    <s v="03:05:16"/>
    <x v="1821"/>
  </r>
  <r>
    <s v="Bangha Tamás Krisztián"/>
    <s v="M45"/>
    <s v="HUN"/>
    <s v="04:04:12"/>
    <x v="479"/>
  </r>
  <r>
    <s v="McFerren Kristof"/>
    <s v="M30"/>
    <s v="FRA"/>
    <s v="04:15:23"/>
    <x v="1822"/>
  </r>
  <r>
    <s v="László Norbert"/>
    <s v="M45"/>
    <s v="SWE"/>
    <s v="04:28:32"/>
    <x v="1823"/>
  </r>
  <r>
    <s v="Padgham, James"/>
    <s v="M20"/>
    <s v="HUN"/>
    <s v="03:52:17"/>
    <x v="1824"/>
  </r>
  <r>
    <s v="Warin, Hugo"/>
    <s v="M20"/>
    <s v="GBR"/>
    <s v="04:32:22"/>
    <x v="1825"/>
  </r>
  <r>
    <s v="Omahen, Scott"/>
    <s v="M35"/>
    <s v="HUN"/>
    <s v="04:41:34"/>
    <x v="1826"/>
  </r>
  <r>
    <s v="Szabo, John"/>
    <s v="M30"/>
    <s v="CAN"/>
    <s v="03:25:53"/>
    <x v="1827"/>
  </r>
  <r>
    <s v="Madár Áron Attila"/>
    <s v="M20"/>
    <s v="HUN"/>
    <s v="04:34:00"/>
    <x v="1828"/>
  </r>
  <r>
    <s v="Makai Ádám"/>
    <s v="M25"/>
    <s v="HUN"/>
    <s v="04:36:23"/>
    <x v="1583"/>
  </r>
  <r>
    <s v="Wieszt Zoltán"/>
    <s v="M45"/>
    <s v="HUN"/>
    <s v="04:56:41"/>
    <x v="1829"/>
  </r>
  <r>
    <s v="Cseh Károly"/>
    <s v="M35"/>
    <s v="HUN"/>
    <s v="04:09:21"/>
    <x v="1830"/>
  </r>
  <r>
    <s v="Hillewaere, Elias"/>
    <s v="M25"/>
    <s v="HUN"/>
    <s v="04:12:01"/>
    <x v="1831"/>
  </r>
  <r>
    <s v="Pethő Levente"/>
    <s v="M20"/>
    <s v="FRA"/>
    <s v="05:07:34"/>
    <x v="1832"/>
  </r>
  <r>
    <s v="Arora, Udit"/>
    <s v="M45"/>
    <s v="GER"/>
    <s v="04:16:05"/>
    <x v="1833"/>
  </r>
  <r>
    <s v="Antalka Gergely"/>
    <s v="M20"/>
    <s v="GBR"/>
    <s v="04:36:17"/>
    <x v="1834"/>
  </r>
  <r>
    <s v="Rodick, Olivier"/>
    <s v="M50"/>
    <s v="HUN"/>
    <s v="03:14:37"/>
    <x v="1835"/>
  </r>
  <r>
    <s v="Cserpák Tamás"/>
    <s v="M45"/>
    <s v="HUN"/>
    <s v="03:23:14"/>
    <x v="97"/>
  </r>
  <r>
    <s v="Manole, Paul Alexandru"/>
    <s v="M45"/>
    <s v="POR"/>
    <s v="04:51:43"/>
    <x v="1836"/>
  </r>
  <r>
    <s v="TERRADURA, Yoann"/>
    <s v="M50"/>
    <s v="FRA"/>
    <s v="04:01:25"/>
    <x v="1013"/>
  </r>
  <r>
    <s v="Rodríguez, Daniel prof"/>
    <s v="M40"/>
    <s v="HUN"/>
    <s v="03:23:38"/>
    <x v="941"/>
  </r>
  <r>
    <s v="Connor, Alistair"/>
    <s v="M25"/>
    <s v="BEL"/>
    <s v="03:28:39"/>
    <x v="1837"/>
  </r>
  <r>
    <s v="Dósai-Molnár Krisztián"/>
    <s v="M40"/>
    <s v="BEL"/>
    <s v="05:23:12"/>
    <x v="1838"/>
  </r>
  <r>
    <s v="Hartyáni Ákos"/>
    <s v="M40"/>
    <s v="HUN"/>
    <s v="04:49:25"/>
    <x v="1839"/>
  </r>
  <r>
    <s v="Milák Attila"/>
    <s v="M20"/>
    <s v="MEX"/>
    <s v="05:30:22"/>
    <x v="1840"/>
  </r>
  <r>
    <s v="Molnár, Tamás"/>
    <s v="M40"/>
    <s v="DEN"/>
    <s v="04:22:21"/>
    <x v="1841"/>
  </r>
  <r>
    <s v="Nánássy Tamás"/>
    <s v="M35"/>
    <s v="ITA"/>
    <s v="03:54:25"/>
    <x v="942"/>
  </r>
  <r>
    <s v="Zsane Vlagyiszlav"/>
    <s v="M50"/>
    <s v="HUN"/>
    <s v="04:07:06"/>
    <x v="1312"/>
  </r>
  <r>
    <s v="Batai László"/>
    <s v="M30"/>
    <s v="GBR"/>
    <s v="03:33:27"/>
    <x v="1842"/>
  </r>
  <r>
    <s v="Sroms, Romans"/>
    <s v="M35"/>
    <s v="HUN"/>
    <s v="04:44:49"/>
    <x v="1843"/>
  </r>
  <r>
    <s v="Kálmán Zsolt"/>
    <s v="M45"/>
    <s v="HUN"/>
    <s v="04:28:37"/>
    <x v="1844"/>
  </r>
  <r>
    <s v="Piazzo, Guido"/>
    <s v="M45"/>
    <s v="HUN"/>
    <s v="03:01:19"/>
    <x v="1845"/>
  </r>
  <r>
    <s v="Luizard, Guillaume"/>
    <s v="M45"/>
    <s v="HUN"/>
    <s v="03:33:01"/>
    <x v="1846"/>
  </r>
  <r>
    <s v="Németh-Döltl György"/>
    <s v="M30"/>
    <s v="HUN"/>
    <s v="04:35:27"/>
    <x v="1847"/>
  </r>
  <r>
    <s v="Lapouille, Gaspard"/>
    <s v="M25"/>
    <s v="CRO"/>
    <s v="05:02:17"/>
    <x v="1848"/>
  </r>
  <r>
    <s v="Kullik, Sven Bela"/>
    <s v="M25"/>
    <s v="HUN"/>
    <s v="03:31:24"/>
    <x v="1849"/>
  </r>
  <r>
    <s v="Pongrácz Gábor"/>
    <s v="M45"/>
    <s v="GER"/>
    <s v="03:44:30"/>
    <x v="692"/>
  </r>
  <r>
    <s v="Koller Máté"/>
    <s v="M30"/>
    <s v="GBR"/>
    <s v="03:53:50"/>
    <x v="1850"/>
  </r>
  <r>
    <s v="Byrne, Shane"/>
    <s v="M25"/>
    <s v="HUN"/>
    <s v="03:54:23"/>
    <x v="1650"/>
  </r>
  <r>
    <s v="Seres Dániel"/>
    <s v="M30"/>
    <s v="HUN"/>
    <s v="03:34:26"/>
    <x v="1851"/>
  </r>
  <r>
    <s v="Novák Dávid Erik"/>
    <s v="M25"/>
    <s v="HUN"/>
    <s v="03:14:58"/>
    <x v="376"/>
  </r>
  <r>
    <s v="Altana, Vanni"/>
    <s v="M60"/>
    <s v="FRA"/>
    <s v="04:08:08"/>
    <x v="1852"/>
  </r>
  <r>
    <s v="Nagy Miklós"/>
    <s v="M30"/>
    <s v="HUN"/>
    <s v="03:56:17"/>
    <x v="1740"/>
  </r>
  <r>
    <s v="Nagy Kornél"/>
    <s v="M40"/>
    <s v="HUN"/>
    <s v="03:19:58"/>
    <x v="1853"/>
  </r>
  <r>
    <s v="Nagy Attila"/>
    <s v="M45"/>
    <s v="FRA"/>
    <s v="04:58:07"/>
    <x v="1854"/>
  </r>
  <r>
    <s v="Edwards, Ben"/>
    <s v="M18"/>
    <s v="CHI"/>
    <s v="05:14:57"/>
    <x v="372"/>
  </r>
  <r>
    <s v="Pristyák Zoltán"/>
    <s v="M30"/>
    <s v="IRL"/>
    <s v="03:49:03"/>
    <x v="370"/>
  </r>
  <r>
    <s v="Di Bisceglie, Mauro"/>
    <s v="M55"/>
    <s v="HUN"/>
    <s v="04:38:47"/>
    <x v="1855"/>
  </r>
  <r>
    <s v="Barta Péter"/>
    <s v="M20"/>
    <s v="HUN"/>
    <s v="04:45:37"/>
    <x v="476"/>
  </r>
  <r>
    <s v="Gellén Gergő"/>
    <s v="M25"/>
    <s v="GBR"/>
    <s v="03:56:21"/>
    <x v="1271"/>
  </r>
  <r>
    <s v="YILDIRIM, SERVET"/>
    <s v="M50"/>
    <s v="HUN"/>
    <s v="03:56:39"/>
    <x v="342"/>
  </r>
  <r>
    <s v="Misund, Bjarte"/>
    <s v="M40"/>
    <s v="HUN"/>
    <s v="04:19:11"/>
    <x v="1856"/>
  </r>
  <r>
    <s v="Szőke Szabolcs"/>
    <s v="M50"/>
    <s v="HUN"/>
    <s v="05:12:31"/>
    <x v="1857"/>
  </r>
  <r>
    <s v="Lökösházi Béla"/>
    <s v="M45"/>
    <s v="NED"/>
    <s v="04:03:14"/>
    <x v="277"/>
  </r>
  <r>
    <s v="Portik, Lóránd"/>
    <s v="M40"/>
    <s v="HUN"/>
    <s v="04:19:38"/>
    <x v="944"/>
  </r>
  <r>
    <s v="Niedberg, Danilo"/>
    <s v="M45"/>
    <s v="HUN"/>
    <s v="05:10:15"/>
    <x v="1858"/>
  </r>
  <r>
    <s v="Tom, Vanson"/>
    <s v="M25"/>
    <s v="HUN"/>
    <s v="04:13:02"/>
    <x v="1859"/>
  </r>
  <r>
    <s v="Heneghan, Michael"/>
    <s v="M40"/>
    <s v="POL"/>
    <s v="03:51:36"/>
    <x v="68"/>
  </r>
  <r>
    <s v="D'ERRICO, GINO"/>
    <s v="M55"/>
    <s v="HUN"/>
    <s v="03:39:45"/>
    <x v="248"/>
  </r>
  <r>
    <s v="Maróti Zsolt"/>
    <s v="M40"/>
    <s v="HUN"/>
    <s v="05:20:40"/>
    <x v="1860"/>
  </r>
  <r>
    <s v="Bogár János"/>
    <s v="M60"/>
    <s v="HUN"/>
    <s v="03:21:24"/>
    <x v="1861"/>
  </r>
  <r>
    <s v="Tóth Donát"/>
    <s v="M45"/>
    <s v="HUN"/>
    <s v="04:53:48"/>
    <x v="638"/>
  </r>
  <r>
    <s v="Hogan, Andrew"/>
    <s v="M35"/>
    <s v="HUN"/>
    <s v="03:19:31"/>
    <x v="1862"/>
  </r>
  <r>
    <s v="Konyhás Péter"/>
    <s v="M40"/>
    <s v="TWN"/>
    <s v="04:10:55"/>
    <x v="1863"/>
  </r>
  <r>
    <s v="Reizinger Patrik"/>
    <s v="M25"/>
    <s v="FRA"/>
    <s v="03:17:28"/>
    <x v="1864"/>
  </r>
  <r>
    <s v="Pénzes Barnabás"/>
    <s v="M25"/>
    <s v="HUN"/>
    <s v="04:05:28"/>
    <x v="383"/>
  </r>
  <r>
    <s v="Majoros Gábor Zoltán"/>
    <s v="M50"/>
    <s v="HUN"/>
    <s v="04:33:07"/>
    <x v="1865"/>
  </r>
  <r>
    <s v="Budil, Jan"/>
    <s v="M55"/>
    <s v="HUN"/>
    <s v="03:23:21"/>
    <x v="932"/>
  </r>
  <r>
    <s v="Tóth Róbert"/>
    <s v="M40"/>
    <s v="HUN"/>
    <s v="04:16:58"/>
    <x v="1866"/>
  </r>
  <r>
    <s v="ABENGOZA MARNE, RAFAEL"/>
    <s v="M55"/>
    <s v="SVK"/>
    <s v="04:09:10"/>
    <x v="1867"/>
  </r>
  <r>
    <s v="Marsovszky László"/>
    <s v="M40"/>
    <s v="AUT"/>
    <s v="03:59:22"/>
    <x v="270"/>
  </r>
  <r>
    <s v="Roberts, Archibald"/>
    <s v="M25"/>
    <s v="HUN"/>
    <s v="03:38:09"/>
    <x v="1868"/>
  </r>
  <r>
    <s v="Tarnai Dávid"/>
    <s v="M40"/>
    <s v="HUN"/>
    <s v="03:34:55"/>
    <x v="1869"/>
  </r>
  <r>
    <s v="Palásti Gergő dr"/>
    <s v="M20"/>
    <s v="HUN"/>
    <s v="03:06:51"/>
    <x v="1870"/>
  </r>
  <r>
    <s v="kispál sándor"/>
    <s v="M35"/>
    <s v="HUN"/>
    <s v="03:48:13"/>
    <x v="1871"/>
  </r>
  <r>
    <s v="Kávai Márk"/>
    <s v="M20"/>
    <s v="HUN"/>
    <s v="03:59:28"/>
    <x v="1872"/>
  </r>
  <r>
    <s v="Darko, Balić"/>
    <s v="M40"/>
    <s v="FIN"/>
    <s v="03:22:21"/>
    <x v="1166"/>
  </r>
  <r>
    <s v="Váradi Zoltán"/>
    <s v="M55"/>
    <s v="HUN"/>
    <s v="04:21:54"/>
    <x v="1873"/>
  </r>
  <r>
    <s v="Pringle, Will"/>
    <s v="M25"/>
    <s v="GBR"/>
    <s v="03:57:54"/>
    <x v="1322"/>
  </r>
  <r>
    <s v="Pawka, Igor"/>
    <s v="M20"/>
    <s v="ITA"/>
    <s v="04:55:42"/>
    <x v="1874"/>
  </r>
  <r>
    <s v="Kovács Attila"/>
    <s v="M35"/>
    <s v="RUS"/>
    <s v="05:01:02"/>
    <x v="1875"/>
  </r>
  <r>
    <s v="Tóth Sándor"/>
    <s v="M60"/>
    <s v="HUN"/>
    <s v="04:41:51"/>
    <x v="1263"/>
  </r>
  <r>
    <s v="Marosi Péter"/>
    <s v="M45"/>
    <s v="SVK"/>
    <s v="03:50:20"/>
    <x v="1876"/>
  </r>
  <r>
    <s v="Illés György dr."/>
    <s v="M60"/>
    <s v="HUN"/>
    <s v="04:41:46"/>
    <x v="1877"/>
  </r>
  <r>
    <s v="Sandbekken, Atle"/>
    <s v="M45"/>
    <s v="HUN"/>
    <s v="02:58:54"/>
    <x v="1878"/>
  </r>
  <r>
    <s v="Tymcyna Péter"/>
    <s v="M45"/>
    <s v="HUN"/>
    <s v="03:31:19"/>
    <x v="1879"/>
  </r>
  <r>
    <s v="O'Cleirigh, Robi"/>
    <s v="M30"/>
    <s v="HUN"/>
    <s v="03:35:17"/>
    <x v="1880"/>
  </r>
  <r>
    <s v="Lászka János dr."/>
    <s v="M65"/>
    <s v="FIN"/>
    <s v="04:41:51"/>
    <x v="1263"/>
  </r>
  <r>
    <s v="Forbes, Harry"/>
    <s v="M20"/>
    <s v="HUN"/>
    <s v="04:58:44"/>
    <x v="1881"/>
  </r>
  <r>
    <s v="Bartók Bálint"/>
    <s v="M30"/>
    <s v="FIN"/>
    <s v="05:07:31"/>
    <x v="1882"/>
  </r>
  <r>
    <s v="Küllős Máté"/>
    <s v="M45"/>
    <s v="GER"/>
    <s v="03:08:50"/>
    <x v="1883"/>
  </r>
  <r>
    <s v="CARNERO VARO, ANDRES prof"/>
    <s v="M60"/>
    <s v="CAN"/>
    <s v="04:29:55"/>
    <x v="1884"/>
  </r>
  <r>
    <s v="XING, ZHAOYU"/>
    <s v="M50"/>
    <s v="MEX"/>
    <s v="03:59:26"/>
    <x v="1885"/>
  </r>
  <r>
    <s v="Fitzgerald, Verling John jr"/>
    <s v="M50"/>
    <s v="ESP"/>
    <s v="03:31:12"/>
    <x v="1886"/>
  </r>
  <r>
    <s v="Barna Róbert"/>
    <s v="M35"/>
    <s v="HUN"/>
    <s v="03:48:51"/>
    <x v="1887"/>
  </r>
  <r>
    <s v="Burján Péter"/>
    <s v="M45"/>
    <s v="HUN"/>
    <s v="04:48:24"/>
    <x v="1888"/>
  </r>
  <r>
    <s v="Largy, Jean-Mathieu"/>
    <s v="M35"/>
    <s v="HUN"/>
    <s v="04:03:39"/>
    <x v="1889"/>
  </r>
  <r>
    <s v="Szafoni, Radosław"/>
    <s v="M40"/>
    <s v="USA"/>
    <s v="04:18:53"/>
    <x v="1890"/>
  </r>
  <r>
    <s v="meister, thomas"/>
    <s v="M45"/>
    <s v="FRA"/>
    <s v="04:26:13"/>
    <x v="1752"/>
  </r>
  <r>
    <s v="Vidalis, Georgios"/>
    <s v="M45"/>
    <s v="HUN"/>
    <s v="03:18:27"/>
    <x v="1891"/>
  </r>
  <r>
    <s v="Smith, George"/>
    <s v="M20"/>
    <s v="USA"/>
    <s v="04:34:40"/>
    <x v="1892"/>
  </r>
  <r>
    <s v="Brájer Attila"/>
    <s v="M35"/>
    <s v="FRA"/>
    <s v="03:51:37"/>
    <x v="662"/>
  </r>
  <r>
    <s v="Crick, Lewis prof"/>
    <s v="M30"/>
    <s v="HUN"/>
    <s v="03:54:04"/>
    <x v="278"/>
  </r>
  <r>
    <s v="Standen, William"/>
    <s v="M20"/>
    <s v="HUN"/>
    <s v="03:55:59"/>
    <x v="441"/>
  </r>
  <r>
    <s v="Végh Gyula"/>
    <s v="M30"/>
    <s v="SWE"/>
    <s v="04:28:17"/>
    <x v="673"/>
  </r>
  <r>
    <s v="Sztercsa Tamás Dr."/>
    <s v="M35"/>
    <s v="FRA"/>
    <s v="03:19:32"/>
    <x v="1689"/>
  </r>
  <r>
    <s v="Vince, Jim"/>
    <s v="M60"/>
    <s v="HUN"/>
    <s v="04:48:22"/>
    <x v="1893"/>
  </r>
  <r>
    <s v="Orsós Ferenc"/>
    <s v="M55"/>
    <s v="SVK"/>
    <s v="04:36:09"/>
    <x v="1894"/>
  </r>
  <r>
    <s v="Cséfalvay Zoltán prof"/>
    <s v="M65"/>
    <s v="ITA"/>
    <s v="05:42:49"/>
    <x v="1895"/>
  </r>
  <r>
    <s v="Burián András"/>
    <s v="M50"/>
    <s v="HUN"/>
    <s v="03:51:33"/>
    <x v="423"/>
  </r>
  <r>
    <s v="Valler Szabolcs"/>
    <s v="M40"/>
    <s v="HUN"/>
    <s v="04:32:43"/>
    <x v="1896"/>
  </r>
  <r>
    <s v="Koleszár Krisztián"/>
    <s v="M50"/>
    <s v="HUN"/>
    <s v="04:02:57"/>
    <x v="1897"/>
  </r>
  <r>
    <s v="Hegedűs Henrik"/>
    <s v="M45"/>
    <s v="SWE"/>
    <s v="03:44:03"/>
    <x v="1898"/>
  </r>
  <r>
    <s v="Engler Tamás"/>
    <s v="M35"/>
    <s v="HUN"/>
    <s v="03:09:41"/>
    <x v="1899"/>
  </r>
  <r>
    <s v="Telek Bálint"/>
    <s v="M35"/>
    <s v="HUN"/>
    <s v="03:43:18"/>
    <x v="1900"/>
  </r>
  <r>
    <s v="Hjertstedt, Leonardo"/>
    <s v="M20"/>
    <s v="HUN"/>
    <s v="04:38:05"/>
    <x v="1901"/>
  </r>
  <r>
    <s v="Gyebnár Szabolcs"/>
    <s v="M40"/>
    <s v="HUN"/>
    <s v="03:28:33"/>
    <x v="1902"/>
  </r>
  <r>
    <s v="debenham, Harvey"/>
    <s v="M25"/>
    <s v="HUN"/>
    <s v="03:31:53"/>
    <x v="1903"/>
  </r>
  <r>
    <s v="Fodor László"/>
    <s v="M25"/>
    <s v="HUN"/>
    <s v="03:50:40"/>
    <x v="1904"/>
  </r>
  <r>
    <s v="Sergyán Szabolcs dr"/>
    <s v="M50"/>
    <s v="CZE"/>
    <s v="03:59:54"/>
    <x v="1905"/>
  </r>
  <r>
    <s v="Bergamaschi, Gianluca"/>
    <s v="M35"/>
    <s v="HUN"/>
    <s v="03:19:55"/>
    <x v="1906"/>
  </r>
  <r>
    <s v="Tóth László"/>
    <s v="M45"/>
    <s v="ITA"/>
    <s v="05:14:01"/>
    <x v="1907"/>
  </r>
  <r>
    <s v="CORTIJO MORENO, JAVIER"/>
    <s v="M55"/>
    <s v="FRA"/>
    <s v="03:40:22"/>
    <x v="1908"/>
  </r>
  <r>
    <s v="Bosomworth, Andrew"/>
    <s v="M30"/>
    <s v="SCO"/>
    <s v="03:59:20"/>
    <x v="599"/>
  </r>
  <r>
    <s v="Vaz Osório, Tiago"/>
    <s v="M35"/>
    <s v="HUN"/>
    <s v="03:31:14"/>
    <x v="1909"/>
  </r>
  <r>
    <s v="Israeli, Moshe"/>
    <s v="M45"/>
    <s v="HUN"/>
    <s v="03:51:30"/>
    <x v="690"/>
  </r>
  <r>
    <s v="Taranek Csongor"/>
    <s v="M45"/>
    <s v="DEN"/>
    <s v="04:03:30"/>
    <x v="1362"/>
  </r>
  <r>
    <s v="Mouterde, Sylvain"/>
    <s v="M35"/>
    <s v="HUN"/>
    <s v="04:31:52"/>
    <x v="933"/>
  </r>
  <r>
    <s v="Jean-Baptiste, HEROD"/>
    <s v="M35"/>
    <s v="HUN"/>
    <s v="03:45:19"/>
    <x v="1800"/>
  </r>
  <r>
    <s v="Jacobsen, Jacob"/>
    <s v="M45"/>
    <s v="HUN"/>
    <s v="03:50:16"/>
    <x v="1910"/>
  </r>
  <r>
    <s v="Escamez Ortiz, Antonio prof"/>
    <s v="M35"/>
    <s v="POL"/>
    <s v="03:57:54"/>
    <x v="1322"/>
  </r>
  <r>
    <s v="Börcsök Ferenc"/>
    <s v="M25"/>
    <s v="POL"/>
    <s v="03:52:02"/>
    <x v="1130"/>
  </r>
  <r>
    <s v="Pallós Barna"/>
    <s v="M20"/>
    <s v="NED"/>
    <s v="03:45:00"/>
    <x v="1911"/>
  </r>
  <r>
    <s v="Engler Tamás"/>
    <s v="M35"/>
    <s v="POL"/>
    <s v="03:09:41"/>
    <x v="1899"/>
  </r>
  <r>
    <s v="Kecskés Konrád"/>
    <s v="M18"/>
    <s v="HUN"/>
    <s v="04:56:32"/>
    <x v="1912"/>
  </r>
  <r>
    <s v="Csapó Krisztián"/>
    <s v="M35"/>
    <s v="HUN"/>
    <s v="04:32:25"/>
    <x v="1913"/>
  </r>
  <r>
    <s v="Bokor Bálint"/>
    <s v="M25"/>
    <s v="SVK"/>
    <s v="04:50:14"/>
    <x v="1914"/>
  </r>
  <r>
    <s v="Ureczky Bálint"/>
    <s v="M35"/>
    <s v="FRA"/>
    <s v="02:59:57"/>
    <x v="1915"/>
  </r>
  <r>
    <s v="Mr, Harry"/>
    <s v="M20"/>
    <s v="HUN"/>
    <s v="04:02:06"/>
    <x v="1120"/>
  </r>
  <r>
    <s v="Zahorsky, Oskar"/>
    <s v="M55"/>
    <s v="HUN"/>
    <s v="05:19:51"/>
    <x v="1916"/>
  </r>
  <r>
    <s v="Vizvári, Norbert"/>
    <s v="M25"/>
    <s v="HUN"/>
    <s v="03:19:12"/>
    <x v="1578"/>
  </r>
  <r>
    <s v="Miles, Daniel"/>
    <s v="M40"/>
    <s v="HUN"/>
    <s v="03:20:27"/>
    <x v="1917"/>
  </r>
  <r>
    <s v="Kube, Ondřej"/>
    <s v="M45"/>
    <s v="MEX"/>
    <s v="03:45:18"/>
    <x v="575"/>
  </r>
  <r>
    <s v="Petrarca, Vincenzo"/>
    <s v="M50"/>
    <s v="DEN"/>
    <s v="03:57:05"/>
    <x v="1339"/>
  </r>
  <r>
    <s v="Mózer Gyula"/>
    <s v="M45"/>
    <s v="HUN"/>
    <s v="04:37:57"/>
    <x v="1918"/>
  </r>
  <r>
    <s v="Komjáti Krisztián"/>
    <s v="M35"/>
    <s v="HUN"/>
    <s v="03:39:46"/>
    <x v="49"/>
  </r>
  <r>
    <s v="Kormos Attila dr"/>
    <s v="M50"/>
    <s v="HUN"/>
    <s v="03:18:27"/>
    <x v="1891"/>
  </r>
  <r>
    <s v="Sóstói Tamás"/>
    <s v="M35"/>
    <s v="HUN"/>
    <s v="04:43:14"/>
    <x v="1919"/>
  </r>
  <r>
    <s v="Patel, Prem prof"/>
    <s v="M20"/>
    <s v="HUN"/>
    <s v="03:49:00"/>
    <x v="585"/>
  </r>
  <r>
    <s v="Takács Attila"/>
    <s v="M55"/>
    <s v="CZE"/>
    <s v="04:55:50"/>
    <x v="1920"/>
  </r>
  <r>
    <s v="Guti Viktor"/>
    <s v="M25"/>
    <s v="HUN"/>
    <s v="04:57:57"/>
    <x v="1921"/>
  </r>
  <r>
    <s v="Barsi Zsolt"/>
    <s v="M30"/>
    <s v="CZE"/>
    <s v="03:38:35"/>
    <x v="1922"/>
  </r>
  <r>
    <s v="Wareham, Matthew"/>
    <s v="M30"/>
    <s v="HUN"/>
    <s v="04:20:27"/>
    <x v="34"/>
  </r>
  <r>
    <s v="Tupikov, Maxim"/>
    <s v="M20"/>
    <s v="ITA"/>
    <s v="05:09:46"/>
    <x v="1923"/>
  </r>
  <r>
    <s v="Cota López, Pablo Isai prof"/>
    <s v="M30"/>
    <s v="HUN"/>
    <s v="04:41:03"/>
    <x v="1924"/>
  </r>
  <r>
    <s v="Hans Peter, Ladreiter dr"/>
    <s v="M55"/>
    <s v="GBR"/>
    <s v="03:35:08"/>
    <x v="1925"/>
  </r>
  <r>
    <s v="Ordonez Diez, Juan Lorenzo"/>
    <s v="M50"/>
    <s v="SWE"/>
    <s v="03:39:36"/>
    <x v="1926"/>
  </r>
  <r>
    <s v="Vadócz Máté"/>
    <s v="M40"/>
    <s v="HUN"/>
    <s v="03:19:27"/>
    <x v="1927"/>
  </r>
  <r>
    <s v="Szalai Roland"/>
    <s v="M40"/>
    <s v="GRE"/>
    <s v="03:43:21"/>
    <x v="1928"/>
  </r>
  <r>
    <s v="TOUSSAINT, RENAUD"/>
    <s v="M50"/>
    <s v="HUN"/>
    <s v="04:29:03"/>
    <x v="1929"/>
  </r>
  <r>
    <s v="FRISONI, DAVIDE prof"/>
    <s v="M35"/>
    <s v="GBR"/>
    <s v="04:07:31"/>
    <x v="1930"/>
  </r>
  <r>
    <s v="Antalka Zsolt"/>
    <s v="M50"/>
    <s v="HUN"/>
    <s v="05:02:19"/>
    <x v="1931"/>
  </r>
  <r>
    <s v="Varga, Dénes"/>
    <s v="M25"/>
    <s v="HUN"/>
    <s v="05:28:26"/>
    <x v="1932"/>
  </r>
  <r>
    <s v="Szigeti Gábor"/>
    <s v="M40"/>
    <s v="HUN"/>
    <s v="04:30:01"/>
    <x v="1933"/>
  </r>
  <r>
    <s v="Le Bars, Lo?c"/>
    <s v="M55"/>
    <s v="NED"/>
    <s v="03:57:34"/>
    <x v="1213"/>
  </r>
  <r>
    <s v="Galeotti Almos Stefano"/>
    <s v="M30"/>
    <s v="HUN"/>
    <s v="03:07:59"/>
    <x v="1934"/>
  </r>
  <r>
    <s v="Nenast, Carlo"/>
    <s v="M35"/>
    <s v="HUN"/>
    <s v="02:28:31"/>
    <x v="1935"/>
  </r>
  <r>
    <s v="Gelencer, Damir"/>
    <s v="M60"/>
    <s v="HUN"/>
    <s v="04:46:37"/>
    <x v="1936"/>
  </r>
  <r>
    <s v="Isupov, Vasily"/>
    <s v="M30"/>
    <s v="HUN"/>
    <s v="02:48:09"/>
    <x v="1937"/>
  </r>
  <r>
    <s v="Pavlov, Oleksandr"/>
    <s v="M35"/>
    <s v="HUN"/>
    <s v="03:49:10"/>
    <x v="85"/>
  </r>
  <r>
    <s v="Bálint Ambrus"/>
    <s v="M35"/>
    <s v="FRA"/>
    <s v="04:13:55"/>
    <x v="1938"/>
  </r>
  <r>
    <s v="Kasza Tibor"/>
    <s v="M45"/>
    <s v="GBR"/>
    <s v="05:00:37"/>
    <x v="1939"/>
  </r>
  <r>
    <s v="Buri, Patrick"/>
    <s v="M30"/>
    <s v="HUN"/>
    <s v="04:09:08"/>
    <x v="1940"/>
  </r>
  <r>
    <s v="Kuczkó Róbert"/>
    <s v="M45"/>
    <s v="HUN"/>
    <s v="03:22:41"/>
    <x v="1728"/>
  </r>
  <r>
    <s v="Lőrincz Dávid"/>
    <s v="M20"/>
    <s v="HUN"/>
    <s v="04:56:40"/>
    <x v="1005"/>
  </r>
  <r>
    <s v="Vibholt, Anders Bock prof"/>
    <s v="M40"/>
    <s v="HUN"/>
    <s v="03:15:44"/>
    <x v="235"/>
  </r>
  <r>
    <s v="Brezáni, Adam"/>
    <s v="M30"/>
    <s v="HUN"/>
    <s v="04:19:01"/>
    <x v="1941"/>
  </r>
  <r>
    <s v="Tóth Máté"/>
    <s v="M25"/>
    <s v="HUN"/>
    <s v="04:21:31"/>
    <x v="1942"/>
  </r>
  <r>
    <s v="Szurmik Attila"/>
    <s v="M40"/>
    <s v="GBR"/>
    <s v="02:53:07"/>
    <x v="1943"/>
  </r>
  <r>
    <s v="Karikás Csaba Lajos"/>
    <s v="M40"/>
    <s v="FRA"/>
    <s v="03:51:02"/>
    <x v="1944"/>
  </r>
  <r>
    <s v="Fajstavr, Marek dr"/>
    <s v="M35"/>
    <s v="ESP"/>
    <s v="02:51:51"/>
    <x v="1945"/>
  </r>
  <r>
    <s v="Jakab Viktor András"/>
    <s v="M45"/>
    <s v="HUN"/>
    <s v="03:23:10"/>
    <x v="1946"/>
  </r>
  <r>
    <s v="Jankovic, Igor"/>
    <s v="M50"/>
    <s v="HUN"/>
    <s v="04:00:51"/>
    <x v="1947"/>
  </r>
  <r>
    <s v="Papp Alex"/>
    <s v="M20"/>
    <s v="FRA"/>
    <s v="04:24:29"/>
    <x v="1948"/>
  </r>
  <r>
    <s v="Könczöl Péter Dr."/>
    <s v="M50"/>
    <s v="HUN"/>
    <s v="04:40:20"/>
    <x v="1949"/>
  </r>
  <r>
    <s v="Lantos János"/>
    <s v="M50"/>
    <s v="HUN"/>
    <s v="03:57:31"/>
    <x v="1950"/>
  </r>
  <r>
    <s v="Ometti, PROTASIO"/>
    <s v="M55"/>
    <s v="HUN"/>
    <s v="03:33:26"/>
    <x v="1246"/>
  </r>
  <r>
    <s v="Sári Béla"/>
    <s v="M30"/>
    <s v="IND"/>
    <s v="04:46:05"/>
    <x v="432"/>
  </r>
  <r>
    <s v="Kiss Bálint dr"/>
    <s v="M50"/>
    <s v="HUN"/>
    <s v="03:33:15"/>
    <x v="1070"/>
  </r>
  <r>
    <s v="Hadnagy József"/>
    <s v="M45"/>
    <s v="HUN"/>
    <s v="04:50:34"/>
    <x v="1951"/>
  </r>
  <r>
    <s v="Pailippl Gibon"/>
    <s v="M45"/>
    <s v="HUN"/>
    <s v="05:07:05"/>
    <x v="1952"/>
  </r>
  <r>
    <s v="Pelado, Pedro"/>
    <s v="M35"/>
    <s v="HUN"/>
    <s v="02:46:44"/>
    <x v="1953"/>
  </r>
  <r>
    <s v="Tuczapski, Artur"/>
    <s v="M65"/>
    <s v="HUN"/>
    <s v="04:17:02"/>
    <x v="998"/>
  </r>
  <r>
    <s v="Szabó Bátor"/>
    <s v="M20"/>
    <s v="HUN"/>
    <s v="03:10:23"/>
    <x v="1290"/>
  </r>
  <r>
    <s v="Ludwig, Patrick"/>
    <s v="M30"/>
    <s v="HUN"/>
    <s v="04:49:30"/>
    <x v="1726"/>
  </r>
  <r>
    <s v="Tarsi, Riccardo"/>
    <s v="M25"/>
    <s v="BEL"/>
    <s v="04:11:14"/>
    <x v="1954"/>
  </r>
  <r>
    <s v="Nyitrai Balázs"/>
    <s v="M45"/>
    <s v="ITA"/>
    <s v="04:34:05"/>
    <x v="1955"/>
  </r>
  <r>
    <s v="Erismann, Thomas"/>
    <s v="M25"/>
    <s v="ALB"/>
    <s v="03:00:34"/>
    <x v="1956"/>
  </r>
  <r>
    <s v="Kovács Martin"/>
    <s v="M25"/>
    <s v="HUN"/>
    <s v="04:30:31"/>
    <x v="1957"/>
  </r>
  <r>
    <s v="Bihari Tamás"/>
    <s v="M35"/>
    <s v="GER"/>
    <s v="03:19:28"/>
    <x v="1958"/>
  </r>
  <r>
    <s v="Czifra Gábor"/>
    <s v="M45"/>
    <s v="UKR"/>
    <s v="03:43:12"/>
    <x v="1959"/>
  </r>
  <r>
    <s v="Bagosi, Csaba"/>
    <s v="M25"/>
    <s v="GBR"/>
    <s v="04:38:40"/>
    <x v="1960"/>
  </r>
  <r>
    <s v="Cseresznyés Csaba Barna"/>
    <s v="M60"/>
    <s v="HUN"/>
    <s v="05:21:25"/>
    <x v="1961"/>
  </r>
  <r>
    <s v="Rab Gergő"/>
    <s v="M35"/>
    <s v="SRB"/>
    <s v="03:36:10"/>
    <x v="1400"/>
  </r>
  <r>
    <s v="Schwarz, Marian"/>
    <s v="M40"/>
    <s v="HUN"/>
    <s v="03:59:34"/>
    <x v="1200"/>
  </r>
  <r>
    <s v="Kelemen Zsolt"/>
    <s v="M40"/>
    <s v="HUN"/>
    <s v="04:11:36"/>
    <x v="1962"/>
  </r>
  <r>
    <s v="Tóth Gábor"/>
    <s v="M40"/>
    <s v="HUN"/>
    <s v="05:03:12"/>
    <x v="1010"/>
  </r>
  <r>
    <s v="Vajda, Andrej"/>
    <s v="M20"/>
    <s v="HUN"/>
    <s v="03:11:03"/>
    <x v="1963"/>
  </r>
  <r>
    <s v="Sherriffs, George"/>
    <s v="M60"/>
    <s v="FRA"/>
    <s v="05:09:57"/>
    <x v="1964"/>
  </r>
  <r>
    <s v="Newsom, Arthur"/>
    <s v="M30"/>
    <s v="NED"/>
    <s v="04:09:20"/>
    <x v="1965"/>
  </r>
  <r>
    <s v="Kumas, Omer"/>
    <s v="M50"/>
    <s v="ROM"/>
    <s v="04:25:02"/>
    <x v="628"/>
  </r>
  <r>
    <s v="POSTAL, TIZIANO"/>
    <s v="M60"/>
    <s v="HUN"/>
    <s v="04:12:46"/>
    <x v="1966"/>
  </r>
  <r>
    <s v="Emeric, LEDOUX"/>
    <s v="M50"/>
    <s v="POR"/>
    <s v="03:35:13"/>
    <x v="1967"/>
  </r>
  <r>
    <s v="Tiren, Erkan"/>
    <s v="M40"/>
    <s v="HUN"/>
    <s v="03:34:45"/>
    <x v="1968"/>
  </r>
  <r>
    <s v="Rádli Péter"/>
    <s v="M50"/>
    <s v="HUN"/>
    <s v="03:23:11"/>
    <x v="1460"/>
  </r>
  <r>
    <s v="Galambos Máté"/>
    <s v="M25"/>
    <s v="GBR"/>
    <s v="04:05:40"/>
    <x v="1969"/>
  </r>
  <r>
    <s v="Horváth Zsolt"/>
    <s v="M45"/>
    <s v="SWE"/>
    <s v="04:08:39"/>
    <x v="1970"/>
  </r>
  <r>
    <s v="Waghorn, Dean"/>
    <s v="M55"/>
    <s v="HUN"/>
    <s v="05:15:18"/>
    <x v="1971"/>
  </r>
  <r>
    <s v="Csapó Viktor"/>
    <s v="M40"/>
    <s v="HUN"/>
    <s v="03:58:19"/>
    <x v="1972"/>
  </r>
  <r>
    <s v="Gyalai Bence"/>
    <s v="M25"/>
    <s v="HUN"/>
    <s v="04:20:56"/>
    <x v="1973"/>
  </r>
  <r>
    <s v="Weatherhead, Matthew"/>
    <s v="M20"/>
    <s v="BOL"/>
    <s v="04:39:21"/>
    <x v="237"/>
  </r>
  <r>
    <s v="Salamon Károly"/>
    <s v="M50"/>
    <s v="HUN"/>
    <s v="04:54:27"/>
    <x v="1974"/>
  </r>
  <r>
    <s v="Gaál Norbert"/>
    <s v="M25"/>
    <s v="HUN"/>
    <s v="03:20:06"/>
    <x v="1975"/>
  </r>
  <r>
    <s v="Stefanov, Milko"/>
    <s v="M40"/>
    <s v="FIN"/>
    <s v="03:35:15"/>
    <x v="1976"/>
  </r>
  <r>
    <s v="Kovács, Attila"/>
    <s v="M65"/>
    <s v="HUN"/>
    <s v="03:56:50"/>
    <x v="1977"/>
  </r>
  <r>
    <s v="Nochta Bálint"/>
    <s v="M30"/>
    <s v="GBR"/>
    <s v="04:18:26"/>
    <x v="47"/>
  </r>
  <r>
    <s v="Vidó Dániel"/>
    <s v="M35"/>
    <s v="HUN"/>
    <s v="02:49:03"/>
    <x v="1978"/>
  </r>
  <r>
    <s v="Hynes, Cillian"/>
    <s v="M25"/>
    <s v="HUN"/>
    <s v="03:38:53"/>
    <x v="1979"/>
  </r>
  <r>
    <s v="Veres, Alpar"/>
    <s v="M30"/>
    <s v="HUN"/>
    <s v="04:01:28"/>
    <x v="1980"/>
  </r>
  <r>
    <s v="Richter Zsolt"/>
    <s v="M55"/>
    <s v="HUN"/>
    <s v="04:29:51"/>
    <x v="1981"/>
  </r>
  <r>
    <s v="Malík, David"/>
    <s v="M25"/>
    <s v="HUN"/>
    <s v="05:02:52"/>
    <x v="143"/>
  </r>
  <r>
    <s v="Szőnyi János"/>
    <s v="M30"/>
    <s v="HUN"/>
    <s v="04:12:39"/>
    <x v="1982"/>
  </r>
  <r>
    <s v="Stears, Matthew"/>
    <s v="M65"/>
    <s v="FRA"/>
    <s v="04:58:27"/>
    <x v="1983"/>
  </r>
  <r>
    <s v="Siimer, Martin"/>
    <s v="M50"/>
    <s v="HUN"/>
    <s v="04:01:08"/>
    <x v="1302"/>
  </r>
  <r>
    <s v="Li, CHENGBIN"/>
    <s v="M25"/>
    <s v="FRA"/>
    <s v="05:03:29"/>
    <x v="194"/>
  </r>
  <r>
    <s v="Kenyeres Gábor"/>
    <s v="M40"/>
    <s v="DEN"/>
    <s v="04:44:36"/>
    <x v="1984"/>
  </r>
  <r>
    <s v="Terpiak, Andrii"/>
    <s v="M60"/>
    <s v="IRL"/>
    <s v="03:51:30"/>
    <x v="690"/>
  </r>
  <r>
    <s v="Kálmán Levente"/>
    <s v="M50"/>
    <s v="HUN"/>
    <s v="03:44:42"/>
    <x v="1985"/>
  </r>
  <r>
    <s v="Pánti Zsombor"/>
    <s v="M35"/>
    <s v="HUN"/>
    <s v="03:58:03"/>
    <x v="367"/>
  </r>
  <r>
    <s v="Tirado, Josep prof"/>
    <s v="M45"/>
    <s v="HUN"/>
    <s v="03:32:07"/>
    <x v="1986"/>
  </r>
  <r>
    <s v="Lukács Sándor"/>
    <s v="M45"/>
    <s v="UKR"/>
    <s v="04:10:59"/>
    <x v="1618"/>
  </r>
  <r>
    <s v="jean-philippe, menetrey"/>
    <s v="M55"/>
    <s v="CZE"/>
    <s v="04:38:52"/>
    <x v="1987"/>
  </r>
  <r>
    <s v="Bojic, Andrej"/>
    <s v="M30"/>
    <s v="POL"/>
    <s v="03:58:39"/>
    <x v="1988"/>
  </r>
  <r>
    <s v="Pálvölgyi Imre"/>
    <s v="M35"/>
    <s v="GBR"/>
    <s v="03:44:15"/>
    <x v="1215"/>
  </r>
  <r>
    <s v="Király Balázs"/>
    <s v="M45"/>
    <s v="HUN"/>
    <s v="03:52:05"/>
    <x v="1427"/>
  </r>
  <r>
    <s v="Márton, Csaba"/>
    <s v="M40"/>
    <s v="HUN"/>
    <s v="03:46:04"/>
    <x v="1989"/>
  </r>
  <r>
    <s v="Tulkán Attila"/>
    <s v="M50"/>
    <s v="HUN"/>
    <s v="04:19:37"/>
    <x v="1990"/>
  </r>
  <r>
    <s v="Stranyóczky László"/>
    <s v="M25"/>
    <s v="HUN"/>
    <s v="04:13:17"/>
    <x v="1991"/>
  </r>
  <r>
    <s v="Horváth Zoltán"/>
    <s v="M50"/>
    <s v="FRA"/>
    <s v="04:39:20"/>
    <x v="1992"/>
  </r>
  <r>
    <s v="Klekler András"/>
    <s v="M35"/>
    <s v="HUN"/>
    <s v="03:53:07"/>
    <x v="1993"/>
  </r>
  <r>
    <s v="Oates, Jack"/>
    <s v="M25"/>
    <s v="RUS"/>
    <s v="03:55:10"/>
    <x v="1994"/>
  </r>
  <r>
    <s v="Friis, Peter"/>
    <s v="M60"/>
    <s v="ISR"/>
    <s v="05:33:12"/>
    <x v="1995"/>
  </r>
  <r>
    <s v="Serafin, Szymon"/>
    <s v="M20"/>
    <s v="GRE"/>
    <s v="04:31:10"/>
    <x v="1996"/>
  </r>
  <r>
    <s v="ingor, Daniel"/>
    <s v="M45"/>
    <s v="HUN"/>
    <s v="04:39:40"/>
    <x v="1997"/>
  </r>
  <r>
    <s v="Vízer Dániel"/>
    <s v="M40"/>
    <s v="GBR"/>
    <s v="05:14:39"/>
    <x v="1998"/>
  </r>
  <r>
    <s v="Kende Zoltán"/>
    <s v="M20"/>
    <s v="SVK"/>
    <s v="03:38:40"/>
    <x v="1999"/>
  </r>
  <r>
    <s v="Tóth Zoltán"/>
    <s v="M50"/>
    <s v="CRO"/>
    <s v="04:21:04"/>
    <x v="2000"/>
  </r>
  <r>
    <s v="Hornyák Bence"/>
    <s v="M30"/>
    <s v="HUN"/>
    <s v="03:41:42"/>
    <x v="1050"/>
  </r>
  <r>
    <s v="Witzel, Jens"/>
    <s v="M55"/>
    <s v="HUN"/>
    <s v="03:49:40"/>
    <x v="2001"/>
  </r>
  <r>
    <s v="Springel Mihály"/>
    <s v="M55"/>
    <s v="HUN"/>
    <s v="04:46:42"/>
    <x v="2002"/>
  </r>
  <r>
    <s v="Nota, Maarten"/>
    <s v="M45"/>
    <s v="POL"/>
    <s v="03:19:28"/>
    <x v="1958"/>
  </r>
  <r>
    <s v="Székely Gergő"/>
    <s v="M40"/>
    <s v="HUN"/>
    <s v="03:38:10"/>
    <x v="2003"/>
  </r>
  <r>
    <s v="Pelikán Gergely"/>
    <s v="M45"/>
    <s v="HUN"/>
    <s v="03:40:10"/>
    <x v="211"/>
  </r>
  <r>
    <s v="Kelemen Dávid"/>
    <s v="M30"/>
    <s v="HUN"/>
    <s v="03:56:36"/>
    <x v="2004"/>
  </r>
  <r>
    <s v="Braconnier, Miguel"/>
    <s v="M35"/>
    <s v="HUN"/>
    <s v="02:59:20"/>
    <x v="2005"/>
  </r>
  <r>
    <s v="Paulik Tamás"/>
    <s v="M40"/>
    <s v="HUN"/>
    <s v="03:32:15"/>
    <x v="2006"/>
  </r>
  <r>
    <s v="Horváth Gábor"/>
    <s v="M40"/>
    <s v="LIT"/>
    <s v="04:25:18"/>
    <x v="2007"/>
  </r>
  <r>
    <s v="Bódi Csaba"/>
    <s v="M40"/>
    <s v="HUN"/>
    <s v="04:48:00"/>
    <x v="2008"/>
  </r>
  <r>
    <s v="Sabo Péter"/>
    <s v="M25"/>
    <s v="HUN"/>
    <s v="05:30:18"/>
    <x v="2009"/>
  </r>
  <r>
    <s v="Hofbauer Zsolt"/>
    <s v="M40"/>
    <s v="HUN"/>
    <s v="04:46:21"/>
    <x v="2010"/>
  </r>
  <r>
    <s v="Rácz Róbert László"/>
    <s v="M45"/>
    <s v="HUN"/>
    <s v="04:53:53"/>
    <x v="2011"/>
  </r>
  <r>
    <s v="Huijben, Wouter"/>
    <s v="M20"/>
    <s v="HUN"/>
    <s v="03:49:51"/>
    <x v="787"/>
  </r>
  <r>
    <s v="Krawczyk, Krzysztof"/>
    <s v="M50"/>
    <s v="NED"/>
    <s v="03:47:22"/>
    <x v="1038"/>
  </r>
  <r>
    <s v="Halász Gábor"/>
    <s v="M45"/>
    <s v="HUN"/>
    <s v="04:59:00"/>
    <x v="2012"/>
  </r>
  <r>
    <s v="Richards, Steven"/>
    <s v="M35"/>
    <s v="HUN"/>
    <s v="04:05:36"/>
    <x v="2013"/>
  </r>
  <r>
    <s v="Svrcek, Milan"/>
    <s v="M50"/>
    <s v="HUN"/>
    <s v="05:29:00"/>
    <x v="2014"/>
  </r>
  <r>
    <s v="Orel, Aleksandr"/>
    <s v="M45"/>
    <s v="RUS"/>
    <s v="04:01:45"/>
    <x v="2015"/>
  </r>
  <r>
    <s v="Kiss-Berdó Ádám"/>
    <s v="M40"/>
    <s v="HUN"/>
    <s v="04:28:36"/>
    <x v="1059"/>
  </r>
  <r>
    <s v="Nickerson, Jake"/>
    <s v="M18"/>
    <s v="HUN"/>
    <s v="04:22:06"/>
    <x v="2016"/>
  </r>
  <r>
    <s v="Szabó Attila"/>
    <s v="M45"/>
    <s v="ALB"/>
    <s v="04:14:32"/>
    <x v="2017"/>
  </r>
  <r>
    <s v="Kai, Yee Hoe"/>
    <s v="M35"/>
    <s v="BEL"/>
    <s v="05:26:32"/>
    <x v="2018"/>
  </r>
  <r>
    <s v="Vörös, Róbert"/>
    <s v="M30"/>
    <s v="UKR"/>
    <s v="03:40:51"/>
    <x v="626"/>
  </r>
  <r>
    <s v="zhao, xiaoyong"/>
    <s v="M40"/>
    <s v="HUN"/>
    <s v="03:57:25"/>
    <x v="2019"/>
  </r>
  <r>
    <s v="Benjamin, Fleurisson"/>
    <s v="M30"/>
    <s v="HUN"/>
    <s v="03:46:09"/>
    <x v="2020"/>
  </r>
  <r>
    <s v="Tóth Géza dr"/>
    <s v="M30"/>
    <s v="HUN"/>
    <s v="04:19:25"/>
    <x v="1590"/>
  </r>
  <r>
    <s v="Zwahlen, Remo"/>
    <s v="M30"/>
    <s v="HUN"/>
    <s v="03:47:52"/>
    <x v="2021"/>
  </r>
  <r>
    <s v="Szöllősi József"/>
    <s v="M55"/>
    <s v="HUN"/>
    <s v="03:58:44"/>
    <x v="2022"/>
  </r>
  <r>
    <s v="Lengyel László Ottó"/>
    <s v="M65"/>
    <s v="HUN"/>
    <s v="05:14:52"/>
    <x v="2023"/>
  </r>
  <r>
    <s v="Szabó Gábor"/>
    <s v="M45"/>
    <s v="HUN"/>
    <s v="02:45:15"/>
    <x v="2024"/>
  </r>
  <r>
    <s v="FARDELLA, ALESSANDRO"/>
    <s v="M50"/>
    <s v="HUN"/>
    <s v="03:46:27"/>
    <x v="1485"/>
  </r>
  <r>
    <s v="Gál József"/>
    <s v="M45"/>
    <s v="HUN"/>
    <s v="04:03:06"/>
    <x v="734"/>
  </r>
  <r>
    <s v="Tóth Dávid"/>
    <s v="M25"/>
    <s v="GBR"/>
    <s v="04:50:31"/>
    <x v="2025"/>
  </r>
  <r>
    <s v="MacLeod, Colin"/>
    <s v="M40"/>
    <s v="FRA"/>
    <s v="04:26:14"/>
    <x v="1683"/>
  </r>
  <r>
    <s v="Houwaart, Vincent"/>
    <s v="M40"/>
    <s v="HUN"/>
    <s v="04:12:46"/>
    <x v="1966"/>
  </r>
  <r>
    <s v="Hamar Bálint Dániel"/>
    <s v="M30"/>
    <s v="FRA"/>
    <s v="03:51:10"/>
    <x v="2026"/>
  </r>
  <r>
    <s v="Pagio, José"/>
    <s v="M25"/>
    <s v="CZE"/>
    <s v="04:17:56"/>
    <x v="557"/>
  </r>
  <r>
    <s v="Měkyna, Jiří"/>
    <s v="M50"/>
    <s v="HUN"/>
    <s v="04:10:57"/>
    <x v="2027"/>
  </r>
  <r>
    <s v="Jansen van Rensburg Michael"/>
    <s v="M55"/>
    <s v="THA"/>
    <s v="04:56:46"/>
    <x v="2028"/>
  </r>
  <r>
    <s v="Óbert Zoltán"/>
    <s v="M35"/>
    <s v="GER"/>
    <s v="03:14:00"/>
    <x v="2029"/>
  </r>
  <r>
    <s v="Honti Csaba"/>
    <s v="M40"/>
    <s v="HUN"/>
    <s v="03:46:22"/>
    <x v="2030"/>
  </r>
  <r>
    <s v="Lackner, Werner"/>
    <s v="M55"/>
    <s v="HUN"/>
    <s v="03:35:14"/>
    <x v="1589"/>
  </r>
  <r>
    <s v="Hynne, Erik"/>
    <s v="M35"/>
    <s v="GBR"/>
    <s v="04:00:44"/>
    <x v="37"/>
  </r>
  <r>
    <s v="Elliott, Richard"/>
    <s v="M30"/>
    <s v="???"/>
    <s v="04:10:11"/>
    <x v="1156"/>
  </r>
  <r>
    <s v="Kraias, Stergios prof"/>
    <s v="M40"/>
    <s v="HUN"/>
    <s v="03:38:03"/>
    <x v="2031"/>
  </r>
  <r>
    <s v="bertrand, floc'h"/>
    <s v="M50"/>
    <s v="HUN"/>
    <s v="03:49:01"/>
    <x v="2032"/>
  </r>
  <r>
    <s v="Mészáros Balázs dr"/>
    <s v="M25"/>
    <s v="HUN"/>
    <s v="03:48:43"/>
    <x v="2033"/>
  </r>
  <r>
    <s v="Jelander, Anders"/>
    <s v="M55"/>
    <s v="GER"/>
    <s v="05:22:16"/>
    <x v="2034"/>
  </r>
  <r>
    <s v="Tóth Krisztián dr."/>
    <s v="M50"/>
    <s v="UKR"/>
    <s v="04:21:33"/>
    <x v="2035"/>
  </r>
  <r>
    <s v="Lamkin, Simon"/>
    <s v="M50"/>
    <s v="HUN"/>
    <s v="03:34:04"/>
    <x v="274"/>
  </r>
  <r>
    <s v="Kovaloczy András"/>
    <s v="M25"/>
    <s v="HUN"/>
    <s v="04:01:41"/>
    <x v="1769"/>
  </r>
  <r>
    <s v="dos Santos, Nicolas"/>
    <s v="M30"/>
    <s v="POL"/>
    <s v="03:20:46"/>
    <x v="2036"/>
  </r>
  <r>
    <s v="Izsó László"/>
    <s v="M45"/>
    <s v="HUN"/>
    <s v="05:03:05"/>
    <x v="1198"/>
  </r>
  <r>
    <s v="Russo, Nicholas"/>
    <s v="M20"/>
    <s v="FRA"/>
    <s v="03:19:14"/>
    <x v="2037"/>
  </r>
  <r>
    <s v="Pőcze Tamás dr."/>
    <s v="M45"/>
    <s v="USA"/>
    <s v="04:19:38"/>
    <x v="944"/>
  </r>
  <r>
    <s v="Pásztor Ádám"/>
    <s v="M35"/>
    <s v="HUN"/>
    <s v="03:39:41"/>
    <x v="397"/>
  </r>
  <r>
    <s v="Hegedüs Máté dr"/>
    <s v="M25"/>
    <s v="CHN"/>
    <s v="05:08:34"/>
    <x v="2038"/>
  </r>
  <r>
    <s v="Világosi Zoltán"/>
    <s v="M35"/>
    <s v="HUN"/>
    <s v="03:00:11"/>
    <x v="2039"/>
  </r>
  <r>
    <s v="Szombathelyi Béla"/>
    <s v="M30"/>
    <s v="HUN"/>
    <s v="03:29:37"/>
    <x v="2040"/>
  </r>
  <r>
    <s v="giuseppe, macchia"/>
    <s v="M60"/>
    <s v="RUS"/>
    <s v="04:35:19"/>
    <x v="2041"/>
  </r>
  <r>
    <s v="Beke József"/>
    <s v="M50"/>
    <s v="HUN"/>
    <s v="04:27:54"/>
    <x v="1572"/>
  </r>
  <r>
    <s v="Steiner, Johannes"/>
    <s v="M35"/>
    <s v="HUN"/>
    <s v="03:31:09"/>
    <x v="2042"/>
  </r>
  <r>
    <s v="ebok, Duan"/>
    <s v="M50"/>
    <s v="GBR"/>
    <s v="03:40:21"/>
    <x v="2043"/>
  </r>
  <r>
    <s v="Tóth Sándor"/>
    <s v="M30"/>
    <s v="HUN"/>
    <s v="03:55:12"/>
    <x v="2044"/>
  </r>
  <r>
    <s v="Szabó Ernő"/>
    <s v="M45"/>
    <s v="HUN"/>
    <s v="03:37:16"/>
    <x v="2045"/>
  </r>
  <r>
    <s v="Wuebbels, Tim"/>
    <s v="M25"/>
    <s v="HUN"/>
    <s v="03:21:37"/>
    <x v="2046"/>
  </r>
  <r>
    <s v="Marcin, Debowski prof"/>
    <s v="M45"/>
    <s v="CZE"/>
    <s v="03:44:03"/>
    <x v="1898"/>
  </r>
  <r>
    <s v="panzi, riccardo prof"/>
    <s v="M60"/>
    <s v="HUN"/>
    <s v="04:35:18"/>
    <x v="480"/>
  </r>
  <r>
    <s v="Cheung, Kwan Ue"/>
    <s v="M35"/>
    <s v="RUS"/>
    <s v="03:23:32"/>
    <x v="51"/>
  </r>
  <r>
    <s v="László Tibor"/>
    <s v="M50"/>
    <s v="HUN"/>
    <s v="04:07:18"/>
    <x v="2047"/>
  </r>
  <r>
    <s v="Gartner Áron"/>
    <s v="M25"/>
    <s v="HUN"/>
    <s v="02:51:43"/>
    <x v="2048"/>
  </r>
  <r>
    <s v="Schultz György"/>
    <s v="M50"/>
    <s v="GBR"/>
    <s v="04:16:38"/>
    <x v="1795"/>
  </r>
  <r>
    <s v="Radak, Perica"/>
    <s v="M50"/>
    <s v="SLO"/>
    <s v="04:50:59"/>
    <x v="2049"/>
  </r>
  <r>
    <s v="Joós József"/>
    <s v="M60"/>
    <s v="SWE"/>
    <s v="04:37:11"/>
    <x v="2050"/>
  </r>
  <r>
    <s v="Pollák András"/>
    <s v="M30"/>
    <s v="RUS"/>
    <s v="05:03:32"/>
    <x v="869"/>
  </r>
  <r>
    <s v="Monteiro, Pedro"/>
    <s v="M30"/>
    <s v="HUN"/>
    <s v="02:58:01"/>
    <x v="2051"/>
  </r>
  <r>
    <s v="Tót Kálmán"/>
    <s v="M30"/>
    <s v="HUN"/>
    <s v="04:03:33"/>
    <x v="1580"/>
  </r>
  <r>
    <s v="Gillespie, Andrew"/>
    <s v="M55"/>
    <s v="RUS"/>
    <s v="04:58:54"/>
    <x v="707"/>
  </r>
  <r>
    <s v="Timár Péter"/>
    <s v="M45"/>
    <s v="HUN"/>
    <s v="03:51:35"/>
    <x v="745"/>
  </r>
  <r>
    <s v="Moskowicz, Stefan"/>
    <s v="M65"/>
    <s v="GER"/>
    <s v="03:29:21"/>
    <x v="994"/>
  </r>
  <r>
    <s v="Biró Balázs"/>
    <s v="M50"/>
    <s v="HUN"/>
    <s v="03:48:45"/>
    <x v="2052"/>
  </r>
  <r>
    <s v="Varga István"/>
    <s v="M40"/>
    <s v="HUN"/>
    <s v="03:09:35"/>
    <x v="103"/>
  </r>
  <r>
    <s v="Szilvási Péter"/>
    <s v="M35"/>
    <s v="HUN"/>
    <s v="03:37:32"/>
    <x v="2053"/>
  </r>
  <r>
    <s v="Csorba László"/>
    <s v="M50"/>
    <s v="HUN"/>
    <s v="03:50:07"/>
    <x v="2054"/>
  </r>
  <r>
    <s v="Panyi József"/>
    <s v="M40"/>
    <s v="NOR"/>
    <s v="03:59:42"/>
    <x v="2055"/>
  </r>
  <r>
    <s v="DĽBROWSKI, PRZEMO"/>
    <s v="M60"/>
    <s v="HUN"/>
    <s v="04:58:54"/>
    <x v="707"/>
  </r>
  <r>
    <s v="It Aguirre, Gabriel jr"/>
    <s v="M25"/>
    <s v="HUN"/>
    <s v="03:20:27"/>
    <x v="1917"/>
  </r>
  <r>
    <s v="De Potter, Mathias"/>
    <s v="M30"/>
    <s v="HUN"/>
    <s v="03:51:53"/>
    <x v="283"/>
  </r>
  <r>
    <s v="Iványicki Tamás"/>
    <s v="M30"/>
    <s v="HUN"/>
    <s v="04:03:42"/>
    <x v="2056"/>
  </r>
  <r>
    <s v="Birkás Tamás"/>
    <s v="M35"/>
    <s v="HUN"/>
    <s v="04:10:42"/>
    <x v="2057"/>
  </r>
  <r>
    <s v="Tholén, Anton"/>
    <s v="M30"/>
    <s v="HUN"/>
    <s v="03:16:06"/>
    <x v="2058"/>
  </r>
  <r>
    <s v="Fuller, Tim"/>
    <s v="M35"/>
    <s v="USA"/>
    <s v="03:25:48"/>
    <x v="2059"/>
  </r>
  <r>
    <s v="Takács Gábor"/>
    <s v="M50"/>
    <s v="HUN"/>
    <s v="03:59:14"/>
    <x v="1284"/>
  </r>
  <r>
    <s v="Henttonen, Mika"/>
    <s v="M40"/>
    <s v="HUN"/>
    <s v="05:30:47"/>
    <x v="572"/>
  </r>
  <r>
    <s v="Kraft, Andreas"/>
    <s v="M45"/>
    <s v="BEL"/>
    <s v="04:34:15"/>
    <x v="517"/>
  </r>
  <r>
    <s v="Takacs Akos"/>
    <s v="M25"/>
    <s v="FRA"/>
    <s v="04:34:30"/>
    <x v="2060"/>
  </r>
  <r>
    <s v="Fülöp, Peter"/>
    <s v="M40"/>
    <s v="HUN"/>
    <s v="03:28:22"/>
    <x v="2061"/>
  </r>
  <r>
    <s v="Angaroni, Enrico prof"/>
    <s v="M30"/>
    <s v="HUN"/>
    <s v="03:41:21"/>
    <x v="767"/>
  </r>
  <r>
    <s v="Beszterczey Pál"/>
    <s v="M50"/>
    <s v="HUN"/>
    <s v="04:13:48"/>
    <x v="975"/>
  </r>
  <r>
    <s v="Szabó Bence"/>
    <s v="M20"/>
    <s v="DEN"/>
    <s v="05:16:47"/>
    <x v="2062"/>
  </r>
  <r>
    <s v="Iliou, Julien"/>
    <s v="M40"/>
    <s v="HUN"/>
    <s v="03:57:48"/>
    <x v="1318"/>
  </r>
  <r>
    <s v="Merrigan, Patrick"/>
    <s v="M30"/>
    <s v="ROM"/>
    <s v="04:41:30"/>
    <x v="2063"/>
  </r>
  <r>
    <s v="Szunyogh Péter"/>
    <s v="M35"/>
    <s v="HUN"/>
    <s v="02:50:34"/>
    <x v="2064"/>
  </r>
  <r>
    <s v="thibaut, dewaulle"/>
    <s v="M45"/>
    <s v="HUN"/>
    <s v="05:01:08"/>
    <x v="2065"/>
  </r>
  <r>
    <s v="Clément, Hembert"/>
    <s v="M30"/>
    <s v="HUN"/>
    <s v="04:06:30"/>
    <x v="1037"/>
  </r>
  <r>
    <s v="Kaijim, Ronald"/>
    <s v="M55"/>
    <s v="ITA"/>
    <s v="03:53:28"/>
    <x v="2066"/>
  </r>
  <r>
    <s v="Byczyk, Jacek"/>
    <s v="M60"/>
    <s v="HUN"/>
    <s v="04:25:48"/>
    <x v="1390"/>
  </r>
  <r>
    <s v="Dombi Tibor"/>
    <s v="M50"/>
    <s v="HUN"/>
    <s v="03:22:06"/>
    <x v="2067"/>
  </r>
  <r>
    <s v="Gjerde, Emil"/>
    <s v="M20"/>
    <s v="FIN"/>
    <s v="03:29:50"/>
    <x v="2068"/>
  </r>
  <r>
    <s v="McHardy, Simon"/>
    <s v="M45"/>
    <s v="SVK"/>
    <s v="03:46:21"/>
    <x v="2069"/>
  </r>
  <r>
    <s v="CHANTEAU, JEAN-PIERRE"/>
    <s v="M60"/>
    <s v="HUN"/>
    <s v="03:27:06"/>
    <x v="2070"/>
  </r>
  <r>
    <s v="Németh Mátyás"/>
    <s v="M35"/>
    <s v="ITA"/>
    <s v="04:24:48"/>
    <x v="2071"/>
  </r>
  <r>
    <s v="Bokor Zoltán"/>
    <s v="M40"/>
    <s v="HUN"/>
    <s v="04:22:47"/>
    <x v="2072"/>
  </r>
  <r>
    <s v="Mata László"/>
    <s v="M45"/>
    <s v="HUN"/>
    <s v="04:27:19"/>
    <x v="2073"/>
  </r>
  <r>
    <s v="Lukács Zoltán"/>
    <s v="M40"/>
    <s v="BRA"/>
    <s v="03:48:31"/>
    <x v="2074"/>
  </r>
  <r>
    <s v="Földesi József"/>
    <s v="M65"/>
    <s v="HUN"/>
    <s v="04:59:00"/>
    <x v="2012"/>
  </r>
  <r>
    <s v="Papp László"/>
    <s v="M60"/>
    <s v="HUN"/>
    <s v="03:43:36"/>
    <x v="2075"/>
  </r>
  <r>
    <s v="Polhammer Zsolt"/>
    <s v="M40"/>
    <s v="HUN"/>
    <s v="05:03:45"/>
    <x v="927"/>
  </r>
  <r>
    <s v="Hajzer Barnabás"/>
    <s v="M45"/>
    <s v="JPN"/>
    <s v="04:17:27"/>
    <x v="2076"/>
  </r>
  <r>
    <s v="You, Jiageng"/>
    <s v="M25"/>
    <s v="ESP"/>
    <s v="04:38:54"/>
    <x v="1524"/>
  </r>
  <r>
    <s v="Cesko, Admir"/>
    <s v="M35"/>
    <s v="GBR"/>
    <s v="03:59:29"/>
    <x v="2077"/>
  </r>
  <r>
    <s v="Károlyi Zoltán"/>
    <s v="M45"/>
    <s v="FRA"/>
    <s v="03:43:06"/>
    <x v="2078"/>
  </r>
  <r>
    <s v="Bars Tamás"/>
    <s v="M40"/>
    <s v="RUS"/>
    <s v="04:05:09"/>
    <x v="1417"/>
  </r>
  <r>
    <s v="Ljevakovic, Abdulah"/>
    <s v="M40"/>
    <s v="HUN"/>
    <s v="05:00:52"/>
    <x v="2079"/>
  </r>
  <r>
    <s v="Vigh Péter"/>
    <s v="M35"/>
    <s v="FRA"/>
    <s v="03:09:09"/>
    <x v="832"/>
  </r>
  <r>
    <s v="Baudot, Jean-Baptiste"/>
    <s v="M35"/>
    <s v="HUN"/>
    <s v="03:37:15"/>
    <x v="2080"/>
  </r>
  <r>
    <s v="Pszota Attila"/>
    <s v="M45"/>
    <s v="HUN"/>
    <s v="04:07:13"/>
    <x v="2081"/>
  </r>
  <r>
    <s v="Jordan, Alastair"/>
    <s v="M25"/>
    <s v="HUN"/>
    <s v="03:20:28"/>
    <x v="2082"/>
  </r>
  <r>
    <s v="Rozgonyi János"/>
    <s v="M40"/>
    <s v="HUN"/>
    <s v="05:31:24"/>
    <x v="2083"/>
  </r>
  <r>
    <s v="Laki Dániel"/>
    <s v="M18"/>
    <s v="FRA"/>
    <s v="05:32:33"/>
    <x v="2084"/>
  </r>
  <r>
    <s v="Maczkó Manó"/>
    <s v="M25"/>
    <s v="HUN"/>
    <s v="04:05:36"/>
    <x v="2013"/>
  </r>
  <r>
    <s v="Dobos Sándor"/>
    <s v="M40"/>
    <s v="HUN"/>
    <s v="04:43:48"/>
    <x v="2085"/>
  </r>
  <r>
    <s v="Walters, Alexander"/>
    <s v="M40"/>
    <s v="HUN"/>
    <s v="03:01:42"/>
    <x v="2086"/>
  </r>
  <r>
    <s v="Gellén Tamás"/>
    <s v="M25"/>
    <s v="FRA"/>
    <s v="03:45:04"/>
    <x v="1146"/>
  </r>
  <r>
    <s v="markelov, yury"/>
    <s v="M55"/>
    <s v="HUN"/>
    <s v="03:46:04"/>
    <x v="1989"/>
  </r>
  <r>
    <s v="Kozsán Attila"/>
    <s v="M50"/>
    <s v="ITA"/>
    <s v="04:58:21"/>
    <x v="706"/>
  </r>
  <r>
    <s v="Jeroen, Kusse"/>
    <s v="M20"/>
    <s v="HUN"/>
    <s v="04:28:03"/>
    <x v="2087"/>
  </r>
  <r>
    <s v="Molnár Tibor"/>
    <s v="M60"/>
    <s v="HUN"/>
    <s v="05:20:11"/>
    <x v="2088"/>
  </r>
  <r>
    <s v="Lasoen, Mathias"/>
    <s v="M30"/>
    <s v="HUN"/>
    <s v="04:24:12"/>
    <x v="2089"/>
  </r>
  <r>
    <s v="Csikós Gergő"/>
    <s v="M30"/>
    <s v="AUT"/>
    <s v="03:04:06"/>
    <x v="2090"/>
  </r>
  <r>
    <s v="Jasarov, Zdenek"/>
    <s v="M65"/>
    <s v="HUN"/>
    <s v="03:55:53"/>
    <x v="2091"/>
  </r>
  <r>
    <s v="Jezerniczky Bálint"/>
    <s v="M20"/>
    <s v="HUN"/>
    <s v="04:53:56"/>
    <x v="2092"/>
  </r>
  <r>
    <s v="ALTEA, ANDREA"/>
    <s v="M50"/>
    <s v="FRA"/>
    <s v="03:32:53"/>
    <x v="288"/>
  </r>
  <r>
    <s v="Toljamo, Göran"/>
    <s v="M45"/>
    <s v="HUN"/>
    <s v="04:42:13"/>
    <x v="2093"/>
  </r>
  <r>
    <s v="Dillon, Harry"/>
    <s v="M25"/>
    <s v="HUN"/>
    <s v="05:13:47"/>
    <x v="2094"/>
  </r>
  <r>
    <s v="Charrue, Cyril"/>
    <s v="M50"/>
    <s v="HUN"/>
    <s v="04:17:11"/>
    <x v="2095"/>
  </r>
  <r>
    <s v="binner, agustin dr"/>
    <s v="M55"/>
    <s v="HUN"/>
    <s v="04:03:57"/>
    <x v="1283"/>
  </r>
  <r>
    <s v="CEDRIC, DOUAI"/>
    <s v="M50"/>
    <s v="HUN"/>
    <s v="04:30:33"/>
    <x v="2096"/>
  </r>
  <r>
    <s v="Tattersall-Walker, Liam"/>
    <s v="M25"/>
    <s v="HUN"/>
    <s v="03:40:50"/>
    <x v="2097"/>
  </r>
  <r>
    <s v="Henry, Joshua"/>
    <s v="M25"/>
    <s v="CZE"/>
    <s v="03:27:19"/>
    <x v="340"/>
  </r>
  <r>
    <s v="piccinini, lorenzo"/>
    <s v="M50"/>
    <s v="HUN"/>
    <s v="02:57:43"/>
    <x v="2098"/>
  </r>
  <r>
    <s v="Tóth Zoltán"/>
    <s v="M40"/>
    <s v="HUN"/>
    <s v="04:26:24"/>
    <x v="812"/>
  </r>
  <r>
    <s v="Holecz László"/>
    <s v="M20"/>
    <s v="HUN"/>
    <s v="04:34:00"/>
    <x v="1828"/>
  </r>
  <r>
    <s v="Csörgő Bálint dr"/>
    <s v="M40"/>
    <s v="HUN"/>
    <s v="03:42:12"/>
    <x v="109"/>
  </r>
  <r>
    <s v="Bognár Ákos dr."/>
    <s v="M45"/>
    <s v="HUN"/>
    <s v="04:31:10"/>
    <x v="1996"/>
  </r>
  <r>
    <s v="Tabaku, Erblin"/>
    <s v="M45"/>
    <s v="HUN"/>
    <s v="04:03:51"/>
    <x v="2099"/>
  </r>
  <r>
    <s v="Kondor János"/>
    <s v="M40"/>
    <s v="HUN"/>
    <s v="04:14:30"/>
    <x v="287"/>
  </r>
  <r>
    <s v="Pintér Attila ifj"/>
    <s v="M45"/>
    <s v="RUS"/>
    <s v="05:00:14"/>
    <x v="2100"/>
  </r>
  <r>
    <s v="Duba, Gergely"/>
    <s v="M30"/>
    <s v="FRA"/>
    <s v="03:27:03"/>
    <x v="385"/>
  </r>
  <r>
    <s v="Orbán Balázs"/>
    <s v="M35"/>
    <s v="GBR"/>
    <s v="03:51:21"/>
    <x v="2101"/>
  </r>
  <r>
    <s v="Gebe Aron ifj"/>
    <s v="M25"/>
    <s v="HUN"/>
    <s v="04:27:15"/>
    <x v="1488"/>
  </r>
  <r>
    <s v="Fagerfjord, Frode"/>
    <s v="M45"/>
    <s v="SWE"/>
    <s v="04:24:00"/>
    <x v="2102"/>
  </r>
  <r>
    <s v="Beczek, Łukasz"/>
    <s v="M30"/>
    <s v="HUN"/>
    <s v="04:25:49"/>
    <x v="721"/>
  </r>
  <r>
    <s v="Mihale, Catalin"/>
    <s v="M35"/>
    <s v="HUN"/>
    <s v="03:46:09"/>
    <x v="2020"/>
  </r>
  <r>
    <s v="IM, HAKRAE"/>
    <s v="M35"/>
    <s v="HUN"/>
    <s v="03:54:00"/>
    <x v="2103"/>
  </r>
  <r>
    <s v="Károlyi Péter"/>
    <s v="M45"/>
    <s v="HUN"/>
    <s v="03:37:34"/>
    <x v="2104"/>
  </r>
  <r>
    <s v="Maxwell, Jordan"/>
    <s v="M35"/>
    <s v="HUN"/>
    <s v="04:24:19"/>
    <x v="2105"/>
  </r>
  <r>
    <s v="Newnham, Christopher"/>
    <s v="M60"/>
    <s v="FRA"/>
    <s v="03:45:06"/>
    <x v="2106"/>
  </r>
  <r>
    <s v="Blackledge, Gavin"/>
    <s v="M18"/>
    <s v="HUN"/>
    <s v="04:59:25"/>
    <x v="2107"/>
  </r>
  <r>
    <s v="Nyársik Ferenc Balázs"/>
    <s v="M30"/>
    <s v="FRA"/>
    <s v="04:34:10"/>
    <x v="1759"/>
  </r>
  <r>
    <s v="Gaston, James"/>
    <s v="M40"/>
    <s v="HUN"/>
    <s v="04:16:05"/>
    <x v="1833"/>
  </r>
  <r>
    <s v="Rudera, Waldemar"/>
    <s v="M40"/>
    <s v="HUN"/>
    <s v="03:40:51"/>
    <x v="626"/>
  </r>
  <r>
    <s v="Sabatou, Cedric prof"/>
    <s v="M35"/>
    <s v="HUN"/>
    <s v="04:03:07"/>
    <x v="2108"/>
  </r>
  <r>
    <s v="Mester László"/>
    <s v="M45"/>
    <s v="FRA"/>
    <s v="04:04:14"/>
    <x v="2109"/>
  </r>
  <r>
    <s v="Miskolczi Zsolt"/>
    <s v="M45"/>
    <s v="FIN"/>
    <s v="04:27:21"/>
    <x v="2110"/>
  </r>
  <r>
    <s v="Fatah, Abdennour prof"/>
    <s v="M45"/>
    <s v="ESP"/>
    <s v="03:29:43"/>
    <x v="2111"/>
  </r>
  <r>
    <s v="Hegedűs János"/>
    <s v="M55"/>
    <s v="FRA"/>
    <s v="03:50:14"/>
    <x v="524"/>
  </r>
  <r>
    <s v="Hamar Szabolcs"/>
    <s v="M45"/>
    <s v="NED"/>
    <s v="04:54:45"/>
    <x v="2112"/>
  </r>
  <r>
    <s v="Sobieski, Tomasz prof"/>
    <s v="M50"/>
    <s v="GBR"/>
    <s v="04:22:46"/>
    <x v="1235"/>
  </r>
  <r>
    <s v="Mauri, Massimilano"/>
    <s v="M50"/>
    <s v="FRA"/>
    <s v="03:30:46"/>
    <x v="2113"/>
  </r>
  <r>
    <s v="Libresco, Jacques"/>
    <s v="M25"/>
    <s v="HUN"/>
    <s v="03:10:01"/>
    <x v="1289"/>
  </r>
  <r>
    <s v="Eppel Attila"/>
    <s v="M40"/>
    <s v="HUN"/>
    <s v="03:57:40"/>
    <x v="2114"/>
  </r>
  <r>
    <s v="McCabe, Dave"/>
    <s v="M35"/>
    <s v="HUN"/>
    <s v="03:47:17"/>
    <x v="2115"/>
  </r>
  <r>
    <s v="Semkovski, George"/>
    <s v="M55"/>
    <s v="HUN"/>
    <s v="03:52:05"/>
    <x v="1427"/>
  </r>
  <r>
    <s v="Fernández, David prof"/>
    <s v="M35"/>
    <s v="SVK"/>
    <s v="03:58:45"/>
    <x v="2116"/>
  </r>
  <r>
    <s v="Harmati Dániel"/>
    <s v="M35"/>
    <s v="RSA"/>
    <s v="03:48:37"/>
    <x v="2117"/>
  </r>
  <r>
    <s v="Marzio, Corda"/>
    <s v="M55"/>
    <s v="HUN"/>
    <s v="03:46:14"/>
    <x v="2118"/>
  </r>
  <r>
    <s v="Schauer Ádám"/>
    <s v="M25"/>
    <s v="FRA"/>
    <s v="03:50:15"/>
    <x v="858"/>
  </r>
  <r>
    <s v="Sperka Tamás"/>
    <s v="M50"/>
    <s v="HUN"/>
    <s v="04:01:51"/>
    <x v="2119"/>
  </r>
  <r>
    <s v="Májer Milán"/>
    <s v="M40"/>
    <s v="HUN"/>
    <s v="05:20:14"/>
    <x v="2120"/>
  </r>
  <r>
    <s v="Kincse Szabolcs Örs"/>
    <s v="M50"/>
    <s v="HUN"/>
    <s v="04:05:58"/>
    <x v="2121"/>
  </r>
  <r>
    <s v="Duggan, Seamus prof"/>
    <s v="M45"/>
    <s v="HUN"/>
    <s v="03:37:36"/>
    <x v="699"/>
  </r>
  <r>
    <s v="Havasi Viktor"/>
    <s v="M25"/>
    <s v="HUN"/>
    <s v="04:25:50"/>
    <x v="1386"/>
  </r>
  <r>
    <s v="Mócz Gábor"/>
    <s v="M45"/>
    <s v="HUN"/>
    <s v="03:51:35"/>
    <x v="745"/>
  </r>
  <r>
    <s v="Fekete Gábor"/>
    <s v="M50"/>
    <s v="HUN"/>
    <s v="03:55:21"/>
    <x v="2122"/>
  </r>
  <r>
    <s v="Tams, Viorel"/>
    <s v="M35"/>
    <s v="SVK"/>
    <s v="02:39:54"/>
    <x v="2123"/>
  </r>
  <r>
    <s v="Bratt, Chris dr"/>
    <s v="M20"/>
    <s v="FRA"/>
    <s v="03:52:19"/>
    <x v="2124"/>
  </r>
  <r>
    <s v="Numan Zsolt"/>
    <s v="M55"/>
    <s v="HUN"/>
    <s v="04:57:21"/>
    <x v="2125"/>
  </r>
  <r>
    <s v="Suhajda Attila"/>
    <s v="M60"/>
    <s v="HUN"/>
    <s v="04:53:55"/>
    <x v="2126"/>
  </r>
  <r>
    <s v="Békési László"/>
    <s v="M50"/>
    <s v="HUN"/>
    <s v="04:38:23"/>
    <x v="1610"/>
  </r>
  <r>
    <s v="Fernandez Alvarez, Teodoro prof"/>
    <s v="M35"/>
    <s v="HUN"/>
    <s v="03:57:54"/>
    <x v="1322"/>
  </r>
  <r>
    <s v="Papp Kristóf"/>
    <s v="M30"/>
    <s v="HUN"/>
    <s v="03:58:09"/>
    <x v="1463"/>
  </r>
  <r>
    <s v="Nyevrikel Rajmund"/>
    <s v="M40"/>
    <s v="HUN"/>
    <s v="04:22:15"/>
    <x v="2127"/>
  </r>
  <r>
    <s v="GARCIA CASADO, MANUEL"/>
    <s v="M55"/>
    <s v="HUN"/>
    <s v="05:00:01"/>
    <x v="903"/>
  </r>
  <r>
    <s v="Denaro, Danilo"/>
    <s v="M35"/>
    <s v="HUN"/>
    <s v="05:11:09"/>
    <x v="2128"/>
  </r>
  <r>
    <s v="Moar, Nick prof"/>
    <s v="M20"/>
    <s v="HUN"/>
    <s v="03:19:55"/>
    <x v="1906"/>
  </r>
  <r>
    <s v="Parker, Sean"/>
    <s v="M35"/>
    <s v="DEN"/>
    <s v="04:01:14"/>
    <x v="2129"/>
  </r>
  <r>
    <s v="Ney, Richard"/>
    <s v="M40"/>
    <s v="GBR"/>
    <s v="04:17:44"/>
    <x v="2130"/>
  </r>
  <r>
    <s v="Pongrácz János"/>
    <s v="M45"/>
    <s v="HUN"/>
    <s v="03:33:43"/>
    <x v="1489"/>
  </r>
  <r>
    <s v="REMARK, FRANCOIS"/>
    <s v="M50"/>
    <s v="GER"/>
    <s v="04:16:58"/>
    <x v="1866"/>
  </r>
  <r>
    <s v="Pethő Sándor"/>
    <s v="M40"/>
    <s v="HUN"/>
    <s v="04:55:26"/>
    <x v="2131"/>
  </r>
  <r>
    <s v="Kadlecsik Milán"/>
    <s v="M30"/>
    <s v="CHN"/>
    <s v="02:53:12"/>
    <x v="2132"/>
  </r>
  <r>
    <s v="Fowler, Matthew"/>
    <s v="M40"/>
    <s v="POL"/>
    <s v="03:26:53"/>
    <x v="2133"/>
  </r>
  <r>
    <s v="Molina, David"/>
    <s v="M35"/>
    <s v="AUT"/>
    <s v="03:33:47"/>
    <x v="2134"/>
  </r>
  <r>
    <s v="McLeod, Fraser"/>
    <s v="M50"/>
    <s v="HUN"/>
    <s v="03:44:31"/>
    <x v="2135"/>
  </r>
  <r>
    <s v="Harvey, Khan"/>
    <s v="M30"/>
    <s v="HUN"/>
    <s v="04:35:46"/>
    <x v="815"/>
  </r>
  <r>
    <s v="Kaas, Thomas"/>
    <s v="M55"/>
    <s v="FRA"/>
    <s v="03:41:51"/>
    <x v="535"/>
  </r>
  <r>
    <s v="Agerbo, Thomas prof"/>
    <s v="M25"/>
    <s v="GER"/>
    <s v="03:08:04"/>
    <x v="2136"/>
  </r>
  <r>
    <s v="Pósfai Gábor"/>
    <s v="M40"/>
    <s v="HUN"/>
    <s v="04:46:50"/>
    <x v="2137"/>
  </r>
  <r>
    <s v="Cristian, Togor"/>
    <s v="M40"/>
    <s v="HUN"/>
    <s v="04:16:51"/>
    <x v="2138"/>
  </r>
  <r>
    <s v="Rasztovits István"/>
    <s v="M35"/>
    <s v="HUN"/>
    <s v="05:09:49"/>
    <x v="251"/>
  </r>
  <r>
    <s v="Csipak István"/>
    <s v="M45"/>
    <s v="HUN"/>
    <s v="03:51:59"/>
    <x v="1330"/>
  </r>
  <r>
    <s v="Clarté, Benjamin prof"/>
    <s v="M35"/>
    <s v="SVK"/>
    <s v="04:10:32"/>
    <x v="1542"/>
  </r>
  <r>
    <s v="white, joshua"/>
    <s v="M20"/>
    <s v="HUN"/>
    <s v="04:40:16"/>
    <x v="2139"/>
  </r>
  <r>
    <s v="Matre, Reidar dr"/>
    <s v="M65"/>
    <s v="FRA"/>
    <s v="04:28:12"/>
    <x v="2140"/>
  </r>
  <r>
    <s v="Jukevics, Kristaps"/>
    <s v="M30"/>
    <s v="IND"/>
    <s v="04:54:49"/>
    <x v="2141"/>
  </r>
  <r>
    <s v="Stolarz, Adam"/>
    <s v="M25"/>
    <s v="USA"/>
    <s v="03:02:27"/>
    <x v="2142"/>
  </r>
  <r>
    <s v="Sebastiano, Furnó"/>
    <s v="M70"/>
    <s v="HUN"/>
    <s v="04:10:05"/>
    <x v="2143"/>
  </r>
  <r>
    <s v="Csernyik Zsolt"/>
    <s v="M45"/>
    <s v="GBR"/>
    <s v="03:49:25"/>
    <x v="2144"/>
  </r>
  <r>
    <s v="Kosztolányi Gábor"/>
    <s v="M45"/>
    <s v="CZE"/>
    <s v="04:42:53"/>
    <x v="2145"/>
  </r>
  <r>
    <s v="Ambler, wilfred"/>
    <s v="M25"/>
    <s v="GBR"/>
    <s v="03:27:44"/>
    <x v="2146"/>
  </r>
  <r>
    <s v="Reinhard, Jakits"/>
    <s v="M45"/>
    <s v="HUN"/>
    <s v="03:28:29"/>
    <x v="2147"/>
  </r>
  <r>
    <s v="Kun Árpád Csaba"/>
    <s v="M65"/>
    <s v="HUN"/>
    <s v="03:54:43"/>
    <x v="1142"/>
  </r>
  <r>
    <s v="Magos Bálint"/>
    <s v="M35"/>
    <s v="GER"/>
    <s v="04:07:00"/>
    <x v="2148"/>
  </r>
  <r>
    <s v="Hegedűs Attila"/>
    <s v="M50"/>
    <s v="POL"/>
    <s v="03:26:21"/>
    <x v="2149"/>
  </r>
  <r>
    <s v="Hettinger Sándor dr."/>
    <s v="M35"/>
    <s v="GER"/>
    <s v="03:51:02"/>
    <x v="1944"/>
  </r>
  <r>
    <s v="Hájas Attila"/>
    <s v="M50"/>
    <s v="HUN"/>
    <s v="04:18:30"/>
    <x v="2150"/>
  </r>
  <r>
    <s v="Dávid Zsombor"/>
    <s v="M25"/>
    <s v="HUN"/>
    <s v="04:42:18"/>
    <x v="2151"/>
  </r>
  <r>
    <s v="fabrice, MAYOUSSIER"/>
    <s v="M50"/>
    <s v="GBR"/>
    <s v="03:44:17"/>
    <x v="2152"/>
  </r>
  <r>
    <s v="Rengers, Jaimy"/>
    <s v="M25"/>
    <s v="HUN"/>
    <s v="03:54:50"/>
    <x v="2153"/>
  </r>
  <r>
    <s v="Nemes Ádám"/>
    <s v="M35"/>
    <s v="USA"/>
    <s v="04:09:42"/>
    <x v="2154"/>
  </r>
  <r>
    <s v="Michael, Reger"/>
    <s v="M40"/>
    <s v="ITA"/>
    <s v="03:18:18"/>
    <x v="1346"/>
  </r>
  <r>
    <s v="Żeliszczak, Artur"/>
    <s v="M35"/>
    <s v="GBR"/>
    <s v="02:51:11"/>
    <x v="2155"/>
  </r>
  <r>
    <s v="Kardos Péter"/>
    <s v="M45"/>
    <s v="HUN"/>
    <s v="04:17:56"/>
    <x v="557"/>
  </r>
  <r>
    <s v="Mirowski, Mariusz"/>
    <s v="M40"/>
    <s v="HUN"/>
    <s v="03:54:58"/>
    <x v="2156"/>
  </r>
  <r>
    <s v="Yeomans, Joseph"/>
    <s v="M25"/>
    <s v="ITA"/>
    <s v="04:43:09"/>
    <x v="2157"/>
  </r>
  <r>
    <s v="O'Halloran, David"/>
    <s v="M20"/>
    <s v="HUN"/>
    <s v="04:03:40"/>
    <x v="1659"/>
  </r>
  <r>
    <s v="Mester László"/>
    <s v="M45"/>
    <s v="HUN"/>
    <s v="04:04:14"/>
    <x v="2109"/>
  </r>
  <r>
    <s v="Fernández Castellano, Javier"/>
    <s v="M30"/>
    <s v="HUN"/>
    <s v="03:57:07"/>
    <x v="1819"/>
  </r>
  <r>
    <s v="Stróhmajer János"/>
    <s v="M55"/>
    <s v="HUN"/>
    <s v="03:59:55"/>
    <x v="2158"/>
  </r>
  <r>
    <s v="Dollinger, Arthur dr"/>
    <s v="M25"/>
    <s v="HUN"/>
    <s v="03:17:22"/>
    <x v="2159"/>
  </r>
  <r>
    <s v="Baumgartner, Florian"/>
    <s v="M25"/>
    <s v="HUN"/>
    <s v="02:48:09"/>
    <x v="1937"/>
  </r>
  <r>
    <s v="Anthony, Pierron"/>
    <s v="M45"/>
    <s v="HUN"/>
    <s v="04:43:36"/>
    <x v="1204"/>
  </r>
  <r>
    <s v="Van der Auwera, Dries dr"/>
    <s v="M25"/>
    <s v="HUN"/>
    <s v="03:36:18"/>
    <x v="2160"/>
  </r>
  <r>
    <s v="Oláh György"/>
    <s v="M60"/>
    <s v="HUN"/>
    <s v="03:42:04"/>
    <x v="2161"/>
  </r>
  <r>
    <s v="Sereda, Oleh jr"/>
    <s v="M40"/>
    <s v="HUN"/>
    <s v="04:08:19"/>
    <x v="2162"/>
  </r>
  <r>
    <s v="Cservák Tamás"/>
    <s v="M50"/>
    <s v="UKR"/>
    <s v="04:22:48"/>
    <x v="576"/>
  </r>
  <r>
    <s v="Glück, Günther"/>
    <s v="M55"/>
    <s v="HUN"/>
    <s v="04:13:31"/>
    <x v="2163"/>
  </r>
  <r>
    <s v="sébastien, le corre"/>
    <s v="M45"/>
    <s v="HUN"/>
    <s v="03:23:20"/>
    <x v="1169"/>
  </r>
  <r>
    <s v="Kalmár Máté"/>
    <s v="M25"/>
    <s v="ESP"/>
    <s v="04:07:39"/>
    <x v="2164"/>
  </r>
  <r>
    <s v="Gyöngyösi Róbert"/>
    <s v="M40"/>
    <s v="GBR"/>
    <s v="03:59:11"/>
    <x v="2165"/>
  </r>
  <r>
    <s v="Csongor Márk"/>
    <s v="M35"/>
    <s v="HUN"/>
    <s v="05:13:20"/>
    <x v="1248"/>
  </r>
  <r>
    <s v="Lawrence, Finlay"/>
    <s v="M30"/>
    <s v="HUN"/>
    <s v="05:30:53"/>
    <x v="2166"/>
  </r>
  <r>
    <s v="Gyurkó Zsombor"/>
    <s v="M30"/>
    <s v="HUN"/>
    <s v="03:27:13"/>
    <x v="2167"/>
  </r>
  <r>
    <s v="Mikulán Attila"/>
    <s v="M35"/>
    <s v="HUN"/>
    <s v="03:47:12"/>
    <x v="2168"/>
  </r>
  <r>
    <s v="Kluitenberg, Friso"/>
    <s v="M30"/>
    <s v="HUN"/>
    <s v="04:03:29"/>
    <x v="159"/>
  </r>
  <r>
    <s v="Tímár Zoltán Dr."/>
    <s v="M50"/>
    <s v="SWE"/>
    <s v="04:27:34"/>
    <x v="1403"/>
  </r>
  <r>
    <s v="Márton Tibor"/>
    <s v="M45"/>
    <s v="FRA"/>
    <s v="04:49:21"/>
    <x v="2169"/>
  </r>
  <r>
    <s v="Moore, Paul"/>
    <s v="M25"/>
    <s v="FRA"/>
    <s v="04:58:39"/>
    <x v="1785"/>
  </r>
  <r>
    <s v="Cholewka, Jan"/>
    <s v="M30"/>
    <s v="SVK"/>
    <s v="04:19:07"/>
    <x v="2170"/>
  </r>
  <r>
    <s v="Jávor Miklós"/>
    <s v="M18"/>
    <s v="HUN"/>
    <s v="03:45:00"/>
    <x v="1911"/>
  </r>
  <r>
    <s v="Rasputnii, Ilia"/>
    <s v="M20"/>
    <s v="HUN"/>
    <s v="04:38:10"/>
    <x v="2171"/>
  </r>
  <r>
    <s v="Fábián Olivér dr"/>
    <s v="M30"/>
    <s v="HUN"/>
    <s v="03:37:55"/>
    <x v="2172"/>
  </r>
  <r>
    <s v="Blond, Hans"/>
    <s v="M30"/>
    <s v="CRO"/>
    <s v="02:49:52"/>
    <x v="2173"/>
  </r>
  <r>
    <s v="Abramowicz, Piotr"/>
    <s v="M20"/>
    <s v="SVK"/>
    <s v="03:14:21"/>
    <x v="1369"/>
  </r>
  <r>
    <s v="Duzmath László"/>
    <s v="M35"/>
    <s v="ESP"/>
    <s v="05:18:42"/>
    <x v="2174"/>
  </r>
  <r>
    <s v="claude, le franc"/>
    <s v="M45"/>
    <s v="HUN"/>
    <s v="03:56:15"/>
    <x v="1559"/>
  </r>
  <r>
    <s v="Puskás Zsolt"/>
    <s v="M20"/>
    <s v="HUN"/>
    <s v="05:30:29"/>
    <x v="199"/>
  </r>
  <r>
    <s v="Leel-Őssy István"/>
    <s v="M50"/>
    <s v="SVK"/>
    <s v="04:21:00"/>
    <x v="2175"/>
  </r>
  <r>
    <s v="Alejandro, Martinez"/>
    <s v="M35"/>
    <s v="HUN"/>
    <s v="04:35:47"/>
    <x v="2176"/>
  </r>
  <r>
    <s v="Siepietowski, Piotr"/>
    <s v="M50"/>
    <s v="HUN"/>
    <s v="03:30:25"/>
    <x v="2177"/>
  </r>
  <r>
    <s v="Szabó Attila"/>
    <s v="M45"/>
    <s v="HUN"/>
    <s v="03:55:35"/>
    <x v="2178"/>
  </r>
  <r>
    <s v="Császár Levente"/>
    <s v="M35"/>
    <s v="HUN"/>
    <s v="04:21:11"/>
    <x v="2179"/>
  </r>
  <r>
    <s v="Filipoiu, George"/>
    <s v="M25"/>
    <s v="BEL"/>
    <s v="04:56:22"/>
    <x v="2180"/>
  </r>
  <r>
    <s v="Cheung, Kwan Ue"/>
    <s v="M35"/>
    <s v="HUN"/>
    <s v="03:23:32"/>
    <x v="51"/>
  </r>
  <r>
    <s v="Garbani, Marvin"/>
    <s v="M30"/>
    <s v="CZE"/>
    <s v="04:03:45"/>
    <x v="880"/>
  </r>
  <r>
    <s v="Pischleritsch, Daniel"/>
    <s v="M35"/>
    <s v="HUN"/>
    <s v="02:41:40"/>
    <x v="2181"/>
  </r>
  <r>
    <s v="mcmanus, kenny"/>
    <s v="M55"/>
    <s v="HUN"/>
    <s v="04:09:43"/>
    <x v="1456"/>
  </r>
  <r>
    <s v="Rusin, Kornel"/>
    <s v="M35"/>
    <s v="HUN"/>
    <s v="02:56:25"/>
    <x v="2182"/>
  </r>
  <r>
    <s v="Chia, Matthias"/>
    <s v="M30"/>
    <s v="SWE"/>
    <s v="04:39:41"/>
    <x v="1385"/>
  </r>
  <r>
    <s v="Tompa Tamás"/>
    <s v="M40"/>
    <s v="HUN"/>
    <s v="04:39:10"/>
    <x v="2183"/>
  </r>
  <r>
    <s v="Tarbuck, Harry prof"/>
    <s v="M25"/>
    <s v="GER"/>
    <s v="04:25:43"/>
    <x v="2184"/>
  </r>
  <r>
    <s v="Vandenko, Anton"/>
    <s v="M35"/>
    <s v="FRA"/>
    <s v="03:05:02"/>
    <x v="2185"/>
  </r>
  <r>
    <s v="Balogh Roland"/>
    <s v="M35"/>
    <s v="SVK"/>
    <s v="03:09:20"/>
    <x v="996"/>
  </r>
  <r>
    <s v="Horváth Gábor"/>
    <s v="M40"/>
    <s v="HUN"/>
    <s v="04:58:54"/>
    <x v="707"/>
  </r>
  <r>
    <s v="Kristály Krisztián"/>
    <s v="M45"/>
    <s v="GBR"/>
    <s v="04:30:32"/>
    <x v="2186"/>
  </r>
  <r>
    <s v="Davies, Huw"/>
    <s v="M30"/>
    <s v="HUN"/>
    <s v="03:21:04"/>
    <x v="2187"/>
  </r>
  <r>
    <s v="Buza Rómeó"/>
    <s v="M20"/>
    <s v="SRB"/>
    <s v="04:03:38"/>
    <x v="468"/>
  </r>
  <r>
    <s v="Southall, Ed"/>
    <s v="M40"/>
    <s v="HUN"/>
    <s v="04:40:04"/>
    <x v="1277"/>
  </r>
  <r>
    <s v="Ábrahám Lajos"/>
    <s v="M35"/>
    <s v="AUT"/>
    <s v="04:10:36"/>
    <x v="1536"/>
  </r>
  <r>
    <s v="Jahoda, Vit"/>
    <s v="M40"/>
    <s v="HUN"/>
    <s v="03:11:01"/>
    <x v="358"/>
  </r>
  <r>
    <s v="Cislaghi, Gianmarco"/>
    <s v="M25"/>
    <s v="CAN"/>
    <s v="03:54:39"/>
    <x v="114"/>
  </r>
  <r>
    <s v="wang, guoliang"/>
    <s v="M50"/>
    <s v="BEL"/>
    <s v="04:10:15"/>
    <x v="2188"/>
  </r>
  <r>
    <s v="Brown, Payton"/>
    <s v="M20"/>
    <s v="IRL"/>
    <s v="03:42:06"/>
    <x v="1782"/>
  </r>
  <r>
    <s v="Beregi Barnabás"/>
    <s v="M45"/>
    <s v="HUN"/>
    <s v="03:08:46"/>
    <x v="392"/>
  </r>
  <r>
    <s v="Szél János"/>
    <s v="M50"/>
    <s v="HUN"/>
    <s v="04:04:05"/>
    <x v="722"/>
  </r>
  <r>
    <s v="Gábris Péter"/>
    <s v="M45"/>
    <s v="FRA"/>
    <s v="04:16:55"/>
    <x v="2189"/>
  </r>
  <r>
    <s v="Meuser, Jens"/>
    <s v="M45"/>
    <s v="HUN"/>
    <s v="03:56:18"/>
    <x v="2190"/>
  </r>
  <r>
    <s v="Lame, Erik"/>
    <s v="M30"/>
    <s v="HUN"/>
    <s v="03:51:32"/>
    <x v="1082"/>
  </r>
  <r>
    <s v="kao, yungchun"/>
    <s v="M45"/>
    <s v="ESP"/>
    <s v="04:13:40"/>
    <x v="313"/>
  </r>
  <r>
    <s v="Ray, Murphy"/>
    <s v="M25"/>
    <s v="HUN"/>
    <s v="03:42:14"/>
    <x v="2191"/>
  </r>
  <r>
    <s v="Nuthall, Rafael"/>
    <s v="M20"/>
    <s v="GBR"/>
    <s v="03:54:39"/>
    <x v="114"/>
  </r>
  <r>
    <s v="Steiner Gábor"/>
    <s v="M40"/>
    <s v="HUN"/>
    <s v="04:51:15"/>
    <x v="2192"/>
  </r>
  <r>
    <s v="Vattamány Zsolt"/>
    <s v="M50"/>
    <s v="HUN"/>
    <s v="05:26:22"/>
    <x v="2193"/>
  </r>
  <r>
    <s v="Tóth Bálint"/>
    <s v="M25"/>
    <s v="HUN"/>
    <s v="04:55:14"/>
    <x v="2194"/>
  </r>
  <r>
    <s v="Bratt, Chris dr"/>
    <s v="M20"/>
    <s v="HUN"/>
    <s v="03:52:19"/>
    <x v="2124"/>
  </r>
  <r>
    <s v="Magdó Zoltán"/>
    <s v="M30"/>
    <s v="HUN"/>
    <s v="04:32:15"/>
    <x v="425"/>
  </r>
  <r>
    <s v="Czerovszki József"/>
    <s v="M25"/>
    <s v="HUN"/>
    <s v="03:56:47"/>
    <x v="1355"/>
  </r>
  <r>
    <s v="Makhajda Bence"/>
    <s v="M20"/>
    <s v="HUN"/>
    <s v="04:00:44"/>
    <x v="37"/>
  </r>
  <r>
    <s v="Molnar, Franz"/>
    <s v="M55"/>
    <s v="HUN"/>
    <s v="04:03:41"/>
    <x v="1565"/>
  </r>
  <r>
    <s v="Hamill, Justin"/>
    <s v="M55"/>
    <s v="BRA"/>
    <s v="04:16:55"/>
    <x v="2189"/>
  </r>
  <r>
    <s v="Vinár Gábor"/>
    <s v="M30"/>
    <s v="HUN"/>
    <s v="03:32:21"/>
    <x v="604"/>
  </r>
  <r>
    <s v="Cole, Matthew"/>
    <s v="M40"/>
    <s v="SWE"/>
    <s v="04:23:33"/>
    <x v="1428"/>
  </r>
  <r>
    <s v="Székely Tibor"/>
    <s v="M50"/>
    <s v="ITA"/>
    <s v="03:26:05"/>
    <x v="2195"/>
  </r>
  <r>
    <s v="Simon Tamás"/>
    <s v="M50"/>
    <s v="HUN"/>
    <s v="04:45:07"/>
    <x v="2196"/>
  </r>
  <r>
    <s v="Kadenszky Zsolt"/>
    <s v="M50"/>
    <s v="HUN"/>
    <s v="04:25:08"/>
    <x v="2197"/>
  </r>
  <r>
    <s v="Perry, Billy"/>
    <s v="M20"/>
    <s v="HUN"/>
    <s v="04:12:48"/>
    <x v="2198"/>
  </r>
  <r>
    <s v="Gácsi Kristóf dr"/>
    <s v="M25"/>
    <s v="HUN"/>
    <s v="03:21:53"/>
    <x v="2199"/>
  </r>
  <r>
    <s v="LEGROS, BRUNO"/>
    <s v="M50"/>
    <s v="HUN"/>
    <s v="03:38:33"/>
    <x v="2200"/>
  </r>
  <r>
    <s v="Pogány Attila"/>
    <s v="M20"/>
    <s v="HUN"/>
    <s v="04:45:02"/>
    <x v="2201"/>
  </r>
  <r>
    <s v="Nánási Péter Zsolt"/>
    <s v="M35"/>
    <s v="HUN"/>
    <s v="04:13:37"/>
    <x v="1545"/>
  </r>
  <r>
    <s v="François, Roland"/>
    <s v="M40"/>
    <s v="HUN"/>
    <s v="04:17:33"/>
    <x v="2202"/>
  </r>
  <r>
    <s v="Török Endre"/>
    <s v="M40"/>
    <s v="HUN"/>
    <s v="04:29:10"/>
    <x v="2203"/>
  </r>
  <r>
    <s v="Pálfi György Simon dr"/>
    <s v="M40"/>
    <s v="HUN"/>
    <s v="04:30:07"/>
    <x v="2204"/>
  </r>
  <r>
    <s v="Montag, Bernd"/>
    <s v="M55"/>
    <s v="HUN"/>
    <s v="03:57:49"/>
    <x v="349"/>
  </r>
  <r>
    <s v="Bécsy Benedek"/>
    <s v="M20"/>
    <s v="HUN"/>
    <s v="05:01:39"/>
    <x v="2205"/>
  </r>
  <r>
    <s v="Kwei, Ming"/>
    <s v="M55"/>
    <s v="SWE"/>
    <s v="04:21:37"/>
    <x v="2206"/>
  </r>
  <r>
    <s v="BATEMAN, JAY"/>
    <s v="M25"/>
    <s v="AUT"/>
    <s v="03:30:12"/>
    <x v="1518"/>
  </r>
  <r>
    <s v="Mestyán Márton"/>
    <s v="M30"/>
    <s v="FRA"/>
    <s v="04:03:10"/>
    <x v="1504"/>
  </r>
  <r>
    <s v="Jensen, Niels-Johan"/>
    <s v="M35"/>
    <s v="GBR"/>
    <s v="02:48:56"/>
    <x v="2207"/>
  </r>
  <r>
    <s v="Ellenrieder Péter"/>
    <s v="M30"/>
    <s v="HUN"/>
    <s v="04:17:44"/>
    <x v="2130"/>
  </r>
  <r>
    <s v="Ladislav, Horváth"/>
    <s v="M35"/>
    <s v="HUN"/>
    <s v="04:18:04"/>
    <x v="2208"/>
  </r>
  <r>
    <s v="Adi, Roytman"/>
    <s v="M45"/>
    <s v="HUN"/>
    <s v="04:24:57"/>
    <x v="1344"/>
  </r>
  <r>
    <s v="Bottlik Csaba"/>
    <s v="M45"/>
    <s v="HUN"/>
    <s v="03:31:01"/>
    <x v="2209"/>
  </r>
  <r>
    <s v="Feher Balint"/>
    <s v="M20"/>
    <s v="GBR"/>
    <s v="03:28:15"/>
    <x v="2210"/>
  </r>
  <r>
    <s v="Barker, Richard"/>
    <s v="M40"/>
    <s v="HUN"/>
    <s v="03:41:11"/>
    <x v="2211"/>
  </r>
  <r>
    <s v="Maxime, HEINRICH"/>
    <s v="M25"/>
    <s v="HUN"/>
    <s v="03:37:52"/>
    <x v="2212"/>
  </r>
  <r>
    <s v="Mosoiu, George dr"/>
    <s v="M25"/>
    <s v="HUN"/>
    <s v="03:48:34"/>
    <x v="1776"/>
  </r>
  <r>
    <s v="Szőcs, Patrik"/>
    <s v="M30"/>
    <s v="NED"/>
    <s v="04:23:49"/>
    <x v="2213"/>
  </r>
  <r>
    <s v="Zsitnyányi András"/>
    <s v="M20"/>
    <s v="HUN"/>
    <s v="04:57:31"/>
    <x v="2214"/>
  </r>
  <r>
    <s v="Szabolcs András"/>
    <s v="M45"/>
    <s v="GER"/>
    <s v="04:05:55"/>
    <x v="2215"/>
  </r>
  <r>
    <s v="Rousselet, Alexandre"/>
    <s v="M25"/>
    <s v="ESP"/>
    <s v="03:41:36"/>
    <x v="2216"/>
  </r>
  <r>
    <s v="Martin Marcell"/>
    <s v="M30"/>
    <s v="HUN"/>
    <s v="03:59:07"/>
    <x v="2217"/>
  </r>
  <r>
    <s v="Reisenhofer-Graber, Franz"/>
    <s v="M65"/>
    <s v="HUN"/>
    <s v="04:14:26"/>
    <x v="540"/>
  </r>
  <r>
    <s v="Kele, Gejza"/>
    <s v="M55"/>
    <s v="HUN"/>
    <s v="04:24:26"/>
    <x v="2218"/>
  </r>
  <r>
    <s v="Pleßnitzer, Thomas"/>
    <s v="M55"/>
    <s v="HUN"/>
    <s v="03:44:26"/>
    <x v="2219"/>
  </r>
  <r>
    <s v="Orha László"/>
    <s v="M40"/>
    <s v="HUN"/>
    <s v="03:48:38"/>
    <x v="2220"/>
  </r>
  <r>
    <s v="Kump Norbert"/>
    <s v="M18"/>
    <s v="RUS"/>
    <s v="03:53:47"/>
    <x v="2221"/>
  </r>
  <r>
    <s v="Voß, Mike"/>
    <s v="M55"/>
    <s v="SVK"/>
    <s v="04:00:44"/>
    <x v="37"/>
  </r>
  <r>
    <s v="HAUZA, Matthieu"/>
    <s v="M30"/>
    <s v="RUS"/>
    <s v="03:10:16"/>
    <x v="725"/>
  </r>
  <r>
    <s v="Touré Amidou"/>
    <s v="M40"/>
    <s v="HUN"/>
    <s v="04:39:18"/>
    <x v="1671"/>
  </r>
  <r>
    <s v="Wallace, Iain"/>
    <s v="M55"/>
    <s v="GBR"/>
    <s v="03:28:00"/>
    <x v="1595"/>
  </r>
  <r>
    <s v="Lipták János"/>
    <s v="M55"/>
    <s v="HUN"/>
    <s v="04:48:59"/>
    <x v="2222"/>
  </r>
  <r>
    <s v="Vilmos Turányi"/>
    <s v="M20"/>
    <s v="HUN"/>
    <s v="03:44:21"/>
    <x v="338"/>
  </r>
  <r>
    <s v="Harty, William"/>
    <s v="M25"/>
    <s v="GBR"/>
    <s v="03:51:53"/>
    <x v="283"/>
  </r>
  <r>
    <s v="Heinonen, Petri"/>
    <s v="M35"/>
    <s v="HUN"/>
    <s v="03:53:54"/>
    <x v="2223"/>
  </r>
  <r>
    <s v="Renfer Péter"/>
    <s v="M45"/>
    <s v="HUN"/>
    <s v="04:48:29"/>
    <x v="2224"/>
  </r>
  <r>
    <s v="Kennedy, David id"/>
    <s v="M35"/>
    <s v="FRA"/>
    <s v="03:18:01"/>
    <x v="2225"/>
  </r>
  <r>
    <s v="Molnár Balázs"/>
    <s v="M50"/>
    <s v="SVK"/>
    <s v="04:20:21"/>
    <x v="2226"/>
  </r>
  <r>
    <s v="Vámos Sándor János"/>
    <s v="M65"/>
    <s v="ITA"/>
    <s v="04:01:30"/>
    <x v="2227"/>
  </r>
  <r>
    <s v="Levisohn, David"/>
    <s v="M35"/>
    <s v="HUN"/>
    <s v="04:34:43"/>
    <x v="2228"/>
  </r>
  <r>
    <s v="Szarvas Balázs"/>
    <s v="M35"/>
    <s v="HUN"/>
    <s v="04:33:13"/>
    <x v="2229"/>
  </r>
  <r>
    <s v="Baschirotto, Giovanni"/>
    <s v="M50"/>
    <s v="HUN"/>
    <s v="03:33:26"/>
    <x v="1246"/>
  </r>
  <r>
    <s v="Bokros Balázs"/>
    <s v="M30"/>
    <s v="HUN"/>
    <s v="04:32:46"/>
    <x v="1554"/>
  </r>
  <r>
    <s v="Sik Dominik"/>
    <s v="M25"/>
    <s v="USA"/>
    <s v="03:26:48"/>
    <x v="2230"/>
  </r>
  <r>
    <s v="Mougey, Christian"/>
    <s v="M60"/>
    <s v="HUN"/>
    <s v="04:52:22"/>
    <x v="2231"/>
  </r>
  <r>
    <s v="Vén Csaba"/>
    <s v="M55"/>
    <s v="HUN"/>
    <s v="03:31:27"/>
    <x v="2232"/>
  </r>
  <r>
    <s v="Hogben, Michael prof"/>
    <s v="M50"/>
    <s v="HUN"/>
    <s v="04:59:17"/>
    <x v="1494"/>
  </r>
  <r>
    <s v="Peizer Szabolcs"/>
    <s v="M50"/>
    <s v="HUN"/>
    <s v="05:19:36"/>
    <x v="2233"/>
  </r>
  <r>
    <s v="Łuczak, Tomasz"/>
    <s v="M40"/>
    <s v="HUN"/>
    <s v="03:26:07"/>
    <x v="1342"/>
  </r>
  <r>
    <s v="Értekes András"/>
    <s v="M50"/>
    <s v="HUN"/>
    <s v="04:00:25"/>
    <x v="2234"/>
  </r>
  <r>
    <s v="Petró Gyula"/>
    <s v="M40"/>
    <s v="FRA"/>
    <s v="04:25:59"/>
    <x v="2235"/>
  </r>
  <r>
    <s v="Villányi Dániel"/>
    <s v="M40"/>
    <s v="FRA"/>
    <s v="04:28:45"/>
    <x v="2236"/>
  </r>
  <r>
    <s v="Maraniello, Alessandro"/>
    <s v="M50"/>
    <s v="GER"/>
    <s v="03:29:32"/>
    <x v="2237"/>
  </r>
  <r>
    <s v="Meleg Attila"/>
    <s v="M45"/>
    <s v="HUN"/>
    <s v="04:29:59"/>
    <x v="2238"/>
  </r>
  <r>
    <s v="Janák, Béla"/>
    <s v="M50"/>
    <s v="SVK"/>
    <s v="04:05:23"/>
    <x v="2239"/>
  </r>
  <r>
    <s v="Elhag, Omar"/>
    <s v="M45"/>
    <s v="HUN"/>
    <s v="03:48:46"/>
    <x v="2240"/>
  </r>
  <r>
    <s v="Farkas Péter"/>
    <s v="M40"/>
    <s v="CZE"/>
    <s v="03:41:25"/>
    <x v="1797"/>
  </r>
  <r>
    <s v="Carvalh?o, Fernando"/>
    <s v="M40"/>
    <s v="HUN"/>
    <s v="03:51:32"/>
    <x v="1082"/>
  </r>
  <r>
    <s v="De Potter, Mathias"/>
    <s v="M30"/>
    <s v="ESP"/>
    <s v="03:51:53"/>
    <x v="283"/>
  </r>
  <r>
    <s v="Hunyaddobrai András"/>
    <s v="M25"/>
    <s v="DEN"/>
    <s v="04:22:50"/>
    <x v="2241"/>
  </r>
  <r>
    <s v="Földi Marcell"/>
    <s v="M20"/>
    <s v="MKD"/>
    <s v="04:53:32"/>
    <x v="2242"/>
  </r>
  <r>
    <s v="Berta Balázs"/>
    <s v="M45"/>
    <s v="DEN"/>
    <s v="04:52:09"/>
    <x v="2243"/>
  </r>
  <r>
    <s v="Németh Márton"/>
    <s v="M45"/>
    <s v="HUN"/>
    <s v="03:27:12"/>
    <x v="2244"/>
  </r>
  <r>
    <s v="Vachtler Ferenc"/>
    <s v="M35"/>
    <s v="RUS"/>
    <s v="03:45:04"/>
    <x v="1146"/>
  </r>
  <r>
    <s v="Ahmadi Pour, Ahmad"/>
    <s v="M25"/>
    <s v="HUN"/>
    <s v="04:34:24"/>
    <x v="2245"/>
  </r>
  <r>
    <s v="Modetti, Daniele"/>
    <s v="M45"/>
    <s v="HUN"/>
    <s v="03:33:20"/>
    <x v="2246"/>
  </r>
  <r>
    <s v="Morvai Balázs"/>
    <s v="M50"/>
    <s v="SVK"/>
    <s v="03:25:55"/>
    <x v="939"/>
  </r>
  <r>
    <s v="Leko, Ivan"/>
    <s v="M50"/>
    <s v="CZE"/>
    <s v="03:36:34"/>
    <x v="222"/>
  </r>
  <r>
    <s v="Surányi Kristóf"/>
    <s v="M20"/>
    <s v="HUN"/>
    <s v="04:42:37"/>
    <x v="2247"/>
  </r>
  <r>
    <s v="Lupou, George"/>
    <s v="M30"/>
    <s v="HUN"/>
    <s v="04:21:11"/>
    <x v="2179"/>
  </r>
  <r>
    <s v="Kása Ákos"/>
    <s v="M20"/>
    <s v="HUN"/>
    <s v="04:56:46"/>
    <x v="2028"/>
  </r>
  <r>
    <s v="Schveinert, Jiri"/>
    <s v="M50"/>
    <s v="HUN"/>
    <s v="03:27:55"/>
    <x v="1724"/>
  </r>
  <r>
    <s v="Fenyvessy Gábor"/>
    <s v="M55"/>
    <s v="HUN"/>
    <s v="04:36:49"/>
    <x v="2248"/>
  </r>
  <r>
    <s v="Arciszewski, Marcin"/>
    <s v="M45"/>
    <s v="GER"/>
    <s v="03:23:04"/>
    <x v="1287"/>
  </r>
  <r>
    <s v="Mazzeo, Antonio Fiorenzo Mazzeo dr"/>
    <s v="M45"/>
    <s v="HUN"/>
    <s v="04:00:24"/>
    <x v="2249"/>
  </r>
  <r>
    <s v="Michal, Vrabel"/>
    <s v="M25"/>
    <s v="HUN"/>
    <s v="04:09:44"/>
    <x v="2250"/>
  </r>
  <r>
    <s v="King, Chris prof"/>
    <s v="M20"/>
    <s v="HUN"/>
    <s v="04:02:26"/>
    <x v="2251"/>
  </r>
  <r>
    <s v="Ferenczi Balázs"/>
    <s v="M25"/>
    <s v="HUN"/>
    <s v="04:53:30"/>
    <x v="1337"/>
  </r>
  <r>
    <s v="Kerekes Ákos dr"/>
    <s v="M30"/>
    <s v="GBR"/>
    <s v="03:26:35"/>
    <x v="23"/>
  </r>
  <r>
    <s v="Manger Ádám"/>
    <s v="M35"/>
    <s v="GER"/>
    <s v="04:02:03"/>
    <x v="2252"/>
  </r>
  <r>
    <s v="Kocsis Benedek"/>
    <s v="M20"/>
    <s v="BEL"/>
    <s v="03:56:46"/>
    <x v="906"/>
  </r>
  <r>
    <s v="Juhász Zoltán dr"/>
    <s v="M50"/>
    <s v="SVK"/>
    <s v="04:44:37"/>
    <x v="2253"/>
  </r>
  <r>
    <s v="Szkridon Gellért"/>
    <s v="M35"/>
    <s v="HUN"/>
    <s v="03:01:54"/>
    <x v="2254"/>
  </r>
  <r>
    <s v="Caspersson, Tobias"/>
    <s v="M40"/>
    <s v="FIN"/>
    <s v="04:16:55"/>
    <x v="2189"/>
  </r>
  <r>
    <s v="Scott, Alan"/>
    <s v="M55"/>
    <s v="DEN"/>
    <s v="03:32:48"/>
    <x v="2255"/>
  </r>
  <r>
    <s v="Rousselet, Alexandre"/>
    <s v="M25"/>
    <s v="HUN"/>
    <s v="03:41:36"/>
    <x v="2216"/>
  </r>
  <r>
    <s v="cannobio, filippo dr"/>
    <s v="M35"/>
    <s v="HUN"/>
    <s v="03:58:09"/>
    <x v="1463"/>
  </r>
  <r>
    <s v="Szakács Tamás"/>
    <s v="M30"/>
    <s v="HUN"/>
    <s v="04:12:22"/>
    <x v="2256"/>
  </r>
  <r>
    <s v="LECHEVIN, LUDOVIC"/>
    <s v="M45"/>
    <s v="HUN"/>
    <s v="03:32:35"/>
    <x v="2257"/>
  </r>
  <r>
    <s v="Ashdown, Harry"/>
    <s v="M20"/>
    <s v="HUN"/>
    <s v="04:12:27"/>
    <x v="2258"/>
  </r>
  <r>
    <s v="Gray, Joshua"/>
    <s v="M35"/>
    <s v="HUN"/>
    <s v="04:34:25"/>
    <x v="2259"/>
  </r>
  <r>
    <s v="Tabajdi József Nándor"/>
    <s v="M45"/>
    <s v="ESP"/>
    <s v="03:49:31"/>
    <x v="817"/>
  </r>
  <r>
    <s v="Balázs Ádám"/>
    <s v="M50"/>
    <s v="HUN"/>
    <s v="04:28:09"/>
    <x v="2260"/>
  </r>
  <r>
    <s v="Pusch Szilárd"/>
    <s v="M50"/>
    <s v="AUT"/>
    <s v="04:38:39"/>
    <x v="2261"/>
  </r>
  <r>
    <s v="Gander, Simon"/>
    <s v="M25"/>
    <s v="HUN"/>
    <s v="03:10:16"/>
    <x v="725"/>
  </r>
  <r>
    <s v="Popat, Khian-Jush"/>
    <s v="M20"/>
    <s v="HUN"/>
    <s v="04:48:27"/>
    <x v="2262"/>
  </r>
  <r>
    <s v="Lima, Fabio prof"/>
    <s v="M35"/>
    <s v="HUN"/>
    <s v="03:10:50"/>
    <x v="232"/>
  </r>
  <r>
    <s v="Szekretár Endre"/>
    <s v="M30"/>
    <s v="HUN"/>
    <s v="05:35:10"/>
    <x v="2263"/>
  </r>
  <r>
    <s v="Kock, Erik prof"/>
    <s v="M50"/>
    <s v="HUN"/>
    <s v="04:22:04"/>
    <x v="2264"/>
  </r>
  <r>
    <s v="Bazsinka József"/>
    <s v="M60"/>
    <s v="RUS"/>
    <s v="05:22:39"/>
    <x v="2265"/>
  </r>
  <r>
    <s v="Várszegi Gábor"/>
    <s v="M40"/>
    <s v="GBR"/>
    <s v="04:39:17"/>
    <x v="2266"/>
  </r>
  <r>
    <s v="Padgham, James"/>
    <s v="M20"/>
    <s v="FRA"/>
    <s v="03:52:17"/>
    <x v="1824"/>
  </r>
  <r>
    <s v="Tarbuck, Harry prof"/>
    <s v="M25"/>
    <s v="ROM"/>
    <s v="04:25:43"/>
    <x v="2184"/>
  </r>
  <r>
    <s v="Burkhardt Balázs"/>
    <s v="M18"/>
    <s v="RUS"/>
    <s v="04:29:52"/>
    <x v="2267"/>
  </r>
  <r>
    <s v="Thornton, Alan"/>
    <s v="M65"/>
    <s v="HUN"/>
    <s v="04:10:21"/>
    <x v="1157"/>
  </r>
  <r>
    <s v="Donkó Antal"/>
    <s v="M60"/>
    <s v="HUN"/>
    <s v="03:49:57"/>
    <x v="2268"/>
  </r>
  <r>
    <s v="Bence Barta"/>
    <s v="M25"/>
    <s v="FRA"/>
    <s v="03:30:43"/>
    <x v="2269"/>
  </r>
  <r>
    <s v="Nagy Bogdán"/>
    <s v="M25"/>
    <s v="HUN"/>
    <s v="04:09:35"/>
    <x v="2270"/>
  </r>
  <r>
    <s v="Haraszti László"/>
    <s v="M55"/>
    <s v="HUN"/>
    <s v="03:36:31"/>
    <x v="297"/>
  </r>
  <r>
    <s v="Kósa, Tomá"/>
    <s v="M20"/>
    <s v="HUN"/>
    <s v="03:53:19"/>
    <x v="783"/>
  </r>
  <r>
    <s v="Kovács Sándor"/>
    <s v="M40"/>
    <s v="POR"/>
    <s v="04:20:18"/>
    <x v="2271"/>
  </r>
  <r>
    <s v="Polgár Ervin"/>
    <s v="M45"/>
    <s v="ESP"/>
    <s v="04:25:03"/>
    <x v="2272"/>
  </r>
  <r>
    <s v="Karagity Dániel"/>
    <s v="M35"/>
    <s v="POL"/>
    <s v="04:49:08"/>
    <x v="2273"/>
  </r>
  <r>
    <s v="Kristof Istvan"/>
    <s v="M40"/>
    <s v="HUN"/>
    <s v="03:51:52"/>
    <x v="1371"/>
  </r>
  <r>
    <s v="Gonda, Tibor"/>
    <s v="M50"/>
    <s v="HUN"/>
    <s v="03:57:46"/>
    <x v="240"/>
  </r>
  <r>
    <s v="Helman, Leszek"/>
    <s v="M55"/>
    <s v="HUN"/>
    <s v="03:16:57"/>
    <x v="2274"/>
  </r>
  <r>
    <s v="Rónai Zoltán"/>
    <s v="M35"/>
    <s v="KOR"/>
    <s v="03:27:53"/>
    <x v="2275"/>
  </r>
  <r>
    <s v="Latino, Luigi"/>
    <s v="M55"/>
    <s v="ITA"/>
    <s v="04:44:47"/>
    <x v="1758"/>
  </r>
  <r>
    <s v="Lund-Ravn, Thomas prof"/>
    <s v="M50"/>
    <s v="GER"/>
    <s v="03:51:58"/>
    <x v="1307"/>
  </r>
  <r>
    <s v="Köllő Szabolcs"/>
    <s v="M30"/>
    <s v="HUN"/>
    <s v="04:16:31"/>
    <x v="394"/>
  </r>
  <r>
    <s v="Kéri Bálint"/>
    <s v="M20"/>
    <s v="SVK"/>
    <s v="04:50:53"/>
    <x v="2276"/>
  </r>
  <r>
    <s v="Kákonyi Dávid"/>
    <s v="M45"/>
    <s v="CZE"/>
    <s v="03:37:04"/>
    <x v="455"/>
  </r>
  <r>
    <s v="Francis, Richard"/>
    <s v="M60"/>
    <s v="HUN"/>
    <s v="04:53:26"/>
    <x v="555"/>
  </r>
  <r>
    <s v="McEwing, John"/>
    <s v="M55"/>
    <s v="HUN"/>
    <s v="04:09:51"/>
    <x v="2277"/>
  </r>
  <r>
    <s v="Tánczos Csombor"/>
    <s v="M18"/>
    <s v="HUN"/>
    <s v="05:42:21"/>
    <x v="2278"/>
  </r>
  <r>
    <s v="Varju Gáspár"/>
    <s v="M45"/>
    <s v="HUN"/>
    <s v="04:25:17"/>
    <x v="341"/>
  </r>
  <r>
    <s v="ROTTE, Bruno"/>
    <s v="M55"/>
    <s v="HUN"/>
    <s v="04:10:03"/>
    <x v="2279"/>
  </r>
  <r>
    <s v="Musil, Jaroslav"/>
    <s v="M40"/>
    <s v="ESP"/>
    <s v="04:09:21"/>
    <x v="1830"/>
  </r>
  <r>
    <s v="Takács István"/>
    <s v="M55"/>
    <s v="POL"/>
    <s v="04:36:47"/>
    <x v="2280"/>
  </r>
  <r>
    <s v="Klein Péter"/>
    <s v="M40"/>
    <s v="HUN"/>
    <s v="04:54:49"/>
    <x v="2141"/>
  </r>
  <r>
    <s v="Jahoda, Vit"/>
    <s v="M40"/>
    <s v="HUN"/>
    <s v="03:11:01"/>
    <x v="358"/>
  </r>
  <r>
    <s v="Morbey, Dan"/>
    <s v="M20"/>
    <s v="HUN"/>
    <s v="04:21:10"/>
    <x v="2281"/>
  </r>
  <r>
    <s v="Lipták János"/>
    <s v="M35"/>
    <s v="SRB"/>
    <s v="03:54:29"/>
    <x v="2282"/>
  </r>
  <r>
    <s v="Zsoldos Péter"/>
    <s v="M40"/>
    <s v="CZE"/>
    <s v="03:39:45"/>
    <x v="248"/>
  </r>
  <r>
    <s v="André Milán"/>
    <s v="M30"/>
    <s v="TWN"/>
    <s v="03:31:24"/>
    <x v="1849"/>
  </r>
  <r>
    <s v="Rainey, Cathal"/>
    <s v="M20"/>
    <s v="HUN"/>
    <s v="04:17:04"/>
    <x v="2283"/>
  </r>
  <r>
    <s v="Bos, Sean William"/>
    <s v="M30"/>
    <s v="HUN"/>
    <s v="03:10:46"/>
    <x v="467"/>
  </r>
  <r>
    <s v="Hoffmann, Günther"/>
    <s v="M60"/>
    <s v="HUN"/>
    <s v="04:26:16"/>
    <x v="904"/>
  </r>
  <r>
    <s v="Virág Róbert"/>
    <s v="M40"/>
    <s v="HUN"/>
    <s v="03:59:15"/>
    <x v="2284"/>
  </r>
  <r>
    <s v="Németh Miklós Márton"/>
    <s v="M40"/>
    <s v="HUN"/>
    <s v="04:17:32"/>
    <x v="2285"/>
  </r>
  <r>
    <s v="cordier, boris"/>
    <s v="M50"/>
    <s v="HUN"/>
    <s v="03:59:54"/>
    <x v="1905"/>
  </r>
  <r>
    <s v="PARK, YONG JUN"/>
    <s v="M30"/>
    <s v="HUN"/>
    <s v="04:58:06"/>
    <x v="1115"/>
  </r>
  <r>
    <s v="Dancza Zsolt"/>
    <s v="M45"/>
    <s v="HUN"/>
    <s v="04:52:06"/>
    <x v="2286"/>
  </r>
  <r>
    <s v="Burkard, Marco"/>
    <s v="M30"/>
    <s v="HUN"/>
    <s v="03:47:53"/>
    <x v="1162"/>
  </r>
  <r>
    <s v="Kardos Géza"/>
    <s v="M55"/>
    <s v="HUN"/>
    <s v="03:51:48"/>
    <x v="2287"/>
  </r>
  <r>
    <s v="Mihályházi Vilmos"/>
    <s v="M50"/>
    <s v="HUN"/>
    <s v="04:22:36"/>
    <x v="2288"/>
  </r>
  <r>
    <s v="Fodor Ferenc"/>
    <s v="M45"/>
    <s v="ISR"/>
    <s v="04:38:05"/>
    <x v="1901"/>
  </r>
  <r>
    <s v="Kósa, Tomá"/>
    <s v="M45"/>
    <s v="AUT"/>
    <s v="03:53:20"/>
    <x v="617"/>
  </r>
  <r>
    <s v="Lakatos Zsolt"/>
    <s v="M45"/>
    <s v="GBR"/>
    <s v="04:37:18"/>
    <x v="2289"/>
  </r>
  <r>
    <s v="Murden, Philip"/>
    <s v="M35"/>
    <s v="SWE"/>
    <s v="03:10:02"/>
    <x v="1713"/>
  </r>
  <r>
    <s v="Zoltai Zsolt"/>
    <s v="M25"/>
    <s v="POL"/>
    <s v="03:23:23"/>
    <x v="648"/>
  </r>
  <r>
    <s v="Zacarias de Oliveira, Fernando"/>
    <s v="M35"/>
    <s v="HUN"/>
    <s v="04:08:33"/>
    <x v="2290"/>
  </r>
  <r>
    <s v="Füleki Áron"/>
    <s v="M35"/>
    <s v="HUN"/>
    <s v="03:57:43"/>
    <x v="2291"/>
  </r>
  <r>
    <s v="kirk, simo"/>
    <s v="M30"/>
    <s v="HUN"/>
    <s v="02:59:31"/>
    <x v="2292"/>
  </r>
  <r>
    <s v="Lakatos Dániel"/>
    <s v="M18"/>
    <s v="HUN"/>
    <s v="04:37:13"/>
    <x v="2293"/>
  </r>
  <r>
    <s v="KOZIRIS, LIBERIS"/>
    <s v="M50"/>
    <s v="HUN"/>
    <s v="03:29:38"/>
    <x v="2294"/>
  </r>
  <r>
    <s v="Péter Gábor"/>
    <s v="M30"/>
    <s v="RUS"/>
    <s v="04:28:05"/>
    <x v="2295"/>
  </r>
  <r>
    <s v="Webb, James"/>
    <s v="M50"/>
    <s v="SWE"/>
    <s v="03:32:15"/>
    <x v="2006"/>
  </r>
  <r>
    <s v="De Rosa, Vincenzo"/>
    <s v="M50"/>
    <s v="HUN"/>
    <s v="04:40:48"/>
    <x v="2296"/>
  </r>
  <r>
    <s v="Glazachev, Evgenii"/>
    <s v="M30"/>
    <s v="USA"/>
    <s v="03:23:05"/>
    <x v="118"/>
  </r>
  <r>
    <s v="Evangelou, Andreas"/>
    <s v="M40"/>
    <s v="HUN"/>
    <s v="04:38:03"/>
    <x v="2297"/>
  </r>
  <r>
    <s v="Magyar Róbert"/>
    <s v="M40"/>
    <s v="AUT"/>
    <s v="04:22:31"/>
    <x v="160"/>
  </r>
  <r>
    <s v="Metzger Balázs"/>
    <s v="M45"/>
    <s v="HUN"/>
    <s v="03:41:18"/>
    <x v="371"/>
  </r>
  <r>
    <s v="de Vries, Maurice"/>
    <s v="M25"/>
    <s v="HUN"/>
    <s v="04:27:53"/>
    <x v="2298"/>
  </r>
  <r>
    <s v="Holwitt, Stephan"/>
    <s v="M50"/>
    <s v="HUN"/>
    <s v="04:08:54"/>
    <x v="893"/>
  </r>
  <r>
    <s v="Moreau, Gregory"/>
    <s v="M45"/>
    <s v="SRB"/>
    <s v="04:40:04"/>
    <x v="1277"/>
  </r>
  <r>
    <s v="TSAI, KUO CHUN"/>
    <s v="M55"/>
    <s v="GBR"/>
    <s v="03:51:00"/>
    <x v="2299"/>
  </r>
  <r>
    <s v="Kocsis Antal"/>
    <s v="M55"/>
    <s v="USA"/>
    <s v="03:58:08"/>
    <x v="914"/>
  </r>
  <r>
    <s v="Biliński, Tomasz"/>
    <s v="M45"/>
    <s v="HUN"/>
    <s v="04:17:56"/>
    <x v="557"/>
  </r>
  <r>
    <s v="Jannon, Francesco"/>
    <s v="M55"/>
    <s v="RUS"/>
    <s v="04:58:13"/>
    <x v="2300"/>
  </r>
  <r>
    <s v="Notarangelo, Massimiliano"/>
    <s v="M50"/>
    <s v="HUN"/>
    <s v="04:50:07"/>
    <x v="2301"/>
  </r>
  <r>
    <s v="POTIER, Jean"/>
    <s v="M50"/>
    <s v="HUN"/>
    <s v="03:22:15"/>
    <x v="2302"/>
  </r>
  <r>
    <s v="Rego, Antonio"/>
    <s v="M50"/>
    <s v="HUN"/>
    <s v="05:02:41"/>
    <x v="1384"/>
  </r>
  <r>
    <s v="Michaels, Alex"/>
    <s v="M25"/>
    <s v="HUN"/>
    <s v="03:39:34"/>
    <x v="2303"/>
  </r>
  <r>
    <s v="Czikkely Zsolt"/>
    <s v="M45"/>
    <s v="POR"/>
    <s v="05:00:17"/>
    <x v="2304"/>
  </r>
  <r>
    <s v="Dr. Smidla József"/>
    <s v="M35"/>
    <s v="HUN"/>
    <s v="03:51:33"/>
    <x v="423"/>
  </r>
  <r>
    <s v="Seres Gergely"/>
    <s v="M25"/>
    <s v="HUN"/>
    <s v="04:37:47"/>
    <x v="2305"/>
  </r>
  <r>
    <s v="Sebesvári Bence"/>
    <s v="M35"/>
    <s v="HUN"/>
    <s v="03:57:05"/>
    <x v="1339"/>
  </r>
  <r>
    <s v="Muskovics Endre"/>
    <s v="M40"/>
    <s v="FRA"/>
    <s v="03:51:17"/>
    <x v="2306"/>
  </r>
  <r>
    <s v="Goret, Christophe"/>
    <s v="M50"/>
    <s v="CHN"/>
    <s v="03:31:07"/>
    <x v="2307"/>
  </r>
  <r>
    <s v="Csoba Dénes dr."/>
    <s v="M35"/>
    <s v="ITA"/>
    <s v="03:55:36"/>
    <x v="2308"/>
  </r>
  <r>
    <s v="Steri, Fabio"/>
    <s v="M35"/>
    <s v="ITA"/>
    <s v="04:13:03"/>
    <x v="125"/>
  </r>
  <r>
    <s v="Vasilij, Kobec"/>
    <s v="M35"/>
    <s v="FRA"/>
    <s v="04:13:03"/>
    <x v="125"/>
  </r>
  <r>
    <s v="James, Trott"/>
    <s v="M20"/>
    <s v="AUT"/>
    <s v="04:28:23"/>
    <x v="600"/>
  </r>
  <r>
    <s v="Pálinkás Norbert"/>
    <s v="M40"/>
    <s v="KAZ"/>
    <s v="03:44:09"/>
    <x v="2309"/>
  </r>
  <r>
    <s v="Győri András dr"/>
    <s v="M30"/>
    <s v="RUS"/>
    <s v="04:07:20"/>
    <x v="1118"/>
  </r>
  <r>
    <s v="Réder Kristóf"/>
    <s v="M35"/>
    <s v="HUN"/>
    <s v="04:54:55"/>
    <x v="2310"/>
  </r>
  <r>
    <s v="Halmi István"/>
    <s v="M45"/>
    <s v="NZL"/>
    <s v="03:30:37"/>
    <x v="2311"/>
  </r>
  <r>
    <s v="Hood, William"/>
    <s v="M20"/>
    <s v="HUN"/>
    <s v="03:51:57"/>
    <x v="2312"/>
  </r>
  <r>
    <s v="Gulyás Péter"/>
    <s v="M35"/>
    <s v="HUN"/>
    <s v="03:57:43"/>
    <x v="2291"/>
  </r>
  <r>
    <s v="McGall, Dylan"/>
    <s v="M25"/>
    <s v="GBR"/>
    <s v="04:11:56"/>
    <x v="336"/>
  </r>
  <r>
    <s v="Bird, Conall"/>
    <s v="M20"/>
    <s v="HUN"/>
    <s v="03:35:36"/>
    <x v="2313"/>
  </r>
  <r>
    <s v="Hegyes Dániel"/>
    <s v="M18"/>
    <s v="HUN"/>
    <s v="03:47:23"/>
    <x v="2314"/>
  </r>
  <r>
    <s v="Csaba Gergely"/>
    <s v="M30"/>
    <s v="HUN"/>
    <s v="03:18:02"/>
    <x v="2315"/>
  </r>
  <r>
    <s v="wnetrzak, krzysztof"/>
    <s v="M45"/>
    <s v="HUN"/>
    <s v="04:14:43"/>
    <x v="2316"/>
  </r>
  <r>
    <s v="Mészáros Andris"/>
    <s v="M35"/>
    <s v="RSA"/>
    <s v="03:09:53"/>
    <x v="101"/>
  </r>
  <r>
    <s v="Aradi-Hankó Péter"/>
    <s v="M35"/>
    <s v="FIN"/>
    <s v="03:41:48"/>
    <x v="353"/>
  </r>
  <r>
    <s v="Priger István Imre"/>
    <s v="M35"/>
    <s v="CZE"/>
    <s v="05:00:14"/>
    <x v="2100"/>
  </r>
  <r>
    <s v="LOIC, DOUAI"/>
    <s v="M40"/>
    <s v="HUN"/>
    <s v="03:59:23"/>
    <x v="2317"/>
  </r>
  <r>
    <s v="Tamás Bertalan"/>
    <s v="M35"/>
    <s v="HUN"/>
    <s v="03:22:02"/>
    <x v="2318"/>
  </r>
  <r>
    <s v="Nádor-Nikitits Benedek"/>
    <s v="M25"/>
    <s v="GBR"/>
    <s v="03:06:28"/>
    <x v="2319"/>
  </r>
  <r>
    <s v="Bergman, Aard"/>
    <s v="M55"/>
    <s v="HUN"/>
    <s v="04:22:54"/>
    <x v="2320"/>
  </r>
  <r>
    <s v="Paterson, Reece"/>
    <s v="M18"/>
    <s v="HUN"/>
    <s v="05:19:14"/>
    <x v="2321"/>
  </r>
  <r>
    <s v="Pénzes András ifj"/>
    <s v="M30"/>
    <s v="HUN"/>
    <s v="05:11:20"/>
    <x v="2322"/>
  </r>
  <r>
    <s v="Remenyik Bence"/>
    <s v="M30"/>
    <s v="HUN"/>
    <s v="03:55:54"/>
    <x v="2323"/>
  </r>
  <r>
    <s v="Hadlaczky Máté"/>
    <s v="M30"/>
    <s v="GER"/>
    <s v="03:28:58"/>
    <x v="2324"/>
  </r>
  <r>
    <s v="Rási Béla"/>
    <s v="M50"/>
    <s v="HUN"/>
    <s v="05:13:34"/>
    <x v="2325"/>
  </r>
  <r>
    <s v="Tárnok András dr"/>
    <s v="M25"/>
    <s v="HUN"/>
    <s v="03:26:43"/>
    <x v="919"/>
  </r>
  <r>
    <s v="Mathiasen Gabriel"/>
    <s v="M25"/>
    <s v="HUN"/>
    <s v="03:10:23"/>
    <x v="1290"/>
  </r>
  <r>
    <s v="Warner, Ian"/>
    <s v="M20"/>
    <s v="HUN"/>
    <s v="04:15:24"/>
    <x v="2326"/>
  </r>
  <r>
    <s v="Hauet, Yvo"/>
    <s v="M50"/>
    <s v="BRA"/>
    <s v="03:15:16"/>
    <x v="2327"/>
  </r>
  <r>
    <s v="Paterson, Oliver"/>
    <s v="M30"/>
    <s v="CHI"/>
    <s v="03:26:36"/>
    <x v="2328"/>
  </r>
  <r>
    <s v="Utry Álmos"/>
    <s v="M40"/>
    <s v="HUN"/>
    <s v="04:09:46"/>
    <x v="2329"/>
  </r>
  <r>
    <s v="Dubus, Sylvain"/>
    <s v="M35"/>
    <s v="ITA"/>
    <s v="02:59:32"/>
    <x v="2330"/>
  </r>
  <r>
    <s v="Mezősi András"/>
    <s v="M40"/>
    <s v="ITA"/>
    <s v="03:55:03"/>
    <x v="608"/>
  </r>
  <r>
    <s v="Iskra, Piotr"/>
    <s v="M45"/>
    <s v="HUN"/>
    <s v="05:08:06"/>
    <x v="2331"/>
  </r>
  <r>
    <s v="Laczják Sándor"/>
    <s v="M45"/>
    <s v="FIN"/>
    <s v="04:10:25"/>
    <x v="2332"/>
  </r>
  <r>
    <s v="Szalay Szabolcs Kornél"/>
    <s v="M25"/>
    <s v="HUN"/>
    <s v="04:30:30"/>
    <x v="2333"/>
  </r>
  <r>
    <s v="Hegedüs Dávid"/>
    <s v="M30"/>
    <s v="POR"/>
    <s v="03:47:46"/>
    <x v="2334"/>
  </r>
  <r>
    <s v="Zombori Ákos"/>
    <s v="M30"/>
    <s v="HUN"/>
    <s v="03:26:45"/>
    <x v="2335"/>
  </r>
  <r>
    <s v="Luis, Araiza"/>
    <s v="M18"/>
    <s v="HUN"/>
    <s v="04:10:16"/>
    <x v="2336"/>
  </r>
  <r>
    <s v="Sabolic, Tomislav"/>
    <s v="M40"/>
    <s v="HUN"/>
    <s v="03:46:42"/>
    <x v="2337"/>
  </r>
  <r>
    <s v="Konrát Andor Viktor"/>
    <s v="M40"/>
    <s v="HUN"/>
    <s v="04:27:48"/>
    <x v="382"/>
  </r>
  <r>
    <s v="Donnat, Clément"/>
    <s v="M20"/>
    <s v="NZL"/>
    <s v="03:29:14"/>
    <x v="2338"/>
  </r>
  <r>
    <s v="Döbrőssy Viktor"/>
    <s v="M35"/>
    <s v="FRA"/>
    <s v="03:59:26"/>
    <x v="1885"/>
  </r>
  <r>
    <s v="Lebedev, Dmitry"/>
    <s v="M45"/>
    <s v="SVK"/>
    <s v="04:12:45"/>
    <x v="2339"/>
  </r>
  <r>
    <s v="Bányai János"/>
    <s v="M40"/>
    <s v="HUN"/>
    <s v="03:04:37"/>
    <x v="2340"/>
  </r>
  <r>
    <s v="Skorski, Linus"/>
    <s v="M20"/>
    <s v="SWE"/>
    <s v="03:29:16"/>
    <x v="355"/>
  </r>
  <r>
    <s v="Csipak, Peter"/>
    <s v="M55"/>
    <s v="HUN"/>
    <s v="04:18:20"/>
    <x v="2341"/>
  </r>
  <r>
    <s v="Kertesz Peter"/>
    <s v="M35"/>
    <s v="ESP"/>
    <s v="04:24:37"/>
    <x v="2342"/>
  </r>
  <r>
    <s v="Magyar Balázs"/>
    <s v="M25"/>
    <s v="POL"/>
    <s v="04:45:03"/>
    <x v="2343"/>
  </r>
  <r>
    <s v="Kretovics Zsolt"/>
    <s v="M35"/>
    <s v="HUN"/>
    <s v="05:03:47"/>
    <x v="238"/>
  </r>
  <r>
    <s v="Koszorú Sándor"/>
    <s v="M45"/>
    <s v="HUN"/>
    <s v="04:16:54"/>
    <x v="1502"/>
  </r>
  <r>
    <s v="Smith, James"/>
    <s v="M20"/>
    <s v="HUN"/>
    <s v="05:28:17"/>
    <x v="2344"/>
  </r>
  <r>
    <s v="Roth-Kleiner, Matthias prof"/>
    <s v="M55"/>
    <s v="ITA"/>
    <s v="04:27:28"/>
    <x v="818"/>
  </r>
  <r>
    <s v="Gulyás András"/>
    <s v="M20"/>
    <s v="GER"/>
    <s v="05:14:10"/>
    <x v="2345"/>
  </r>
  <r>
    <s v="Hall, Benjamin"/>
    <s v="M20"/>
    <s v="HUN"/>
    <s v="03:49:55"/>
    <x v="766"/>
  </r>
  <r>
    <s v="Balássy Zoltán"/>
    <s v="M40"/>
    <s v="HUN"/>
    <s v="04:58:54"/>
    <x v="707"/>
  </r>
  <r>
    <s v="Hegyvári Attila"/>
    <s v="M25"/>
    <s v="HUN"/>
    <s v="04:43:00"/>
    <x v="2346"/>
  </r>
  <r>
    <s v="Kaposvári György"/>
    <s v="M65"/>
    <s v="LAT"/>
    <s v="03:28:24"/>
    <x v="940"/>
  </r>
  <r>
    <s v="Tari István dr."/>
    <s v="M35"/>
    <s v="HUN"/>
    <s v="03:46:15"/>
    <x v="2347"/>
  </r>
  <r>
    <s v="Juhász Bálint"/>
    <s v="M30"/>
    <s v="HUN"/>
    <s v="04:25:59"/>
    <x v="2235"/>
  </r>
  <r>
    <s v="Kanizsai Gábor István"/>
    <s v="M40"/>
    <s v="HUN"/>
    <s v="03:19:46"/>
    <x v="2348"/>
  </r>
  <r>
    <s v="O'Boyle, Frank"/>
    <s v="M35"/>
    <s v="HUN"/>
    <s v="03:15:14"/>
    <x v="2349"/>
  </r>
  <r>
    <s v="Asztalos János"/>
    <s v="M35"/>
    <s v="FRA"/>
    <s v="03:20:08"/>
    <x v="2350"/>
  </r>
  <r>
    <s v="Tabaku, Erblin"/>
    <s v="M45"/>
    <s v="HUN"/>
    <s v="04:03:51"/>
    <x v="2099"/>
  </r>
  <r>
    <s v="Avin, Houman"/>
    <s v="M35"/>
    <s v="HUN"/>
    <s v="03:37:27"/>
    <x v="2351"/>
  </r>
  <r>
    <s v="Vida Gábor dr"/>
    <s v="M40"/>
    <s v="ITA"/>
    <s v="03:41:49"/>
    <x v="978"/>
  </r>
  <r>
    <s v="Battistolo, Julien"/>
    <s v="M25"/>
    <s v="HUN"/>
    <s v="04:44:02"/>
    <x v="2352"/>
  </r>
  <r>
    <s v="Gyuricza István"/>
    <s v="M40"/>
    <s v="POL"/>
    <s v="04:11:32"/>
    <x v="2353"/>
  </r>
  <r>
    <s v="George, Alex"/>
    <s v="M35"/>
    <s v="HUN"/>
    <s v="03:45:01"/>
    <x v="2354"/>
  </r>
  <r>
    <s v="kardasz, jacek"/>
    <s v="M40"/>
    <s v="HUN"/>
    <s v="03:42:07"/>
    <x v="1396"/>
  </r>
  <r>
    <s v="Simsik Zoltán"/>
    <s v="M40"/>
    <s v="RUS"/>
    <s v="05:15:21"/>
    <x v="2355"/>
  </r>
  <r>
    <s v="Pogorelsky, Dima"/>
    <s v="M40"/>
    <s v="IRL"/>
    <s v="03:23:24"/>
    <x v="1655"/>
  </r>
  <r>
    <s v="Zöldy Tamás"/>
    <s v="M35"/>
    <s v="GER"/>
    <s v="03:35:42"/>
    <x v="62"/>
  </r>
  <r>
    <s v="Dicoi, Tiberiu"/>
    <s v="M45"/>
    <s v="HUN"/>
    <s v="03:27:55"/>
    <x v="1724"/>
  </r>
  <r>
    <s v="Edison Armando, Castillo Herrera prof"/>
    <s v="M30"/>
    <s v="HUN"/>
    <s v="03:25:21"/>
    <x v="1541"/>
  </r>
  <r>
    <s v="Christensen, Tommy"/>
    <s v="M50"/>
    <s v="POL"/>
    <s v="03:23:02"/>
    <x v="744"/>
  </r>
  <r>
    <s v="Maczkó Miklós"/>
    <s v="M30"/>
    <s v="AUS"/>
    <s v="03:34:35"/>
    <x v="2356"/>
  </r>
  <r>
    <s v="Hrabovský, Marek"/>
    <s v="M35"/>
    <s v="HUN"/>
    <s v="03:06:59"/>
    <x v="2357"/>
  </r>
  <r>
    <s v="Zonjee, Alexander prof"/>
    <s v="M30"/>
    <s v="FRA"/>
    <s v="03:29:49"/>
    <x v="2358"/>
  </r>
  <r>
    <s v="Ádám Zsolt"/>
    <s v="M40"/>
    <s v="BEL"/>
    <s v="04:05:43"/>
    <x v="2359"/>
  </r>
  <r>
    <s v="Zoltán, ILLÉ"/>
    <s v="M45"/>
    <s v="HUN"/>
    <s v="04:26:13"/>
    <x v="1752"/>
  </r>
  <r>
    <s v="Zagraj László"/>
    <s v="M35"/>
    <s v="HUN"/>
    <s v="03:31:44"/>
    <x v="2360"/>
  </r>
  <r>
    <s v="Szalai Attila"/>
    <s v="M40"/>
    <s v="HUN"/>
    <s v="04:29:07"/>
    <x v="2361"/>
  </r>
  <r>
    <s v="Szathmáry Benedek"/>
    <s v="M18"/>
    <s v="AUT"/>
    <s v="05:00:10"/>
    <x v="2362"/>
  </r>
  <r>
    <s v="Csáky László"/>
    <s v="M50"/>
    <s v="SVK"/>
    <s v="04:35:07"/>
    <x v="2363"/>
  </r>
  <r>
    <s v="Markót András"/>
    <s v="M70"/>
    <s v="HUN"/>
    <s v="04:24:07"/>
    <x v="2364"/>
  </r>
  <r>
    <s v="Misák, Béla ifj"/>
    <s v="M45"/>
    <s v="HUN"/>
    <s v="04:29:19"/>
    <x v="1445"/>
  </r>
  <r>
    <s v="Seal, Barrie"/>
    <s v="M45"/>
    <s v="HUN"/>
    <s v="03:09:18"/>
    <x v="2365"/>
  </r>
  <r>
    <s v="Mathiasen Gabriel"/>
    <s v="M25"/>
    <s v="HUN"/>
    <s v="03:10:23"/>
    <x v="1290"/>
  </r>
  <r>
    <s v="Páli Zsombor András"/>
    <s v="M45"/>
    <s v="HUN"/>
    <s v="04:30:56"/>
    <x v="2366"/>
  </r>
  <r>
    <s v="Fekete László"/>
    <s v="M50"/>
    <s v="HUN"/>
    <s v="04:33:15"/>
    <x v="2367"/>
  </r>
  <r>
    <s v="Kátai-Pál Benedek"/>
    <s v="M20"/>
    <s v="HUN"/>
    <s v="04:14:09"/>
    <x v="2368"/>
  </r>
  <r>
    <s v="Sharma, Sunkalp"/>
    <s v="M35"/>
    <s v="GER"/>
    <s v="04:18:27"/>
    <x v="612"/>
  </r>
  <r>
    <s v="Naschke, Lennart"/>
    <s v="M35"/>
    <s v="HUN"/>
    <s v="05:20:47"/>
    <x v="1152"/>
  </r>
  <r>
    <s v="Pók János"/>
    <s v="M60"/>
    <s v="RSA"/>
    <s v="04:03:33"/>
    <x v="1580"/>
  </r>
  <r>
    <s v="Gatsanoga, Miroslav"/>
    <s v="M30"/>
    <s v="CZE"/>
    <s v="05:01:43"/>
    <x v="2369"/>
  </r>
  <r>
    <s v="Zólyomi Balázs"/>
    <s v="M45"/>
    <s v="ALG"/>
    <s v="04:43:16"/>
    <x v="2370"/>
  </r>
  <r>
    <s v="James, Gareth"/>
    <s v="M35"/>
    <s v="HUN"/>
    <s v="04:10:11"/>
    <x v="1156"/>
  </r>
  <r>
    <s v="Schmid, Philipp"/>
    <s v="M40"/>
    <s v="HUN"/>
    <s v="03:41:14"/>
    <x v="43"/>
  </r>
  <r>
    <s v="Labádi Máté"/>
    <s v="M40"/>
    <s v="HUN"/>
    <s v="04:06:18"/>
    <x v="2371"/>
  </r>
  <r>
    <s v="Vencel Mészáros"/>
    <s v="M20"/>
    <s v="HUN"/>
    <s v="03:41:23"/>
    <x v="1195"/>
  </r>
  <r>
    <s v="Renaud, Lecomte"/>
    <s v="M25"/>
    <s v="HUN"/>
    <s v="03:45:30"/>
    <x v="2372"/>
  </r>
  <r>
    <s v="Molyneux, Freddie"/>
    <s v="M25"/>
    <s v="DEN"/>
    <s v="03:45:09"/>
    <x v="2373"/>
  </r>
  <r>
    <s v="Major Tibor dr."/>
    <s v="M60"/>
    <s v="HUN"/>
    <s v="04:53:59"/>
    <x v="2374"/>
  </r>
  <r>
    <s v="Potornai Zoltán"/>
    <s v="M55"/>
    <s v="ITA"/>
    <s v="04:09:13"/>
    <x v="669"/>
  </r>
  <r>
    <s v="GURRIERI, Peter"/>
    <s v="M50"/>
    <s v="GBR"/>
    <s v="03:50:27"/>
    <x v="2375"/>
  </r>
  <r>
    <s v="Rudolf József dr."/>
    <s v="M50"/>
    <s v="POL"/>
    <s v="04:10:13"/>
    <x v="2376"/>
  </r>
  <r>
    <s v="Gyúri Attila"/>
    <s v="M45"/>
    <s v="HUN"/>
    <s v="03:31:57"/>
    <x v="2377"/>
  </r>
  <r>
    <s v="Tepavac, Marko"/>
    <s v="M45"/>
    <s v="FRA"/>
    <s v="04:19:49"/>
    <x v="2378"/>
  </r>
  <r>
    <s v="Gulyás Attila"/>
    <s v="M35"/>
    <s v="HUN"/>
    <s v="04:56:37"/>
    <x v="263"/>
  </r>
  <r>
    <s v="Angster Áron"/>
    <s v="M20"/>
    <s v="HUN"/>
    <s v="03:58:50"/>
    <x v="2379"/>
  </r>
  <r>
    <s v="Savas, Spanudis"/>
    <s v="M45"/>
    <s v="HUN"/>
    <s v="03:14:01"/>
    <x v="1017"/>
  </r>
  <r>
    <s v="Lame, Erik"/>
    <s v="M30"/>
    <s v="SWE"/>
    <s v="03:51:32"/>
    <x v="1082"/>
  </r>
  <r>
    <s v="Lénárt Zoltán dr"/>
    <s v="M50"/>
    <s v="HUN"/>
    <s v="04:05:33"/>
    <x v="2380"/>
  </r>
  <r>
    <s v="Papp András"/>
    <s v="M30"/>
    <s v="HUN"/>
    <s v="04:16:52"/>
    <x v="2381"/>
  </r>
  <r>
    <s v="Layous Robert"/>
    <s v="M20"/>
    <s v="HUN"/>
    <s v="04:52:39"/>
    <x v="2382"/>
  </r>
  <r>
    <s v="Schwartz-Nagy Attila"/>
    <s v="M35"/>
    <s v="HUN"/>
    <s v="03:41:56"/>
    <x v="844"/>
  </r>
  <r>
    <s v="Ferge István"/>
    <s v="M40"/>
    <s v="HUN"/>
    <s v="05:17:44"/>
    <x v="2383"/>
  </r>
  <r>
    <s v="Purdye, Graham"/>
    <s v="M65"/>
    <s v="HUN"/>
    <s v="03:43:12"/>
    <x v="1959"/>
  </r>
  <r>
    <s v="Spernoga Miklós ifj"/>
    <s v="M50"/>
    <s v="HUN"/>
    <s v="04:29:26"/>
    <x v="2384"/>
  </r>
  <r>
    <s v="Timpson, Jonathan"/>
    <s v="M25"/>
    <s v="HUN"/>
    <s v="05:06:49"/>
    <x v="2385"/>
  </r>
  <r>
    <s v="ZURAUSKAS, OSVALDAS"/>
    <s v="M50"/>
    <s v="SVK"/>
    <s v="04:33:39"/>
    <x v="2386"/>
  </r>
  <r>
    <s v="Nagy István"/>
    <s v="M35"/>
    <s v="FRA"/>
    <s v="03:09:06"/>
    <x v="266"/>
  </r>
  <r>
    <s v="Fornara, Hadrien"/>
    <s v="M30"/>
    <s v="GBR"/>
    <s v="02:55:45"/>
    <x v="2387"/>
  </r>
  <r>
    <s v="Nógrádi Ádám"/>
    <s v="M30"/>
    <s v="HUN"/>
    <s v="03:36:03"/>
    <x v="2388"/>
  </r>
  <r>
    <s v="Canterberry, William"/>
    <s v="M30"/>
    <s v="ESP"/>
    <s v="04:40:53"/>
    <x v="2389"/>
  </r>
  <r>
    <s v="Diker, Boris"/>
    <s v="M50"/>
    <s v="USA"/>
    <s v="03:33:29"/>
    <x v="2390"/>
  </r>
  <r>
    <s v="Horváth Zoltán"/>
    <s v="M50"/>
    <s v="HUN"/>
    <s v="04:46:31"/>
    <x v="2391"/>
  </r>
  <r>
    <s v="Neff, Gary"/>
    <s v="M50"/>
    <s v="HUN"/>
    <s v="03:50:38"/>
    <x v="2392"/>
  </r>
  <r>
    <s v="meister, thomas"/>
    <s v="M45"/>
    <s v="HUN"/>
    <s v="04:26:13"/>
    <x v="1752"/>
  </r>
  <r>
    <s v="Járosi Tamás"/>
    <s v="M50"/>
    <s v="FRA"/>
    <s v="05:14:01"/>
    <x v="1907"/>
  </r>
  <r>
    <s v="Patocskai Mátyás"/>
    <s v="M25"/>
    <s v="SWE"/>
    <s v="03:44:53"/>
    <x v="243"/>
  </r>
  <r>
    <s v="Molnár Bence"/>
    <s v="M45"/>
    <s v="HUN"/>
    <s v="04:43:59"/>
    <x v="1019"/>
  </r>
  <r>
    <s v="Hornyak, Tomas"/>
    <s v="M35"/>
    <s v="NED"/>
    <s v="03:51:59"/>
    <x v="1330"/>
  </r>
  <r>
    <s v="Saarijärvi, Eetu"/>
    <s v="M25"/>
    <s v="ESP"/>
    <s v="03:47:27"/>
    <x v="75"/>
  </r>
  <r>
    <s v="Dieter, Schlaefke"/>
    <s v="M75"/>
    <s v="HUN"/>
    <s v="05:19:39"/>
    <x v="2393"/>
  </r>
  <r>
    <s v="Irving, Neil"/>
    <s v="M40"/>
    <s v="HUN"/>
    <s v="03:31:13"/>
    <x v="2394"/>
  </r>
  <r>
    <s v="Hetey Márton"/>
    <s v="M25"/>
    <s v="HUN"/>
    <s v="04:03:31"/>
    <x v="1730"/>
  </r>
  <r>
    <s v="Bányóczky Ferenc"/>
    <s v="M40"/>
    <s v="HUN"/>
    <s v="04:41:06"/>
    <x v="2395"/>
  </r>
  <r>
    <s v="Portörő Gábor"/>
    <s v="M45"/>
    <s v="ROM"/>
    <s v="04:24:08"/>
    <x v="814"/>
  </r>
  <r>
    <s v="Fredrik, Cato"/>
    <s v="M45"/>
    <s v="HUN"/>
    <s v="03:53:44"/>
    <x v="2396"/>
  </r>
  <r>
    <s v="Dósa Péter"/>
    <s v="M30"/>
    <s v="HUN"/>
    <s v="03:57:23"/>
    <x v="2397"/>
  </r>
  <r>
    <s v="Schmid, Sebastian"/>
    <s v="M20"/>
    <s v="HUN"/>
    <s v="03:48:56"/>
    <x v="2398"/>
  </r>
  <r>
    <s v="Cannini, Alberto prof"/>
    <s v="M40"/>
    <s v="GER"/>
    <s v="02:48:46"/>
    <x v="2399"/>
  </r>
  <r>
    <s v="Rodríguez, Daniel prof"/>
    <s v="M40"/>
    <s v="AUT"/>
    <s v="03:23:38"/>
    <x v="941"/>
  </r>
  <r>
    <s v="Ács Miklós"/>
    <s v="M45"/>
    <s v="FRA"/>
    <s v="03:54:00"/>
    <x v="2103"/>
  </r>
  <r>
    <s v="Máth Dániel"/>
    <s v="M25"/>
    <s v="FRA"/>
    <s v="04:28:17"/>
    <x v="673"/>
  </r>
  <r>
    <s v="Hakk Bence"/>
    <s v="M20"/>
    <s v="HUN"/>
    <s v="04:30:32"/>
    <x v="2186"/>
  </r>
  <r>
    <s v="Wilder William Jackson"/>
    <s v="M20"/>
    <s v="HUN"/>
    <s v="05:00:39"/>
    <x v="2400"/>
  </r>
  <r>
    <s v="Roberts, Bradley"/>
    <s v="M20"/>
    <s v="HUN"/>
    <s v="03:44:24"/>
    <x v="1448"/>
  </r>
  <r>
    <s v="Davitt, Robert prof"/>
    <s v="M20"/>
    <s v="HUN"/>
    <s v="04:23:51"/>
    <x v="2401"/>
  </r>
  <r>
    <s v="Tratner Barna id"/>
    <s v="M45"/>
    <s v="HUN"/>
    <s v="03:21:59"/>
    <x v="2402"/>
  </r>
  <r>
    <s v="GAZEY, STEVEN"/>
    <s v="M45"/>
    <s v="CHN"/>
    <s v="04:00:43"/>
    <x v="2403"/>
  </r>
  <r>
    <s v="Andreas, Künkele"/>
    <s v="M50"/>
    <s v="RSA"/>
    <s v="03:32:14"/>
    <x v="2404"/>
  </r>
  <r>
    <s v="Germán Tibor"/>
    <s v="M40"/>
    <s v="HUN"/>
    <s v="04:39:22"/>
    <x v="765"/>
  </r>
  <r>
    <s v="Verbaanderd, Gunther"/>
    <s v="M55"/>
    <s v="HUN"/>
    <s v="03:23:03"/>
    <x v="1109"/>
  </r>
  <r>
    <s v="Bucsák Győző"/>
    <s v="M45"/>
    <s v="GBR"/>
    <s v="04:06:18"/>
    <x v="2371"/>
  </r>
  <r>
    <s v="Pálvölgyi Zoltán"/>
    <s v="M50"/>
    <s v="POL"/>
    <s v="03:59:36"/>
    <x v="163"/>
  </r>
  <r>
    <s v="Berriman, Jack"/>
    <s v="M25"/>
    <s v="GBR"/>
    <s v="04:10:10"/>
    <x v="2405"/>
  </r>
  <r>
    <s v="Somodi László"/>
    <s v="M55"/>
    <s v="HUN"/>
    <s v="03:50:55"/>
    <x v="2406"/>
  </r>
  <r>
    <s v="Palmen, Nataschja"/>
    <s v="M50"/>
    <s v="HUN"/>
    <s v="04:22:29"/>
    <x v="2407"/>
  </r>
  <r>
    <s v="Vörös Zoltán Dr."/>
    <s v="M50"/>
    <s v="HUN"/>
    <s v="04:19:26"/>
    <x v="2408"/>
  </r>
  <r>
    <s v="Dickinson, Patrick"/>
    <s v="M25"/>
    <s v="HUN"/>
    <s v="05:21:10"/>
    <x v="2409"/>
  </r>
  <r>
    <s v="Bodor Csaba Gergely"/>
    <s v="M35"/>
    <s v="POL"/>
    <s v="03:57:46"/>
    <x v="240"/>
  </r>
  <r>
    <s v="Mátyus János"/>
    <s v="M45"/>
    <s v="HUN"/>
    <s v="05:16:45"/>
    <x v="2410"/>
  </r>
  <r>
    <s v="Jones, Neil prof"/>
    <s v="M50"/>
    <s v="HUN"/>
    <s v="03:41:17"/>
    <x v="255"/>
  </r>
  <r>
    <s v="Majláth Gábor"/>
    <s v="M40"/>
    <s v="SWE"/>
    <s v="03:18:21"/>
    <x v="2411"/>
  </r>
  <r>
    <s v="Enright, Brian"/>
    <s v="M45"/>
    <s v="HUN"/>
    <s v="03:34:26"/>
    <x v="1851"/>
  </r>
  <r>
    <s v="Rahner Róbert"/>
    <s v="M65"/>
    <s v="HUN"/>
    <s v="04:29:23"/>
    <x v="2412"/>
  </r>
  <r>
    <s v="Koster, Henry"/>
    <s v="M50"/>
    <s v="HUN"/>
    <s v="03:29:07"/>
    <x v="1691"/>
  </r>
  <r>
    <s v="Kiss Sándor"/>
    <s v="M40"/>
    <s v="BEL"/>
    <s v="03:43:23"/>
    <x v="2413"/>
  </r>
  <r>
    <s v="Tóth Barnabás"/>
    <s v="M20"/>
    <s v="HUN"/>
    <s v="03:47:56"/>
    <x v="2414"/>
  </r>
  <r>
    <s v="Rojas, Nestor Luciano"/>
    <s v="M35"/>
    <s v="FRA"/>
    <s v="03:10:06"/>
    <x v="536"/>
  </r>
  <r>
    <s v="Ördög Krisztián"/>
    <s v="M45"/>
    <s v="ROM"/>
    <s v="02:43:10"/>
    <x v="2415"/>
  </r>
  <r>
    <s v="Bónis Ádám Dárius"/>
    <s v="M20"/>
    <s v="HUN"/>
    <s v="04:10:36"/>
    <x v="1536"/>
  </r>
  <r>
    <s v="Bock Endre"/>
    <s v="M40"/>
    <s v="ITA"/>
    <s v="04:40:15"/>
    <x v="677"/>
  </r>
  <r>
    <s v="Talu, Alberto dr"/>
    <s v="M50"/>
    <s v="HUN"/>
    <s v="05:08:27"/>
    <x v="1062"/>
  </r>
  <r>
    <s v="Krejčí, Robin"/>
    <s v="M25"/>
    <s v="FRA"/>
    <s v="03:57:56"/>
    <x v="1227"/>
  </r>
  <r>
    <s v="Derényi Imre prof"/>
    <s v="M50"/>
    <s v="HUN"/>
    <s v="03:28:02"/>
    <x v="2416"/>
  </r>
  <r>
    <s v="Schulcz Gábor"/>
    <s v="M60"/>
    <s v="HUN"/>
    <s v="04:58:16"/>
    <x v="1372"/>
  </r>
  <r>
    <s v="Simonyi Balázs"/>
    <s v="M40"/>
    <s v="HUN"/>
    <s v="03:09:00"/>
    <x v="2417"/>
  </r>
  <r>
    <s v="Tekin, Veli"/>
    <s v="M25"/>
    <s v="HUN"/>
    <s v="04:25:57"/>
    <x v="258"/>
  </r>
  <r>
    <s v="Korteweg, Anton"/>
    <s v="M45"/>
    <s v="HUN"/>
    <s v="02:52:07"/>
    <x v="286"/>
  </r>
  <r>
    <s v="Schuch András"/>
    <s v="M25"/>
    <s v="HUN"/>
    <s v="03:46:38"/>
    <x v="2418"/>
  </r>
  <r>
    <s v="Nánai-Nagy Norbert dr"/>
    <s v="M25"/>
    <s v="HUN"/>
    <s v="04:16:54"/>
    <x v="1502"/>
  </r>
  <r>
    <s v="Szöllőssy Krisztián"/>
    <s v="M40"/>
    <s v="HUN"/>
    <s v="04:44:55"/>
    <x v="2419"/>
  </r>
  <r>
    <s v="Kiss Gábor"/>
    <s v="M40"/>
    <s v="HUN"/>
    <s v="04:21:46"/>
    <x v="2420"/>
  </r>
  <r>
    <s v="Byrne, Matt"/>
    <s v="M50"/>
    <s v="HUN"/>
    <s v="04:21:46"/>
    <x v="2420"/>
  </r>
  <r>
    <s v="Raykov, Ivo"/>
    <s v="M25"/>
    <s v="HUN"/>
    <s v="04:04:01"/>
    <x v="82"/>
  </r>
  <r>
    <s v="Hollós Tamás"/>
    <s v="M35"/>
    <s v="HUN"/>
    <s v="03:28:29"/>
    <x v="2147"/>
  </r>
  <r>
    <s v="Largy, Jean-Mathieu"/>
    <s v="M35"/>
    <s v="SWE"/>
    <s v="04:03:39"/>
    <x v="1889"/>
  </r>
  <r>
    <s v="Pult, Erich"/>
    <s v="M45"/>
    <s v="HUN"/>
    <s v="02:57:40"/>
    <x v="2421"/>
  </r>
  <r>
    <s v="Geiger Tamás"/>
    <s v="M40"/>
    <s v="HUN"/>
    <s v="04:20:22"/>
    <x v="1787"/>
  </r>
  <r>
    <s v="Szalmási Dániel"/>
    <s v="M25"/>
    <s v="SWE"/>
    <s v="05:03:42"/>
    <x v="658"/>
  </r>
  <r>
    <s v="Kiss, Gábor"/>
    <s v="M30"/>
    <s v="HUN"/>
    <s v="03:58:05"/>
    <x v="2422"/>
  </r>
  <r>
    <s v="Jordan, Daniel"/>
    <s v="M30"/>
    <s v="POL"/>
    <s v="03:41:53"/>
    <x v="2423"/>
  </r>
  <r>
    <s v="Józsa Zalán Attila"/>
    <s v="M25"/>
    <s v="HUN"/>
    <s v="03:50:21"/>
    <x v="2424"/>
  </r>
  <r>
    <s v="Prencipe, Luigi Giovanni Dolores"/>
    <s v="M55"/>
    <s v="HUN"/>
    <s v="04:57:39"/>
    <x v="2425"/>
  </r>
  <r>
    <s v="Vincze Tibor"/>
    <s v="M35"/>
    <s v="HUN"/>
    <s v="03:55:13"/>
    <x v="1392"/>
  </r>
  <r>
    <s v="Ostojic Mihailo"/>
    <s v="M25"/>
    <s v="HUN"/>
    <s v="03:41:42"/>
    <x v="1050"/>
  </r>
  <r>
    <s v="Yaxley, Miles prof"/>
    <s v="M25"/>
    <s v="AUT"/>
    <s v="03:56:40"/>
    <x v="676"/>
  </r>
  <r>
    <s v="Hirschfeld, Richard"/>
    <s v="M45"/>
    <s v="HUN"/>
    <s v="03:08:52"/>
    <x v="2426"/>
  </r>
  <r>
    <s v="De Gennaro, Giovanni Battista"/>
    <s v="M40"/>
    <s v="NED"/>
    <s v="03:21:11"/>
    <x v="2427"/>
  </r>
  <r>
    <s v="Papp Szabolcs"/>
    <s v="M40"/>
    <s v="HUN"/>
    <s v="05:18:50"/>
    <x v="2428"/>
  </r>
  <r>
    <s v="Pogorelsky, Dima"/>
    <s v="M40"/>
    <s v="HUN"/>
    <s v="03:23:24"/>
    <x v="1655"/>
  </r>
  <r>
    <s v="Ortega Jiménez, Manuel dr"/>
    <s v="M50"/>
    <s v="HUN"/>
    <s v="04:08:55"/>
    <x v="206"/>
  </r>
  <r>
    <s v="Iskra, Filip"/>
    <s v="M20"/>
    <s v="HUN"/>
    <s v="05:08:05"/>
    <x v="2429"/>
  </r>
  <r>
    <s v="Seal, Barrie"/>
    <s v="M45"/>
    <s v="CZE"/>
    <s v="03:09:18"/>
    <x v="2365"/>
  </r>
  <r>
    <s v="Czimmer Máté"/>
    <s v="M30"/>
    <s v="HUN"/>
    <s v="03:32:01"/>
    <x v="2430"/>
  </r>
  <r>
    <s v="Kiss Olivér"/>
    <s v="M25"/>
    <s v="HUN"/>
    <s v="03:54:04"/>
    <x v="278"/>
  </r>
  <r>
    <s v="Jordán László"/>
    <s v="M20"/>
    <s v="HUN"/>
    <s v="04:05:43"/>
    <x v="2359"/>
  </r>
  <r>
    <s v="Hedelund, Daniel Turi"/>
    <s v="M30"/>
    <s v="HUN"/>
    <s v="02:54:35"/>
    <x v="2431"/>
  </r>
  <r>
    <s v="Oláh János"/>
    <s v="M35"/>
    <s v="HUN"/>
    <s v="03:39:31"/>
    <x v="613"/>
  </r>
  <r>
    <s v="Galambos Norbert"/>
    <s v="M20"/>
    <s v="CHI"/>
    <s v="04:13:11"/>
    <x v="2432"/>
  </r>
  <r>
    <s v="Castano, Juan"/>
    <s v="M55"/>
    <s v="HUN"/>
    <s v="04:16:30"/>
    <x v="2433"/>
  </r>
  <r>
    <s v="Hartfree, Sam"/>
    <s v="M20"/>
    <s v="GEO"/>
    <s v="03:43:33"/>
    <x v="2434"/>
  </r>
  <r>
    <s v="Ihárosi Wiktor"/>
    <s v="M40"/>
    <s v="GBR"/>
    <s v="04:09:45"/>
    <x v="1567"/>
  </r>
  <r>
    <s v="Igaz, Adam"/>
    <s v="M20"/>
    <s v="HUN"/>
    <s v="03:42:55"/>
    <x v="2435"/>
  </r>
  <r>
    <s v="Szilasi Árpád"/>
    <s v="M45"/>
    <s v="HUN"/>
    <s v="04:43:14"/>
    <x v="1919"/>
  </r>
  <r>
    <s v="Lendor, Isaac"/>
    <s v="M18"/>
    <s v="HUN"/>
    <s v="03:48:56"/>
    <x v="2398"/>
  </r>
  <r>
    <s v="Notari, Massimo"/>
    <s v="M50"/>
    <s v="MEX"/>
    <s v="03:53:47"/>
    <x v="2221"/>
  </r>
  <r>
    <s v="Koffein Kapitány"/>
    <s v="M45"/>
    <s v="RUS"/>
    <s v="03:58:38"/>
    <x v="2436"/>
  </r>
  <r>
    <s v="Albert Áron"/>
    <s v="M25"/>
    <s v="SWE"/>
    <s v="04:05:38"/>
    <x v="1"/>
  </r>
  <r>
    <s v="Neszmélyi Péter"/>
    <s v="M40"/>
    <s v="NOR"/>
    <s v="04:20:15"/>
    <x v="2437"/>
  </r>
  <r>
    <s v="Tóth István"/>
    <s v="M50"/>
    <s v="GBR"/>
    <s v="03:56:59"/>
    <x v="1699"/>
  </r>
  <r>
    <s v="Benkő Gábor"/>
    <s v="M55"/>
    <s v="FRA"/>
    <s v="03:58:31"/>
    <x v="2438"/>
  </r>
  <r>
    <s v="Zsigó Ádám"/>
    <s v="M30"/>
    <s v="CZE"/>
    <s v="03:55:11"/>
    <x v="2439"/>
  </r>
  <r>
    <s v="Deák Péter"/>
    <s v="M40"/>
    <s v="HUN"/>
    <s v="04:22:23"/>
    <x v="2440"/>
  </r>
  <r>
    <s v="Gentile, Francesco"/>
    <s v="M60"/>
    <s v="LUX"/>
    <s v="03:27:00"/>
    <x v="679"/>
  </r>
  <r>
    <s v="HAUZA, Matthieu"/>
    <s v="M30"/>
    <s v="HUN"/>
    <s v="03:10:16"/>
    <x v="725"/>
  </r>
  <r>
    <s v="Papp László"/>
    <s v="M30"/>
    <s v="RUS"/>
    <s v="03:43:22"/>
    <x v="2441"/>
  </r>
  <r>
    <s v="Nyitrai Mihály"/>
    <s v="M55"/>
    <s v="HUN"/>
    <s v="04:47:32"/>
    <x v="2442"/>
  </r>
  <r>
    <s v="Krakonperger Viktor"/>
    <s v="M40"/>
    <s v="POL"/>
    <s v="03:46:14"/>
    <x v="2118"/>
  </r>
  <r>
    <s v="Kovács Attila"/>
    <s v="M50"/>
    <s v="AUT"/>
    <s v="04:10:01"/>
    <x v="853"/>
  </r>
  <r>
    <s v="UBA, ARTUR"/>
    <s v="M50"/>
    <s v="HUN"/>
    <s v="05:28:04"/>
    <x v="2443"/>
  </r>
  <r>
    <s v="Kapus Richard"/>
    <s v="M30"/>
    <s v="SWE"/>
    <s v="03:57:56"/>
    <x v="1227"/>
  </r>
  <r>
    <s v="Hughes, Perry"/>
    <s v="M30"/>
    <s v="GBR"/>
    <s v="05:51:15"/>
    <x v="2444"/>
  </r>
  <r>
    <s v="Stanisław, Szuksztul"/>
    <s v="M40"/>
    <s v="SUI"/>
    <s v="04:30:10"/>
    <x v="2445"/>
  </r>
  <r>
    <s v="Wessels, Jann"/>
    <s v="M25"/>
    <s v="FIN"/>
    <s v="04:40:41"/>
    <x v="2446"/>
  </r>
  <r>
    <s v="Beszteri Attila"/>
    <s v="M35"/>
    <s v="HUN"/>
    <s v="03:44:29"/>
    <x v="2447"/>
  </r>
  <r>
    <s v="Felix, Joao"/>
    <s v="M30"/>
    <s v="GBR"/>
    <s v="03:39:38"/>
    <x v="2448"/>
  </r>
  <r>
    <s v="Kaspár Máté István"/>
    <s v="M45"/>
    <s v="FIN"/>
    <s v="03:59:32"/>
    <x v="2449"/>
  </r>
  <r>
    <s v="Rucinski, Christian"/>
    <s v="M20"/>
    <s v="HUN"/>
    <s v="05:09:23"/>
    <x v="2450"/>
  </r>
  <r>
    <s v="Kazi Alex"/>
    <s v="M25"/>
    <s v="USA"/>
    <s v="03:48:41"/>
    <x v="2451"/>
  </r>
  <r>
    <s v="Juhász Balázs"/>
    <s v="M30"/>
    <s v="HUN"/>
    <s v="04:19:42"/>
    <x v="2452"/>
  </r>
  <r>
    <s v="Váradi Attila"/>
    <s v="M50"/>
    <s v="HUN"/>
    <s v="04:47:26"/>
    <x v="2453"/>
  </r>
  <r>
    <s v="LEE, TOBIAS"/>
    <s v="M20"/>
    <s v="HUN"/>
    <s v="04:58:38"/>
    <x v="921"/>
  </r>
  <r>
    <s v="Cavagna, Cristian"/>
    <s v="M30"/>
    <s v="IRL"/>
    <s v="03:21:28"/>
    <x v="623"/>
  </r>
  <r>
    <s v="Malinov, Filip"/>
    <s v="M40"/>
    <s v="HUN"/>
    <s v="04:01:41"/>
    <x v="1769"/>
  </r>
  <r>
    <s v="Anda Attila"/>
    <s v="M40"/>
    <s v="HUN"/>
    <s v="04:47:16"/>
    <x v="2454"/>
  </r>
  <r>
    <s v="Notz, Vincent"/>
    <s v="M25"/>
    <s v="HUN"/>
    <s v="04:05:19"/>
    <x v="907"/>
  </r>
  <r>
    <s v="Tono, Junya"/>
    <s v="M25"/>
    <s v="HUN"/>
    <s v="04:09:52"/>
    <x v="2455"/>
  </r>
  <r>
    <s v="Figarski, Tomasz"/>
    <s v="M40"/>
    <s v="NED"/>
    <s v="04:24:05"/>
    <x v="2456"/>
  </r>
  <r>
    <s v="Sárközi Tamás"/>
    <s v="M45"/>
    <s v="HUN"/>
    <s v="04:40:19"/>
    <x v="2457"/>
  </r>
  <r>
    <s v="Papp Sándor Zoltán dr"/>
    <s v="M35"/>
    <s v="HUN"/>
    <s v="04:28:15"/>
    <x v="2458"/>
  </r>
  <r>
    <s v="Bodnár Dávid"/>
    <s v="M25"/>
    <s v="HUN"/>
    <s v="04:42:00"/>
    <x v="835"/>
  </r>
  <r>
    <s v="Etienne, Thomas"/>
    <s v="M35"/>
    <s v="HUN"/>
    <s v="03:58:10"/>
    <x v="1324"/>
  </r>
  <r>
    <s v="Oku, Yusuke"/>
    <s v="M40"/>
    <s v="HUN"/>
    <s v="04:49:03"/>
    <x v="2459"/>
  </r>
  <r>
    <s v="Huszár András"/>
    <s v="M35"/>
    <s v="HUN"/>
    <s v="04:55:05"/>
    <x v="2460"/>
  </r>
  <r>
    <s v="Valdez, Ryan"/>
    <s v="M25"/>
    <s v="HUN"/>
    <s v="04:44:14"/>
    <x v="987"/>
  </r>
  <r>
    <s v="Rasmussen, Thomas dr"/>
    <s v="M45"/>
    <s v="HUN"/>
    <s v="03:10:27"/>
    <x v="1218"/>
  </r>
  <r>
    <s v="Jesus, Carlos"/>
    <s v="M40"/>
    <m/>
    <s v="04:17:49"/>
    <x v="2461"/>
  </r>
  <r>
    <s v="Kiss László"/>
    <s v="M45"/>
    <m/>
    <s v="03:17:27"/>
    <x v="2462"/>
  </r>
  <r>
    <s v="Ducourneau, Laurent"/>
    <s v="M45"/>
    <m/>
    <s v="03:45:10"/>
    <x v="2463"/>
  </r>
  <r>
    <s v="Galdiolo, Nicola prof"/>
    <s v="M35"/>
    <m/>
    <s v="03:15:25"/>
    <x v="2464"/>
  </r>
  <r>
    <s v="Kovács Zsolt"/>
    <s v="M40"/>
    <m/>
    <s v="03:42:55"/>
    <x v="2435"/>
  </r>
  <r>
    <s v="Benkö, Gábor"/>
    <s v="M50"/>
    <m/>
    <s v="03:47:00"/>
    <x v="2465"/>
  </r>
  <r>
    <s v="Briechle, Ivan"/>
    <s v="M25"/>
    <m/>
    <s v="04:40:01"/>
    <x v="1273"/>
  </r>
  <r>
    <s v="Andersen, Flemming"/>
    <s v="M55"/>
    <m/>
    <s v="03:29:37"/>
    <x v="2040"/>
  </r>
  <r>
    <s v="Bálint Zsolt"/>
    <s v="M50"/>
    <m/>
    <s v="04:55:33"/>
    <x v="1519"/>
  </r>
  <r>
    <s v="Juhász Richárd Márk"/>
    <s v="M35"/>
    <m/>
    <s v="03:54:18"/>
    <x v="2466"/>
  </r>
  <r>
    <s v="Joó Csaba"/>
    <s v="M50"/>
    <m/>
    <s v="04:18:47"/>
    <x v="2467"/>
  </r>
  <r>
    <s v="Tóth Ervin"/>
    <s v="M50"/>
    <m/>
    <s v="05:27:16"/>
    <x v="2468"/>
  </r>
  <r>
    <s v="Jordan, Daniel"/>
    <s v="M30"/>
    <m/>
    <s v="03:41:53"/>
    <x v="2423"/>
  </r>
  <r>
    <s v="Bella Máté"/>
    <s v="M30"/>
    <m/>
    <s v="03:55:31"/>
    <x v="1497"/>
  </r>
  <r>
    <s v="Fazekas János"/>
    <s v="M25"/>
    <m/>
    <s v="04:14:36"/>
    <x v="2469"/>
  </r>
  <r>
    <s v="Peeters, Cedric"/>
    <s v="M25"/>
    <m/>
    <s v="04:21:43"/>
    <x v="2470"/>
  </r>
  <r>
    <s v="Tál Gábor"/>
    <s v="M40"/>
    <m/>
    <s v="04:17:48"/>
    <x v="2471"/>
  </r>
  <r>
    <s v="Serfel Péter"/>
    <s v="M45"/>
    <m/>
    <s v="03:26:14"/>
    <x v="2472"/>
  </r>
  <r>
    <s v="Menezes, Justin"/>
    <s v="M55"/>
    <m/>
    <s v="04:56:09"/>
    <x v="197"/>
  </r>
  <r>
    <s v="Ilosfai Tamás"/>
    <s v="M35"/>
    <m/>
    <s v="03:08:56"/>
    <x v="2473"/>
  </r>
  <r>
    <s v="Lassú Ferenc"/>
    <s v="M30"/>
    <m/>
    <s v="03:58:26"/>
    <x v="366"/>
  </r>
  <r>
    <s v="BURGAS DE BRIOUDE, OSCAR"/>
    <s v="M50"/>
    <m/>
    <s v="03:16:33"/>
    <x v="1473"/>
  </r>
  <r>
    <s v="Perneki Tibor"/>
    <s v="M50"/>
    <m/>
    <s v="03:19:46"/>
    <x v="2348"/>
  </r>
  <r>
    <s v="Frau, Nicola"/>
    <s v="M30"/>
    <m/>
    <s v="03:47:03"/>
    <x v="2474"/>
  </r>
  <r>
    <s v="Vízi Kristóf"/>
    <s v="M20"/>
    <m/>
    <s v="04:30:15"/>
    <x v="981"/>
  </r>
  <r>
    <s v="Zakál Miklós"/>
    <s v="M40"/>
    <m/>
    <s v="03:57:46"/>
    <x v="240"/>
  </r>
  <r>
    <s v="Gilbert, Alexander"/>
    <s v="M30"/>
    <m/>
    <s v="03:27:28"/>
    <x v="379"/>
  </r>
  <r>
    <s v="Bucher, Martin"/>
    <s v="M30"/>
    <m/>
    <s v="03:35:41"/>
    <x v="1632"/>
  </r>
  <r>
    <s v="Bicskei Roland"/>
    <s v="M45"/>
    <m/>
    <s v="03:15:44"/>
    <x v="235"/>
  </r>
  <r>
    <s v="Szentmihályi Gergely"/>
    <s v="M40"/>
    <m/>
    <s v="04:31:46"/>
    <x v="2475"/>
  </r>
  <r>
    <s v="Price, William"/>
    <s v="M25"/>
    <m/>
    <s v="04:41:16"/>
    <x v="2476"/>
  </r>
  <r>
    <s v="Mullee, Caelainn"/>
    <s v="M25"/>
    <m/>
    <s v="05:23:49"/>
    <x v="2477"/>
  </r>
  <r>
    <s v="Hegedűs Ákos"/>
    <s v="M45"/>
    <m/>
    <s v="03:17:38"/>
    <x v="2478"/>
  </r>
  <r>
    <s v="Walthier Tamás ifj"/>
    <s v="M50"/>
    <m/>
    <s v="04:32:25"/>
    <x v="1913"/>
  </r>
  <r>
    <s v="Guedes abreu, Rafael prof"/>
    <s v="M45"/>
    <m/>
    <s v="04:14:11"/>
    <x v="2479"/>
  </r>
  <r>
    <s v="Lunn, Oliver"/>
    <s v="M20"/>
    <m/>
    <s v="04:07:43"/>
    <x v="2480"/>
  </r>
  <r>
    <s v="Tóth Szilárd"/>
    <s v="M45"/>
    <m/>
    <s v="04:25:44"/>
    <x v="701"/>
  </r>
  <r>
    <s v="Nicolas, Albi"/>
    <s v="M40"/>
    <m/>
    <s v="03:18:24"/>
    <x v="2481"/>
  </r>
  <r>
    <s v="Clune, Connor"/>
    <s v="M25"/>
    <m/>
    <s v="03:51:29"/>
    <x v="4"/>
  </r>
  <r>
    <s v="Palumbo, Michele"/>
    <s v="M45"/>
    <m/>
    <s v="03:53:50"/>
    <x v="1850"/>
  </r>
  <r>
    <s v="Grabowski, Grzegorz"/>
    <s v="M55"/>
    <m/>
    <s v="05:03:13"/>
    <x v="1653"/>
  </r>
  <r>
    <s v="Bodor Barnabás"/>
    <s v="M45"/>
    <m/>
    <s v="05:30:48"/>
    <x v="2482"/>
  </r>
  <r>
    <s v="Hegedus, Robert"/>
    <s v="M45"/>
    <m/>
    <s v="03:47:33"/>
    <x v="2483"/>
  </r>
  <r>
    <s v="Hattyasy László"/>
    <s v="M50"/>
    <m/>
    <s v="04:47:34"/>
    <x v="2484"/>
  </r>
  <r>
    <s v="Dezső Sándor"/>
    <s v="M55"/>
    <m/>
    <s v="03:41:15"/>
    <x v="2485"/>
  </r>
  <r>
    <s v="Schwarz, Mathis"/>
    <s v="M30"/>
    <m/>
    <s v="03:08:34"/>
    <x v="2486"/>
  </r>
  <r>
    <s v="Tandory Gábor"/>
    <s v="M50"/>
    <m/>
    <s v="04:09:43"/>
    <x v="1456"/>
  </r>
  <r>
    <s v="Császár Előd"/>
    <s v="M35"/>
    <m/>
    <s v="03:21:48"/>
    <x v="2487"/>
  </r>
  <r>
    <s v="Kedro, Tomas"/>
    <s v="M30"/>
    <m/>
    <s v="03:41:57"/>
    <x v="2488"/>
  </r>
  <r>
    <s v="Kardos Géza"/>
    <s v="M55"/>
    <m/>
    <s v="03:51:48"/>
    <x v="2287"/>
  </r>
  <r>
    <s v="Székelyhidi Zoltán Csaba"/>
    <s v="M45"/>
    <m/>
    <s v="03:53:18"/>
    <x v="2489"/>
  </r>
  <r>
    <s v="Ubrankovics Tibor"/>
    <s v="M50"/>
    <m/>
    <s v="03:55:54"/>
    <x v="2323"/>
  </r>
  <r>
    <s v="Antal Ákos"/>
    <s v="M20"/>
    <m/>
    <s v="04:05:31"/>
    <x v="2490"/>
  </r>
  <r>
    <s v="Simpson, Christopher"/>
    <s v="M25"/>
    <m/>
    <s v="02:50:36"/>
    <x v="2491"/>
  </r>
  <r>
    <s v="Bolla Bence László"/>
    <s v="M30"/>
    <m/>
    <s v="03:49:01"/>
    <x v="2032"/>
  </r>
  <r>
    <s v="Zucchelli, Alessandro"/>
    <s v="M50"/>
    <m/>
    <s v="03:48:19"/>
    <x v="427"/>
  </r>
  <r>
    <s v="Avenant, JC"/>
    <s v="M30"/>
    <m/>
    <s v="03:28:50"/>
    <x v="1258"/>
  </r>
  <r>
    <s v="Jakubik Zsolt"/>
    <s v="M35"/>
    <m/>
    <s v="03:35:03"/>
    <x v="454"/>
  </r>
  <r>
    <s v="Sáfár Zsolt"/>
    <s v="M50"/>
    <m/>
    <s v="04:34:20"/>
    <x v="2492"/>
  </r>
  <r>
    <s v="Hajnal Gergely"/>
    <s v="M40"/>
    <m/>
    <s v="03:55:19"/>
    <x v="788"/>
  </r>
  <r>
    <s v="Barker, Chris"/>
    <s v="M50"/>
    <m/>
    <s v="03:50:10"/>
    <x v="2493"/>
  </r>
  <r>
    <s v="Csonka Gergely"/>
    <s v="M40"/>
    <m/>
    <s v="03:59:26"/>
    <x v="1885"/>
  </r>
  <r>
    <s v="Sólyom Zoltán"/>
    <s v="M50"/>
    <m/>
    <s v="04:17:29"/>
    <x v="408"/>
  </r>
  <r>
    <s v="Szakács Barna"/>
    <s v="M35"/>
    <m/>
    <s v="03:43:35"/>
    <x v="1207"/>
  </r>
  <r>
    <s v="Mullally, Keith"/>
    <s v="M45"/>
    <m/>
    <s v="03:36:47"/>
    <x v="2494"/>
  </r>
  <r>
    <s v="Kiss Sándor"/>
    <s v="M20"/>
    <m/>
    <s v="03:58:06"/>
    <x v="2495"/>
  </r>
  <r>
    <s v="Bajári Attila"/>
    <s v="M35"/>
    <m/>
    <s v="05:11:37"/>
    <x v="2496"/>
  </r>
  <r>
    <s v="Pifka Gábor"/>
    <s v="M50"/>
    <m/>
    <s v="03:33:27"/>
    <x v="1842"/>
  </r>
  <r>
    <s v="Lakatos Dániel"/>
    <s v="M25"/>
    <m/>
    <s v="04:25:23"/>
    <x v="556"/>
  </r>
  <r>
    <s v="Amoroso, Ivo Maria"/>
    <s v="M45"/>
    <m/>
    <s v="03:43:21"/>
    <x v="1928"/>
  </r>
  <r>
    <s v="Marton Dávid"/>
    <s v="M25"/>
    <m/>
    <s v="03:28:34"/>
    <x v="1591"/>
  </r>
  <r>
    <s v="Petróczki Imre"/>
    <s v="M35"/>
    <m/>
    <s v="02:42:02"/>
    <x v="2497"/>
  </r>
  <r>
    <s v="Peeters, Marc"/>
    <s v="M55"/>
    <m/>
    <s v="02:57:53"/>
    <x v="2498"/>
  </r>
  <r>
    <s v="Kasza Gergő"/>
    <s v="M35"/>
    <m/>
    <s v="04:45:20"/>
    <x v="2499"/>
  </r>
  <r>
    <s v="Szoboszlai-Gáspár István"/>
    <s v="M20"/>
    <m/>
    <s v="04:47:19"/>
    <x v="2500"/>
  </r>
  <r>
    <s v="Ekpe, Joseph"/>
    <s v="M50"/>
    <m/>
    <s v="03:37:15"/>
    <x v="2080"/>
  </r>
  <r>
    <s v="Illés Bálint"/>
    <s v="M45"/>
    <m/>
    <s v="03:49:41"/>
    <x v="719"/>
  </r>
  <r>
    <s v="Calin, Feri"/>
    <s v="M50"/>
    <m/>
    <s v="04:27:24"/>
    <x v="2501"/>
  </r>
  <r>
    <s v="Torday Solyom"/>
    <s v="M20"/>
    <m/>
    <s v="04:24:13"/>
    <x v="2502"/>
  </r>
  <r>
    <s v="Pięta, Piotr prof"/>
    <s v="M25"/>
    <m/>
    <s v="03:37:39"/>
    <x v="2503"/>
  </r>
  <r>
    <s v="Lakkas, Theo"/>
    <s v="M40"/>
    <m/>
    <s v="05:03:09"/>
    <x v="875"/>
  </r>
  <r>
    <s v="Bregnh?j, Emil"/>
    <s v="M25"/>
    <m/>
    <s v="03:10:22"/>
    <x v="2504"/>
  </r>
  <r>
    <s v="Segers, Kevin"/>
    <s v="M25"/>
    <m/>
    <s v="04:39:30"/>
    <x v="2505"/>
  </r>
  <r>
    <s v="De Lee, Johan"/>
    <s v="M55"/>
    <m/>
    <s v="04:41:29"/>
    <x v="1348"/>
  </r>
  <r>
    <s v="Hrustinszky Zsolt"/>
    <s v="M50"/>
    <m/>
    <s v="05:04:06"/>
    <x v="655"/>
  </r>
  <r>
    <s v="Juhász Botond"/>
    <s v="M20"/>
    <m/>
    <s v="04:22:04"/>
    <x v="2264"/>
  </r>
  <r>
    <s v="Prakushenkau, Dzmitry"/>
    <s v="M40"/>
    <m/>
    <s v="03:36:05"/>
    <x v="1414"/>
  </r>
  <r>
    <s v="Kenéz Márton"/>
    <s v="M18"/>
    <m/>
    <s v="04:29:30"/>
    <x v="2506"/>
  </r>
  <r>
    <s v="Piszkor Péter"/>
    <s v="M35"/>
    <m/>
    <s v="04:30:49"/>
    <x v="2507"/>
  </r>
  <r>
    <s v="Timár Péter"/>
    <s v="M45"/>
    <m/>
    <s v="03:51:35"/>
    <x v="745"/>
  </r>
  <r>
    <s v="CARLOTTI, GIMMI"/>
    <s v="M50"/>
    <m/>
    <s v="04:30:08"/>
    <x v="2508"/>
  </r>
  <r>
    <s v="Szabó Balázs György"/>
    <s v="M30"/>
    <m/>
    <s v="04:37:35"/>
    <x v="2509"/>
  </r>
  <r>
    <s v="Lukács Ákos"/>
    <s v="M50"/>
    <m/>
    <s v="03:07:33"/>
    <x v="2510"/>
  </r>
  <r>
    <s v="Helembai Csaba"/>
    <s v="M45"/>
    <m/>
    <s v="04:37:22"/>
    <x v="2511"/>
  </r>
  <r>
    <s v="Miskei Gergely"/>
    <s v="M30"/>
    <m/>
    <s v="04:24:33"/>
    <x v="2512"/>
  </r>
  <r>
    <s v="Mantovan Roberto dr"/>
    <s v="M45"/>
    <m/>
    <s v="03:26:28"/>
    <x v="2513"/>
  </r>
  <r>
    <s v="Huber György"/>
    <s v="M25"/>
    <m/>
    <s v="03:47:22"/>
    <x v="1038"/>
  </r>
  <r>
    <s v="Erdős Attila"/>
    <s v="M45"/>
    <m/>
    <s v="03:48:08"/>
    <x v="2514"/>
  </r>
  <r>
    <s v="Downs-Smithen, Quade"/>
    <s v="M20"/>
    <m/>
    <s v="03:41:22"/>
    <x v="1569"/>
  </r>
  <r>
    <s v="Bajcsi Sándor"/>
    <s v="M65"/>
    <m/>
    <s v="04:29:01"/>
    <x v="770"/>
  </r>
  <r>
    <s v="McGurty, Matthew"/>
    <s v="M35"/>
    <m/>
    <s v="05:12:19"/>
    <x v="2515"/>
  </r>
  <r>
    <s v="Andersson, Kim"/>
    <s v="M35"/>
    <m/>
    <s v="04:34:05"/>
    <x v="1955"/>
  </r>
  <r>
    <s v="Porsmyr Andersen, Sigurd"/>
    <s v="M25"/>
    <m/>
    <s v="04:38:29"/>
    <x v="2516"/>
  </r>
  <r>
    <s v="Vida Gábor dr"/>
    <s v="M40"/>
    <m/>
    <s v="03:41:49"/>
    <x v="978"/>
  </r>
  <r>
    <s v="Pádár István"/>
    <s v="M40"/>
    <m/>
    <s v="04:48:04"/>
    <x v="2517"/>
  </r>
  <r>
    <s v="Török Zoltán"/>
    <s v="M45"/>
    <m/>
    <s v="04:26:01"/>
    <x v="1106"/>
  </r>
  <r>
    <s v="Halász Tamás"/>
    <s v="M40"/>
    <m/>
    <s v="04:34:43"/>
    <x v="2228"/>
  </r>
  <r>
    <s v="Demmelmayr, Karl Heinz"/>
    <s v="M65"/>
    <m/>
    <s v="04:18:37"/>
    <x v="824"/>
  </r>
  <r>
    <s v="Hajagos Róbert"/>
    <s v="M50"/>
    <m/>
    <s v="04:53:09"/>
    <x v="2518"/>
  </r>
  <r>
    <s v="Cislaghi, Antonio"/>
    <s v="M55"/>
    <m/>
    <s v="03:37:27"/>
    <x v="2351"/>
  </r>
  <r>
    <s v="Jenei Attila"/>
    <s v="M50"/>
    <m/>
    <s v="05:03:20"/>
    <x v="609"/>
  </r>
  <r>
    <s v="Szymon, Dziubecki"/>
    <s v="M45"/>
    <m/>
    <s v="05:12:45"/>
    <x v="2519"/>
  </r>
  <r>
    <s v="Balogh Attila"/>
    <s v="M30"/>
    <m/>
    <s v="03:56:21"/>
    <x v="1271"/>
  </r>
  <r>
    <s v="Ámon Gergely"/>
    <s v="M30"/>
    <m/>
    <s v="04:18:39"/>
    <x v="2520"/>
  </r>
  <r>
    <s v="Karlsen, Sebastian"/>
    <s v="M30"/>
    <m/>
    <s v="03:10:04"/>
    <x v="574"/>
  </r>
  <r>
    <s v="Krzysztof, Klos"/>
    <s v="M40"/>
    <m/>
    <s v="03:54:41"/>
    <x v="2521"/>
  </r>
  <r>
    <s v="Sabo Dániel"/>
    <s v="M25"/>
    <m/>
    <s v="04:56:17"/>
    <x v="2522"/>
  </r>
  <r>
    <s v="Kalapács Kornél"/>
    <s v="M50"/>
    <m/>
    <s v="04:08:13"/>
    <x v="2523"/>
  </r>
  <r>
    <s v="Bernád Mihály"/>
    <s v="M50"/>
    <m/>
    <s v="04:17:44"/>
    <x v="2130"/>
  </r>
  <r>
    <s v="Lakomcsik Attila"/>
    <s v="M35"/>
    <m/>
    <s v="03:36:12"/>
    <x v="1628"/>
  </r>
  <r>
    <s v="Szőke Péter"/>
    <s v="M45"/>
    <m/>
    <s v="04:46:09"/>
    <x v="2524"/>
  </r>
  <r>
    <s v="Horváth Csaba"/>
    <s v="M40"/>
    <m/>
    <s v="04:59:02"/>
    <x v="1738"/>
  </r>
  <r>
    <s v="Benjamin, JOLY"/>
    <s v="M30"/>
    <m/>
    <s v="03:29:24"/>
    <x v="1360"/>
  </r>
  <r>
    <s v="Sebestyén Ádám Dr."/>
    <s v="M50"/>
    <m/>
    <s v="04:19:07"/>
    <x v="2170"/>
  </r>
  <r>
    <s v="Vojnic Tunic, Bojan"/>
    <s v="M30"/>
    <m/>
    <s v="04:51:35"/>
    <x v="2525"/>
  </r>
  <r>
    <s v="Väänänen, Jarmo"/>
    <s v="M55"/>
    <m/>
    <s v="03:29:47"/>
    <x v="2526"/>
  </r>
  <r>
    <s v="Veerman, Alexander"/>
    <s v="M55"/>
    <m/>
    <s v="04:03:34"/>
    <x v="1186"/>
  </r>
  <r>
    <s v="Fosztó Zsolt"/>
    <s v="M50"/>
    <m/>
    <s v="04:14:17"/>
    <x v="2527"/>
  </r>
  <r>
    <s v="Kondor Csaba"/>
    <s v="M40"/>
    <m/>
    <s v="04:54:59"/>
    <x v="2528"/>
  </r>
  <r>
    <s v="Magnusson, Rikard"/>
    <s v="M40"/>
    <m/>
    <s v="04:49:16"/>
    <x v="2529"/>
  </r>
  <r>
    <s v="Pató Márton Ábel"/>
    <s v="M30"/>
    <m/>
    <s v="03:29:00"/>
    <x v="2530"/>
  </r>
  <r>
    <s v="Nagy Ádám dr"/>
    <s v="M30"/>
    <m/>
    <s v="02:56:40"/>
    <x v="2531"/>
  </r>
  <r>
    <s v="Kocza István"/>
    <s v="M50"/>
    <m/>
    <s v="04:48:05"/>
    <x v="2532"/>
  </r>
  <r>
    <s v="Alegre Gallart, joan Ferran prof"/>
    <s v="M50"/>
    <m/>
    <s v="03:20:21"/>
    <x v="2533"/>
  </r>
  <r>
    <s v="Kadoury, Sarmad"/>
    <s v="M40"/>
    <m/>
    <s v="04:19:01"/>
    <x v="1941"/>
  </r>
  <r>
    <s v="Gilányi Tamás"/>
    <s v="M45"/>
    <m/>
    <s v="04:33:27"/>
    <x v="2534"/>
  </r>
  <r>
    <s v="Szirom Gábor"/>
    <s v="M35"/>
    <m/>
    <s v="03:35:23"/>
    <x v="2535"/>
  </r>
  <r>
    <s v="Kerekes Ábel"/>
    <s v="M40"/>
    <m/>
    <s v="03:30:16"/>
    <x v="2536"/>
  </r>
  <r>
    <s v="Fairclough, Oliver"/>
    <s v="M25"/>
    <m/>
    <s v="04:45:24"/>
    <x v="2537"/>
  </r>
  <r>
    <s v="Fekete Sándor"/>
    <s v="M40"/>
    <m/>
    <s v="03:57:32"/>
    <x v="205"/>
  </r>
  <r>
    <s v="Diesel, Simon"/>
    <s v="M40"/>
    <m/>
    <s v="02:50:52"/>
    <x v="2538"/>
  </r>
  <r>
    <s v="Dan, Andersen"/>
    <s v="M25"/>
    <m/>
    <s v="04:24:26"/>
    <x v="2218"/>
  </r>
  <r>
    <s v="Costa, Alessandro Nicola"/>
    <s v="M30"/>
    <m/>
    <s v="02:58:30"/>
    <x v="2539"/>
  </r>
  <r>
    <s v="Várszegi Bence"/>
    <s v="M25"/>
    <m/>
    <s v="04:31:31"/>
    <x v="2540"/>
  </r>
  <r>
    <s v="rinaldi tufi, Francesco dr"/>
    <s v="M45"/>
    <m/>
    <s v="03:27:51"/>
    <x v="2541"/>
  </r>
  <r>
    <s v="Filip, Kowtun"/>
    <s v="M18"/>
    <m/>
    <s v="05:21:29"/>
    <x v="2542"/>
  </r>
  <r>
    <s v="Jansen van Rensburg Andreas"/>
    <s v="M25"/>
    <m/>
    <s v="04:08:13"/>
    <x v="2523"/>
  </r>
  <r>
    <s v="Hortobágyi Péter Szabolcs"/>
    <s v="M40"/>
    <m/>
    <s v="04:26:19"/>
    <x v="1067"/>
  </r>
  <r>
    <s v="Lőrincz Sándor"/>
    <s v="M60"/>
    <m/>
    <s v="05:15:35"/>
    <x v="2543"/>
  </r>
  <r>
    <s v="Lubner, Sam"/>
    <s v="M30"/>
    <m/>
    <s v="04:07:48"/>
    <x v="2544"/>
  </r>
  <r>
    <s v="Richard, Borruat"/>
    <s v="M35"/>
    <m/>
    <s v="04:44:31"/>
    <x v="2545"/>
  </r>
  <r>
    <s v="Vida László"/>
    <s v="M60"/>
    <m/>
    <s v="04:22:42"/>
    <x v="2546"/>
  </r>
  <r>
    <s v="Kreso, Velimir"/>
    <s v="M30"/>
    <m/>
    <s v="03:22:44"/>
    <x v="603"/>
  </r>
  <r>
    <s v="Csalló Miklós"/>
    <s v="M45"/>
    <m/>
    <s v="03:41:06"/>
    <x v="2547"/>
  </r>
  <r>
    <s v="Afendi, Farhan"/>
    <s v="M25"/>
    <m/>
    <s v="04:23:45"/>
    <x v="2548"/>
  </r>
  <r>
    <s v="Urso, Vincenzo prof"/>
    <s v="M60"/>
    <m/>
    <s v="03:29:25"/>
    <x v="1451"/>
  </r>
  <r>
    <s v="Taylor, Michael"/>
    <s v="M25"/>
    <m/>
    <s v="03:23:32"/>
    <x v="51"/>
  </r>
  <r>
    <s v="MÉSZÁROS ARNOLD"/>
    <s v="M45"/>
    <m/>
    <s v="04:23:57"/>
    <x v="2549"/>
  </r>
  <r>
    <s v="Horváth Norbert"/>
    <s v="M45"/>
    <m/>
    <s v="03:49:27"/>
    <x v="2550"/>
  </r>
  <r>
    <s v="Mala Miklós"/>
    <s v="M25"/>
    <m/>
    <s v="04:18:32"/>
    <x v="2551"/>
  </r>
  <r>
    <s v="Juhász Bálint"/>
    <s v="M30"/>
    <m/>
    <s v="04:25:59"/>
    <x v="2235"/>
  </r>
  <r>
    <s v="Pál László Csaba"/>
    <s v="M65"/>
    <m/>
    <s v="04:55:24"/>
    <x v="2552"/>
  </r>
  <r>
    <s v="DRAKE, FELIX prof"/>
    <s v="M30"/>
    <m/>
    <s v="03:51:44"/>
    <x v="1616"/>
  </r>
  <r>
    <s v="Taylor, Simon"/>
    <s v="M45"/>
    <m/>
    <s v="04:28:17"/>
    <x v="673"/>
  </r>
  <r>
    <s v="Éry Tamás"/>
    <s v="M30"/>
    <m/>
    <s v="04:52:44"/>
    <x v="2553"/>
  </r>
  <r>
    <s v="Szabó Norbert"/>
    <s v="M45"/>
    <m/>
    <s v="03:44:28"/>
    <x v="2554"/>
  </r>
  <r>
    <s v="Jakab Richárd"/>
    <s v="M30"/>
    <m/>
    <s v="04:44:30"/>
    <x v="2555"/>
  </r>
  <r>
    <s v="Mészáros Gábor"/>
    <s v="M45"/>
    <m/>
    <s v="03:57:27"/>
    <x v="2556"/>
  </r>
  <r>
    <s v="Rivera, Jesus"/>
    <s v="M30"/>
    <m/>
    <s v="04:02:09"/>
    <x v="302"/>
  </r>
  <r>
    <s v="Tóth Péter Attila"/>
    <s v="M45"/>
    <m/>
    <s v="03:44:48"/>
    <x v="2557"/>
  </r>
  <r>
    <s v="Tonkin, Jeremy"/>
    <s v="M55"/>
    <m/>
    <s v="05:11:38"/>
    <x v="2558"/>
  </r>
  <r>
    <s v="Heneghan, Michael"/>
    <s v="M40"/>
    <m/>
    <s v="03:51:36"/>
    <x v="68"/>
  </r>
  <r>
    <s v="Nagy Vilmos"/>
    <s v="M50"/>
    <m/>
    <s v="03:14:12"/>
    <x v="2559"/>
  </r>
  <r>
    <s v="Doras, Quaid"/>
    <s v="M20"/>
    <m/>
    <s v="04:41:22"/>
    <x v="2560"/>
  </r>
  <r>
    <s v="Kovács István"/>
    <s v="M45"/>
    <m/>
    <s v="05:26:51"/>
    <x v="2561"/>
  </r>
  <r>
    <s v="Lassak, Tibor"/>
    <s v="M25"/>
    <m/>
    <s v="04:19:15"/>
    <x v="2562"/>
  </r>
  <r>
    <s v="Bagdan David"/>
    <s v="M30"/>
    <m/>
    <s v="03:06:46"/>
    <x v="2563"/>
  </r>
  <r>
    <s v="Pareja Esteban, Jose Antonio dr"/>
    <s v="M50"/>
    <m/>
    <s v="03:49:39"/>
    <x v="2564"/>
  </r>
  <r>
    <s v="Zakor István"/>
    <s v="M40"/>
    <m/>
    <s v="04:00:13"/>
    <x v="2565"/>
  </r>
  <r>
    <s v="Hegedus-Pickvance Balazs"/>
    <s v="M45"/>
    <m/>
    <s v="04:31:21"/>
    <x v="2566"/>
  </r>
  <r>
    <s v="Harlamenkov Dmitrij"/>
    <s v="M35"/>
    <m/>
    <s v="04:14:45"/>
    <x v="2567"/>
  </r>
  <r>
    <s v="Monori Péter"/>
    <s v="M45"/>
    <m/>
    <s v="03:27:30"/>
    <x v="462"/>
  </r>
  <r>
    <s v="Balczó Norbert"/>
    <s v="M45"/>
    <m/>
    <s v="04:16:43"/>
    <x v="2568"/>
  </r>
  <r>
    <s v="Cheung, Jason"/>
    <s v="M30"/>
    <m/>
    <s v="05:13:04"/>
    <x v="2569"/>
  </r>
  <r>
    <s v="Vincze Zsolt"/>
    <s v="M50"/>
    <m/>
    <s v="03:38:20"/>
    <x v="2570"/>
  </r>
  <r>
    <s v="Dr. Smidla József"/>
    <s v="M35"/>
    <m/>
    <s v="03:51:33"/>
    <x v="423"/>
  </r>
  <r>
    <s v="Nyirkos Zsolt"/>
    <s v="M45"/>
    <m/>
    <s v="04:01:56"/>
    <x v="1174"/>
  </r>
  <r>
    <s v="Varga István"/>
    <s v="M50"/>
    <m/>
    <s v="05:11:05"/>
    <x v="2571"/>
  </r>
  <r>
    <s v="Sopisz Aposztolisz"/>
    <s v="M30"/>
    <m/>
    <s v="04:43:58"/>
    <x v="2572"/>
  </r>
  <r>
    <s v="Hohmann Norbert"/>
    <s v="M50"/>
    <m/>
    <s v="04:45:22"/>
    <x v="505"/>
  </r>
  <r>
    <s v="Kalanovics Marcell"/>
    <s v="M20"/>
    <m/>
    <s v="03:46:29"/>
    <x v="2573"/>
  </r>
  <r>
    <s v="Hood, William"/>
    <s v="M20"/>
    <m/>
    <s v="03:51:57"/>
    <x v="2312"/>
  </r>
  <r>
    <s v="nicolas, huneault"/>
    <s v="M50"/>
    <m/>
    <s v="05:33:22"/>
    <x v="2574"/>
  </r>
  <r>
    <s v="András Ákos"/>
    <s v="M30"/>
    <m/>
    <s v="03:22:24"/>
    <x v="307"/>
  </r>
  <r>
    <s v="Ambrus József"/>
    <s v="M50"/>
    <m/>
    <s v="04:59:28"/>
    <x v="2575"/>
  </r>
  <r>
    <s v="Sabatou, Cedric prof"/>
    <s v="M35"/>
    <m/>
    <s v="04:03:07"/>
    <x v="2108"/>
  </r>
  <r>
    <s v="Díaz, Marcelo"/>
    <s v="M25"/>
    <m/>
    <s v="04:51:12"/>
    <x v="2576"/>
  </r>
  <r>
    <s v="Bogya Dávid"/>
    <s v="M18"/>
    <m/>
    <s v="03:55:15"/>
    <x v="2577"/>
  </r>
  <r>
    <s v="Nestepny, Peter"/>
    <s v="M45"/>
    <m/>
    <s v="04:14:05"/>
    <x v="161"/>
  </r>
  <r>
    <s v="Serge, Dupied"/>
    <s v="M40"/>
    <m/>
    <s v="04:51:46"/>
    <x v="2578"/>
  </r>
  <r>
    <s v="Kaljunen, Jani"/>
    <s v="M40"/>
    <m/>
    <s v="05:24:09"/>
    <x v="2579"/>
  </r>
  <r>
    <s v="Jakab Viktor András"/>
    <s v="M45"/>
    <m/>
    <s v="03:23:10"/>
    <x v="1946"/>
  </r>
  <r>
    <s v="Boross András"/>
    <s v="M45"/>
    <m/>
    <s v="04:23:44"/>
    <x v="2580"/>
  </r>
  <r>
    <s v="Kiss Attila"/>
    <s v="M40"/>
    <m/>
    <s v="04:03:05"/>
    <x v="872"/>
  </r>
  <r>
    <s v="Vajda László"/>
    <s v="M50"/>
    <m/>
    <s v="04:01:54"/>
    <x v="743"/>
  </r>
  <r>
    <s v="Philippe, LINXE"/>
    <s v="M60"/>
    <m/>
    <s v="03:59:00"/>
    <x v="584"/>
  </r>
  <r>
    <s v="Szajkó Tamás"/>
    <s v="M35"/>
    <m/>
    <s v="02:59:35"/>
    <x v="2581"/>
  </r>
  <r>
    <s v="Jans, Bart"/>
    <s v="M40"/>
    <m/>
    <s v="04:48:11"/>
    <x v="2582"/>
  </r>
  <r>
    <s v="Sirirat, Wichai"/>
    <s v="M55"/>
    <m/>
    <s v="03:47:37"/>
    <x v="2583"/>
  </r>
  <r>
    <s v="Thompson, Jay"/>
    <s v="M20"/>
    <m/>
    <s v="03:49:16"/>
    <x v="2584"/>
  </r>
  <r>
    <s v="Polgár András"/>
    <s v="M40"/>
    <m/>
    <s v="05:32:50"/>
    <x v="778"/>
  </r>
  <r>
    <s v="Stollmayer Ákos Zoltán"/>
    <s v="M60"/>
    <m/>
    <s v="04:48:31"/>
    <x v="2585"/>
  </r>
  <r>
    <s v="mega, pierpaolo dr"/>
    <s v="M40"/>
    <m/>
    <s v="04:15:46"/>
    <x v="659"/>
  </r>
  <r>
    <s v="Halik Péter"/>
    <s v="M40"/>
    <m/>
    <s v="03:30:45"/>
    <x v="2586"/>
  </r>
  <r>
    <s v="Byrne, Jack"/>
    <s v="M20"/>
    <m/>
    <s v="04:16:48"/>
    <x v="1720"/>
  </r>
  <r>
    <s v="Szabó Bátor"/>
    <s v="M20"/>
    <m/>
    <s v="03:10:23"/>
    <x v="1290"/>
  </r>
  <r>
    <s v="Hälvin, Valdo"/>
    <s v="M35"/>
    <m/>
    <s v="03:56:49"/>
    <x v="2587"/>
  </r>
  <r>
    <s v="Márki-Zay Dániel"/>
    <s v="M40"/>
    <m/>
    <s v="03:28:17"/>
    <x v="2588"/>
  </r>
  <r>
    <s v="Nagy Csaba"/>
    <s v="M50"/>
    <m/>
    <s v="03:59:43"/>
    <x v="2589"/>
  </r>
  <r>
    <s v="Mandalia, Hinesh"/>
    <s v="M40"/>
    <m/>
    <s v="04:11:48"/>
    <x v="2590"/>
  </r>
  <r>
    <s v="László Attila"/>
    <s v="M45"/>
    <m/>
    <s v="03:23:21"/>
    <x v="932"/>
  </r>
  <r>
    <s v="Scharfenberg, Andre"/>
    <s v="M35"/>
    <m/>
    <s v="04:10:45"/>
    <x v="2591"/>
  </r>
  <r>
    <s v="Harvey, Keith"/>
    <s v="M55"/>
    <m/>
    <s v="05:40:14"/>
    <x v="2592"/>
  </r>
  <r>
    <s v="Antal Zsolt"/>
    <s v="M40"/>
    <m/>
    <s v="04:41:37"/>
    <x v="2593"/>
  </r>
  <r>
    <s v="Pallo, Rait"/>
    <s v="M50"/>
    <m/>
    <s v="02:55:30"/>
    <x v="2594"/>
  </r>
  <r>
    <s v="Matouek, Martin"/>
    <s v="M40"/>
    <m/>
    <s v="04:27:58"/>
    <x v="2595"/>
  </r>
  <r>
    <s v="Van Damme, Jasper"/>
    <s v="M25"/>
    <m/>
    <s v="04:23:04"/>
    <x v="2596"/>
  </r>
  <r>
    <s v="Körtvélyes Zsolt"/>
    <s v="M35"/>
    <m/>
    <s v="03:44:37"/>
    <x v="2597"/>
  </r>
  <r>
    <s v="Monteiro, Rodrigo Cyrino"/>
    <s v="M50"/>
    <m/>
    <s v="03:09:27"/>
    <x v="1661"/>
  </r>
  <r>
    <s v="BRENIAUX-EMATCHOUA, Matthieu"/>
    <s v="M50"/>
    <m/>
    <s v="04:06:53"/>
    <x v="2598"/>
  </r>
  <r>
    <s v="Blendinger, Philipp"/>
    <s v="M25"/>
    <m/>
    <s v="05:09:23"/>
    <x v="2450"/>
  </r>
  <r>
    <s v="Izsák Péter"/>
    <s v="M45"/>
    <m/>
    <s v="05:12:39"/>
    <x v="2599"/>
  </r>
  <r>
    <s v="Fülöp Dávid"/>
    <s v="M25"/>
    <m/>
    <s v="04:00:36"/>
    <x v="764"/>
  </r>
  <r>
    <s v="Szabo Zsolt"/>
    <s v="M40"/>
    <m/>
    <s v="03:05:40"/>
    <x v="2600"/>
  </r>
  <r>
    <s v="Bernabeu Calatayud, Francisco Javier"/>
    <s v="M50"/>
    <m/>
    <s v="03:46:36"/>
    <x v="2601"/>
  </r>
  <r>
    <s v="Göndör Ferenc"/>
    <s v="M35"/>
    <m/>
    <s v="03:29:42"/>
    <x v="2602"/>
  </r>
  <r>
    <s v="Molnár Péter"/>
    <s v="M45"/>
    <m/>
    <s v="03:09:16"/>
    <x v="20"/>
  </r>
  <r>
    <s v="ROSAS MENDOZA, JOSE"/>
    <s v="M50"/>
    <m/>
    <s v="04:36:57"/>
    <x v="2603"/>
  </r>
  <r>
    <s v="Chrapek, Dawid"/>
    <s v="M25"/>
    <m/>
    <s v="04:51:35"/>
    <x v="2525"/>
  </r>
  <r>
    <s v="Oláh Csaba"/>
    <s v="M35"/>
    <m/>
    <s v="03:54:40"/>
    <x v="2604"/>
  </r>
  <r>
    <s v="Szabó Mihály"/>
    <s v="M45"/>
    <m/>
    <s v="04:10:52"/>
    <x v="2605"/>
  </r>
  <r>
    <s v="Tainha, Paulo"/>
    <s v="M60"/>
    <m/>
    <s v="04:11:38"/>
    <x v="2606"/>
  </r>
  <r>
    <s v="Turcanu, Vasile prof"/>
    <s v="M25"/>
    <m/>
    <s v="04:21:51"/>
    <x v="60"/>
  </r>
  <r>
    <s v="Schjerpen, Jon"/>
    <s v="M35"/>
    <m/>
    <s v="03:04:26"/>
    <x v="2607"/>
  </r>
  <r>
    <s v="Tankó Péter"/>
    <s v="M40"/>
    <m/>
    <s v="04:05:56"/>
    <x v="150"/>
  </r>
  <r>
    <s v="L?we, Per Kristian Lie"/>
    <s v="M45"/>
    <m/>
    <s v="03:17:35"/>
    <x v="2608"/>
  </r>
  <r>
    <s v="Lipóth István"/>
    <s v="M50"/>
    <m/>
    <s v="05:10:14"/>
    <x v="2609"/>
  </r>
  <r>
    <s v="Yusri, Yusuf"/>
    <s v="M25"/>
    <m/>
    <s v="04:25:13"/>
    <x v="2610"/>
  </r>
  <r>
    <s v="Szabó Balázs"/>
    <s v="M45"/>
    <m/>
    <s v="04:23:48"/>
    <x v="2611"/>
  </r>
  <r>
    <s v="Kobolák István"/>
    <s v="M40"/>
    <m/>
    <s v="03:53:15"/>
    <x v="104"/>
  </r>
  <r>
    <s v="Reményi Lajos"/>
    <s v="M50"/>
    <m/>
    <s v="03:55:52"/>
    <x v="2612"/>
  </r>
  <r>
    <s v="Gosztonyi Botond"/>
    <s v="M25"/>
    <m/>
    <s v="05:08:07"/>
    <x v="2613"/>
  </r>
  <r>
    <s v="Senese, Adriano"/>
    <s v="M55"/>
    <m/>
    <s v="03:56:07"/>
    <x v="2614"/>
  </r>
  <r>
    <s v="Szabó Attila dr."/>
    <s v="M40"/>
    <m/>
    <s v="04:45:49"/>
    <x v="2615"/>
  </r>
  <r>
    <s v="Ulveczki Mihály"/>
    <s v="M55"/>
    <m/>
    <s v="03:49:19"/>
    <x v="2616"/>
  </r>
  <r>
    <s v="Baksai Károly"/>
    <s v="M40"/>
    <m/>
    <s v="03:28:54"/>
    <x v="2617"/>
  </r>
  <r>
    <s v="Bajkán Csaba"/>
    <s v="M45"/>
    <m/>
    <s v="05:10:26"/>
    <x v="563"/>
  </r>
  <r>
    <s v="Sultangareev, Reshat"/>
    <s v="M20"/>
    <m/>
    <s v="03:53:22"/>
    <x v="1499"/>
  </r>
  <r>
    <s v="Klánicza Viktor"/>
    <s v="M45"/>
    <m/>
    <s v="04:54:29"/>
    <x v="2618"/>
  </r>
  <r>
    <s v="Daniel, Nemes"/>
    <s v="M50"/>
    <m/>
    <s v="03:28:55"/>
    <x v="2619"/>
  </r>
  <r>
    <s v="Villax Richárd"/>
    <s v="M50"/>
    <m/>
    <s v="04:35:58"/>
    <x v="2620"/>
  </r>
  <r>
    <s v="Vlha, Martin"/>
    <s v="M35"/>
    <m/>
    <s v="04:46:06"/>
    <x v="2621"/>
  </r>
  <r>
    <s v="Kedro, Tomas"/>
    <s v="M30"/>
    <m/>
    <s v="03:41:57"/>
    <x v="2488"/>
  </r>
  <r>
    <s v="Bikfalvi Péter"/>
    <s v="M40"/>
    <m/>
    <s v="03:47:11"/>
    <x v="183"/>
  </r>
  <r>
    <s v="László László"/>
    <s v="M30"/>
    <m/>
    <s v="04:12:39"/>
    <x v="1982"/>
  </r>
  <r>
    <s v="Bernas, Tomá"/>
    <s v="M30"/>
    <m/>
    <s v="05:13:42"/>
    <x v="1701"/>
  </r>
  <r>
    <s v="Korobeynikov, Yaroslav"/>
    <s v="M40"/>
    <m/>
    <s v="02:56:33"/>
    <x v="2622"/>
  </r>
  <r>
    <s v="Ji, Jiang Jie"/>
    <s v="M50"/>
    <m/>
    <s v="03:33:53"/>
    <x v="2623"/>
  </r>
  <r>
    <s v="Pym, Brett"/>
    <s v="M30"/>
    <m/>
    <s v="04:02:57"/>
    <x v="1897"/>
  </r>
  <r>
    <s v="Nagy Gábor"/>
    <s v="M45"/>
    <m/>
    <s v="04:43:25"/>
    <x v="494"/>
  </r>
  <r>
    <s v="BOTELLA, JEAN-YVES"/>
    <s v="M50"/>
    <m/>
    <s v="03:43:38"/>
    <x v="2624"/>
  </r>
  <r>
    <s v="Simon Tamás"/>
    <s v="M25"/>
    <m/>
    <s v="03:50:56"/>
    <x v="2625"/>
  </r>
  <r>
    <s v="Walters, Alex"/>
    <s v="M35"/>
    <m/>
    <s v="02:53:31"/>
    <x v="2626"/>
  </r>
  <r>
    <s v="Simon István Krisztián"/>
    <s v="M50"/>
    <m/>
    <s v="03:54:00"/>
    <x v="2103"/>
  </r>
  <r>
    <s v="Hiripi Ferenc"/>
    <s v="M50"/>
    <m/>
    <s v="04:24:14"/>
    <x v="465"/>
  </r>
  <r>
    <s v="Demjén István"/>
    <s v="M30"/>
    <m/>
    <s v="04:36:32"/>
    <x v="1126"/>
  </r>
  <r>
    <s v="Kobyłecki, Mateusz"/>
    <s v="M25"/>
    <m/>
    <s v="03:00:04"/>
    <x v="2627"/>
  </r>
  <r>
    <s v="Bognár László"/>
    <s v="M35"/>
    <m/>
    <s v="03:38:47"/>
    <x v="2628"/>
  </r>
  <r>
    <s v="Lloyd, Zachary"/>
    <s v="M20"/>
    <m/>
    <s v="04:42:11"/>
    <x v="2629"/>
  </r>
  <r>
    <s v="Horváth Bence"/>
    <s v="M18"/>
    <m/>
    <s v="03:27:30"/>
    <x v="462"/>
  </r>
  <r>
    <s v="Alon, Inbar"/>
    <s v="M50"/>
    <m/>
    <s v="03:30:10"/>
    <x v="2630"/>
  </r>
  <r>
    <s v="Gárdonyi Gábor"/>
    <s v="M45"/>
    <m/>
    <s v="03:58:23"/>
    <x v="11"/>
  </r>
  <r>
    <s v="Kiss Csaba"/>
    <s v="M50"/>
    <m/>
    <s v="04:02:26"/>
    <x v="2251"/>
  </r>
  <r>
    <s v="Tekin, Veli"/>
    <s v="M25"/>
    <m/>
    <s v="04:25:57"/>
    <x v="258"/>
  </r>
  <r>
    <s v="AVELLANA REVUELTA, XAVIER prof"/>
    <s v="M55"/>
    <m/>
    <s v="04:34:55"/>
    <x v="2631"/>
  </r>
  <r>
    <s v="Kósa Ádám"/>
    <s v="M20"/>
    <m/>
    <s v="04:38:48"/>
    <x v="1334"/>
  </r>
  <r>
    <s v="Bergermayer, Thomas"/>
    <s v="M35"/>
    <m/>
    <s v="03:10:26"/>
    <x v="930"/>
  </r>
  <r>
    <s v="Morócz József"/>
    <s v="M55"/>
    <m/>
    <s v="04:37:00"/>
    <x v="2632"/>
  </r>
  <r>
    <s v="Tóth András"/>
    <s v="M45"/>
    <m/>
    <s v="04:01:44"/>
    <x v="2633"/>
  </r>
  <r>
    <s v="Nunes, Jorge"/>
    <s v="M45"/>
    <m/>
    <s v="05:22:55"/>
    <x v="2634"/>
  </r>
  <r>
    <s v="Bartolák Csaba dr."/>
    <s v="M40"/>
    <m/>
    <s v="03:45:47"/>
    <x v="188"/>
  </r>
  <r>
    <s v="Karvalics Norbert"/>
    <s v="M45"/>
    <m/>
    <s v="04:15:02"/>
    <x v="2635"/>
  </r>
  <r>
    <s v="Czermann Tamás"/>
    <s v="M25"/>
    <m/>
    <s v="04:32:25"/>
    <x v="1913"/>
  </r>
  <r>
    <s v="Strapko, Peter"/>
    <s v="M35"/>
    <m/>
    <s v="04:09:38"/>
    <x v="2636"/>
  </r>
  <r>
    <s v="de Bruin, Robin prof"/>
    <s v="M25"/>
    <m/>
    <s v="04:23:24"/>
    <x v="2637"/>
  </r>
  <r>
    <s v="Kota József"/>
    <s v="M45"/>
    <m/>
    <s v="04:07:25"/>
    <x v="1708"/>
  </r>
  <r>
    <s v="Anastasiadis, Anastasios"/>
    <s v="M40"/>
    <m/>
    <s v="03:20:52"/>
    <x v="2638"/>
  </r>
  <r>
    <s v="Cannon, Benjamin"/>
    <s v="M20"/>
    <m/>
    <s v="02:57:56"/>
    <x v="2639"/>
  </r>
  <r>
    <s v="Nielsen, Thomas"/>
    <s v="M50"/>
    <m/>
    <s v="03:39:12"/>
    <x v="2640"/>
  </r>
  <r>
    <s v="Knights, William"/>
    <s v="M20"/>
    <m/>
    <s v="04:10:50"/>
    <x v="491"/>
  </r>
  <r>
    <s v="Russell, steven"/>
    <s v="M50"/>
    <m/>
    <s v="03:28:44"/>
    <x v="308"/>
  </r>
  <r>
    <s v="Ridgway, Timothy"/>
    <s v="M25"/>
    <m/>
    <s v="03:59:24"/>
    <x v="2641"/>
  </r>
  <r>
    <s v="Balázs Ferenc"/>
    <s v="M50"/>
    <m/>
    <s v="04:14:10"/>
    <x v="2642"/>
  </r>
  <r>
    <s v="Hunt, James"/>
    <s v="M20"/>
    <m/>
    <s v="04:39:19"/>
    <x v="2643"/>
  </r>
  <r>
    <s v="Gyávol, Dávid"/>
    <s v="M30"/>
    <m/>
    <s v="04:42:25"/>
    <x v="2644"/>
  </r>
  <r>
    <s v="Giorgio, Roberto prof"/>
    <s v="M50"/>
    <m/>
    <s v="03:23:24"/>
    <x v="1655"/>
  </r>
  <r>
    <s v="Tarján Zoltán"/>
    <s v="M40"/>
    <m/>
    <s v="04:23:42"/>
    <x v="2645"/>
  </r>
  <r>
    <s v="Varga Ádám"/>
    <s v="M35"/>
    <m/>
    <s v="05:03:52"/>
    <x v="1586"/>
  </r>
  <r>
    <s v="Harrell, John"/>
    <s v="M55"/>
    <m/>
    <s v="04:33:35"/>
    <x v="2646"/>
  </r>
  <r>
    <s v="Ameloot, Frederik"/>
    <s v="M45"/>
    <m/>
    <s v="03:30:47"/>
    <x v="2647"/>
  </r>
  <r>
    <s v="Menuisier, Yannick"/>
    <s v="M50"/>
    <m/>
    <s v="04:40:39"/>
    <x v="2648"/>
  </r>
  <r>
    <s v="Havasi Viktor"/>
    <s v="M25"/>
    <m/>
    <s v="04:25:50"/>
    <x v="1386"/>
  </r>
  <r>
    <s v="Gazsó Tamás"/>
    <s v="M45"/>
    <m/>
    <s v="04:39:15"/>
    <x v="2649"/>
  </r>
  <r>
    <s v="Nejstgaard, Christopher"/>
    <s v="M20"/>
    <m/>
    <s v="03:10:23"/>
    <x v="1290"/>
  </r>
  <r>
    <s v="Michelsen, Ketil"/>
    <s v="M50"/>
    <m/>
    <s v="03:39:31"/>
    <x v="613"/>
  </r>
  <r>
    <s v="Tehel Tibor"/>
    <s v="M50"/>
    <m/>
    <s v="04:15:15"/>
    <x v="2650"/>
  </r>
  <r>
    <s v="Hugyecz András"/>
    <s v="M40"/>
    <m/>
    <s v="05:04:11"/>
    <x v="899"/>
  </r>
  <r>
    <s v="imek, Miroslav"/>
    <s v="M55"/>
    <m/>
    <s v="04:46:40"/>
    <x v="2651"/>
  </r>
  <r>
    <s v="ERIC, FERNANDEZ LOMBARDO"/>
    <s v="M35"/>
    <m/>
    <s v="03:23:20"/>
    <x v="1169"/>
  </r>
  <r>
    <s v="DICEMBRINO, Matteo"/>
    <s v="M55"/>
    <m/>
    <s v="04:18:28"/>
    <x v="2652"/>
  </r>
  <r>
    <s v="Toldi Péter"/>
    <s v="M40"/>
    <m/>
    <s v="04:38:47"/>
    <x v="1855"/>
  </r>
  <r>
    <s v="POTIER, Jean"/>
    <s v="M50"/>
    <m/>
    <s v="03:22:15"/>
    <x v="2302"/>
  </r>
  <r>
    <s v="Kaas, Thomas"/>
    <s v="M55"/>
    <m/>
    <s v="03:41:51"/>
    <x v="535"/>
  </r>
  <r>
    <s v="Akakpo, JeanPierre"/>
    <s v="M20"/>
    <m/>
    <s v="03:43:19"/>
    <x v="2653"/>
  </r>
  <r>
    <s v="Williams, Luke"/>
    <s v="M25"/>
    <m/>
    <s v="03:48:42"/>
    <x v="1052"/>
  </r>
  <r>
    <s v="PANTELIDES, CHRISIS"/>
    <s v="M45"/>
    <m/>
    <s v="03:46:32"/>
    <x v="2654"/>
  </r>
  <r>
    <s v="Amalfitano, Marco"/>
    <s v="M25"/>
    <m/>
    <s v="04:55:09"/>
    <x v="2655"/>
  </r>
  <r>
    <s v="Godwyn, Baptiste prof"/>
    <s v="M25"/>
    <m/>
    <s v="03:56:33"/>
    <x v="405"/>
  </r>
  <r>
    <s v="Tanucci, Lorenzo"/>
    <s v="M25"/>
    <m/>
    <s v="04:39:37"/>
    <x v="2656"/>
  </r>
  <r>
    <s v="Sasvári Csaba"/>
    <s v="M35"/>
    <m/>
    <s v="05:10:17"/>
    <x v="2657"/>
  </r>
  <r>
    <s v="Iványicki Tamás"/>
    <s v="M30"/>
    <m/>
    <s v="04:03:42"/>
    <x v="2056"/>
  </r>
  <r>
    <s v="Halász Máté"/>
    <s v="M20"/>
    <m/>
    <s v="05:07:34"/>
    <x v="1832"/>
  </r>
  <r>
    <s v="Posner, Kyle"/>
    <s v="M25"/>
    <m/>
    <s v="03:48:28"/>
    <x v="2658"/>
  </r>
  <r>
    <s v="Polencsik Ádám"/>
    <s v="M20"/>
    <m/>
    <s v="04:42:06"/>
    <x v="2659"/>
  </r>
  <r>
    <s v="Platzer, Patrick"/>
    <s v="M30"/>
    <m/>
    <s v="04:17:31"/>
    <x v="2660"/>
  </r>
  <r>
    <s v="Farkas István"/>
    <s v="M50"/>
    <m/>
    <s v="05:45:07"/>
    <x v="2661"/>
  </r>
  <r>
    <s v="Morrow, Liam"/>
    <s v="M35"/>
    <m/>
    <s v="03:45:38"/>
    <x v="2662"/>
  </r>
  <r>
    <s v="Sári Csaba"/>
    <s v="M60"/>
    <m/>
    <s v="04:29:01"/>
    <x v="770"/>
  </r>
  <r>
    <s v="Szmodics Zsolt"/>
    <s v="M50"/>
    <m/>
    <s v="04:17:44"/>
    <x v="2130"/>
  </r>
  <r>
    <s v="Watson, Tom"/>
    <s v="M20"/>
    <m/>
    <s v="03:51:31"/>
    <x v="825"/>
  </r>
  <r>
    <s v="Varsányi Péter"/>
    <s v="M55"/>
    <m/>
    <s v="04:15:27"/>
    <x v="1406"/>
  </r>
  <r>
    <s v="Mansfield-Osborne, Raphael"/>
    <s v="M18"/>
    <m/>
    <s v="04:59:56"/>
    <x v="558"/>
  </r>
  <r>
    <s v="Tobias, Feuer"/>
    <s v="M35"/>
    <m/>
    <s v="03:55:05"/>
    <x v="172"/>
  </r>
  <r>
    <s v="Csapo, Huba"/>
    <s v="M20"/>
    <m/>
    <s v="04:20:21"/>
    <x v="2226"/>
  </r>
  <r>
    <s v="Boorsma, Luuk"/>
    <s v="M25"/>
    <m/>
    <s v="03:34:31"/>
    <x v="1425"/>
  </r>
  <r>
    <s v="Lendvai Attila"/>
    <s v="M50"/>
    <m/>
    <s v="03:57:27"/>
    <x v="2556"/>
  </r>
  <r>
    <s v="Walter, EIKE"/>
    <s v="M65"/>
    <m/>
    <s v="04:03:31"/>
    <x v="1730"/>
  </r>
  <r>
    <s v="Latham, Jody"/>
    <s v="M50"/>
    <m/>
    <s v="03:43:43"/>
    <x v="189"/>
  </r>
  <r>
    <s v="Pinke Attila"/>
    <s v="M40"/>
    <m/>
    <s v="04:37:16"/>
    <x v="2663"/>
  </r>
  <r>
    <s v="Luff, Brendan"/>
    <s v="M30"/>
    <m/>
    <s v="04:09:52"/>
    <x v="2455"/>
  </r>
  <r>
    <s v="Buscicchio, Gabriele"/>
    <s v="M45"/>
    <m/>
    <s v="02:57:27"/>
    <x v="2664"/>
  </r>
  <r>
    <s v="Mickey, Price"/>
    <s v="M40"/>
    <m/>
    <s v="03:45:32"/>
    <x v="2665"/>
  </r>
  <r>
    <s v="Ulics István"/>
    <s v="M50"/>
    <m/>
    <s v="04:41:01"/>
    <x v="2666"/>
  </r>
  <r>
    <s v="Ray, Murphy"/>
    <s v="M25"/>
    <m/>
    <s v="03:42:14"/>
    <x v="2191"/>
  </r>
  <r>
    <s v="Budai Sándor"/>
    <s v="M45"/>
    <m/>
    <s v="04:19:51"/>
    <x v="2667"/>
  </r>
  <r>
    <s v="Szőke Boldizsár"/>
    <s v="M18"/>
    <m/>
    <s v="04:25:50"/>
    <x v="1386"/>
  </r>
  <r>
    <s v="Menczer Péter"/>
    <s v="M50"/>
    <m/>
    <s v="04:29:36"/>
    <x v="2668"/>
  </r>
  <r>
    <s v="Georgescu, Sergiu"/>
    <s v="M25"/>
    <m/>
    <s v="04:49:19"/>
    <x v="1141"/>
  </r>
  <r>
    <s v="Bregnh?j, Emil"/>
    <s v="M25"/>
    <m/>
    <s v="03:10:22"/>
    <x v="2504"/>
  </r>
  <r>
    <s v="West, Jordan prof"/>
    <s v="M25"/>
    <m/>
    <s v="03:34:54"/>
    <x v="2669"/>
  </r>
  <r>
    <s v="Gaston, Oliver"/>
    <s v="M25"/>
    <m/>
    <s v="03:17:16"/>
    <x v="2670"/>
  </r>
  <r>
    <s v="Szabados Attila"/>
    <s v="M30"/>
    <m/>
    <s v="04:10:23"/>
    <x v="2671"/>
  </r>
  <r>
    <s v="Pizzati, Valentino"/>
    <s v="M50"/>
    <m/>
    <s v="03:38:09"/>
    <x v="1868"/>
  </r>
  <r>
    <s v="Schütz, Johann"/>
    <s v="M60"/>
    <m/>
    <s v="04:09:04"/>
    <x v="2672"/>
  </r>
  <r>
    <s v="Petró Gyula"/>
    <s v="M40"/>
    <m/>
    <s v="04:25:59"/>
    <x v="2235"/>
  </r>
  <r>
    <s v="Eperjesi Dávid"/>
    <s v="M30"/>
    <m/>
    <s v="03:14:25"/>
    <x v="1623"/>
  </r>
  <r>
    <s v="Ádám Szilamér"/>
    <s v="M25"/>
    <m/>
    <s v="04:09:16"/>
    <x v="2673"/>
  </r>
  <r>
    <s v="Pető Márk"/>
    <s v="M65"/>
    <m/>
    <s v="05:23:23"/>
    <x v="2674"/>
  </r>
  <r>
    <s v="Péczy Tamás"/>
    <s v="M35"/>
    <m/>
    <s v="04:18:56"/>
    <x v="2675"/>
  </r>
  <r>
    <s v="Déchance, OLIVIER claude prof"/>
    <s v="M40"/>
    <m/>
    <s v="03:06:05"/>
    <x v="2676"/>
  </r>
  <r>
    <s v="Váradi Patrik"/>
    <s v="M20"/>
    <m/>
    <s v="04:55:51"/>
    <x v="2677"/>
  </r>
  <r>
    <s v="Goldsmith, Ian"/>
    <s v="M35"/>
    <m/>
    <s v="05:12:17"/>
    <x v="2678"/>
  </r>
  <r>
    <s v="Varga Krisztián"/>
    <s v="M45"/>
    <m/>
    <s v="03:31:10"/>
    <x v="2679"/>
  </r>
  <r>
    <s v="Murphy-Jameson, Edward"/>
    <s v="M20"/>
    <m/>
    <s v="04:14:24"/>
    <x v="2680"/>
  </r>
  <r>
    <s v="Rábai Richárd"/>
    <s v="M45"/>
    <m/>
    <s v="04:25:57"/>
    <x v="258"/>
  </r>
  <r>
    <s v="Riegler Péter"/>
    <s v="M40"/>
    <m/>
    <s v="03:30:08"/>
    <x v="281"/>
  </r>
  <r>
    <s v="Kelemen, Sven"/>
    <s v="M25"/>
    <m/>
    <s v="04:50:59"/>
    <x v="2049"/>
  </r>
  <r>
    <s v="LARYIONAU, ARTUR"/>
    <s v="M30"/>
    <m/>
    <s v="03:31:03"/>
    <x v="2681"/>
  </r>
  <r>
    <s v="De Coster, Wouter"/>
    <s v="M50"/>
    <m/>
    <s v="03:04:54"/>
    <x v="2682"/>
  </r>
  <r>
    <s v="Pap Zsolt"/>
    <s v="M55"/>
    <m/>
    <s v="05:08:02"/>
    <x v="2683"/>
  </r>
  <r>
    <s v="Fogarasi Zoltán Dániel"/>
    <s v="M40"/>
    <m/>
    <s v="03:48:17"/>
    <x v="1434"/>
  </r>
  <r>
    <s v="Ladislav, Szőcs dr"/>
    <s v="M40"/>
    <m/>
    <s v="04:44:42"/>
    <x v="2684"/>
  </r>
  <r>
    <s v="Surányi Balázs"/>
    <s v="M25"/>
    <m/>
    <s v="05:26:20"/>
    <x v="2685"/>
  </r>
  <r>
    <s v="Clothier, William"/>
    <s v="M45"/>
    <m/>
    <s v="04:45:54"/>
    <x v="2686"/>
  </r>
  <r>
    <s v="PSAROGARAKIS, EFTYCHIOS"/>
    <s v="M50"/>
    <m/>
    <s v="04:20:49"/>
    <x v="1233"/>
  </r>
  <r>
    <s v="Albert Áron"/>
    <s v="M30"/>
    <m/>
    <s v="03:39:26"/>
    <x v="1326"/>
  </r>
  <r>
    <s v="Vajda, Andrej"/>
    <s v="M20"/>
    <m/>
    <s v="03:11:03"/>
    <x v="1963"/>
  </r>
  <r>
    <s v="Kveták Vilmos Roland"/>
    <s v="M30"/>
    <m/>
    <s v="03:28:59"/>
    <x v="1521"/>
  </r>
  <r>
    <s v="Támis Norbert"/>
    <s v="M45"/>
    <m/>
    <s v="04:02:23"/>
    <x v="1430"/>
  </r>
  <r>
    <s v="Papageorgiou, Dimitrios"/>
    <s v="M60"/>
    <m/>
    <s v="04:24:46"/>
    <x v="1325"/>
  </r>
  <r>
    <s v="Padova, Carmelo"/>
    <s v="M55"/>
    <m/>
    <s v="03:22:53"/>
    <x v="1529"/>
  </r>
  <r>
    <s v="Nagy Gábor"/>
    <s v="M45"/>
    <m/>
    <s v="03:51:46"/>
    <x v="611"/>
  </r>
  <r>
    <s v="Langley, Robert"/>
    <s v="M55"/>
    <m/>
    <s v="04:23:29"/>
    <x v="2687"/>
  </r>
  <r>
    <s v="Gómez Gragera, Aser"/>
    <s v="M35"/>
    <m/>
    <s v="02:48:33"/>
    <x v="2688"/>
  </r>
  <r>
    <s v="Buzár Dávid"/>
    <s v="M25"/>
    <m/>
    <s v="03:06:40"/>
    <x v="2689"/>
  </r>
  <r>
    <s v="Harrison, George"/>
    <s v="M20"/>
    <m/>
    <s v="04:50:36"/>
    <x v="2690"/>
  </r>
  <r>
    <s v="bert, dimitri"/>
    <s v="M35"/>
    <m/>
    <s v="04:15:49"/>
    <x v="324"/>
  </r>
  <r>
    <s v="Borbás Imre"/>
    <s v="M40"/>
    <m/>
    <s v="04:27:48"/>
    <x v="382"/>
  </r>
  <r>
    <s v="van Exter, Robert-John"/>
    <s v="M35"/>
    <m/>
    <s v="04:00:29"/>
    <x v="2691"/>
  </r>
  <r>
    <s v="Kiss Tamás"/>
    <s v="M40"/>
    <m/>
    <s v="04:33:13"/>
    <x v="2229"/>
  </r>
  <r>
    <s v="Viola László"/>
    <s v="M50"/>
    <m/>
    <s v="04:30:34"/>
    <x v="2692"/>
  </r>
  <r>
    <s v="Bruno, Coër"/>
    <s v="M60"/>
    <m/>
    <s v="03:56:59"/>
    <x v="1699"/>
  </r>
  <r>
    <s v="Filip, Pavloň"/>
    <s v="M30"/>
    <m/>
    <s v="03:43:34"/>
    <x v="2693"/>
  </r>
  <r>
    <s v="Várady Zoltán"/>
    <s v="M45"/>
    <m/>
    <s v="04:22:30"/>
    <x v="106"/>
  </r>
  <r>
    <s v="Chehaia, Nicolae"/>
    <s v="M25"/>
    <m/>
    <s v="04:49:20"/>
    <x v="2694"/>
  </r>
  <r>
    <s v="Tót Kálmán"/>
    <s v="M30"/>
    <m/>
    <s v="04:03:33"/>
    <x v="1580"/>
  </r>
  <r>
    <s v="Dunn, Jonathan"/>
    <s v="M30"/>
    <m/>
    <s v="05:39:28"/>
    <x v="2695"/>
  </r>
  <r>
    <s v="Rácz Máté"/>
    <s v="M25"/>
    <m/>
    <s v="03:59:20"/>
    <x v="599"/>
  </r>
  <r>
    <s v="Castro, Joseph"/>
    <s v="M55"/>
    <m/>
    <s v="04:32:46"/>
    <x v="1554"/>
  </r>
  <r>
    <s v="PASCUCCI, MORENO"/>
    <s v="M25"/>
    <m/>
    <s v="05:07:25"/>
    <x v="2696"/>
  </r>
  <r>
    <s v="Boulbes, Guillaume"/>
    <s v="M40"/>
    <m/>
    <s v="04:16:40"/>
    <x v="2697"/>
  </r>
  <r>
    <s v="Francis, CASSU"/>
    <s v="M50"/>
    <m/>
    <s v="03:21:16"/>
    <x v="2698"/>
  </r>
  <r>
    <s v="Szalánczi Máté"/>
    <s v="M30"/>
    <m/>
    <s v="03:27:04"/>
    <x v="2699"/>
  </r>
  <r>
    <s v="Carlsson, Patrik"/>
    <s v="M55"/>
    <m/>
    <s v="04:42:19"/>
    <x v="2700"/>
  </r>
  <r>
    <s v="Keeton, Henry"/>
    <s v="M25"/>
    <m/>
    <s v="03:38:53"/>
    <x v="1979"/>
  </r>
  <r>
    <s v="Hetey Márton"/>
    <s v="M25"/>
    <m/>
    <s v="04:03:31"/>
    <x v="1730"/>
  </r>
  <r>
    <s v="Philippe, Roscamp"/>
    <s v="M50"/>
    <m/>
    <s v="03:50:28"/>
    <x v="1308"/>
  </r>
  <r>
    <s v="Meza, Alejandro"/>
    <s v="M25"/>
    <m/>
    <s v="03:56:08"/>
    <x v="1231"/>
  </r>
  <r>
    <s v="Ágota András"/>
    <s v="M45"/>
    <m/>
    <s v="03:51:08"/>
    <x v="2701"/>
  </r>
  <r>
    <s v="Metz, Thomas"/>
    <s v="M40"/>
    <m/>
    <s v="03:58:44"/>
    <x v="2022"/>
  </r>
  <r>
    <s v="Parkhomenko, Bohdan prof"/>
    <s v="M18"/>
    <m/>
    <s v="03:31:20"/>
    <x v="2702"/>
  </r>
  <r>
    <s v="Forsman, Sebastian"/>
    <s v="M25"/>
    <m/>
    <s v="03:13:39"/>
    <x v="2703"/>
  </r>
  <r>
    <s v="Arnaud, Ghera"/>
    <s v="M40"/>
    <m/>
    <s v="04:34:12"/>
    <x v="1351"/>
  </r>
  <r>
    <s v="Pugliese, Donato"/>
    <s v="M55"/>
    <m/>
    <s v="04:16:36"/>
    <x v="2704"/>
  </r>
  <r>
    <s v="Domonkos Szabolcs"/>
    <s v="M18"/>
    <m/>
    <s v="05:09:24"/>
    <x v="2705"/>
  </r>
  <r>
    <s v="Ungureanu, Nicolae"/>
    <s v="M50"/>
    <m/>
    <s v="04:17:22"/>
    <x v="2706"/>
  </r>
  <r>
    <s v="PUNTA BENITEZ, JOSE MIGUEL"/>
    <s v="M60"/>
    <m/>
    <s v="05:00:02"/>
    <x v="514"/>
  </r>
  <r>
    <s v="Keresztes Balázs"/>
    <s v="M18"/>
    <m/>
    <s v="05:08:59"/>
    <x v="2707"/>
  </r>
  <r>
    <s v="Petró Ádám"/>
    <s v="M40"/>
    <m/>
    <s v="03:44:34"/>
    <x v="2708"/>
  </r>
  <r>
    <s v="fee, kevin prof"/>
    <s v="M50"/>
    <m/>
    <s v="05:34:20"/>
    <x v="2709"/>
  </r>
  <r>
    <s v="Simó Szilveszter"/>
    <s v="M45"/>
    <m/>
    <s v="03:55:15"/>
    <x v="2577"/>
  </r>
  <r>
    <s v="Horváth Balázs"/>
    <s v="M45"/>
    <m/>
    <s v="04:13:50"/>
    <x v="1171"/>
  </r>
  <r>
    <s v="Cuénoud, Thierry"/>
    <s v="M50"/>
    <m/>
    <s v="04:28:21"/>
    <x v="543"/>
  </r>
  <r>
    <s v="Matthew, Lang"/>
    <s v="M35"/>
    <m/>
    <s v="03:35:59"/>
    <x v="2710"/>
  </r>
  <r>
    <s v="Farkas Arnold Péter Dr."/>
    <s v="M40"/>
    <m/>
    <s v="04:11:38"/>
    <x v="2606"/>
  </r>
  <r>
    <s v="Bernaert, Rene"/>
    <s v="M45"/>
    <m/>
    <s v="03:36:19"/>
    <x v="791"/>
  </r>
  <r>
    <s v="Oláh György"/>
    <s v="M60"/>
    <m/>
    <s v="03:42:04"/>
    <x v="2161"/>
  </r>
  <r>
    <s v="St leger, Michael prof"/>
    <s v="M25"/>
    <m/>
    <s v="03:43:43"/>
    <x v="189"/>
  </r>
  <r>
    <s v="Szerencsés Tamás"/>
    <s v="M45"/>
    <m/>
    <s v="05:07:22"/>
    <x v="2711"/>
  </r>
  <r>
    <s v="Szabari Péter"/>
    <s v="M45"/>
    <m/>
    <s v="04:23:22"/>
    <x v="2712"/>
  </r>
  <r>
    <s v="Gergely, Alexander"/>
    <s v="M35"/>
    <m/>
    <s v="03:30:08"/>
    <x v="281"/>
  </r>
  <r>
    <s v="Wróbel, Tomasz"/>
    <s v="M50"/>
    <m/>
    <s v="03:25:58"/>
    <x v="2713"/>
  </r>
  <r>
    <s v="Szeles Csaba"/>
    <s v="M50"/>
    <m/>
    <s v="05:16:24"/>
    <x v="2714"/>
  </r>
  <r>
    <s v="Hinnerup, Jens"/>
    <s v="M50"/>
    <m/>
    <s v="03:10:58"/>
    <x v="1674"/>
  </r>
  <r>
    <s v="Sipos Ádám Bence"/>
    <s v="M40"/>
    <m/>
    <s v="03:40:48"/>
    <x v="2715"/>
  </r>
  <r>
    <s v="Mckay, Alex"/>
    <s v="M30"/>
    <m/>
    <s v="03:58:09"/>
    <x v="1463"/>
  </r>
  <r>
    <s v="Halycsik Renátó"/>
    <s v="M25"/>
    <m/>
    <s v="04:41:52"/>
    <x v="2716"/>
  </r>
  <r>
    <s v="Török, Raimond"/>
    <s v="M20"/>
    <m/>
    <s v="04:57:54"/>
    <x v="2717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9">
  <r>
    <s v="férfi"/>
    <n v="8"/>
    <x v="0"/>
    <n v="153"/>
  </r>
  <r>
    <s v="nő"/>
    <n v="8"/>
    <x v="1"/>
    <n v="180"/>
  </r>
  <r>
    <s v="nő"/>
    <n v="4"/>
    <x v="2"/>
    <n v="154"/>
  </r>
  <r>
    <s v="férfi"/>
    <n v="3"/>
    <x v="3"/>
    <n v="156"/>
  </r>
  <r>
    <s v="nő"/>
    <n v="3"/>
    <x v="4"/>
    <n v="226"/>
  </r>
  <r>
    <s v="férfi"/>
    <n v="1"/>
    <x v="2"/>
    <n v="172"/>
  </r>
  <r>
    <s v="nő"/>
    <n v="1"/>
    <x v="5"/>
    <n v="211"/>
  </r>
  <r>
    <s v="férfi"/>
    <n v="1"/>
    <x v="6"/>
    <n v="197"/>
  </r>
  <r>
    <s v="férfi"/>
    <n v="2"/>
    <x v="7"/>
    <n v="131"/>
  </r>
  <r>
    <s v="férfi"/>
    <n v="7"/>
    <x v="8"/>
    <n v="151"/>
  </r>
  <r>
    <s v="férfi"/>
    <n v="5"/>
    <x v="9"/>
    <n v="161"/>
  </r>
  <r>
    <s v="férfi"/>
    <n v="1"/>
    <x v="10"/>
    <n v="231"/>
  </r>
  <r>
    <s v="férfi"/>
    <n v="10"/>
    <x v="9"/>
    <n v="67"/>
  </r>
  <r>
    <s v="férfi"/>
    <n v="2"/>
    <x v="0"/>
    <n v="147"/>
  </r>
  <r>
    <s v="férfi"/>
    <n v="9"/>
    <x v="7"/>
    <n v="191"/>
  </r>
  <r>
    <s v="férfi"/>
    <n v="9"/>
    <x v="11"/>
    <n v="148"/>
  </r>
  <r>
    <s v="férfi"/>
    <n v="7"/>
    <x v="12"/>
    <n v="105"/>
  </r>
  <r>
    <s v="férfi"/>
    <n v="3"/>
    <x v="13"/>
    <n v="167"/>
  </r>
  <r>
    <s v="férfi"/>
    <n v="7"/>
    <x v="4"/>
    <n v="119"/>
  </r>
  <r>
    <s v="férfi"/>
    <n v="3"/>
    <x v="14"/>
    <n v="162"/>
  </r>
  <r>
    <s v="férfi"/>
    <n v="2"/>
    <x v="3"/>
    <n v="189"/>
  </r>
  <r>
    <s v="férfi"/>
    <n v="2"/>
    <x v="15"/>
    <n v="169"/>
  </r>
  <r>
    <s v="férfi"/>
    <n v="5"/>
    <x v="16"/>
    <n v="185"/>
  </r>
  <r>
    <s v="nő"/>
    <n v="11"/>
    <x v="17"/>
    <n v="188"/>
  </r>
  <r>
    <s v="nő"/>
    <n v="11"/>
    <x v="17"/>
    <n v="214"/>
  </r>
  <r>
    <s v="férfi"/>
    <n v="12"/>
    <x v="7"/>
    <n v="182"/>
  </r>
  <r>
    <s v="férfi"/>
    <n v="2"/>
    <x v="16"/>
    <n v="139"/>
  </r>
  <r>
    <s v="nő"/>
    <n v="3"/>
    <x v="2"/>
    <n v="177"/>
  </r>
  <r>
    <s v="férfi"/>
    <n v="1"/>
    <x v="18"/>
    <n v="129"/>
  </r>
  <r>
    <s v="nő"/>
    <n v="11"/>
    <x v="19"/>
    <n v="121"/>
  </r>
  <r>
    <s v="férfi"/>
    <n v="6"/>
    <x v="1"/>
    <n v="189"/>
  </r>
  <r>
    <s v="férfi"/>
    <n v="3"/>
    <x v="18"/>
    <n v="178"/>
  </r>
  <r>
    <s v="nő"/>
    <n v="1"/>
    <x v="18"/>
    <n v="133"/>
  </r>
  <r>
    <s v="férfi"/>
    <n v="1"/>
    <x v="4"/>
    <n v="156"/>
  </r>
  <r>
    <s v="nő"/>
    <n v="1"/>
    <x v="20"/>
    <n v="186"/>
  </r>
  <r>
    <s v="nő"/>
    <n v="5"/>
    <x v="1"/>
    <n v="175"/>
  </r>
  <r>
    <s v="férfi"/>
    <n v="7"/>
    <x v="21"/>
    <n v="210"/>
  </r>
  <r>
    <s v="nő"/>
    <n v="2"/>
    <x v="22"/>
    <n v="182"/>
  </r>
  <r>
    <s v="férfi"/>
    <n v="2"/>
    <x v="23"/>
    <n v="134"/>
  </r>
  <r>
    <s v="férfi"/>
    <n v="1"/>
    <x v="20"/>
    <n v="200"/>
  </r>
  <r>
    <s v="férfi"/>
    <n v="2"/>
    <x v="14"/>
    <n v="164"/>
  </r>
  <r>
    <s v="nő"/>
    <n v="14"/>
    <x v="24"/>
    <n v="201"/>
  </r>
  <r>
    <s v="nő"/>
    <n v="1"/>
    <x v="25"/>
    <n v="228"/>
  </r>
  <r>
    <s v="férfi"/>
    <n v="1"/>
    <x v="26"/>
    <n v="151"/>
  </r>
  <r>
    <s v="nő"/>
    <n v="2"/>
    <x v="21"/>
    <n v="121"/>
  </r>
  <r>
    <s v="férfi"/>
    <n v="3"/>
    <x v="27"/>
    <n v="258"/>
  </r>
  <r>
    <s v="férfi"/>
    <n v="6"/>
    <x v="12"/>
    <n v="105"/>
  </r>
  <r>
    <s v="férfi"/>
    <n v="2"/>
    <x v="28"/>
    <n v="128"/>
  </r>
  <r>
    <s v="férfi"/>
    <n v="6"/>
    <x v="16"/>
    <n v="175"/>
  </r>
  <r>
    <s v="férfi"/>
    <n v="6"/>
    <x v="11"/>
    <n v="109"/>
  </r>
  <r>
    <s v="nő"/>
    <n v="4"/>
    <x v="29"/>
    <n v="156"/>
  </r>
  <r>
    <s v="férfi"/>
    <n v="2"/>
    <x v="26"/>
    <n v="149"/>
  </r>
  <r>
    <s v="férfi"/>
    <n v="1"/>
    <x v="30"/>
    <n v="245"/>
  </r>
  <r>
    <s v="férfi"/>
    <n v="5"/>
    <x v="31"/>
    <n v="181"/>
  </r>
  <r>
    <s v="férfi"/>
    <n v="1"/>
    <x v="23"/>
    <n v="168"/>
  </r>
  <r>
    <s v="férfi"/>
    <n v="5"/>
    <x v="4"/>
    <n v="178"/>
  </r>
  <r>
    <s v="nő"/>
    <n v="1"/>
    <x v="28"/>
    <n v="129"/>
  </r>
  <r>
    <s v="férfi"/>
    <n v="2"/>
    <x v="24"/>
    <n v="153"/>
  </r>
  <r>
    <s v="nő"/>
    <n v="3"/>
    <x v="12"/>
    <n v="165"/>
  </r>
  <r>
    <s v="nő"/>
    <n v="2"/>
    <x v="18"/>
    <n v="179"/>
  </r>
  <r>
    <s v="nő"/>
    <n v="6"/>
    <x v="32"/>
    <n v="229"/>
  </r>
  <r>
    <s v="férfi"/>
    <n v="7"/>
    <x v="3"/>
    <n v="157"/>
  </r>
  <r>
    <s v="férfi"/>
    <n v="1"/>
    <x v="26"/>
    <n v="101"/>
  </r>
  <r>
    <s v="férfi"/>
    <n v="10"/>
    <x v="11"/>
    <n v="135"/>
  </r>
  <r>
    <s v="férfi"/>
    <n v="1"/>
    <x v="2"/>
    <n v="188"/>
  </r>
  <r>
    <s v="férfi"/>
    <n v="1"/>
    <x v="23"/>
    <n v="136"/>
  </r>
  <r>
    <s v="férfi"/>
    <n v="4"/>
    <x v="29"/>
    <n v="177"/>
  </r>
  <r>
    <s v="férfi"/>
    <n v="2"/>
    <x v="3"/>
    <n v="209"/>
  </r>
  <r>
    <s v="férfi"/>
    <n v="1"/>
    <x v="33"/>
    <n v="162"/>
  </r>
  <r>
    <s v="nő"/>
    <n v="1"/>
    <x v="6"/>
    <n v="161"/>
  </r>
  <r>
    <s v="nő"/>
    <n v="2"/>
    <x v="34"/>
    <n v="165"/>
  </r>
  <r>
    <s v="nő"/>
    <n v="1"/>
    <x v="35"/>
    <n v="128"/>
  </r>
  <r>
    <s v="férfi"/>
    <n v="1"/>
    <x v="11"/>
    <n v="85"/>
  </r>
  <r>
    <s v="nő"/>
    <n v="3"/>
    <x v="36"/>
    <n v="160"/>
  </r>
  <r>
    <s v="férfi"/>
    <n v="1"/>
    <x v="37"/>
    <n v="119"/>
  </r>
  <r>
    <s v="nő"/>
    <n v="6"/>
    <x v="32"/>
    <n v="128"/>
  </r>
  <r>
    <s v="férfi"/>
    <n v="4"/>
    <x v="38"/>
    <n v="138"/>
  </r>
  <r>
    <s v="nő"/>
    <n v="2"/>
    <x v="27"/>
    <n v="170"/>
  </r>
  <r>
    <s v="férfi"/>
    <n v="1"/>
    <x v="39"/>
    <n v="102"/>
  </r>
  <r>
    <s v="férfi"/>
    <n v="3"/>
    <x v="9"/>
    <n v="174"/>
  </r>
  <r>
    <s v="férfi"/>
    <n v="1"/>
    <x v="29"/>
    <n v="105"/>
  </r>
  <r>
    <s v="férfi"/>
    <n v="3"/>
    <x v="37"/>
    <n v="186"/>
  </r>
  <r>
    <s v="férfi"/>
    <n v="5"/>
    <x v="36"/>
    <n v="134"/>
  </r>
  <r>
    <s v="férfi"/>
    <n v="2"/>
    <x v="0"/>
    <n v="151"/>
  </r>
  <r>
    <s v="nő"/>
    <n v="3"/>
    <x v="40"/>
    <n v="143"/>
  </r>
  <r>
    <s v="férfi"/>
    <n v="1"/>
    <x v="0"/>
    <n v="131"/>
  </r>
  <r>
    <s v="férfi"/>
    <n v="15"/>
    <x v="38"/>
    <n v="132"/>
  </r>
  <r>
    <s v="férfi"/>
    <n v="16"/>
    <x v="38"/>
    <n v="136"/>
  </r>
  <r>
    <s v="férfi"/>
    <n v="1"/>
    <x v="13"/>
    <n v="156"/>
  </r>
  <r>
    <s v="férfi"/>
    <n v="3"/>
    <x v="0"/>
    <n v="124"/>
  </r>
  <r>
    <s v="férfi"/>
    <n v="2"/>
    <x v="41"/>
    <n v="155"/>
  </r>
  <r>
    <s v="férfi"/>
    <n v="1"/>
    <x v="3"/>
    <n v="122"/>
  </r>
  <r>
    <s v="férfi"/>
    <n v="1"/>
    <x v="29"/>
    <n v="147"/>
  </r>
  <r>
    <s v="nő"/>
    <n v="4"/>
    <x v="4"/>
    <n v="160"/>
  </r>
  <r>
    <s v="nő"/>
    <n v="1"/>
    <x v="23"/>
    <n v="162"/>
  </r>
  <r>
    <s v="férfi"/>
    <n v="1"/>
    <x v="42"/>
    <n v="106"/>
  </r>
  <r>
    <s v="férfi"/>
    <n v="10"/>
    <x v="2"/>
    <n v="138"/>
  </r>
  <r>
    <s v="férfi"/>
    <n v="1"/>
    <x v="23"/>
    <n v="143"/>
  </r>
  <r>
    <s v="férfi"/>
    <n v="17"/>
    <x v="43"/>
    <n v="209"/>
  </r>
  <r>
    <s v="férfi"/>
    <n v="2"/>
    <x v="10"/>
    <n v="211"/>
  </r>
  <r>
    <s v="férfi"/>
    <n v="1"/>
    <x v="32"/>
    <n v="228"/>
  </r>
  <r>
    <s v="nő"/>
    <n v="2"/>
    <x v="7"/>
    <n v="174"/>
  </r>
  <r>
    <s v="nő"/>
    <n v="5"/>
    <x v="18"/>
    <n v="197"/>
  </r>
  <r>
    <s v="nő"/>
    <n v="5"/>
    <x v="24"/>
    <n v="164"/>
  </r>
  <r>
    <s v="férfi"/>
    <n v="3"/>
    <x v="36"/>
    <n v="181"/>
  </r>
  <r>
    <s v="nő"/>
    <n v="2"/>
    <x v="14"/>
    <n v="150"/>
  </r>
  <r>
    <s v="nő"/>
    <n v="1"/>
    <x v="28"/>
    <n v="125"/>
  </r>
  <r>
    <s v="férfi"/>
    <n v="2"/>
    <x v="11"/>
    <n v="123"/>
  </r>
  <r>
    <s v="férfi"/>
    <n v="4"/>
    <x v="11"/>
    <n v="138"/>
  </r>
  <r>
    <s v="férfi"/>
    <n v="4"/>
    <x v="41"/>
    <n v="178"/>
  </r>
  <r>
    <s v="férfi"/>
    <n v="1"/>
    <x v="28"/>
    <n v="117"/>
  </r>
  <r>
    <s v="férfi"/>
    <n v="1"/>
    <x v="33"/>
    <n v="179"/>
  </r>
  <r>
    <s v="nő"/>
    <n v="1"/>
    <x v="34"/>
    <n v="161"/>
  </r>
  <r>
    <s v="férfi"/>
    <n v="11"/>
    <x v="23"/>
    <n v="118"/>
  </r>
  <r>
    <s v="férfi"/>
    <n v="4"/>
    <x v="26"/>
    <n v="120"/>
  </r>
  <r>
    <s v="férfi"/>
    <n v="1"/>
    <x v="3"/>
    <n v="155"/>
  </r>
  <r>
    <s v="férfi"/>
    <n v="1"/>
    <x v="28"/>
    <n v="205"/>
  </r>
  <r>
    <s v="férfi"/>
    <n v="4"/>
    <x v="23"/>
    <n v="135"/>
  </r>
  <r>
    <s v="férfi"/>
    <n v="5"/>
    <x v="41"/>
    <n v="154"/>
  </r>
  <r>
    <s v="férfi"/>
    <n v="2"/>
    <x v="33"/>
    <n v="170"/>
  </r>
  <r>
    <s v="férfi"/>
    <n v="1"/>
    <x v="30"/>
    <n v="106"/>
  </r>
  <r>
    <s v="nő"/>
    <n v="1"/>
    <x v="42"/>
    <n v="209"/>
  </r>
  <r>
    <s v="férfi"/>
    <n v="6"/>
    <x v="26"/>
    <n v="142"/>
  </r>
  <r>
    <s v="férfi"/>
    <n v="1"/>
    <x v="2"/>
    <n v="111"/>
  </r>
  <r>
    <s v="férfi"/>
    <n v="5"/>
    <x v="25"/>
    <n v="153"/>
  </r>
  <r>
    <s v="férfi"/>
    <n v="1"/>
    <x v="29"/>
    <n v="156"/>
  </r>
  <r>
    <s v="férfi"/>
    <n v="2"/>
    <x v="14"/>
    <n v="161"/>
  </r>
  <r>
    <s v="férfi"/>
    <n v="1"/>
    <x v="4"/>
    <n v="179"/>
  </r>
  <r>
    <s v="nő"/>
    <n v="2"/>
    <x v="8"/>
    <n v="179"/>
  </r>
  <r>
    <s v="nő"/>
    <n v="1"/>
    <x v="32"/>
    <n v="178"/>
  </r>
  <r>
    <s v="férfi"/>
    <n v="1"/>
    <x v="33"/>
    <n v="195"/>
  </r>
  <r>
    <s v="férfi"/>
    <n v="1"/>
    <x v="14"/>
    <n v="179"/>
  </r>
  <r>
    <s v="férfi"/>
    <n v="5"/>
    <x v="29"/>
    <n v="160"/>
  </r>
  <r>
    <s v="nő"/>
    <n v="6"/>
    <x v="16"/>
    <n v="156"/>
  </r>
  <r>
    <s v="nő"/>
    <n v="9"/>
    <x v="16"/>
    <n v="139"/>
  </r>
  <r>
    <s v="férfi"/>
    <n v="2"/>
    <x v="44"/>
    <n v="250"/>
  </r>
  <r>
    <s v="férfi"/>
    <n v="1"/>
    <x v="6"/>
    <n v="192"/>
  </r>
  <r>
    <s v="nő"/>
    <n v="1"/>
    <x v="24"/>
    <n v="207"/>
  </r>
  <r>
    <s v="férfi"/>
    <n v="1"/>
    <x v="6"/>
    <n v="135"/>
  </r>
  <r>
    <s v="férfi"/>
    <n v="1"/>
    <x v="8"/>
    <n v="144"/>
  </r>
  <r>
    <s v="férfi"/>
    <n v="1"/>
    <x v="33"/>
    <n v="123"/>
  </r>
  <r>
    <s v="férfi"/>
    <n v="1"/>
    <x v="14"/>
    <n v="249"/>
  </r>
  <r>
    <s v="férfi"/>
    <n v="3"/>
    <x v="28"/>
    <n v="213"/>
  </r>
  <r>
    <s v="férfi"/>
    <n v="1"/>
    <x v="25"/>
    <n v="124"/>
  </r>
  <r>
    <s v="férfi"/>
    <n v="9"/>
    <x v="36"/>
    <n v="164"/>
  </r>
  <r>
    <s v="férfi"/>
    <n v="1"/>
    <x v="1"/>
    <n v="191"/>
  </r>
  <r>
    <s v="férfi"/>
    <n v="1"/>
    <x v="11"/>
    <n v="152"/>
  </r>
  <r>
    <s v="férfi"/>
    <n v="3"/>
    <x v="26"/>
    <n v="205"/>
  </r>
  <r>
    <s v="férfi"/>
    <n v="1"/>
    <x v="35"/>
    <n v="174"/>
  </r>
  <r>
    <s v="férfi"/>
    <n v="1"/>
    <x v="45"/>
    <n v="221"/>
  </r>
  <r>
    <s v="nő"/>
    <n v="2"/>
    <x v="9"/>
    <n v="166"/>
  </r>
  <r>
    <s v="nő"/>
    <n v="3"/>
    <x v="14"/>
    <n v="163"/>
  </r>
  <r>
    <s v="férfi"/>
    <n v="1"/>
    <x v="44"/>
    <n v="109"/>
  </r>
  <r>
    <s v="férfi"/>
    <n v="1"/>
    <x v="31"/>
    <n v="208"/>
  </r>
  <r>
    <s v="nő"/>
    <n v="5"/>
    <x v="46"/>
    <n v="199"/>
  </r>
  <r>
    <s v="nő"/>
    <n v="4"/>
    <x v="29"/>
    <n v="166"/>
  </r>
  <r>
    <s v="nő"/>
    <n v="3"/>
    <x v="25"/>
    <n v="168"/>
  </r>
  <r>
    <s v="nő"/>
    <n v="1"/>
    <x v="16"/>
    <n v="172"/>
  </r>
  <r>
    <s v="nő"/>
    <n v="3"/>
    <x v="33"/>
    <n v="176"/>
  </r>
  <r>
    <s v="férfi"/>
    <n v="1"/>
    <x v="21"/>
    <n v="204"/>
  </r>
  <r>
    <s v="férfi"/>
    <n v="4"/>
    <x v="26"/>
    <n v="127"/>
  </r>
  <r>
    <s v="férfi"/>
    <n v="1"/>
    <x v="40"/>
    <n v="196"/>
  </r>
  <r>
    <s v="nő"/>
    <n v="2"/>
    <x v="5"/>
    <n v="194"/>
  </r>
  <r>
    <s v="férfi"/>
    <n v="6"/>
    <x v="11"/>
    <n v="104"/>
  </r>
  <r>
    <s v="férfi"/>
    <n v="1"/>
    <x v="38"/>
    <n v="142"/>
  </r>
  <r>
    <s v="férfi"/>
    <n v="3"/>
    <x v="20"/>
    <n v="187"/>
  </r>
  <r>
    <s v="férfi"/>
    <n v="1"/>
    <x v="19"/>
    <n v="154"/>
  </r>
  <r>
    <s v="férfi"/>
    <n v="4"/>
    <x v="4"/>
    <n v="142"/>
  </r>
  <r>
    <s v="férfi"/>
    <n v="1"/>
    <x v="43"/>
    <n v="145"/>
  </r>
  <r>
    <s v="férfi"/>
    <n v="4"/>
    <x v="39"/>
    <n v="160"/>
  </r>
  <r>
    <s v="férfi"/>
    <n v="7"/>
    <x v="47"/>
    <n v="178"/>
  </r>
  <r>
    <s v="férfi"/>
    <n v="4"/>
    <x v="25"/>
    <n v="111"/>
  </r>
  <r>
    <s v="férfi"/>
    <n v="1"/>
    <x v="3"/>
    <n v="137"/>
  </r>
  <r>
    <s v="férfi"/>
    <n v="3"/>
    <x v="3"/>
    <n v="142"/>
  </r>
  <r>
    <s v="férfi"/>
    <n v="1"/>
    <x v="44"/>
    <n v="250"/>
  </r>
  <r>
    <s v="férfi"/>
    <n v="8"/>
    <x v="7"/>
    <n v="166"/>
  </r>
  <r>
    <s v="nő"/>
    <n v="1"/>
    <x v="31"/>
    <n v="188"/>
  </r>
  <r>
    <s v="nő"/>
    <n v="3"/>
    <x v="29"/>
    <n v="161"/>
  </r>
  <r>
    <s v="nő"/>
    <n v="1"/>
    <x v="26"/>
    <n v="175"/>
  </r>
  <r>
    <s v="férfi"/>
    <n v="1"/>
    <x v="48"/>
    <n v="220"/>
  </r>
  <r>
    <s v="férfi"/>
    <n v="2"/>
    <x v="27"/>
    <n v="149"/>
  </r>
  <r>
    <s v="férfi"/>
    <n v="6"/>
    <x v="44"/>
    <n v="134"/>
  </r>
  <r>
    <s v="férfi"/>
    <n v="3"/>
    <x v="19"/>
    <n v="155"/>
  </r>
  <r>
    <s v="nő"/>
    <n v="1"/>
    <x v="29"/>
    <n v="206"/>
  </r>
  <r>
    <s v="férfi"/>
    <n v="1"/>
    <x v="37"/>
    <n v="85"/>
  </r>
  <r>
    <s v="férfi"/>
    <n v="2"/>
    <x v="0"/>
    <n v="131"/>
  </r>
  <r>
    <s v="férfi"/>
    <n v="1"/>
    <x v="32"/>
    <n v="147"/>
  </r>
  <r>
    <s v="férfi"/>
    <n v="15"/>
    <x v="18"/>
    <n v="150"/>
  </r>
  <r>
    <s v="férfi"/>
    <n v="6"/>
    <x v="23"/>
    <n v="157"/>
  </r>
  <r>
    <s v="férfi"/>
    <n v="17"/>
    <x v="39"/>
    <n v="196"/>
  </r>
  <r>
    <s v="férfi"/>
    <n v="1"/>
    <x v="19"/>
    <n v="213"/>
  </r>
  <r>
    <s v="férfi"/>
    <n v="1"/>
    <x v="40"/>
    <n v="164"/>
  </r>
  <r>
    <s v="férfi"/>
    <n v="3"/>
    <x v="19"/>
    <n v="108"/>
  </r>
  <r>
    <s v="férfi"/>
    <n v="5"/>
    <x v="44"/>
    <n v="156"/>
  </r>
  <r>
    <s v="nő"/>
    <n v="1"/>
    <x v="6"/>
    <n v="218"/>
  </r>
  <r>
    <s v="férfi"/>
    <n v="3"/>
    <x v="26"/>
    <n v="153"/>
  </r>
  <r>
    <s v="nő"/>
    <n v="5"/>
    <x v="24"/>
    <n v="147"/>
  </r>
  <r>
    <s v="férfi"/>
    <n v="3"/>
    <x v="2"/>
    <n v="166"/>
  </r>
  <r>
    <s v="nő"/>
    <n v="2"/>
    <x v="28"/>
    <n v="133"/>
  </r>
  <r>
    <s v="férfi"/>
    <n v="1"/>
    <x v="20"/>
    <n v="122"/>
  </r>
  <r>
    <s v="férfi"/>
    <n v="5"/>
    <x v="38"/>
    <n v="130"/>
  </r>
  <r>
    <s v="férfi"/>
    <n v="4"/>
    <x v="14"/>
    <n v="169"/>
  </r>
  <r>
    <s v="férfi"/>
    <n v="1"/>
    <x v="49"/>
    <n v="220"/>
  </r>
  <r>
    <s v="férfi"/>
    <n v="1"/>
    <x v="13"/>
    <n v="221"/>
  </r>
  <r>
    <s v="nő"/>
    <n v="3"/>
    <x v="0"/>
    <n v="154"/>
  </r>
  <r>
    <s v="nő"/>
    <n v="2"/>
    <x v="29"/>
    <n v="129"/>
  </r>
  <r>
    <s v="férfi"/>
    <n v="2"/>
    <x v="19"/>
    <n v="128"/>
  </r>
  <r>
    <s v="férfi"/>
    <n v="1"/>
    <x v="23"/>
    <n v="160"/>
  </r>
  <r>
    <s v="nő"/>
    <n v="1"/>
    <x v="27"/>
    <n v="125"/>
  </r>
  <r>
    <s v="férfi"/>
    <n v="7"/>
    <x v="19"/>
    <n v="119"/>
  </r>
  <r>
    <s v="férfi"/>
    <n v="5"/>
    <x v="0"/>
    <n v="180"/>
  </r>
  <r>
    <s v="nő"/>
    <n v="8"/>
    <x v="50"/>
    <n v="153"/>
  </r>
  <r>
    <s v="nő"/>
    <n v="1"/>
    <x v="18"/>
    <n v="176"/>
  </r>
  <r>
    <s v="férfi"/>
    <n v="1"/>
    <x v="26"/>
    <n v="114"/>
  </r>
  <r>
    <s v="férfi"/>
    <n v="3"/>
    <x v="1"/>
    <n v="187"/>
  </r>
  <r>
    <s v="férfi"/>
    <n v="6"/>
    <x v="3"/>
    <n v="121"/>
  </r>
  <r>
    <s v="férfi"/>
    <n v="3"/>
    <x v="20"/>
    <n v="161"/>
  </r>
  <r>
    <s v="férfi"/>
    <n v="1"/>
    <x v="0"/>
    <n v="175"/>
  </r>
  <r>
    <s v="férfi"/>
    <n v="5"/>
    <x v="21"/>
    <n v="177"/>
  </r>
  <r>
    <s v="férfi"/>
    <n v="3"/>
    <x v="23"/>
    <n v="200"/>
  </r>
  <r>
    <s v="férfi"/>
    <n v="1"/>
    <x v="4"/>
    <n v="230"/>
  </r>
  <r>
    <s v="nő"/>
    <n v="1"/>
    <x v="27"/>
    <n v="132"/>
  </r>
  <r>
    <s v="férfi"/>
    <n v="14"/>
    <x v="22"/>
    <n v="180"/>
  </r>
  <r>
    <s v="nő"/>
    <n v="4"/>
    <x v="15"/>
    <n v="160"/>
  </r>
  <r>
    <s v="férfi"/>
    <n v="5"/>
    <x v="23"/>
    <n v="166"/>
  </r>
  <r>
    <s v="nő"/>
    <n v="1"/>
    <x v="36"/>
    <n v="181"/>
  </r>
  <r>
    <s v="férfi"/>
    <n v="8"/>
    <x v="12"/>
    <n v="141"/>
  </r>
  <r>
    <s v="férfi"/>
    <n v="2"/>
    <x v="37"/>
    <n v="132"/>
  </r>
  <r>
    <s v="férfi"/>
    <n v="8"/>
    <x v="34"/>
    <n v="212"/>
  </r>
  <r>
    <s v="nő"/>
    <n v="11"/>
    <x v="24"/>
    <n v="144"/>
  </r>
  <r>
    <s v="nő"/>
    <n v="1"/>
    <x v="20"/>
    <n v="146"/>
  </r>
  <r>
    <s v="férfi"/>
    <n v="1"/>
    <x v="14"/>
    <n v="92"/>
  </r>
  <r>
    <s v="férfi"/>
    <n v="3"/>
    <x v="17"/>
    <n v="188"/>
  </r>
  <r>
    <s v="nő"/>
    <n v="2"/>
    <x v="24"/>
    <n v="168"/>
  </r>
  <r>
    <s v="nő"/>
    <n v="4"/>
    <x v="4"/>
    <n v="258"/>
  </r>
  <r>
    <s v="férfi"/>
    <n v="1"/>
    <x v="36"/>
    <n v="118"/>
  </r>
  <r>
    <s v="férfi"/>
    <n v="1"/>
    <x v="26"/>
    <n v="169"/>
  </r>
  <r>
    <s v="férfi"/>
    <n v="2"/>
    <x v="26"/>
    <n v="143"/>
  </r>
  <r>
    <s v="férfi"/>
    <n v="6"/>
    <x v="23"/>
    <n v="143"/>
  </r>
  <r>
    <s v="férfi"/>
    <n v="4"/>
    <x v="1"/>
    <n v="229"/>
  </r>
  <r>
    <s v="férfi"/>
    <n v="10"/>
    <x v="36"/>
    <n v="103"/>
  </r>
  <r>
    <s v="férfi"/>
    <n v="10"/>
    <x v="11"/>
    <n v="128"/>
  </r>
  <r>
    <s v="férfi"/>
    <n v="1"/>
    <x v="29"/>
    <n v="194"/>
  </r>
  <r>
    <s v="férfi"/>
    <n v="1"/>
    <x v="44"/>
    <n v="143"/>
  </r>
  <r>
    <s v="férfi"/>
    <n v="11"/>
    <x v="2"/>
    <n v="136"/>
  </r>
  <r>
    <s v="férfi"/>
    <n v="2"/>
    <x v="40"/>
    <n v="110"/>
  </r>
  <r>
    <s v="férfi"/>
    <n v="2"/>
    <x v="12"/>
    <n v="186"/>
  </r>
  <r>
    <s v="férfi"/>
    <n v="2"/>
    <x v="3"/>
    <n v="159"/>
  </r>
  <r>
    <s v="férfi"/>
    <n v="1"/>
    <x v="40"/>
    <n v="155"/>
  </r>
  <r>
    <s v="férfi"/>
    <n v="1"/>
    <x v="34"/>
    <n v="217"/>
  </r>
  <r>
    <s v="nő"/>
    <n v="2"/>
    <x v="14"/>
    <n v="121"/>
  </r>
  <r>
    <s v="férfi"/>
    <n v="2"/>
    <x v="32"/>
    <n v="118"/>
  </r>
  <r>
    <s v="nő"/>
    <n v="1"/>
    <x v="20"/>
    <n v="135"/>
  </r>
  <r>
    <s v="férfi"/>
    <n v="2"/>
    <x v="26"/>
    <n v="120"/>
  </r>
  <r>
    <s v="nő"/>
    <n v="2"/>
    <x v="0"/>
    <n v="153"/>
  </r>
  <r>
    <s v="nő"/>
    <n v="4"/>
    <x v="34"/>
    <n v="160"/>
  </r>
  <r>
    <s v="férfi"/>
    <n v="10"/>
    <x v="51"/>
    <n v="209"/>
  </r>
  <r>
    <s v="nő"/>
    <n v="1"/>
    <x v="35"/>
    <n v="168"/>
  </r>
  <r>
    <s v="nő"/>
    <n v="5"/>
    <x v="14"/>
    <n v="158"/>
  </r>
  <r>
    <s v="nő"/>
    <n v="1"/>
    <x v="20"/>
    <n v="155"/>
  </r>
  <r>
    <s v="férfi"/>
    <n v="1"/>
    <x v="14"/>
    <n v="172"/>
  </r>
  <r>
    <s v="férfi"/>
    <n v="12"/>
    <x v="15"/>
    <n v="180"/>
  </r>
  <r>
    <s v="nő"/>
    <n v="2"/>
    <x v="30"/>
    <n v="150"/>
  </r>
  <r>
    <s v="nő"/>
    <n v="1"/>
    <x v="30"/>
    <n v="154"/>
  </r>
  <r>
    <s v="férfi"/>
    <n v="4"/>
    <x v="34"/>
    <n v="108"/>
  </r>
  <r>
    <s v="férfi"/>
    <n v="1"/>
    <x v="52"/>
    <n v="135"/>
  </r>
  <r>
    <s v="férfi"/>
    <n v="1"/>
    <x v="37"/>
    <n v="148"/>
  </r>
  <r>
    <s v="férfi"/>
    <n v="5"/>
    <x v="34"/>
    <n v="174"/>
  </r>
  <r>
    <s v="férfi"/>
    <n v="2"/>
    <x v="24"/>
    <n v="209"/>
  </r>
  <r>
    <s v="férfi"/>
    <n v="1"/>
    <x v="4"/>
    <n v="174"/>
  </r>
  <r>
    <s v="férfi"/>
    <n v="5"/>
    <x v="25"/>
    <n v="124"/>
  </r>
  <r>
    <s v="férfi"/>
    <n v="6"/>
    <x v="10"/>
    <n v="146"/>
  </r>
  <r>
    <s v="nő"/>
    <n v="2"/>
    <x v="52"/>
    <n v="179"/>
  </r>
  <r>
    <s v="nő"/>
    <n v="5"/>
    <x v="11"/>
    <n v="124"/>
  </r>
  <r>
    <s v="férfi"/>
    <n v="1"/>
    <x v="34"/>
    <n v="204"/>
  </r>
  <r>
    <s v="férfi"/>
    <n v="11"/>
    <x v="7"/>
    <n v="201"/>
  </r>
  <r>
    <s v="férfi"/>
    <n v="3"/>
    <x v="11"/>
    <n v="118"/>
  </r>
  <r>
    <s v="férfi"/>
    <n v="1"/>
    <x v="31"/>
    <n v="192"/>
  </r>
  <r>
    <s v="férfi"/>
    <n v="5"/>
    <x v="26"/>
    <n v="139"/>
  </r>
  <r>
    <s v="férfi"/>
    <n v="3"/>
    <x v="9"/>
    <n v="107"/>
  </r>
  <r>
    <s v="férfi"/>
    <n v="1"/>
    <x v="9"/>
    <n v="201"/>
  </r>
  <r>
    <s v="férfi"/>
    <n v="3"/>
    <x v="11"/>
    <n v="268"/>
  </r>
  <r>
    <s v="férfi"/>
    <n v="3"/>
    <x v="4"/>
    <n v="249"/>
  </r>
  <r>
    <s v="nő"/>
    <n v="2"/>
    <x v="30"/>
    <n v="94"/>
  </r>
  <r>
    <s v="nő"/>
    <n v="1"/>
    <x v="26"/>
    <n v="125"/>
  </r>
  <r>
    <s v="nő"/>
    <n v="10"/>
    <x v="19"/>
    <n v="153"/>
  </r>
  <r>
    <s v="férfi"/>
    <n v="1"/>
    <x v="45"/>
    <n v="136"/>
  </r>
  <r>
    <s v="férfi"/>
    <n v="9"/>
    <x v="13"/>
    <n v="94"/>
  </r>
  <r>
    <s v="férfi"/>
    <n v="2"/>
    <x v="43"/>
    <n v="153"/>
  </r>
  <r>
    <s v="férfi"/>
    <n v="5"/>
    <x v="53"/>
    <n v="159"/>
  </r>
  <r>
    <s v="férfi"/>
    <n v="1"/>
    <x v="11"/>
    <n v="159"/>
  </r>
  <r>
    <s v="férfi"/>
    <n v="3"/>
    <x v="36"/>
    <n v="136"/>
  </r>
  <r>
    <s v="férfi"/>
    <n v="1"/>
    <x v="9"/>
    <n v="155"/>
  </r>
  <r>
    <s v="férfi"/>
    <n v="2"/>
    <x v="0"/>
    <n v="167"/>
  </r>
  <r>
    <s v="nő"/>
    <n v="14"/>
    <x v="4"/>
    <n v="197"/>
  </r>
  <r>
    <s v="férfi"/>
    <n v="1"/>
    <x v="49"/>
    <n v="96"/>
  </r>
  <r>
    <s v="férfi"/>
    <n v="1"/>
    <x v="24"/>
    <n v="147"/>
  </r>
  <r>
    <s v="nő"/>
    <n v="3"/>
    <x v="31"/>
    <n v="178"/>
  </r>
  <r>
    <s v="nő"/>
    <n v="2"/>
    <x v="30"/>
    <n v="268"/>
  </r>
  <r>
    <s v="férfi"/>
    <n v="2"/>
    <x v="3"/>
    <n v="255"/>
  </r>
  <r>
    <s v="nő"/>
    <n v="1"/>
    <x v="17"/>
    <n v="204"/>
  </r>
  <r>
    <s v="nő"/>
    <n v="1"/>
    <x v="48"/>
    <n v="174"/>
  </r>
  <r>
    <s v="nő"/>
    <n v="8"/>
    <x v="39"/>
    <n v="151"/>
  </r>
  <r>
    <s v="férfi"/>
    <n v="2"/>
    <x v="24"/>
    <n v="172"/>
  </r>
  <r>
    <s v="férfi"/>
    <n v="2"/>
    <x v="41"/>
    <n v="220"/>
  </r>
  <r>
    <s v="férfi"/>
    <n v="1"/>
    <x v="8"/>
    <n v="218"/>
  </r>
  <r>
    <s v="nő"/>
    <n v="2"/>
    <x v="33"/>
    <n v="168"/>
  </r>
  <r>
    <s v="nő"/>
    <n v="1"/>
    <x v="42"/>
    <n v="140"/>
  </r>
  <r>
    <s v="nő"/>
    <n v="2"/>
    <x v="33"/>
    <n v="169"/>
  </r>
  <r>
    <s v="nő"/>
    <n v="1"/>
    <x v="24"/>
    <n v="157"/>
  </r>
  <r>
    <s v="férfi"/>
    <n v="10"/>
    <x v="11"/>
    <n v="159"/>
  </r>
  <r>
    <s v="férfi"/>
    <n v="1"/>
    <x v="25"/>
    <n v="165"/>
  </r>
  <r>
    <s v="férfi"/>
    <n v="10"/>
    <x v="19"/>
    <n v="200"/>
  </r>
  <r>
    <s v="férfi"/>
    <n v="2"/>
    <x v="37"/>
    <n v="94"/>
  </r>
  <r>
    <s v="férfi"/>
    <n v="4"/>
    <x v="38"/>
    <n v="117"/>
  </r>
  <r>
    <s v="férfi"/>
    <n v="6"/>
    <x v="2"/>
    <n v="137"/>
  </r>
  <r>
    <s v="férfi"/>
    <n v="1"/>
    <x v="36"/>
    <n v="154"/>
  </r>
  <r>
    <s v="férfi"/>
    <n v="6"/>
    <x v="8"/>
    <n v="157"/>
  </r>
  <r>
    <s v="férfi"/>
    <n v="1"/>
    <x v="43"/>
    <n v="170"/>
  </r>
  <r>
    <s v="férfi"/>
    <n v="11"/>
    <x v="54"/>
    <n v="157"/>
  </r>
  <r>
    <s v="férfi"/>
    <n v="8"/>
    <x v="39"/>
    <n v="154"/>
  </r>
  <r>
    <s v="férfi"/>
    <n v="2"/>
    <x v="26"/>
    <n v="113"/>
  </r>
  <r>
    <s v="férfi"/>
    <n v="5"/>
    <x v="14"/>
    <n v="136"/>
  </r>
  <r>
    <s v="férfi"/>
    <n v="3"/>
    <x v="25"/>
    <n v="133"/>
  </r>
  <r>
    <s v="férfi"/>
    <n v="1"/>
    <x v="10"/>
    <n v="161"/>
  </r>
  <r>
    <s v="férfi"/>
    <n v="6"/>
    <x v="2"/>
    <n v="249"/>
  </r>
  <r>
    <s v="nő"/>
    <n v="2"/>
    <x v="20"/>
    <n v="130"/>
  </r>
  <r>
    <s v="férfi"/>
    <n v="1"/>
    <x v="11"/>
    <n v="90"/>
  </r>
  <r>
    <s v="férfi"/>
    <n v="11"/>
    <x v="43"/>
    <n v="135"/>
  </r>
  <r>
    <s v="férfi"/>
    <n v="4"/>
    <x v="3"/>
    <n v="245"/>
  </r>
  <r>
    <s v="férfi"/>
    <n v="1"/>
    <x v="40"/>
    <n v="124"/>
  </r>
  <r>
    <s v="férfi"/>
    <n v="3"/>
    <x v="19"/>
    <n v="178"/>
  </r>
  <r>
    <s v="férfi"/>
    <n v="4"/>
    <x v="55"/>
    <n v="160"/>
  </r>
  <r>
    <s v="férfi"/>
    <n v="6"/>
    <x v="56"/>
    <n v="160"/>
  </r>
  <r>
    <s v="férfi"/>
    <n v="1"/>
    <x v="9"/>
    <n v="166"/>
  </r>
  <r>
    <s v="nő"/>
    <n v="3"/>
    <x v="32"/>
    <n v="139"/>
  </r>
  <r>
    <s v="férfi"/>
    <n v="4"/>
    <x v="12"/>
    <n v="137"/>
  </r>
  <r>
    <s v="nő"/>
    <n v="1"/>
    <x v="24"/>
    <n v="123"/>
  </r>
  <r>
    <s v="férfi"/>
    <n v="2"/>
    <x v="23"/>
    <n v="170"/>
  </r>
  <r>
    <s v="nő"/>
    <n v="1"/>
    <x v="4"/>
    <n v="191"/>
  </r>
  <r>
    <s v="férfi"/>
    <n v="5"/>
    <x v="18"/>
    <n v="130"/>
  </r>
  <r>
    <s v="nő"/>
    <n v="3"/>
    <x v="37"/>
    <n v="197"/>
  </r>
  <r>
    <s v="férfi"/>
    <n v="5"/>
    <x v="28"/>
    <n v="85"/>
  </r>
  <r>
    <s v="férfi"/>
    <n v="1"/>
    <x v="10"/>
    <n v="166"/>
  </r>
  <r>
    <s v="nő"/>
    <n v="1"/>
    <x v="10"/>
    <n v="158"/>
  </r>
  <r>
    <s v="nő"/>
    <n v="1"/>
    <x v="49"/>
    <n v="159"/>
  </r>
  <r>
    <s v="férfi"/>
    <n v="1"/>
    <x v="33"/>
    <n v="184"/>
  </r>
  <r>
    <s v="férfi"/>
    <n v="6"/>
    <x v="29"/>
    <n v="137"/>
  </r>
  <r>
    <s v="férfi"/>
    <n v="2"/>
    <x v="39"/>
    <n v="201"/>
  </r>
  <r>
    <s v="nő"/>
    <n v="1"/>
    <x v="10"/>
    <n v="156"/>
  </r>
  <r>
    <s v="férfi"/>
    <n v="3"/>
    <x v="38"/>
    <n v="187"/>
  </r>
  <r>
    <s v="férfi"/>
    <n v="4"/>
    <x v="29"/>
    <n v="163"/>
  </r>
  <r>
    <s v="férfi"/>
    <n v="1"/>
    <x v="40"/>
    <n v="191"/>
  </r>
  <r>
    <s v="férfi"/>
    <n v="5"/>
    <x v="54"/>
    <n v="221"/>
  </r>
  <r>
    <s v="férfi"/>
    <n v="1"/>
    <x v="9"/>
    <n v="149"/>
  </r>
  <r>
    <s v="férfi"/>
    <n v="1"/>
    <x v="45"/>
    <n v="82"/>
  </r>
  <r>
    <s v="férfi"/>
    <n v="5"/>
    <x v="32"/>
    <n v="137"/>
  </r>
  <r>
    <s v="férfi"/>
    <n v="5"/>
    <x v="31"/>
    <n v="113"/>
  </r>
  <r>
    <s v="férfi"/>
    <n v="2"/>
    <x v="31"/>
    <n v="179"/>
  </r>
  <r>
    <s v="férfi"/>
    <n v="17"/>
    <x v="18"/>
    <n v="171"/>
  </r>
  <r>
    <s v="férfi"/>
    <n v="4"/>
    <x v="0"/>
    <n v="171"/>
  </r>
  <r>
    <s v="férfi"/>
    <n v="5"/>
    <x v="4"/>
    <n v="193"/>
  </r>
  <r>
    <s v="férfi"/>
    <n v="1"/>
    <x v="29"/>
    <n v="210"/>
  </r>
  <r>
    <s v="nő"/>
    <n v="4"/>
    <x v="25"/>
    <n v="139"/>
  </r>
  <r>
    <s v="nő"/>
    <n v="1"/>
    <x v="44"/>
    <n v="229"/>
  </r>
  <r>
    <s v="nő"/>
    <n v="7"/>
    <x v="2"/>
    <n v="113"/>
  </r>
  <r>
    <s v="nő"/>
    <n v="7"/>
    <x v="0"/>
    <n v="187"/>
  </r>
  <r>
    <s v="férfi"/>
    <n v="2"/>
    <x v="18"/>
    <n v="161"/>
  </r>
  <r>
    <s v="férfi"/>
    <n v="2"/>
    <x v="27"/>
    <n v="124"/>
  </r>
  <r>
    <s v="férfi"/>
    <n v="1"/>
    <x v="39"/>
    <n v="138"/>
  </r>
  <r>
    <s v="férfi"/>
    <n v="1"/>
    <x v="44"/>
    <n v="146"/>
  </r>
  <r>
    <s v="férfi"/>
    <n v="6"/>
    <x v="8"/>
    <n v="149"/>
  </r>
  <r>
    <s v="férfi"/>
    <n v="2"/>
    <x v="23"/>
    <n v="212"/>
  </r>
  <r>
    <s v="férfi"/>
    <n v="7"/>
    <x v="23"/>
    <n v="97"/>
  </r>
  <r>
    <s v="férfi"/>
    <n v="1"/>
    <x v="2"/>
    <n v="156"/>
  </r>
  <r>
    <s v="férfi"/>
    <n v="2"/>
    <x v="9"/>
    <n v="140"/>
  </r>
  <r>
    <s v="férfi"/>
    <n v="4"/>
    <x v="53"/>
    <n v="177"/>
  </r>
  <r>
    <s v="férfi"/>
    <n v="2"/>
    <x v="41"/>
    <n v="197"/>
  </r>
  <r>
    <s v="nő"/>
    <n v="1"/>
    <x v="32"/>
    <n v="194"/>
  </r>
  <r>
    <s v="nő"/>
    <n v="3"/>
    <x v="2"/>
    <n v="187"/>
  </r>
  <r>
    <s v="férfi"/>
    <n v="9"/>
    <x v="36"/>
    <n v="150"/>
  </r>
  <r>
    <s v="férfi"/>
    <n v="4"/>
    <x v="7"/>
    <n v="232"/>
  </r>
  <r>
    <s v="férfi"/>
    <n v="5"/>
    <x v="39"/>
    <n v="173"/>
  </r>
  <r>
    <s v="férfi"/>
    <n v="1"/>
    <x v="0"/>
    <n v="176"/>
  </r>
  <r>
    <s v="férfi"/>
    <n v="1"/>
    <x v="39"/>
    <n v="154"/>
  </r>
  <r>
    <s v="férfi"/>
    <n v="3"/>
    <x v="25"/>
    <n v="154"/>
  </r>
  <r>
    <s v="férfi"/>
    <n v="2"/>
    <x v="12"/>
    <n v="212"/>
  </r>
  <r>
    <s v="nő"/>
    <n v="3"/>
    <x v="16"/>
    <n v="181"/>
  </r>
  <r>
    <s v="nő"/>
    <n v="1"/>
    <x v="29"/>
    <n v="214"/>
  </r>
  <r>
    <s v="nő"/>
    <n v="1"/>
    <x v="44"/>
    <n v="143"/>
  </r>
  <r>
    <s v="férfi"/>
    <n v="3"/>
    <x v="25"/>
    <n v="114"/>
  </r>
  <r>
    <s v="férfi"/>
    <n v="9"/>
    <x v="25"/>
    <n v="136"/>
  </r>
  <r>
    <s v="férfi"/>
    <n v="10"/>
    <x v="0"/>
    <n v="147"/>
  </r>
  <r>
    <s v="férfi"/>
    <n v="25"/>
    <x v="57"/>
    <n v="150"/>
  </r>
  <r>
    <s v="férfi"/>
    <n v="8"/>
    <x v="25"/>
    <n v="162"/>
  </r>
  <r>
    <s v="férfi"/>
    <n v="1"/>
    <x v="15"/>
    <n v="165"/>
  </r>
  <r>
    <s v="férfi"/>
    <n v="7"/>
    <x v="53"/>
    <n v="169"/>
  </r>
  <r>
    <s v="férfi"/>
    <n v="1"/>
    <x v="8"/>
    <n v="192"/>
  </r>
  <r>
    <s v="férfi"/>
    <n v="7"/>
    <x v="19"/>
    <n v="201"/>
  </r>
  <r>
    <s v="férfi"/>
    <n v="1"/>
    <x v="0"/>
    <n v="129"/>
  </r>
  <r>
    <s v="nő"/>
    <n v="6"/>
    <x v="44"/>
    <n v="145"/>
  </r>
  <r>
    <s v="férfi"/>
    <n v="1"/>
    <x v="32"/>
    <n v="204"/>
  </r>
  <r>
    <s v="férfi"/>
    <n v="21"/>
    <x v="53"/>
    <n v="144"/>
  </r>
  <r>
    <s v="férfi"/>
    <n v="1"/>
    <x v="29"/>
    <n v="139"/>
  </r>
  <r>
    <s v="férfi"/>
    <n v="4"/>
    <x v="32"/>
    <n v="159"/>
  </r>
  <r>
    <s v="nő"/>
    <n v="1"/>
    <x v="29"/>
    <n v="177"/>
  </r>
  <r>
    <s v="férfi"/>
    <n v="1"/>
    <x v="40"/>
    <n v="288"/>
  </r>
  <r>
    <s v="férfi"/>
    <n v="4"/>
    <x v="12"/>
    <n v="152"/>
  </r>
  <r>
    <s v="férfi"/>
    <n v="1"/>
    <x v="9"/>
    <n v="121"/>
  </r>
  <r>
    <s v="férfi"/>
    <n v="1"/>
    <x v="26"/>
    <n v="124"/>
  </r>
  <r>
    <s v="férfi"/>
    <n v="1"/>
    <x v="27"/>
    <n v="132"/>
  </r>
  <r>
    <s v="férfi"/>
    <n v="2"/>
    <x v="11"/>
    <n v="149"/>
  </r>
  <r>
    <s v="nő"/>
    <n v="1"/>
    <x v="27"/>
    <n v="112"/>
  </r>
  <r>
    <s v="nő"/>
    <n v="4"/>
    <x v="37"/>
    <n v="138"/>
  </r>
  <r>
    <s v="nő"/>
    <n v="1"/>
    <x v="37"/>
    <n v="184"/>
  </r>
  <r>
    <s v="nő"/>
    <n v="1"/>
    <x v="27"/>
    <n v="201"/>
  </r>
  <r>
    <s v="férfi"/>
    <n v="5"/>
    <x v="10"/>
    <n v="180"/>
  </r>
  <r>
    <s v="férfi"/>
    <n v="5"/>
    <x v="52"/>
    <n v="186"/>
  </r>
  <r>
    <s v="férfi"/>
    <n v="3"/>
    <x v="38"/>
    <n v="191"/>
  </r>
  <r>
    <s v="férfi"/>
    <n v="4"/>
    <x v="4"/>
    <n v="201"/>
  </r>
  <r>
    <s v="férfi"/>
    <n v="14"/>
    <x v="23"/>
    <n v="138"/>
  </r>
  <r>
    <s v="nő"/>
    <n v="2"/>
    <x v="26"/>
    <n v="156"/>
  </r>
  <r>
    <s v="nő"/>
    <n v="4"/>
    <x v="0"/>
    <n v="130"/>
  </r>
  <r>
    <s v="férfi"/>
    <n v="28"/>
    <x v="12"/>
    <n v="94"/>
  </r>
  <r>
    <s v="férfi"/>
    <n v="2"/>
    <x v="21"/>
    <n v="174"/>
  </r>
  <r>
    <s v="férfi"/>
    <n v="1"/>
    <x v="39"/>
    <n v="187"/>
  </r>
  <r>
    <s v="férfi"/>
    <n v="1"/>
    <x v="29"/>
    <n v="193"/>
  </r>
  <r>
    <s v="férfi"/>
    <n v="9"/>
    <x v="0"/>
    <n v="156"/>
  </r>
  <r>
    <s v="férfi"/>
    <n v="5"/>
    <x v="18"/>
    <n v="182"/>
  </r>
  <r>
    <s v="férfi"/>
    <n v="1"/>
    <x v="39"/>
    <n v="287"/>
  </r>
  <r>
    <s v="férfi"/>
    <n v="2"/>
    <x v="1"/>
    <n v="180"/>
  </r>
  <r>
    <s v="nő"/>
    <n v="2"/>
    <x v="20"/>
    <n v="156"/>
  </r>
  <r>
    <s v="nő"/>
    <n v="1"/>
    <x v="34"/>
    <n v="161"/>
  </r>
  <r>
    <s v="nő"/>
    <n v="1"/>
    <x v="6"/>
    <n v="220"/>
  </r>
  <r>
    <s v="férfi"/>
    <n v="1"/>
    <x v="27"/>
    <n v="124"/>
  </r>
  <r>
    <s v="férfi"/>
    <n v="1"/>
    <x v="21"/>
    <n v="131"/>
  </r>
  <r>
    <s v="férfi"/>
    <n v="12"/>
    <x v="39"/>
    <n v="155"/>
  </r>
  <r>
    <s v="férfi"/>
    <n v="2"/>
    <x v="36"/>
    <n v="159"/>
  </r>
  <r>
    <s v="férfi"/>
    <n v="3"/>
    <x v="23"/>
    <n v="167"/>
  </r>
  <r>
    <s v="férfi"/>
    <n v="6"/>
    <x v="22"/>
    <n v="166"/>
  </r>
  <r>
    <s v="férfi"/>
    <n v="11"/>
    <x v="2"/>
    <n v="146"/>
  </r>
  <r>
    <s v="férfi"/>
    <n v="1"/>
    <x v="3"/>
    <n v="104"/>
  </r>
  <r>
    <s v="férfi"/>
    <n v="5"/>
    <x v="1"/>
    <n v="151"/>
  </r>
  <r>
    <s v="nő"/>
    <n v="1"/>
    <x v="15"/>
    <n v="203"/>
  </r>
  <r>
    <s v="férfi"/>
    <n v="10"/>
    <x v="1"/>
    <n v="187"/>
  </r>
  <r>
    <s v="nő"/>
    <n v="1"/>
    <x v="11"/>
    <n v="191"/>
  </r>
  <r>
    <s v="nő"/>
    <n v="9"/>
    <x v="25"/>
    <n v="161"/>
  </r>
  <r>
    <s v="férfi"/>
    <n v="2"/>
    <x v="39"/>
    <n v="230"/>
  </r>
  <r>
    <s v="nő"/>
    <n v="2"/>
    <x v="44"/>
    <n v="189"/>
  </r>
  <r>
    <s v="férfi"/>
    <n v="1"/>
    <x v="31"/>
    <n v="150"/>
  </r>
  <r>
    <s v="nő"/>
    <n v="2"/>
    <x v="40"/>
    <n v="101"/>
  </r>
  <r>
    <s v="férfi"/>
    <n v="1"/>
    <x v="2"/>
    <n v="152"/>
  </r>
  <r>
    <s v="férfi"/>
    <n v="6"/>
    <x v="19"/>
    <n v="185"/>
  </r>
  <r>
    <s v="férfi"/>
    <n v="1"/>
    <x v="6"/>
    <n v="245"/>
  </r>
  <r>
    <s v="nő"/>
    <n v="2"/>
    <x v="0"/>
    <n v="185"/>
  </r>
  <r>
    <s v="férfi"/>
    <n v="3"/>
    <x v="29"/>
    <n v="135"/>
  </r>
  <r>
    <s v="férfi"/>
    <n v="5"/>
    <x v="27"/>
    <n v="138"/>
  </r>
  <r>
    <s v="férfi"/>
    <n v="3"/>
    <x v="13"/>
    <n v="155"/>
  </r>
  <r>
    <s v="férfi"/>
    <n v="1"/>
    <x v="0"/>
    <n v="182"/>
  </r>
  <r>
    <s v="férfi"/>
    <n v="1"/>
    <x v="24"/>
    <n v="209"/>
  </r>
  <r>
    <s v="nő"/>
    <n v="1"/>
    <x v="36"/>
    <n v="91"/>
  </r>
  <r>
    <s v="nő"/>
    <n v="1"/>
    <x v="20"/>
    <n v="162"/>
  </r>
  <r>
    <s v="nő"/>
    <n v="1"/>
    <x v="14"/>
    <n v="150"/>
  </r>
  <r>
    <s v="férfi"/>
    <n v="8"/>
    <x v="37"/>
    <n v="208"/>
  </r>
  <r>
    <s v="férfi"/>
    <n v="18"/>
    <x v="26"/>
    <n v="110"/>
  </r>
  <r>
    <s v="férfi"/>
    <n v="6"/>
    <x v="39"/>
    <n v="138"/>
  </r>
  <r>
    <s v="férfi"/>
    <n v="3"/>
    <x v="14"/>
    <n v="187"/>
  </r>
  <r>
    <s v="férfi"/>
    <n v="2"/>
    <x v="23"/>
    <n v="117"/>
  </r>
  <r>
    <s v="férfi"/>
    <n v="4"/>
    <x v="25"/>
    <n v="124"/>
  </r>
  <r>
    <s v="férfi"/>
    <n v="3"/>
    <x v="0"/>
    <n v="130"/>
  </r>
  <r>
    <s v="férfi"/>
    <n v="1"/>
    <x v="9"/>
    <n v="139"/>
  </r>
  <r>
    <s v="férfi"/>
    <n v="4"/>
    <x v="0"/>
    <n v="145"/>
  </r>
  <r>
    <s v="férfi"/>
    <n v="6"/>
    <x v="25"/>
    <n v="156"/>
  </r>
  <r>
    <s v="férfi"/>
    <n v="6"/>
    <x v="25"/>
    <n v="164"/>
  </r>
  <r>
    <s v="férfi"/>
    <n v="2"/>
    <x v="32"/>
    <n v="115"/>
  </r>
  <r>
    <s v="férfi"/>
    <n v="1"/>
    <x v="14"/>
    <n v="198"/>
  </r>
  <r>
    <s v="férfi"/>
    <n v="1"/>
    <x v="36"/>
    <n v="110"/>
  </r>
  <r>
    <s v="nő"/>
    <n v="1"/>
    <x v="20"/>
    <n v="177"/>
  </r>
  <r>
    <s v="férfi"/>
    <n v="3"/>
    <x v="3"/>
    <n v="150"/>
  </r>
  <r>
    <s v="férfi"/>
    <n v="10"/>
    <x v="26"/>
    <n v="110"/>
  </r>
  <r>
    <s v="férfi"/>
    <n v="3"/>
    <x v="2"/>
    <n v="149"/>
  </r>
  <r>
    <s v="férfi"/>
    <n v="3"/>
    <x v="3"/>
    <n v="229"/>
  </r>
  <r>
    <s v="férfi"/>
    <n v="9"/>
    <x v="34"/>
    <n v="217"/>
  </r>
  <r>
    <s v="férfi"/>
    <n v="3"/>
    <x v="31"/>
    <n v="169"/>
  </r>
  <r>
    <s v="nő"/>
    <n v="1"/>
    <x v="24"/>
    <n v="157"/>
  </r>
  <r>
    <s v="férfi"/>
    <n v="1"/>
    <x v="34"/>
    <n v="110"/>
  </r>
  <r>
    <s v="nő"/>
    <n v="1"/>
    <x v="45"/>
    <n v="133"/>
  </r>
  <r>
    <s v="nő"/>
    <n v="1"/>
    <x v="14"/>
    <n v="159"/>
  </r>
  <r>
    <s v="nő"/>
    <n v="1"/>
    <x v="27"/>
    <n v="165"/>
  </r>
  <r>
    <s v="nő"/>
    <n v="1"/>
    <x v="43"/>
    <n v="263"/>
  </r>
  <r>
    <s v="férfi"/>
    <n v="6"/>
    <x v="46"/>
    <n v="180"/>
  </r>
  <r>
    <s v="nő"/>
    <n v="2"/>
    <x v="35"/>
    <n v="96"/>
  </r>
  <r>
    <s v="férfi"/>
    <n v="1"/>
    <x v="25"/>
    <n v="126"/>
  </r>
  <r>
    <s v="férfi"/>
    <n v="1"/>
    <x v="9"/>
    <n v="142"/>
  </r>
  <r>
    <s v="férfi"/>
    <n v="10"/>
    <x v="36"/>
    <n v="143"/>
  </r>
  <r>
    <s v="férfi"/>
    <n v="8"/>
    <x v="14"/>
    <n v="148"/>
  </r>
  <r>
    <s v="férfi"/>
    <n v="5"/>
    <x v="36"/>
    <n v="153"/>
  </r>
  <r>
    <s v="férfi"/>
    <n v="16"/>
    <x v="50"/>
    <n v="156"/>
  </r>
  <r>
    <s v="férfi"/>
    <n v="4"/>
    <x v="14"/>
    <n v="172"/>
  </r>
  <r>
    <s v="férfi"/>
    <n v="3"/>
    <x v="25"/>
    <n v="177"/>
  </r>
  <r>
    <s v="férfi"/>
    <n v="3"/>
    <x v="2"/>
    <n v="195"/>
  </r>
  <r>
    <s v="férfi"/>
    <n v="1"/>
    <x v="3"/>
    <n v="236"/>
  </r>
  <r>
    <s v="férfi"/>
    <n v="4"/>
    <x v="2"/>
    <n v="114"/>
  </r>
  <r>
    <s v="férfi"/>
    <n v="9"/>
    <x v="25"/>
    <n v="124"/>
  </r>
  <r>
    <s v="férfi"/>
    <n v="20"/>
    <x v="4"/>
    <n v="125"/>
  </r>
  <r>
    <s v="férfi"/>
    <n v="2"/>
    <x v="15"/>
    <n v="111"/>
  </r>
  <r>
    <s v="férfi"/>
    <n v="6"/>
    <x v="14"/>
    <n v="186"/>
  </r>
  <r>
    <s v="férfi"/>
    <n v="4"/>
    <x v="9"/>
    <n v="148"/>
  </r>
  <r>
    <s v="férfi"/>
    <n v="4"/>
    <x v="52"/>
    <n v="145"/>
  </r>
  <r>
    <s v="férfi"/>
    <n v="4"/>
    <x v="4"/>
    <n v="145"/>
  </r>
  <r>
    <s v="férfi"/>
    <n v="2"/>
    <x v="38"/>
    <n v="165"/>
  </r>
  <r>
    <s v="férfi"/>
    <n v="2"/>
    <x v="23"/>
    <n v="95"/>
  </r>
  <r>
    <s v="férfi"/>
    <n v="1"/>
    <x v="19"/>
    <n v="167"/>
  </r>
  <r>
    <s v="nő"/>
    <n v="3"/>
    <x v="4"/>
    <n v="155"/>
  </r>
  <r>
    <s v="nő"/>
    <n v="23"/>
    <x v="0"/>
    <n v="148"/>
  </r>
  <r>
    <s v="nő"/>
    <n v="24"/>
    <x v="0"/>
    <n v="151"/>
  </r>
  <r>
    <s v="nő"/>
    <n v="2"/>
    <x v="19"/>
    <n v="168"/>
  </r>
  <r>
    <s v="férfi"/>
    <n v="1"/>
    <x v="22"/>
    <n v="174"/>
  </r>
  <r>
    <s v="férfi"/>
    <n v="3"/>
    <x v="3"/>
    <n v="223"/>
  </r>
  <r>
    <s v="nő"/>
    <n v="4"/>
    <x v="19"/>
    <n v="121"/>
  </r>
  <r>
    <s v="nő"/>
    <n v="5"/>
    <x v="22"/>
    <n v="177"/>
  </r>
  <r>
    <s v="férfi"/>
    <n v="3"/>
    <x v="20"/>
    <n v="146"/>
  </r>
  <r>
    <s v="nő"/>
    <n v="1"/>
    <x v="32"/>
    <n v="139"/>
  </r>
  <r>
    <s v="nő"/>
    <n v="9"/>
    <x v="14"/>
    <n v="164"/>
  </r>
  <r>
    <s v="férfi"/>
    <n v="12"/>
    <x v="39"/>
    <n v="125"/>
  </r>
  <r>
    <s v="férfi"/>
    <n v="1"/>
    <x v="19"/>
    <n v="165"/>
  </r>
  <r>
    <s v="férfi"/>
    <n v="1"/>
    <x v="14"/>
    <n v="157"/>
  </r>
  <r>
    <s v="férfi"/>
    <n v="7"/>
    <x v="23"/>
    <n v="143"/>
  </r>
  <r>
    <s v="nő"/>
    <n v="1"/>
    <x v="14"/>
    <n v="152"/>
  </r>
  <r>
    <s v="férfi"/>
    <n v="16"/>
    <x v="58"/>
    <n v="156"/>
  </r>
  <r>
    <s v="férfi"/>
    <n v="1"/>
    <x v="33"/>
    <n v="174"/>
  </r>
  <r>
    <s v="nő"/>
    <n v="7"/>
    <x v="29"/>
    <n v="193"/>
  </r>
  <r>
    <s v="férfi"/>
    <n v="4"/>
    <x v="26"/>
    <n v="143"/>
  </r>
  <r>
    <s v="férfi"/>
    <n v="1"/>
    <x v="43"/>
    <n v="181"/>
  </r>
  <r>
    <s v="férfi"/>
    <n v="3"/>
    <x v="52"/>
    <n v="187"/>
  </r>
  <r>
    <s v="férfi"/>
    <n v="1"/>
    <x v="31"/>
    <n v="213"/>
  </r>
  <r>
    <s v="férfi"/>
    <n v="2"/>
    <x v="19"/>
    <n v="123"/>
  </r>
  <r>
    <s v="férfi"/>
    <n v="3"/>
    <x v="12"/>
    <n v="145"/>
  </r>
  <r>
    <s v="férfi"/>
    <n v="2"/>
    <x v="30"/>
    <n v="158"/>
  </r>
  <r>
    <s v="férfi"/>
    <n v="2"/>
    <x v="12"/>
    <n v="168"/>
  </r>
  <r>
    <s v="férfi"/>
    <n v="2"/>
    <x v="34"/>
    <n v="259"/>
  </r>
  <r>
    <s v="férfi"/>
    <n v="4"/>
    <x v="12"/>
    <n v="158"/>
  </r>
  <r>
    <s v="nő"/>
    <n v="6"/>
    <x v="27"/>
    <n v="86"/>
  </r>
  <r>
    <s v="férfi"/>
    <n v="9"/>
    <x v="10"/>
    <n v="184"/>
  </r>
  <r>
    <s v="nő"/>
    <n v="3"/>
    <x v="44"/>
    <n v="205"/>
  </r>
  <r>
    <s v="férfi"/>
    <n v="1"/>
    <x v="42"/>
    <n v="133"/>
  </r>
  <r>
    <s v="férfi"/>
    <n v="5"/>
    <x v="3"/>
    <n v="189"/>
  </r>
  <r>
    <s v="férfi"/>
    <n v="1"/>
    <x v="39"/>
    <n v="199"/>
  </r>
  <r>
    <s v="férfi"/>
    <n v="2"/>
    <x v="26"/>
    <n v="136"/>
  </r>
  <r>
    <s v="férfi"/>
    <n v="3"/>
    <x v="20"/>
    <n v="200"/>
  </r>
  <r>
    <s v="férfi"/>
    <n v="1"/>
    <x v="14"/>
    <n v="238"/>
  </r>
  <r>
    <s v="nő"/>
    <n v="1"/>
    <x v="40"/>
    <n v="246"/>
  </r>
  <r>
    <s v="férfi"/>
    <n v="5"/>
    <x v="3"/>
    <n v="136"/>
  </r>
  <r>
    <s v="férfi"/>
    <n v="3"/>
    <x v="11"/>
    <n v="139"/>
  </r>
  <r>
    <s v="férfi"/>
    <n v="4"/>
    <x v="4"/>
    <n v="168"/>
  </r>
  <r>
    <s v="férfi"/>
    <n v="2"/>
    <x v="28"/>
    <n v="185"/>
  </r>
  <r>
    <s v="férfi"/>
    <n v="4"/>
    <x v="11"/>
    <n v="247"/>
  </r>
  <r>
    <s v="férfi"/>
    <n v="2"/>
    <x v="3"/>
    <n v="135"/>
  </r>
  <r>
    <s v="férfi"/>
    <n v="5"/>
    <x v="16"/>
    <n v="165"/>
  </r>
  <r>
    <s v="nő"/>
    <n v="1"/>
    <x v="20"/>
    <n v="177"/>
  </r>
  <r>
    <s v="nő"/>
    <n v="1"/>
    <x v="0"/>
    <n v="181"/>
  </r>
  <r>
    <s v="nő"/>
    <n v="1"/>
    <x v="35"/>
    <n v="246"/>
  </r>
  <r>
    <s v="férfi"/>
    <n v="3"/>
    <x v="1"/>
    <n v="127"/>
  </r>
  <r>
    <s v="férfi"/>
    <n v="7"/>
    <x v="19"/>
    <n v="147"/>
  </r>
  <r>
    <s v="férfi"/>
    <n v="2"/>
    <x v="26"/>
    <n v="147"/>
  </r>
  <r>
    <s v="férfi"/>
    <n v="3"/>
    <x v="20"/>
    <n v="167"/>
  </r>
  <r>
    <s v="férfi"/>
    <n v="1"/>
    <x v="23"/>
    <n v="181"/>
  </r>
  <r>
    <s v="férfi"/>
    <n v="1"/>
    <x v="26"/>
    <n v="223"/>
  </r>
  <r>
    <s v="férfi"/>
    <n v="4"/>
    <x v="14"/>
    <n v="224"/>
  </r>
  <r>
    <s v="nő"/>
    <n v="1"/>
    <x v="21"/>
    <n v="177"/>
  </r>
  <r>
    <s v="nő"/>
    <n v="2"/>
    <x v="24"/>
    <n v="152"/>
  </r>
  <r>
    <s v="férfi"/>
    <n v="1"/>
    <x v="37"/>
    <n v="132"/>
  </r>
  <r>
    <s v="nő"/>
    <n v="2"/>
    <x v="11"/>
    <n v="224"/>
  </r>
  <r>
    <s v="nő"/>
    <n v="19"/>
    <x v="13"/>
    <n v="138"/>
  </r>
  <r>
    <s v="nő"/>
    <n v="2"/>
    <x v="43"/>
    <n v="177"/>
  </r>
  <r>
    <s v="nő"/>
    <n v="1"/>
    <x v="3"/>
    <n v="209"/>
  </r>
  <r>
    <s v="nő"/>
    <n v="2"/>
    <x v="40"/>
    <n v="118"/>
  </r>
  <r>
    <s v="férfi"/>
    <n v="1"/>
    <x v="35"/>
    <n v="117"/>
  </r>
  <r>
    <s v="férfi"/>
    <n v="10"/>
    <x v="36"/>
    <n v="156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3">
  <r>
    <x v="0"/>
    <x v="0"/>
    <x v="0"/>
    <x v="0"/>
    <x v="0"/>
    <x v="0"/>
    <x v="0"/>
    <n v="50"/>
  </r>
  <r>
    <x v="0"/>
    <x v="0"/>
    <x v="0"/>
    <x v="0"/>
    <x v="1"/>
    <x v="1"/>
    <x v="1"/>
    <n v="10"/>
  </r>
  <r>
    <x v="0"/>
    <x v="0"/>
    <x v="0"/>
    <x v="0"/>
    <x v="0"/>
    <x v="1"/>
    <x v="2"/>
    <n v="35"/>
  </r>
  <r>
    <x v="0"/>
    <x v="1"/>
    <x v="0"/>
    <x v="1"/>
    <x v="0"/>
    <x v="1"/>
    <x v="3"/>
    <n v="70"/>
  </r>
  <r>
    <x v="0"/>
    <x v="0"/>
    <x v="0"/>
    <x v="0"/>
    <x v="2"/>
    <x v="2"/>
    <x v="4"/>
    <n v="20"/>
  </r>
  <r>
    <x v="0"/>
    <x v="0"/>
    <x v="0"/>
    <x v="2"/>
    <x v="1"/>
    <x v="2"/>
    <x v="5"/>
    <n v="50"/>
  </r>
  <r>
    <x v="0"/>
    <x v="0"/>
    <x v="0"/>
    <x v="0"/>
    <x v="3"/>
    <x v="1"/>
    <x v="6"/>
    <n v="40"/>
  </r>
  <r>
    <x v="0"/>
    <x v="0"/>
    <x v="0"/>
    <x v="0"/>
    <x v="2"/>
    <x v="2"/>
    <x v="0"/>
    <n v="30"/>
  </r>
  <r>
    <x v="0"/>
    <x v="1"/>
    <x v="0"/>
    <x v="0"/>
    <x v="2"/>
    <x v="2"/>
    <x v="7"/>
    <n v="50"/>
  </r>
  <r>
    <x v="0"/>
    <x v="0"/>
    <x v="0"/>
    <x v="0"/>
    <x v="2"/>
    <x v="3"/>
    <x v="8"/>
    <n v="20"/>
  </r>
  <r>
    <x v="0"/>
    <x v="0"/>
    <x v="0"/>
    <x v="0"/>
    <x v="1"/>
    <x v="2"/>
    <x v="9"/>
    <n v="20"/>
  </r>
  <r>
    <x v="0"/>
    <x v="0"/>
    <x v="0"/>
    <x v="0"/>
    <x v="1"/>
    <x v="2"/>
    <x v="10"/>
    <n v="50"/>
  </r>
  <r>
    <x v="0"/>
    <x v="1"/>
    <x v="0"/>
    <x v="1"/>
    <x v="3"/>
    <x v="4"/>
    <x v="11"/>
    <n v="40"/>
  </r>
  <r>
    <x v="0"/>
    <x v="1"/>
    <x v="0"/>
    <x v="0"/>
    <x v="1"/>
    <x v="1"/>
    <x v="12"/>
    <n v="20"/>
  </r>
  <r>
    <x v="0"/>
    <x v="0"/>
    <x v="0"/>
    <x v="0"/>
    <x v="3"/>
    <x v="1"/>
    <x v="13"/>
    <n v="30"/>
  </r>
  <r>
    <x v="0"/>
    <x v="0"/>
    <x v="0"/>
    <x v="0"/>
    <x v="1"/>
    <x v="5"/>
    <x v="14"/>
    <n v="45"/>
  </r>
  <r>
    <x v="0"/>
    <x v="0"/>
    <x v="0"/>
    <x v="1"/>
    <x v="3"/>
    <x v="6"/>
    <x v="15"/>
    <n v="50"/>
  </r>
  <r>
    <x v="0"/>
    <x v="1"/>
    <x v="0"/>
    <x v="0"/>
    <x v="1"/>
    <x v="1"/>
    <x v="16"/>
    <n v="45"/>
  </r>
  <r>
    <x v="0"/>
    <x v="1"/>
    <x v="0"/>
    <x v="1"/>
    <x v="0"/>
    <x v="0"/>
    <x v="6"/>
    <n v="40"/>
  </r>
  <r>
    <x v="0"/>
    <x v="0"/>
    <x v="0"/>
    <x v="0"/>
    <x v="1"/>
    <x v="3"/>
    <x v="17"/>
    <n v="30"/>
  </r>
  <r>
    <x v="0"/>
    <x v="0"/>
    <x v="0"/>
    <x v="2"/>
    <x v="2"/>
    <x v="6"/>
    <x v="14"/>
    <n v="40"/>
  </r>
  <r>
    <x v="0"/>
    <x v="0"/>
    <x v="0"/>
    <x v="2"/>
    <x v="2"/>
    <x v="0"/>
    <x v="18"/>
    <n v="17"/>
  </r>
  <r>
    <x v="0"/>
    <x v="1"/>
    <x v="0"/>
    <x v="0"/>
    <x v="1"/>
    <x v="1"/>
    <x v="19"/>
    <n v="10"/>
  </r>
  <r>
    <x v="0"/>
    <x v="0"/>
    <x v="0"/>
    <x v="2"/>
    <x v="3"/>
    <x v="1"/>
    <x v="20"/>
    <n v="70"/>
  </r>
  <r>
    <x v="0"/>
    <x v="0"/>
    <x v="0"/>
    <x v="1"/>
    <x v="0"/>
    <x v="2"/>
    <x v="21"/>
    <n v="25"/>
  </r>
  <r>
    <x v="0"/>
    <x v="0"/>
    <x v="0"/>
    <x v="0"/>
    <x v="0"/>
    <x v="0"/>
    <x v="22"/>
    <n v="47.5"/>
  </r>
  <r>
    <x v="0"/>
    <x v="0"/>
    <x v="0"/>
    <x v="0"/>
    <x v="1"/>
    <x v="4"/>
    <x v="23"/>
    <n v="45"/>
  </r>
  <r>
    <x v="0"/>
    <x v="0"/>
    <x v="0"/>
    <x v="0"/>
    <x v="1"/>
    <x v="0"/>
    <x v="24"/>
    <n v="75"/>
  </r>
  <r>
    <x v="0"/>
    <x v="0"/>
    <x v="0"/>
    <x v="1"/>
    <x v="0"/>
    <x v="4"/>
    <x v="25"/>
    <n v="25"/>
  </r>
  <r>
    <x v="0"/>
    <x v="0"/>
    <x v="0"/>
    <x v="0"/>
    <x v="2"/>
    <x v="2"/>
    <x v="3"/>
    <n v="27.5"/>
  </r>
  <r>
    <x v="0"/>
    <x v="1"/>
    <x v="0"/>
    <x v="0"/>
    <x v="1"/>
    <x v="6"/>
    <x v="26"/>
    <n v="42.5"/>
  </r>
  <r>
    <x v="0"/>
    <x v="0"/>
    <x v="0"/>
    <x v="0"/>
    <x v="1"/>
    <x v="5"/>
    <x v="23"/>
    <n v="40"/>
  </r>
  <r>
    <x v="0"/>
    <x v="0"/>
    <x v="0"/>
    <x v="0"/>
    <x v="3"/>
    <x v="6"/>
    <x v="27"/>
    <n v="60"/>
  </r>
  <r>
    <x v="0"/>
    <x v="0"/>
    <x v="0"/>
    <x v="0"/>
    <x v="2"/>
    <x v="1"/>
    <x v="28"/>
    <n v="120"/>
  </r>
  <r>
    <x v="0"/>
    <x v="0"/>
    <x v="0"/>
    <x v="0"/>
    <x v="1"/>
    <x v="2"/>
    <x v="7"/>
    <n v="25"/>
  </r>
  <r>
    <x v="0"/>
    <x v="0"/>
    <x v="0"/>
    <x v="0"/>
    <x v="3"/>
    <x v="0"/>
    <x v="29"/>
    <n v="10"/>
  </r>
  <r>
    <x v="0"/>
    <x v="0"/>
    <x v="0"/>
    <x v="0"/>
    <x v="1"/>
    <x v="4"/>
    <x v="22"/>
    <n v="25"/>
  </r>
  <r>
    <x v="0"/>
    <x v="0"/>
    <x v="0"/>
    <x v="0"/>
    <x v="0"/>
    <x v="6"/>
    <x v="30"/>
    <n v="40"/>
  </r>
  <r>
    <x v="0"/>
    <x v="0"/>
    <x v="0"/>
    <x v="1"/>
    <x v="3"/>
    <x v="4"/>
    <x v="21"/>
    <n v="50"/>
  </r>
  <r>
    <x v="0"/>
    <x v="0"/>
    <x v="0"/>
    <x v="0"/>
    <x v="2"/>
    <x v="2"/>
    <x v="29"/>
    <n v="60"/>
  </r>
  <r>
    <x v="0"/>
    <x v="1"/>
    <x v="0"/>
    <x v="1"/>
    <x v="0"/>
    <x v="7"/>
    <x v="31"/>
    <n v="40"/>
  </r>
  <r>
    <x v="0"/>
    <x v="1"/>
    <x v="0"/>
    <x v="0"/>
    <x v="1"/>
    <x v="1"/>
    <x v="32"/>
    <n v="30"/>
  </r>
  <r>
    <x v="0"/>
    <x v="0"/>
    <x v="0"/>
    <x v="2"/>
    <x v="3"/>
    <x v="3"/>
    <x v="33"/>
    <n v="20"/>
  </r>
  <r>
    <x v="0"/>
    <x v="0"/>
    <x v="0"/>
    <x v="1"/>
    <x v="0"/>
    <x v="4"/>
    <x v="4"/>
    <n v="50"/>
  </r>
  <r>
    <x v="0"/>
    <x v="0"/>
    <x v="0"/>
    <x v="0"/>
    <x v="1"/>
    <x v="4"/>
    <x v="34"/>
    <n v="60"/>
  </r>
  <r>
    <x v="0"/>
    <x v="0"/>
    <x v="0"/>
    <x v="1"/>
    <x v="3"/>
    <x v="0"/>
    <x v="10"/>
    <n v="30"/>
  </r>
  <r>
    <x v="0"/>
    <x v="0"/>
    <x v="0"/>
    <x v="0"/>
    <x v="1"/>
    <x v="4"/>
    <x v="35"/>
    <n v="45"/>
  </r>
  <r>
    <x v="0"/>
    <x v="0"/>
    <x v="0"/>
    <x v="0"/>
    <x v="3"/>
    <x v="1"/>
    <x v="36"/>
    <n v="20"/>
  </r>
  <r>
    <x v="0"/>
    <x v="0"/>
    <x v="0"/>
    <x v="1"/>
    <x v="0"/>
    <x v="0"/>
    <x v="37"/>
    <n v="80"/>
  </r>
  <r>
    <x v="0"/>
    <x v="0"/>
    <x v="0"/>
    <x v="0"/>
    <x v="3"/>
    <x v="4"/>
    <x v="33"/>
    <n v="20"/>
  </r>
  <r>
    <x v="0"/>
    <x v="0"/>
    <x v="0"/>
    <x v="2"/>
    <x v="2"/>
    <x v="2"/>
    <x v="24"/>
    <n v="20"/>
  </r>
  <r>
    <x v="0"/>
    <x v="0"/>
    <x v="0"/>
    <x v="0"/>
    <x v="3"/>
    <x v="2"/>
    <x v="21"/>
    <n v="90"/>
  </r>
  <r>
    <x v="0"/>
    <x v="0"/>
    <x v="0"/>
    <x v="0"/>
    <x v="0"/>
    <x v="3"/>
    <x v="37"/>
    <n v="50"/>
  </r>
  <r>
    <x v="0"/>
    <x v="0"/>
    <x v="0"/>
    <x v="2"/>
    <x v="0"/>
    <x v="1"/>
    <x v="22"/>
    <n v="60"/>
  </r>
  <r>
    <x v="0"/>
    <x v="0"/>
    <x v="0"/>
    <x v="0"/>
    <x v="1"/>
    <x v="4"/>
    <x v="38"/>
    <n v="40"/>
  </r>
  <r>
    <x v="0"/>
    <x v="0"/>
    <x v="0"/>
    <x v="1"/>
    <x v="3"/>
    <x v="1"/>
    <x v="7"/>
    <n v="50"/>
  </r>
  <r>
    <x v="0"/>
    <x v="0"/>
    <x v="0"/>
    <x v="0"/>
    <x v="2"/>
    <x v="0"/>
    <x v="19"/>
    <n v="30"/>
  </r>
  <r>
    <x v="0"/>
    <x v="1"/>
    <x v="0"/>
    <x v="0"/>
    <x v="3"/>
    <x v="8"/>
    <x v="39"/>
    <n v="52.5"/>
  </r>
  <r>
    <x v="0"/>
    <x v="0"/>
    <x v="0"/>
    <x v="0"/>
    <x v="3"/>
    <x v="4"/>
    <x v="40"/>
    <n v="35"/>
  </r>
  <r>
    <x v="0"/>
    <x v="0"/>
    <x v="0"/>
    <x v="1"/>
    <x v="0"/>
    <x v="1"/>
    <x v="41"/>
    <n v="50"/>
  </r>
  <r>
    <x v="0"/>
    <x v="1"/>
    <x v="0"/>
    <x v="2"/>
    <x v="0"/>
    <x v="2"/>
    <x v="42"/>
    <n v="60"/>
  </r>
  <r>
    <x v="0"/>
    <x v="1"/>
    <x v="0"/>
    <x v="2"/>
    <x v="0"/>
    <x v="1"/>
    <x v="23"/>
    <n v="23"/>
  </r>
  <r>
    <x v="0"/>
    <x v="1"/>
    <x v="0"/>
    <x v="2"/>
    <x v="1"/>
    <x v="1"/>
    <x v="11"/>
    <n v="40"/>
  </r>
  <r>
    <x v="0"/>
    <x v="0"/>
    <x v="0"/>
    <x v="1"/>
    <x v="0"/>
    <x v="2"/>
    <x v="22"/>
    <n v="90"/>
  </r>
  <r>
    <x v="0"/>
    <x v="0"/>
    <x v="0"/>
    <x v="2"/>
    <x v="2"/>
    <x v="2"/>
    <x v="43"/>
    <n v="20"/>
  </r>
  <r>
    <x v="0"/>
    <x v="1"/>
    <x v="0"/>
    <x v="1"/>
    <x v="0"/>
    <x v="2"/>
    <x v="10"/>
    <n v="22.5"/>
  </r>
  <r>
    <x v="0"/>
    <x v="0"/>
    <x v="1"/>
    <x v="2"/>
    <x v="0"/>
    <x v="0"/>
    <x v="44"/>
    <n v="50"/>
  </r>
  <r>
    <x v="0"/>
    <x v="1"/>
    <x v="1"/>
    <x v="1"/>
    <x v="0"/>
    <x v="9"/>
    <x v="18"/>
    <n v="35"/>
  </r>
  <r>
    <x v="0"/>
    <x v="1"/>
    <x v="2"/>
    <x v="1"/>
    <x v="3"/>
    <x v="5"/>
    <x v="6"/>
    <n v="50"/>
  </r>
  <r>
    <x v="0"/>
    <x v="0"/>
    <x v="2"/>
    <x v="0"/>
    <x v="0"/>
    <x v="1"/>
    <x v="45"/>
    <n v="20"/>
  </r>
  <r>
    <x v="0"/>
    <x v="1"/>
    <x v="2"/>
    <x v="2"/>
    <x v="0"/>
    <x v="2"/>
    <x v="46"/>
    <n v="20"/>
  </r>
  <r>
    <x v="0"/>
    <x v="0"/>
    <x v="2"/>
    <x v="0"/>
    <x v="3"/>
    <x v="2"/>
    <x v="17"/>
    <n v="50"/>
  </r>
  <r>
    <x v="0"/>
    <x v="0"/>
    <x v="2"/>
    <x v="1"/>
    <x v="0"/>
    <x v="3"/>
    <x v="47"/>
    <n v="45"/>
  </r>
  <r>
    <x v="0"/>
    <x v="0"/>
    <x v="2"/>
    <x v="1"/>
    <x v="0"/>
    <x v="2"/>
    <x v="10"/>
    <n v="120"/>
  </r>
  <r>
    <x v="0"/>
    <x v="0"/>
    <x v="2"/>
    <x v="0"/>
    <x v="0"/>
    <x v="2"/>
    <x v="48"/>
    <n v="15"/>
  </r>
  <r>
    <x v="0"/>
    <x v="1"/>
    <x v="2"/>
    <x v="1"/>
    <x v="3"/>
    <x v="4"/>
    <x v="49"/>
    <n v="45"/>
  </r>
  <r>
    <x v="0"/>
    <x v="1"/>
    <x v="2"/>
    <x v="0"/>
    <x v="1"/>
    <x v="7"/>
    <x v="1"/>
    <n v="35"/>
  </r>
  <r>
    <x v="0"/>
    <x v="1"/>
    <x v="2"/>
    <x v="0"/>
    <x v="2"/>
    <x v="1"/>
    <x v="20"/>
    <n v="40"/>
  </r>
  <r>
    <x v="0"/>
    <x v="1"/>
    <x v="2"/>
    <x v="0"/>
    <x v="3"/>
    <x v="0"/>
    <x v="1"/>
    <n v="15"/>
  </r>
  <r>
    <x v="0"/>
    <x v="0"/>
    <x v="2"/>
    <x v="0"/>
    <x v="3"/>
    <x v="3"/>
    <x v="40"/>
    <n v="25"/>
  </r>
  <r>
    <x v="0"/>
    <x v="1"/>
    <x v="2"/>
    <x v="2"/>
    <x v="0"/>
    <x v="5"/>
    <x v="50"/>
    <n v="15"/>
  </r>
  <r>
    <x v="0"/>
    <x v="1"/>
    <x v="2"/>
    <x v="2"/>
    <x v="2"/>
    <x v="2"/>
    <x v="23"/>
    <n v="3"/>
  </r>
  <r>
    <x v="0"/>
    <x v="0"/>
    <x v="2"/>
    <x v="0"/>
    <x v="1"/>
    <x v="6"/>
    <x v="18"/>
    <n v="20"/>
  </r>
  <r>
    <x v="0"/>
    <x v="0"/>
    <x v="2"/>
    <x v="2"/>
    <x v="0"/>
    <x v="2"/>
    <x v="40"/>
    <n v="40"/>
  </r>
  <r>
    <x v="0"/>
    <x v="0"/>
    <x v="2"/>
    <x v="0"/>
    <x v="2"/>
    <x v="2"/>
    <x v="1"/>
    <n v="42.5"/>
  </r>
  <r>
    <x v="0"/>
    <x v="1"/>
    <x v="2"/>
    <x v="2"/>
    <x v="0"/>
    <x v="4"/>
    <x v="3"/>
    <n v="20"/>
  </r>
  <r>
    <x v="0"/>
    <x v="1"/>
    <x v="2"/>
    <x v="1"/>
    <x v="0"/>
    <x v="0"/>
    <x v="51"/>
    <n v="15"/>
  </r>
  <r>
    <x v="0"/>
    <x v="0"/>
    <x v="2"/>
    <x v="1"/>
    <x v="0"/>
    <x v="2"/>
    <x v="31"/>
    <n v="30"/>
  </r>
  <r>
    <x v="0"/>
    <x v="0"/>
    <x v="2"/>
    <x v="2"/>
    <x v="2"/>
    <x v="2"/>
    <x v="1"/>
    <n v="45"/>
  </r>
  <r>
    <x v="0"/>
    <x v="0"/>
    <x v="2"/>
    <x v="0"/>
    <x v="3"/>
    <x v="4"/>
    <x v="25"/>
    <n v="60"/>
  </r>
  <r>
    <x v="0"/>
    <x v="0"/>
    <x v="2"/>
    <x v="0"/>
    <x v="1"/>
    <x v="0"/>
    <x v="23"/>
    <n v="15"/>
  </r>
  <r>
    <x v="0"/>
    <x v="0"/>
    <x v="2"/>
    <x v="0"/>
    <x v="1"/>
    <x v="6"/>
    <x v="34"/>
    <n v="20"/>
  </r>
  <r>
    <x v="0"/>
    <x v="1"/>
    <x v="2"/>
    <x v="1"/>
    <x v="0"/>
    <x v="5"/>
    <x v="52"/>
    <n v="30"/>
  </r>
  <r>
    <x v="0"/>
    <x v="0"/>
    <x v="2"/>
    <x v="0"/>
    <x v="3"/>
    <x v="1"/>
    <x v="39"/>
    <n v="20"/>
  </r>
  <r>
    <x v="0"/>
    <x v="0"/>
    <x v="2"/>
    <x v="2"/>
    <x v="0"/>
    <x v="6"/>
    <x v="42"/>
    <n v="17.5"/>
  </r>
  <r>
    <x v="0"/>
    <x v="1"/>
    <x v="2"/>
    <x v="1"/>
    <x v="3"/>
    <x v="5"/>
    <x v="30"/>
    <n v="45"/>
  </r>
  <r>
    <x v="0"/>
    <x v="0"/>
    <x v="2"/>
    <x v="0"/>
    <x v="0"/>
    <x v="3"/>
    <x v="42"/>
    <n v="38"/>
  </r>
  <r>
    <x v="0"/>
    <x v="1"/>
    <x v="2"/>
    <x v="1"/>
    <x v="0"/>
    <x v="2"/>
    <x v="53"/>
    <n v="80"/>
  </r>
  <r>
    <x v="0"/>
    <x v="0"/>
    <x v="2"/>
    <x v="0"/>
    <x v="3"/>
    <x v="1"/>
    <x v="49"/>
    <n v="40"/>
  </r>
  <r>
    <x v="0"/>
    <x v="0"/>
    <x v="2"/>
    <x v="2"/>
    <x v="3"/>
    <x v="1"/>
    <x v="42"/>
    <n v="75"/>
  </r>
  <r>
    <x v="0"/>
    <x v="1"/>
    <x v="2"/>
    <x v="0"/>
    <x v="0"/>
    <x v="5"/>
    <x v="41"/>
    <n v="30"/>
  </r>
  <r>
    <x v="0"/>
    <x v="1"/>
    <x v="2"/>
    <x v="1"/>
    <x v="0"/>
    <x v="2"/>
    <x v="54"/>
    <n v="35"/>
  </r>
  <r>
    <x v="0"/>
    <x v="0"/>
    <x v="2"/>
    <x v="0"/>
    <x v="1"/>
    <x v="6"/>
    <x v="10"/>
    <n v="60"/>
  </r>
  <r>
    <x v="0"/>
    <x v="0"/>
    <x v="2"/>
    <x v="0"/>
    <x v="0"/>
    <x v="6"/>
    <x v="31"/>
    <n v="30"/>
  </r>
  <r>
    <x v="0"/>
    <x v="0"/>
    <x v="2"/>
    <x v="0"/>
    <x v="3"/>
    <x v="1"/>
    <x v="55"/>
    <n v="30"/>
  </r>
  <r>
    <x v="0"/>
    <x v="0"/>
    <x v="2"/>
    <x v="0"/>
    <x v="3"/>
    <x v="6"/>
    <x v="6"/>
    <n v="40"/>
  </r>
  <r>
    <x v="0"/>
    <x v="0"/>
    <x v="2"/>
    <x v="0"/>
    <x v="3"/>
    <x v="1"/>
    <x v="36"/>
    <n v="45"/>
  </r>
  <r>
    <x v="0"/>
    <x v="1"/>
    <x v="2"/>
    <x v="1"/>
    <x v="1"/>
    <x v="1"/>
    <x v="56"/>
    <n v="20"/>
  </r>
  <r>
    <x v="0"/>
    <x v="0"/>
    <x v="2"/>
    <x v="2"/>
    <x v="0"/>
    <x v="6"/>
    <x v="19"/>
    <n v="25"/>
  </r>
  <r>
    <x v="0"/>
    <x v="1"/>
    <x v="2"/>
    <x v="0"/>
    <x v="0"/>
    <x v="5"/>
    <x v="39"/>
    <n v="15"/>
  </r>
  <r>
    <x v="0"/>
    <x v="0"/>
    <x v="2"/>
    <x v="0"/>
    <x v="3"/>
    <x v="1"/>
    <x v="15"/>
    <n v="25"/>
  </r>
  <r>
    <x v="0"/>
    <x v="1"/>
    <x v="2"/>
    <x v="0"/>
    <x v="3"/>
    <x v="3"/>
    <x v="57"/>
    <n v="45"/>
  </r>
  <r>
    <x v="0"/>
    <x v="0"/>
    <x v="2"/>
    <x v="0"/>
    <x v="1"/>
    <x v="6"/>
    <x v="58"/>
    <n v="60"/>
  </r>
  <r>
    <x v="0"/>
    <x v="1"/>
    <x v="2"/>
    <x v="0"/>
    <x v="3"/>
    <x v="0"/>
    <x v="53"/>
    <n v="8"/>
  </r>
  <r>
    <x v="0"/>
    <x v="1"/>
    <x v="2"/>
    <x v="1"/>
    <x v="0"/>
    <x v="5"/>
    <x v="59"/>
    <n v="40"/>
  </r>
  <r>
    <x v="0"/>
    <x v="1"/>
    <x v="2"/>
    <x v="1"/>
    <x v="2"/>
    <x v="4"/>
    <x v="15"/>
    <n v="12"/>
  </r>
  <r>
    <x v="0"/>
    <x v="0"/>
    <x v="2"/>
    <x v="0"/>
    <x v="2"/>
    <x v="7"/>
    <x v="23"/>
    <n v="20"/>
  </r>
  <r>
    <x v="0"/>
    <x v="1"/>
    <x v="2"/>
    <x v="2"/>
    <x v="2"/>
    <x v="6"/>
    <x v="12"/>
    <n v="25"/>
  </r>
  <r>
    <x v="0"/>
    <x v="1"/>
    <x v="2"/>
    <x v="0"/>
    <x v="1"/>
    <x v="6"/>
    <x v="60"/>
    <n v="30"/>
  </r>
  <r>
    <x v="0"/>
    <x v="0"/>
    <x v="2"/>
    <x v="1"/>
    <x v="0"/>
    <x v="3"/>
    <x v="61"/>
    <n v="30"/>
  </r>
  <r>
    <x v="0"/>
    <x v="1"/>
    <x v="2"/>
    <x v="1"/>
    <x v="3"/>
    <x v="6"/>
    <x v="53"/>
    <n v="5"/>
  </r>
  <r>
    <x v="0"/>
    <x v="0"/>
    <x v="2"/>
    <x v="0"/>
    <x v="3"/>
    <x v="3"/>
    <x v="1"/>
    <n v="30"/>
  </r>
  <r>
    <x v="0"/>
    <x v="0"/>
    <x v="2"/>
    <x v="0"/>
    <x v="0"/>
    <x v="2"/>
    <x v="10"/>
    <n v="45"/>
  </r>
  <r>
    <x v="0"/>
    <x v="0"/>
    <x v="2"/>
    <x v="1"/>
    <x v="0"/>
    <x v="1"/>
    <x v="10"/>
    <n v="40"/>
  </r>
  <r>
    <x v="0"/>
    <x v="1"/>
    <x v="2"/>
    <x v="0"/>
    <x v="2"/>
    <x v="0"/>
    <x v="60"/>
    <n v="60"/>
  </r>
  <r>
    <x v="0"/>
    <x v="0"/>
    <x v="2"/>
    <x v="0"/>
    <x v="1"/>
    <x v="3"/>
    <x v="30"/>
    <n v="30"/>
  </r>
  <r>
    <x v="0"/>
    <x v="0"/>
    <x v="2"/>
    <x v="2"/>
    <x v="3"/>
    <x v="2"/>
    <x v="0"/>
    <n v="40"/>
  </r>
  <r>
    <x v="0"/>
    <x v="1"/>
    <x v="2"/>
    <x v="0"/>
    <x v="0"/>
    <x v="1"/>
    <x v="53"/>
    <n v="40"/>
  </r>
  <r>
    <x v="0"/>
    <x v="0"/>
    <x v="2"/>
    <x v="0"/>
    <x v="3"/>
    <x v="1"/>
    <x v="53"/>
    <n v="50"/>
  </r>
  <r>
    <x v="0"/>
    <x v="1"/>
    <x v="2"/>
    <x v="2"/>
    <x v="3"/>
    <x v="6"/>
    <x v="34"/>
    <n v="66"/>
  </r>
  <r>
    <x v="0"/>
    <x v="1"/>
    <x v="2"/>
    <x v="1"/>
    <x v="3"/>
    <x v="7"/>
    <x v="33"/>
    <n v="50"/>
  </r>
  <r>
    <x v="0"/>
    <x v="0"/>
    <x v="2"/>
    <x v="0"/>
    <x v="3"/>
    <x v="1"/>
    <x v="18"/>
    <n v="60"/>
  </r>
  <r>
    <x v="0"/>
    <x v="0"/>
    <x v="2"/>
    <x v="0"/>
    <x v="0"/>
    <x v="2"/>
    <x v="41"/>
    <n v="40"/>
  </r>
  <r>
    <x v="0"/>
    <x v="1"/>
    <x v="2"/>
    <x v="1"/>
    <x v="3"/>
    <x v="6"/>
    <x v="2"/>
    <n v="20"/>
  </r>
  <r>
    <x v="0"/>
    <x v="1"/>
    <x v="2"/>
    <x v="0"/>
    <x v="1"/>
    <x v="1"/>
    <x v="53"/>
    <n v="25"/>
  </r>
  <r>
    <x v="0"/>
    <x v="0"/>
    <x v="2"/>
    <x v="0"/>
    <x v="0"/>
    <x v="1"/>
    <x v="0"/>
    <n v="28"/>
  </r>
  <r>
    <x v="0"/>
    <x v="0"/>
    <x v="2"/>
    <x v="0"/>
    <x v="3"/>
    <x v="1"/>
    <x v="45"/>
    <n v="40"/>
  </r>
  <r>
    <x v="0"/>
    <x v="1"/>
    <x v="2"/>
    <x v="1"/>
    <x v="0"/>
    <x v="3"/>
    <x v="49"/>
    <n v="24"/>
  </r>
  <r>
    <x v="0"/>
    <x v="0"/>
    <x v="2"/>
    <x v="1"/>
    <x v="0"/>
    <x v="1"/>
    <x v="62"/>
    <n v="80"/>
  </r>
  <r>
    <x v="0"/>
    <x v="0"/>
    <x v="2"/>
    <x v="1"/>
    <x v="0"/>
    <x v="2"/>
    <x v="63"/>
    <n v="40"/>
  </r>
  <r>
    <x v="0"/>
    <x v="0"/>
    <x v="2"/>
    <x v="0"/>
    <x v="3"/>
    <x v="1"/>
    <x v="64"/>
    <n v="25"/>
  </r>
  <r>
    <x v="0"/>
    <x v="0"/>
    <x v="2"/>
    <x v="0"/>
    <x v="1"/>
    <x v="4"/>
    <x v="59"/>
    <n v="40"/>
  </r>
  <r>
    <x v="0"/>
    <x v="1"/>
    <x v="2"/>
    <x v="1"/>
    <x v="3"/>
    <x v="1"/>
    <x v="43"/>
    <n v="50"/>
  </r>
  <r>
    <x v="0"/>
    <x v="1"/>
    <x v="2"/>
    <x v="0"/>
    <x v="1"/>
    <x v="4"/>
    <x v="18"/>
    <n v="35"/>
  </r>
  <r>
    <x v="0"/>
    <x v="0"/>
    <x v="2"/>
    <x v="2"/>
    <x v="3"/>
    <x v="1"/>
    <x v="65"/>
    <n v="43"/>
  </r>
  <r>
    <x v="0"/>
    <x v="1"/>
    <x v="2"/>
    <x v="0"/>
    <x v="2"/>
    <x v="6"/>
    <x v="66"/>
    <n v="15"/>
  </r>
  <r>
    <x v="0"/>
    <x v="1"/>
    <x v="2"/>
    <x v="1"/>
    <x v="0"/>
    <x v="2"/>
    <x v="65"/>
    <n v="90"/>
  </r>
  <r>
    <x v="0"/>
    <x v="0"/>
    <x v="2"/>
    <x v="1"/>
    <x v="3"/>
    <x v="2"/>
    <x v="10"/>
    <n v="70"/>
  </r>
  <r>
    <x v="0"/>
    <x v="0"/>
    <x v="2"/>
    <x v="1"/>
    <x v="1"/>
    <x v="2"/>
    <x v="18"/>
    <n v="70"/>
  </r>
  <r>
    <x v="0"/>
    <x v="0"/>
    <x v="2"/>
    <x v="0"/>
    <x v="2"/>
    <x v="1"/>
    <x v="18"/>
    <n v="25"/>
  </r>
  <r>
    <x v="0"/>
    <x v="1"/>
    <x v="2"/>
    <x v="2"/>
    <x v="0"/>
    <x v="5"/>
    <x v="67"/>
    <n v="25"/>
  </r>
  <r>
    <x v="0"/>
    <x v="0"/>
    <x v="2"/>
    <x v="0"/>
    <x v="3"/>
    <x v="4"/>
    <x v="49"/>
    <n v="10"/>
  </r>
  <r>
    <x v="0"/>
    <x v="1"/>
    <x v="2"/>
    <x v="0"/>
    <x v="1"/>
    <x v="4"/>
    <x v="28"/>
    <n v="50"/>
  </r>
  <r>
    <x v="0"/>
    <x v="0"/>
    <x v="2"/>
    <x v="0"/>
    <x v="1"/>
    <x v="2"/>
    <x v="18"/>
    <n v="45"/>
  </r>
  <r>
    <x v="0"/>
    <x v="0"/>
    <x v="2"/>
    <x v="1"/>
    <x v="0"/>
    <x v="3"/>
    <x v="68"/>
    <n v="12"/>
  </r>
  <r>
    <x v="0"/>
    <x v="1"/>
    <x v="2"/>
    <x v="0"/>
    <x v="3"/>
    <x v="9"/>
    <x v="56"/>
    <n v="25"/>
  </r>
  <r>
    <x v="0"/>
    <x v="0"/>
    <x v="2"/>
    <x v="0"/>
    <x v="3"/>
    <x v="7"/>
    <x v="69"/>
    <n v="15"/>
  </r>
  <r>
    <x v="0"/>
    <x v="0"/>
    <x v="2"/>
    <x v="0"/>
    <x v="1"/>
    <x v="4"/>
    <x v="31"/>
    <n v="5"/>
  </r>
  <r>
    <x v="0"/>
    <x v="0"/>
    <x v="2"/>
    <x v="0"/>
    <x v="0"/>
    <x v="6"/>
    <x v="51"/>
    <n v="15"/>
  </r>
  <r>
    <x v="0"/>
    <x v="0"/>
    <x v="2"/>
    <x v="1"/>
    <x v="0"/>
    <x v="4"/>
    <x v="67"/>
    <n v="70"/>
  </r>
  <r>
    <x v="0"/>
    <x v="0"/>
    <x v="2"/>
    <x v="0"/>
    <x v="0"/>
    <x v="10"/>
    <x v="46"/>
    <n v="50"/>
  </r>
  <r>
    <x v="0"/>
    <x v="0"/>
    <x v="2"/>
    <x v="0"/>
    <x v="0"/>
    <x v="4"/>
    <x v="25"/>
    <n v="50"/>
  </r>
  <r>
    <x v="0"/>
    <x v="1"/>
    <x v="2"/>
    <x v="1"/>
    <x v="0"/>
    <x v="4"/>
    <x v="40"/>
    <n v="25"/>
  </r>
  <r>
    <x v="0"/>
    <x v="0"/>
    <x v="2"/>
    <x v="0"/>
    <x v="0"/>
    <x v="1"/>
    <x v="63"/>
    <n v="30"/>
  </r>
  <r>
    <x v="0"/>
    <x v="1"/>
    <x v="2"/>
    <x v="0"/>
    <x v="1"/>
    <x v="0"/>
    <x v="59"/>
    <n v="35"/>
  </r>
  <r>
    <x v="0"/>
    <x v="1"/>
    <x v="2"/>
    <x v="1"/>
    <x v="0"/>
    <x v="6"/>
    <x v="5"/>
    <n v="40"/>
  </r>
  <r>
    <x v="0"/>
    <x v="0"/>
    <x v="2"/>
    <x v="1"/>
    <x v="3"/>
    <x v="0"/>
    <x v="42"/>
    <n v="90"/>
  </r>
  <r>
    <x v="0"/>
    <x v="0"/>
    <x v="2"/>
    <x v="2"/>
    <x v="1"/>
    <x v="1"/>
    <x v="47"/>
    <n v="60"/>
  </r>
  <r>
    <x v="0"/>
    <x v="0"/>
    <x v="2"/>
    <x v="1"/>
    <x v="0"/>
    <x v="6"/>
    <x v="70"/>
    <n v="10"/>
  </r>
  <r>
    <x v="0"/>
    <x v="0"/>
    <x v="2"/>
    <x v="1"/>
    <x v="3"/>
    <x v="0"/>
    <x v="30"/>
    <n v="30"/>
  </r>
  <r>
    <x v="0"/>
    <x v="0"/>
    <x v="2"/>
    <x v="0"/>
    <x v="0"/>
    <x v="0"/>
    <x v="60"/>
    <n v="45"/>
  </r>
  <r>
    <x v="0"/>
    <x v="1"/>
    <x v="2"/>
    <x v="0"/>
    <x v="0"/>
    <x v="3"/>
    <x v="39"/>
    <n v="79"/>
  </r>
  <r>
    <x v="0"/>
    <x v="0"/>
    <x v="2"/>
    <x v="0"/>
    <x v="1"/>
    <x v="2"/>
    <x v="51"/>
    <n v="25"/>
  </r>
  <r>
    <x v="0"/>
    <x v="0"/>
    <x v="2"/>
    <x v="0"/>
    <x v="1"/>
    <x v="6"/>
    <x v="71"/>
    <n v="50"/>
  </r>
  <r>
    <x v="0"/>
    <x v="1"/>
    <x v="2"/>
    <x v="0"/>
    <x v="1"/>
    <x v="1"/>
    <x v="3"/>
    <n v="50"/>
  </r>
  <r>
    <x v="0"/>
    <x v="0"/>
    <x v="2"/>
    <x v="0"/>
    <x v="1"/>
    <x v="2"/>
    <x v="53"/>
    <n v="50"/>
  </r>
  <r>
    <x v="0"/>
    <x v="0"/>
    <x v="2"/>
    <x v="1"/>
    <x v="0"/>
    <x v="1"/>
    <x v="63"/>
    <n v="40"/>
  </r>
  <r>
    <x v="0"/>
    <x v="1"/>
    <x v="2"/>
    <x v="2"/>
    <x v="0"/>
    <x v="6"/>
    <x v="72"/>
    <n v="50"/>
  </r>
  <r>
    <x v="0"/>
    <x v="0"/>
    <x v="2"/>
    <x v="0"/>
    <x v="0"/>
    <x v="2"/>
    <x v="17"/>
    <n v="40"/>
  </r>
  <r>
    <x v="0"/>
    <x v="1"/>
    <x v="2"/>
    <x v="1"/>
    <x v="0"/>
    <x v="0"/>
    <x v="70"/>
    <n v="40"/>
  </r>
  <r>
    <x v="0"/>
    <x v="1"/>
    <x v="2"/>
    <x v="0"/>
    <x v="2"/>
    <x v="4"/>
    <x v="21"/>
    <n v="50"/>
  </r>
  <r>
    <x v="0"/>
    <x v="0"/>
    <x v="2"/>
    <x v="2"/>
    <x v="1"/>
    <x v="7"/>
    <x v="73"/>
    <n v="20"/>
  </r>
  <r>
    <x v="0"/>
    <x v="0"/>
    <x v="2"/>
    <x v="0"/>
    <x v="2"/>
    <x v="1"/>
    <x v="42"/>
    <n v="15"/>
  </r>
  <r>
    <x v="0"/>
    <x v="0"/>
    <x v="2"/>
    <x v="0"/>
    <x v="1"/>
    <x v="4"/>
    <x v="5"/>
    <n v="40"/>
  </r>
  <r>
    <x v="0"/>
    <x v="0"/>
    <x v="2"/>
    <x v="0"/>
    <x v="3"/>
    <x v="1"/>
    <x v="3"/>
    <n v="25"/>
  </r>
  <r>
    <x v="0"/>
    <x v="1"/>
    <x v="2"/>
    <x v="0"/>
    <x v="2"/>
    <x v="4"/>
    <x v="42"/>
    <n v="40"/>
  </r>
  <r>
    <x v="0"/>
    <x v="0"/>
    <x v="2"/>
    <x v="0"/>
    <x v="3"/>
    <x v="6"/>
    <x v="74"/>
    <n v="40"/>
  </r>
  <r>
    <x v="0"/>
    <x v="0"/>
    <x v="2"/>
    <x v="0"/>
    <x v="0"/>
    <x v="1"/>
    <x v="60"/>
    <n v="40"/>
  </r>
  <r>
    <x v="0"/>
    <x v="0"/>
    <x v="2"/>
    <x v="0"/>
    <x v="1"/>
    <x v="3"/>
    <x v="2"/>
    <n v="30"/>
  </r>
  <r>
    <x v="0"/>
    <x v="1"/>
    <x v="2"/>
    <x v="1"/>
    <x v="0"/>
    <x v="0"/>
    <x v="18"/>
    <n v="40"/>
  </r>
  <r>
    <x v="0"/>
    <x v="0"/>
    <x v="2"/>
    <x v="0"/>
    <x v="3"/>
    <x v="2"/>
    <x v="69"/>
    <n v="60"/>
  </r>
  <r>
    <x v="0"/>
    <x v="0"/>
    <x v="2"/>
    <x v="2"/>
    <x v="2"/>
    <x v="1"/>
    <x v="53"/>
    <n v="30"/>
  </r>
  <r>
    <x v="0"/>
    <x v="1"/>
    <x v="2"/>
    <x v="1"/>
    <x v="2"/>
    <x v="2"/>
    <x v="64"/>
    <n v="37.5"/>
  </r>
  <r>
    <x v="0"/>
    <x v="0"/>
    <x v="2"/>
    <x v="2"/>
    <x v="0"/>
    <x v="8"/>
    <x v="59"/>
    <n v="25"/>
  </r>
  <r>
    <x v="0"/>
    <x v="0"/>
    <x v="2"/>
    <x v="0"/>
    <x v="2"/>
    <x v="2"/>
    <x v="6"/>
    <n v="15"/>
  </r>
  <r>
    <x v="0"/>
    <x v="1"/>
    <x v="2"/>
    <x v="2"/>
    <x v="0"/>
    <x v="0"/>
    <x v="28"/>
    <n v="50"/>
  </r>
  <r>
    <x v="0"/>
    <x v="0"/>
    <x v="2"/>
    <x v="0"/>
    <x v="3"/>
    <x v="4"/>
    <x v="53"/>
    <n v="7"/>
  </r>
  <r>
    <x v="0"/>
    <x v="0"/>
    <x v="0"/>
    <x v="0"/>
    <x v="3"/>
    <x v="4"/>
    <x v="30"/>
    <n v="50"/>
  </r>
  <r>
    <x v="0"/>
    <x v="1"/>
    <x v="0"/>
    <x v="0"/>
    <x v="1"/>
    <x v="3"/>
    <x v="32"/>
    <n v="15"/>
  </r>
  <r>
    <x v="0"/>
    <x v="0"/>
    <x v="0"/>
    <x v="0"/>
    <x v="2"/>
    <x v="2"/>
    <x v="32"/>
    <n v="30"/>
  </r>
  <r>
    <x v="0"/>
    <x v="0"/>
    <x v="0"/>
    <x v="2"/>
    <x v="1"/>
    <x v="2"/>
    <x v="34"/>
    <n v="80"/>
  </r>
  <r>
    <x v="0"/>
    <x v="0"/>
    <x v="0"/>
    <x v="2"/>
    <x v="1"/>
    <x v="5"/>
    <x v="43"/>
    <n v="90"/>
  </r>
  <r>
    <x v="0"/>
    <x v="0"/>
    <x v="0"/>
    <x v="0"/>
    <x v="2"/>
    <x v="2"/>
    <x v="8"/>
    <n v="30"/>
  </r>
  <r>
    <x v="0"/>
    <x v="0"/>
    <x v="0"/>
    <x v="0"/>
    <x v="3"/>
    <x v="1"/>
    <x v="10"/>
    <n v="20"/>
  </r>
  <r>
    <x v="0"/>
    <x v="0"/>
    <x v="0"/>
    <x v="0"/>
    <x v="1"/>
    <x v="1"/>
    <x v="7"/>
    <n v="20"/>
  </r>
  <r>
    <x v="0"/>
    <x v="1"/>
    <x v="0"/>
    <x v="0"/>
    <x v="2"/>
    <x v="7"/>
    <x v="75"/>
    <n v="50"/>
  </r>
  <r>
    <x v="0"/>
    <x v="0"/>
    <x v="0"/>
    <x v="1"/>
    <x v="2"/>
    <x v="1"/>
    <x v="8"/>
    <n v="45"/>
  </r>
  <r>
    <x v="0"/>
    <x v="0"/>
    <x v="0"/>
    <x v="2"/>
    <x v="2"/>
    <x v="5"/>
    <x v="76"/>
    <n v="15"/>
  </r>
  <r>
    <x v="0"/>
    <x v="0"/>
    <x v="0"/>
    <x v="0"/>
    <x v="3"/>
    <x v="3"/>
    <x v="50"/>
    <n v="60"/>
  </r>
  <r>
    <x v="0"/>
    <x v="0"/>
    <x v="0"/>
    <x v="0"/>
    <x v="0"/>
    <x v="4"/>
    <x v="65"/>
    <n v="30"/>
  </r>
  <r>
    <x v="0"/>
    <x v="0"/>
    <x v="0"/>
    <x v="0"/>
    <x v="3"/>
    <x v="0"/>
    <x v="72"/>
    <n v="30"/>
  </r>
  <r>
    <x v="0"/>
    <x v="0"/>
    <x v="0"/>
    <x v="0"/>
    <x v="2"/>
    <x v="6"/>
    <x v="17"/>
    <n v="30"/>
  </r>
  <r>
    <x v="0"/>
    <x v="1"/>
    <x v="0"/>
    <x v="0"/>
    <x v="2"/>
    <x v="0"/>
    <x v="77"/>
    <n v="35"/>
  </r>
  <r>
    <x v="0"/>
    <x v="0"/>
    <x v="0"/>
    <x v="2"/>
    <x v="0"/>
    <x v="2"/>
    <x v="17"/>
    <n v="35"/>
  </r>
  <r>
    <x v="0"/>
    <x v="1"/>
    <x v="0"/>
    <x v="0"/>
    <x v="0"/>
    <x v="4"/>
    <x v="69"/>
    <n v="90"/>
  </r>
  <r>
    <x v="0"/>
    <x v="0"/>
    <x v="0"/>
    <x v="0"/>
    <x v="1"/>
    <x v="4"/>
    <x v="35"/>
    <n v="20"/>
  </r>
  <r>
    <x v="0"/>
    <x v="0"/>
    <x v="0"/>
    <x v="0"/>
    <x v="0"/>
    <x v="0"/>
    <x v="53"/>
    <n v="35"/>
  </r>
  <r>
    <x v="0"/>
    <x v="0"/>
    <x v="0"/>
    <x v="0"/>
    <x v="2"/>
    <x v="0"/>
    <x v="1"/>
    <n v="15"/>
  </r>
  <r>
    <x v="0"/>
    <x v="1"/>
    <x v="0"/>
    <x v="1"/>
    <x v="3"/>
    <x v="6"/>
    <x v="42"/>
    <n v="29"/>
  </r>
  <r>
    <x v="0"/>
    <x v="0"/>
    <x v="0"/>
    <x v="0"/>
    <x v="2"/>
    <x v="6"/>
    <x v="24"/>
    <n v="3"/>
  </r>
  <r>
    <x v="0"/>
    <x v="0"/>
    <x v="0"/>
    <x v="2"/>
    <x v="2"/>
    <x v="2"/>
    <x v="78"/>
    <n v="90"/>
  </r>
  <r>
    <x v="0"/>
    <x v="1"/>
    <x v="0"/>
    <x v="1"/>
    <x v="0"/>
    <x v="4"/>
    <x v="65"/>
    <n v="45"/>
  </r>
  <r>
    <x v="0"/>
    <x v="0"/>
    <x v="0"/>
    <x v="0"/>
    <x v="3"/>
    <x v="3"/>
    <x v="40"/>
    <n v="10"/>
  </r>
  <r>
    <x v="0"/>
    <x v="0"/>
    <x v="0"/>
    <x v="0"/>
    <x v="0"/>
    <x v="2"/>
    <x v="79"/>
    <n v="25"/>
  </r>
  <r>
    <x v="0"/>
    <x v="0"/>
    <x v="0"/>
    <x v="0"/>
    <x v="2"/>
    <x v="4"/>
    <x v="43"/>
    <n v="30"/>
  </r>
  <r>
    <x v="0"/>
    <x v="1"/>
    <x v="0"/>
    <x v="1"/>
    <x v="0"/>
    <x v="2"/>
    <x v="42"/>
    <n v="30"/>
  </r>
  <r>
    <x v="0"/>
    <x v="0"/>
    <x v="0"/>
    <x v="0"/>
    <x v="2"/>
    <x v="2"/>
    <x v="80"/>
    <n v="20"/>
  </r>
  <r>
    <x v="0"/>
    <x v="0"/>
    <x v="0"/>
    <x v="1"/>
    <x v="1"/>
    <x v="0"/>
    <x v="81"/>
    <n v="50"/>
  </r>
  <r>
    <x v="0"/>
    <x v="1"/>
    <x v="0"/>
    <x v="0"/>
    <x v="3"/>
    <x v="0"/>
    <x v="81"/>
    <n v="40"/>
  </r>
  <r>
    <x v="0"/>
    <x v="0"/>
    <x v="0"/>
    <x v="0"/>
    <x v="1"/>
    <x v="2"/>
    <x v="44"/>
    <n v="40"/>
  </r>
  <r>
    <x v="0"/>
    <x v="0"/>
    <x v="0"/>
    <x v="0"/>
    <x v="2"/>
    <x v="1"/>
    <x v="82"/>
    <n v="26"/>
  </r>
  <r>
    <x v="0"/>
    <x v="1"/>
    <x v="0"/>
    <x v="0"/>
    <x v="1"/>
    <x v="6"/>
    <x v="44"/>
    <n v="10"/>
  </r>
  <r>
    <x v="0"/>
    <x v="0"/>
    <x v="0"/>
    <x v="1"/>
    <x v="3"/>
    <x v="3"/>
    <x v="69"/>
    <n v="20"/>
  </r>
  <r>
    <x v="0"/>
    <x v="0"/>
    <x v="0"/>
    <x v="1"/>
    <x v="1"/>
    <x v="1"/>
    <x v="64"/>
    <n v="50"/>
  </r>
  <r>
    <x v="0"/>
    <x v="0"/>
    <x v="3"/>
    <x v="1"/>
    <x v="0"/>
    <x v="7"/>
    <x v="79"/>
    <n v="30"/>
  </r>
  <r>
    <x v="0"/>
    <x v="1"/>
    <x v="3"/>
    <x v="1"/>
    <x v="3"/>
    <x v="4"/>
    <x v="28"/>
    <n v="15"/>
  </r>
  <r>
    <x v="0"/>
    <x v="1"/>
    <x v="3"/>
    <x v="1"/>
    <x v="0"/>
    <x v="4"/>
    <x v="34"/>
    <n v="20"/>
  </r>
  <r>
    <x v="0"/>
    <x v="0"/>
    <x v="3"/>
    <x v="0"/>
    <x v="1"/>
    <x v="2"/>
    <x v="35"/>
    <n v="15"/>
  </r>
  <r>
    <x v="0"/>
    <x v="1"/>
    <x v="3"/>
    <x v="1"/>
    <x v="3"/>
    <x v="2"/>
    <x v="47"/>
    <n v="65"/>
  </r>
  <r>
    <x v="0"/>
    <x v="1"/>
    <x v="3"/>
    <x v="0"/>
    <x v="0"/>
    <x v="1"/>
    <x v="30"/>
    <n v="60"/>
  </r>
  <r>
    <x v="0"/>
    <x v="1"/>
    <x v="3"/>
    <x v="2"/>
    <x v="2"/>
    <x v="1"/>
    <x v="83"/>
    <n v="25"/>
  </r>
  <r>
    <x v="0"/>
    <x v="0"/>
    <x v="3"/>
    <x v="0"/>
    <x v="3"/>
    <x v="5"/>
    <x v="84"/>
    <n v="25"/>
  </r>
  <r>
    <x v="0"/>
    <x v="1"/>
    <x v="3"/>
    <x v="1"/>
    <x v="0"/>
    <x v="7"/>
    <x v="69"/>
    <n v="50"/>
  </r>
  <r>
    <x v="0"/>
    <x v="1"/>
    <x v="3"/>
    <x v="1"/>
    <x v="3"/>
    <x v="3"/>
    <x v="6"/>
    <n v="20"/>
  </r>
  <r>
    <x v="0"/>
    <x v="1"/>
    <x v="3"/>
    <x v="1"/>
    <x v="3"/>
    <x v="7"/>
    <x v="29"/>
    <n v="15"/>
  </r>
  <r>
    <x v="0"/>
    <x v="1"/>
    <x v="3"/>
    <x v="1"/>
    <x v="1"/>
    <x v="2"/>
    <x v="85"/>
    <n v="37.5"/>
  </r>
  <r>
    <x v="0"/>
    <x v="1"/>
    <x v="3"/>
    <x v="1"/>
    <x v="0"/>
    <x v="6"/>
    <x v="35"/>
    <n v="25"/>
  </r>
  <r>
    <x v="0"/>
    <x v="0"/>
    <x v="3"/>
    <x v="1"/>
    <x v="0"/>
    <x v="8"/>
    <x v="63"/>
    <n v="50"/>
  </r>
  <r>
    <x v="0"/>
    <x v="1"/>
    <x v="3"/>
    <x v="0"/>
    <x v="0"/>
    <x v="10"/>
    <x v="58"/>
    <n v="40"/>
  </r>
  <r>
    <x v="0"/>
    <x v="0"/>
    <x v="3"/>
    <x v="1"/>
    <x v="3"/>
    <x v="4"/>
    <x v="8"/>
    <n v="40"/>
  </r>
  <r>
    <x v="0"/>
    <x v="1"/>
    <x v="3"/>
    <x v="1"/>
    <x v="0"/>
    <x v="1"/>
    <x v="30"/>
    <n v="20"/>
  </r>
  <r>
    <x v="0"/>
    <x v="1"/>
    <x v="3"/>
    <x v="1"/>
    <x v="3"/>
    <x v="1"/>
    <x v="58"/>
    <n v="45"/>
  </r>
  <r>
    <x v="0"/>
    <x v="1"/>
    <x v="3"/>
    <x v="1"/>
    <x v="0"/>
    <x v="5"/>
    <x v="64"/>
    <n v="55"/>
  </r>
  <r>
    <x v="0"/>
    <x v="1"/>
    <x v="3"/>
    <x v="1"/>
    <x v="3"/>
    <x v="8"/>
    <x v="10"/>
    <n v="50"/>
  </r>
  <r>
    <x v="0"/>
    <x v="0"/>
    <x v="3"/>
    <x v="1"/>
    <x v="3"/>
    <x v="1"/>
    <x v="17"/>
    <n v="60"/>
  </r>
  <r>
    <x v="0"/>
    <x v="1"/>
    <x v="3"/>
    <x v="1"/>
    <x v="3"/>
    <x v="3"/>
    <x v="28"/>
    <n v="90"/>
  </r>
  <r>
    <x v="0"/>
    <x v="1"/>
    <x v="3"/>
    <x v="2"/>
    <x v="0"/>
    <x v="4"/>
    <x v="20"/>
    <n v="90"/>
  </r>
  <r>
    <x v="0"/>
    <x v="1"/>
    <x v="3"/>
    <x v="1"/>
    <x v="3"/>
    <x v="1"/>
    <x v="28"/>
    <n v="72"/>
  </r>
  <r>
    <x v="0"/>
    <x v="0"/>
    <x v="3"/>
    <x v="1"/>
    <x v="0"/>
    <x v="1"/>
    <x v="86"/>
    <n v="20"/>
  </r>
  <r>
    <x v="0"/>
    <x v="1"/>
    <x v="3"/>
    <x v="1"/>
    <x v="0"/>
    <x v="0"/>
    <x v="20"/>
    <n v="45"/>
  </r>
  <r>
    <x v="0"/>
    <x v="1"/>
    <x v="3"/>
    <x v="0"/>
    <x v="1"/>
    <x v="6"/>
    <x v="10"/>
    <n v="90"/>
  </r>
  <r>
    <x v="0"/>
    <x v="0"/>
    <x v="3"/>
    <x v="1"/>
    <x v="1"/>
    <x v="4"/>
    <x v="49"/>
    <n v="40"/>
  </r>
  <r>
    <x v="0"/>
    <x v="0"/>
    <x v="3"/>
    <x v="1"/>
    <x v="0"/>
    <x v="4"/>
    <x v="60"/>
    <n v="25"/>
  </r>
  <r>
    <x v="0"/>
    <x v="0"/>
    <x v="3"/>
    <x v="1"/>
    <x v="0"/>
    <x v="8"/>
    <x v="49"/>
    <n v="70"/>
  </r>
  <r>
    <x v="0"/>
    <x v="1"/>
    <x v="3"/>
    <x v="1"/>
    <x v="0"/>
    <x v="6"/>
    <x v="33"/>
    <n v="35"/>
  </r>
  <r>
    <x v="0"/>
    <x v="1"/>
    <x v="3"/>
    <x v="2"/>
    <x v="0"/>
    <x v="7"/>
    <x v="60"/>
    <n v="20"/>
  </r>
  <r>
    <x v="0"/>
    <x v="0"/>
    <x v="3"/>
    <x v="1"/>
    <x v="0"/>
    <x v="5"/>
    <x v="78"/>
    <n v="28"/>
  </r>
  <r>
    <x v="0"/>
    <x v="1"/>
    <x v="3"/>
    <x v="1"/>
    <x v="3"/>
    <x v="0"/>
    <x v="73"/>
    <n v="20"/>
  </r>
  <r>
    <x v="0"/>
    <x v="1"/>
    <x v="3"/>
    <x v="1"/>
    <x v="0"/>
    <x v="2"/>
    <x v="87"/>
    <n v="5"/>
  </r>
  <r>
    <x v="0"/>
    <x v="1"/>
    <x v="3"/>
    <x v="1"/>
    <x v="3"/>
    <x v="0"/>
    <x v="8"/>
    <n v="53"/>
  </r>
  <r>
    <x v="0"/>
    <x v="1"/>
    <x v="3"/>
    <x v="1"/>
    <x v="3"/>
    <x v="1"/>
    <x v="82"/>
    <n v="22"/>
  </r>
  <r>
    <x v="0"/>
    <x v="1"/>
    <x v="3"/>
    <x v="2"/>
    <x v="0"/>
    <x v="3"/>
    <x v="81"/>
    <n v="30"/>
  </r>
  <r>
    <x v="0"/>
    <x v="1"/>
    <x v="3"/>
    <x v="0"/>
    <x v="0"/>
    <x v="0"/>
    <x v="3"/>
    <n v="50"/>
  </r>
  <r>
    <x v="0"/>
    <x v="1"/>
    <x v="3"/>
    <x v="1"/>
    <x v="0"/>
    <x v="6"/>
    <x v="33"/>
    <n v="62"/>
  </r>
  <r>
    <x v="0"/>
    <x v="1"/>
    <x v="3"/>
    <x v="0"/>
    <x v="0"/>
    <x v="8"/>
    <x v="2"/>
    <n v="25"/>
  </r>
  <r>
    <x v="0"/>
    <x v="0"/>
    <x v="3"/>
    <x v="1"/>
    <x v="3"/>
    <x v="0"/>
    <x v="38"/>
    <n v="50"/>
  </r>
  <r>
    <x v="0"/>
    <x v="1"/>
    <x v="3"/>
    <x v="1"/>
    <x v="3"/>
    <x v="7"/>
    <x v="18"/>
    <n v="50"/>
  </r>
  <r>
    <x v="0"/>
    <x v="1"/>
    <x v="3"/>
    <x v="1"/>
    <x v="3"/>
    <x v="6"/>
    <x v="88"/>
    <n v="20"/>
  </r>
  <r>
    <x v="0"/>
    <x v="1"/>
    <x v="3"/>
    <x v="0"/>
    <x v="3"/>
    <x v="1"/>
    <x v="62"/>
    <n v="25"/>
  </r>
  <r>
    <x v="0"/>
    <x v="1"/>
    <x v="3"/>
    <x v="0"/>
    <x v="3"/>
    <x v="3"/>
    <x v="7"/>
    <n v="45"/>
  </r>
  <r>
    <x v="0"/>
    <x v="1"/>
    <x v="3"/>
    <x v="0"/>
    <x v="3"/>
    <x v="2"/>
    <x v="73"/>
    <n v="40"/>
  </r>
  <r>
    <x v="0"/>
    <x v="0"/>
    <x v="3"/>
    <x v="0"/>
    <x v="2"/>
    <x v="4"/>
    <x v="25"/>
    <n v="45"/>
  </r>
  <r>
    <x v="0"/>
    <x v="1"/>
    <x v="3"/>
    <x v="1"/>
    <x v="0"/>
    <x v="2"/>
    <x v="86"/>
    <n v="40"/>
  </r>
  <r>
    <x v="0"/>
    <x v="0"/>
    <x v="3"/>
    <x v="0"/>
    <x v="3"/>
    <x v="5"/>
    <x v="43"/>
    <n v="60"/>
  </r>
  <r>
    <x v="0"/>
    <x v="0"/>
    <x v="3"/>
    <x v="1"/>
    <x v="3"/>
    <x v="8"/>
    <x v="8"/>
    <n v="35"/>
  </r>
  <r>
    <x v="0"/>
    <x v="1"/>
    <x v="3"/>
    <x v="1"/>
    <x v="3"/>
    <x v="3"/>
    <x v="53"/>
    <n v="67"/>
  </r>
  <r>
    <x v="0"/>
    <x v="1"/>
    <x v="3"/>
    <x v="1"/>
    <x v="3"/>
    <x v="1"/>
    <x v="36"/>
    <n v="20"/>
  </r>
  <r>
    <x v="0"/>
    <x v="1"/>
    <x v="3"/>
    <x v="2"/>
    <x v="3"/>
    <x v="2"/>
    <x v="21"/>
    <n v="50"/>
  </r>
  <r>
    <x v="0"/>
    <x v="0"/>
    <x v="3"/>
    <x v="0"/>
    <x v="0"/>
    <x v="3"/>
    <x v="3"/>
    <n v="50"/>
  </r>
  <r>
    <x v="0"/>
    <x v="1"/>
    <x v="3"/>
    <x v="1"/>
    <x v="3"/>
    <x v="2"/>
    <x v="89"/>
    <n v="45"/>
  </r>
  <r>
    <x v="0"/>
    <x v="1"/>
    <x v="3"/>
    <x v="0"/>
    <x v="3"/>
    <x v="2"/>
    <x v="14"/>
    <n v="45"/>
  </r>
  <r>
    <x v="0"/>
    <x v="0"/>
    <x v="3"/>
    <x v="1"/>
    <x v="3"/>
    <x v="1"/>
    <x v="17"/>
    <n v="50"/>
  </r>
  <r>
    <x v="0"/>
    <x v="1"/>
    <x v="3"/>
    <x v="0"/>
    <x v="3"/>
    <x v="5"/>
    <x v="14"/>
    <n v="20"/>
  </r>
  <r>
    <x v="0"/>
    <x v="0"/>
    <x v="3"/>
    <x v="0"/>
    <x v="3"/>
    <x v="2"/>
    <x v="0"/>
    <n v="90"/>
  </r>
  <r>
    <x v="0"/>
    <x v="0"/>
    <x v="3"/>
    <x v="0"/>
    <x v="1"/>
    <x v="2"/>
    <x v="69"/>
    <n v="35"/>
  </r>
  <r>
    <x v="0"/>
    <x v="1"/>
    <x v="3"/>
    <x v="1"/>
    <x v="3"/>
    <x v="3"/>
    <x v="19"/>
    <n v="45"/>
  </r>
  <r>
    <x v="0"/>
    <x v="1"/>
    <x v="3"/>
    <x v="1"/>
    <x v="0"/>
    <x v="4"/>
    <x v="30"/>
    <n v="35"/>
  </r>
  <r>
    <x v="0"/>
    <x v="0"/>
    <x v="3"/>
    <x v="1"/>
    <x v="3"/>
    <x v="2"/>
    <x v="90"/>
    <n v="35"/>
  </r>
  <r>
    <x v="0"/>
    <x v="1"/>
    <x v="3"/>
    <x v="1"/>
    <x v="3"/>
    <x v="2"/>
    <x v="43"/>
    <n v="15"/>
  </r>
  <r>
    <x v="0"/>
    <x v="1"/>
    <x v="3"/>
    <x v="2"/>
    <x v="2"/>
    <x v="6"/>
    <x v="25"/>
    <n v="70"/>
  </r>
  <r>
    <x v="0"/>
    <x v="1"/>
    <x v="3"/>
    <x v="1"/>
    <x v="3"/>
    <x v="2"/>
    <x v="36"/>
    <n v="40"/>
  </r>
  <r>
    <x v="0"/>
    <x v="1"/>
    <x v="3"/>
    <x v="1"/>
    <x v="3"/>
    <x v="3"/>
    <x v="44"/>
    <n v="25"/>
  </r>
  <r>
    <x v="0"/>
    <x v="0"/>
    <x v="3"/>
    <x v="0"/>
    <x v="1"/>
    <x v="5"/>
    <x v="14"/>
    <n v="15"/>
  </r>
  <r>
    <x v="0"/>
    <x v="1"/>
    <x v="3"/>
    <x v="0"/>
    <x v="3"/>
    <x v="5"/>
    <x v="14"/>
    <n v="90"/>
  </r>
  <r>
    <x v="0"/>
    <x v="1"/>
    <x v="3"/>
    <x v="2"/>
    <x v="3"/>
    <x v="2"/>
    <x v="21"/>
    <n v="40"/>
  </r>
  <r>
    <x v="0"/>
    <x v="0"/>
    <x v="3"/>
    <x v="0"/>
    <x v="0"/>
    <x v="1"/>
    <x v="22"/>
    <n v="58"/>
  </r>
  <r>
    <x v="0"/>
    <x v="0"/>
    <x v="3"/>
    <x v="0"/>
    <x v="3"/>
    <x v="1"/>
    <x v="19"/>
    <n v="60"/>
  </r>
  <r>
    <x v="0"/>
    <x v="1"/>
    <x v="3"/>
    <x v="1"/>
    <x v="3"/>
    <x v="6"/>
    <x v="8"/>
    <n v="5"/>
  </r>
  <r>
    <x v="0"/>
    <x v="1"/>
    <x v="3"/>
    <x v="0"/>
    <x v="2"/>
    <x v="6"/>
    <x v="62"/>
    <n v="30"/>
  </r>
  <r>
    <x v="0"/>
    <x v="0"/>
    <x v="3"/>
    <x v="1"/>
    <x v="3"/>
    <x v="1"/>
    <x v="82"/>
    <n v="30"/>
  </r>
  <r>
    <x v="0"/>
    <x v="1"/>
    <x v="3"/>
    <x v="1"/>
    <x v="3"/>
    <x v="3"/>
    <x v="82"/>
    <n v="20"/>
  </r>
  <r>
    <x v="0"/>
    <x v="1"/>
    <x v="3"/>
    <x v="1"/>
    <x v="3"/>
    <x v="6"/>
    <x v="28"/>
    <n v="40"/>
  </r>
  <r>
    <x v="0"/>
    <x v="0"/>
    <x v="3"/>
    <x v="1"/>
    <x v="3"/>
    <x v="3"/>
    <x v="36"/>
    <n v="40"/>
  </r>
  <r>
    <x v="0"/>
    <x v="1"/>
    <x v="3"/>
    <x v="1"/>
    <x v="0"/>
    <x v="0"/>
    <x v="31"/>
    <n v="40"/>
  </r>
  <r>
    <x v="0"/>
    <x v="1"/>
    <x v="3"/>
    <x v="1"/>
    <x v="0"/>
    <x v="6"/>
    <x v="45"/>
    <n v="30"/>
  </r>
  <r>
    <x v="0"/>
    <x v="1"/>
    <x v="3"/>
    <x v="1"/>
    <x v="3"/>
    <x v="1"/>
    <x v="8"/>
    <n v="25"/>
  </r>
  <r>
    <x v="0"/>
    <x v="1"/>
    <x v="3"/>
    <x v="2"/>
    <x v="0"/>
    <x v="6"/>
    <x v="55"/>
    <n v="30"/>
  </r>
  <r>
    <x v="0"/>
    <x v="1"/>
    <x v="3"/>
    <x v="0"/>
    <x v="0"/>
    <x v="1"/>
    <x v="6"/>
    <n v="40"/>
  </r>
  <r>
    <x v="0"/>
    <x v="1"/>
    <x v="3"/>
    <x v="2"/>
    <x v="3"/>
    <x v="2"/>
    <x v="91"/>
    <n v="40"/>
  </r>
  <r>
    <x v="0"/>
    <x v="0"/>
    <x v="3"/>
    <x v="1"/>
    <x v="3"/>
    <x v="3"/>
    <x v="64"/>
    <n v="20"/>
  </r>
  <r>
    <x v="0"/>
    <x v="1"/>
    <x v="3"/>
    <x v="1"/>
    <x v="3"/>
    <x v="2"/>
    <x v="28"/>
    <n v="35"/>
  </r>
  <r>
    <x v="0"/>
    <x v="1"/>
    <x v="3"/>
    <x v="1"/>
    <x v="3"/>
    <x v="4"/>
    <x v="28"/>
    <n v="85"/>
  </r>
  <r>
    <x v="0"/>
    <x v="1"/>
    <x v="3"/>
    <x v="0"/>
    <x v="3"/>
    <x v="0"/>
    <x v="28"/>
    <n v="25"/>
  </r>
  <r>
    <x v="0"/>
    <x v="0"/>
    <x v="3"/>
    <x v="1"/>
    <x v="0"/>
    <x v="6"/>
    <x v="92"/>
    <n v="15"/>
  </r>
  <r>
    <x v="0"/>
    <x v="1"/>
    <x v="3"/>
    <x v="0"/>
    <x v="0"/>
    <x v="2"/>
    <x v="44"/>
    <n v="30"/>
  </r>
  <r>
    <x v="0"/>
    <x v="1"/>
    <x v="3"/>
    <x v="1"/>
    <x v="3"/>
    <x v="6"/>
    <x v="85"/>
    <n v="30"/>
  </r>
  <r>
    <x v="0"/>
    <x v="0"/>
    <x v="3"/>
    <x v="1"/>
    <x v="3"/>
    <x v="2"/>
    <x v="93"/>
    <n v="10"/>
  </r>
  <r>
    <x v="0"/>
    <x v="0"/>
    <x v="3"/>
    <x v="0"/>
    <x v="0"/>
    <x v="5"/>
    <x v="44"/>
    <n v="2"/>
  </r>
  <r>
    <x v="0"/>
    <x v="1"/>
    <x v="3"/>
    <x v="1"/>
    <x v="3"/>
    <x v="2"/>
    <x v="3"/>
    <n v="47.5"/>
  </r>
  <r>
    <x v="0"/>
    <x v="1"/>
    <x v="3"/>
    <x v="0"/>
    <x v="0"/>
    <x v="4"/>
    <x v="8"/>
    <n v="30"/>
  </r>
  <r>
    <x v="0"/>
    <x v="1"/>
    <x v="3"/>
    <x v="0"/>
    <x v="1"/>
    <x v="2"/>
    <x v="38"/>
    <n v="45"/>
  </r>
  <r>
    <x v="0"/>
    <x v="1"/>
    <x v="3"/>
    <x v="0"/>
    <x v="3"/>
    <x v="3"/>
    <x v="94"/>
    <n v="30"/>
  </r>
  <r>
    <x v="0"/>
    <x v="0"/>
    <x v="3"/>
    <x v="0"/>
    <x v="1"/>
    <x v="6"/>
    <x v="44"/>
    <n v="60"/>
  </r>
  <r>
    <x v="0"/>
    <x v="1"/>
    <x v="3"/>
    <x v="1"/>
    <x v="0"/>
    <x v="1"/>
    <x v="67"/>
    <n v="20"/>
  </r>
  <r>
    <x v="0"/>
    <x v="1"/>
    <x v="3"/>
    <x v="1"/>
    <x v="0"/>
    <x v="9"/>
    <x v="30"/>
    <n v="40"/>
  </r>
  <r>
    <x v="0"/>
    <x v="1"/>
    <x v="3"/>
    <x v="0"/>
    <x v="0"/>
    <x v="0"/>
    <x v="64"/>
    <n v="8"/>
  </r>
  <r>
    <x v="0"/>
    <x v="1"/>
    <x v="3"/>
    <x v="1"/>
    <x v="3"/>
    <x v="3"/>
    <x v="43"/>
    <n v="35"/>
  </r>
  <r>
    <x v="0"/>
    <x v="1"/>
    <x v="3"/>
    <x v="1"/>
    <x v="0"/>
    <x v="7"/>
    <x v="10"/>
    <n v="35"/>
  </r>
  <r>
    <x v="0"/>
    <x v="1"/>
    <x v="3"/>
    <x v="2"/>
    <x v="0"/>
    <x v="6"/>
    <x v="35"/>
    <n v="20"/>
  </r>
  <r>
    <x v="0"/>
    <x v="0"/>
    <x v="3"/>
    <x v="1"/>
    <x v="0"/>
    <x v="2"/>
    <x v="43"/>
    <n v="40"/>
  </r>
  <r>
    <x v="0"/>
    <x v="0"/>
    <x v="3"/>
    <x v="1"/>
    <x v="3"/>
    <x v="5"/>
    <x v="78"/>
    <n v="20"/>
  </r>
  <r>
    <x v="0"/>
    <x v="0"/>
    <x v="3"/>
    <x v="1"/>
    <x v="3"/>
    <x v="3"/>
    <x v="7"/>
    <n v="45"/>
  </r>
  <r>
    <x v="0"/>
    <x v="0"/>
    <x v="3"/>
    <x v="1"/>
    <x v="1"/>
    <x v="1"/>
    <x v="76"/>
    <n v="50"/>
  </r>
  <r>
    <x v="0"/>
    <x v="0"/>
    <x v="3"/>
    <x v="0"/>
    <x v="2"/>
    <x v="7"/>
    <x v="78"/>
    <n v="20"/>
  </r>
  <r>
    <x v="0"/>
    <x v="1"/>
    <x v="3"/>
    <x v="1"/>
    <x v="3"/>
    <x v="6"/>
    <x v="39"/>
    <n v="60"/>
  </r>
  <r>
    <x v="0"/>
    <x v="0"/>
    <x v="3"/>
    <x v="1"/>
    <x v="3"/>
    <x v="6"/>
    <x v="76"/>
    <n v="7"/>
  </r>
  <r>
    <x v="0"/>
    <x v="0"/>
    <x v="3"/>
    <x v="0"/>
    <x v="0"/>
    <x v="1"/>
    <x v="69"/>
    <n v="50"/>
  </r>
  <r>
    <x v="0"/>
    <x v="1"/>
    <x v="3"/>
    <x v="0"/>
    <x v="3"/>
    <x v="1"/>
    <x v="78"/>
    <n v="35"/>
  </r>
  <r>
    <x v="0"/>
    <x v="1"/>
    <x v="3"/>
    <x v="0"/>
    <x v="3"/>
    <x v="5"/>
    <x v="20"/>
    <n v="25"/>
  </r>
  <r>
    <x v="0"/>
    <x v="0"/>
    <x v="3"/>
    <x v="1"/>
    <x v="3"/>
    <x v="1"/>
    <x v="38"/>
    <n v="40"/>
  </r>
  <r>
    <x v="0"/>
    <x v="0"/>
    <x v="3"/>
    <x v="1"/>
    <x v="0"/>
    <x v="4"/>
    <x v="81"/>
    <n v="15"/>
  </r>
  <r>
    <x v="0"/>
    <x v="1"/>
    <x v="3"/>
    <x v="2"/>
    <x v="3"/>
    <x v="3"/>
    <x v="1"/>
    <n v="15"/>
  </r>
  <r>
    <x v="0"/>
    <x v="1"/>
    <x v="3"/>
    <x v="1"/>
    <x v="0"/>
    <x v="4"/>
    <x v="19"/>
    <n v="50"/>
  </r>
  <r>
    <x v="0"/>
    <x v="1"/>
    <x v="3"/>
    <x v="1"/>
    <x v="0"/>
    <x v="6"/>
    <x v="1"/>
    <n v="28"/>
  </r>
  <r>
    <x v="0"/>
    <x v="1"/>
    <x v="3"/>
    <x v="1"/>
    <x v="0"/>
    <x v="4"/>
    <x v="47"/>
    <n v="23"/>
  </r>
  <r>
    <x v="0"/>
    <x v="1"/>
    <x v="3"/>
    <x v="1"/>
    <x v="3"/>
    <x v="2"/>
    <x v="1"/>
    <n v="15"/>
  </r>
  <r>
    <x v="0"/>
    <x v="1"/>
    <x v="3"/>
    <x v="1"/>
    <x v="0"/>
    <x v="7"/>
    <x v="33"/>
    <n v="76"/>
  </r>
  <r>
    <x v="0"/>
    <x v="1"/>
    <x v="3"/>
    <x v="1"/>
    <x v="3"/>
    <x v="1"/>
    <x v="43"/>
    <n v="40"/>
  </r>
  <r>
    <x v="0"/>
    <x v="0"/>
    <x v="4"/>
    <x v="2"/>
    <x v="2"/>
    <x v="1"/>
    <x v="36"/>
    <n v="35"/>
  </r>
  <r>
    <x v="0"/>
    <x v="1"/>
    <x v="4"/>
    <x v="1"/>
    <x v="0"/>
    <x v="2"/>
    <x v="10"/>
    <n v="20"/>
  </r>
  <r>
    <x v="0"/>
    <x v="0"/>
    <x v="4"/>
    <x v="0"/>
    <x v="1"/>
    <x v="4"/>
    <x v="10"/>
    <n v="40"/>
  </r>
  <r>
    <x v="0"/>
    <x v="0"/>
    <x v="4"/>
    <x v="0"/>
    <x v="3"/>
    <x v="1"/>
    <x v="82"/>
    <n v="13"/>
  </r>
  <r>
    <x v="0"/>
    <x v="0"/>
    <x v="4"/>
    <x v="1"/>
    <x v="0"/>
    <x v="2"/>
    <x v="17"/>
    <n v="3"/>
  </r>
  <r>
    <x v="0"/>
    <x v="0"/>
    <x v="4"/>
    <x v="1"/>
    <x v="0"/>
    <x v="6"/>
    <x v="29"/>
    <n v="40"/>
  </r>
  <r>
    <x v="0"/>
    <x v="1"/>
    <x v="4"/>
    <x v="2"/>
    <x v="1"/>
    <x v="4"/>
    <x v="86"/>
    <n v="50"/>
  </r>
  <r>
    <x v="0"/>
    <x v="1"/>
    <x v="4"/>
    <x v="1"/>
    <x v="0"/>
    <x v="4"/>
    <x v="94"/>
    <n v="75"/>
  </r>
  <r>
    <x v="0"/>
    <x v="1"/>
    <x v="4"/>
    <x v="1"/>
    <x v="0"/>
    <x v="2"/>
    <x v="81"/>
    <n v="55"/>
  </r>
  <r>
    <x v="0"/>
    <x v="1"/>
    <x v="4"/>
    <x v="1"/>
    <x v="0"/>
    <x v="3"/>
    <x v="82"/>
    <n v="27"/>
  </r>
  <r>
    <x v="0"/>
    <x v="1"/>
    <x v="4"/>
    <x v="1"/>
    <x v="2"/>
    <x v="5"/>
    <x v="17"/>
    <n v="80"/>
  </r>
  <r>
    <x v="0"/>
    <x v="1"/>
    <x v="4"/>
    <x v="0"/>
    <x v="2"/>
    <x v="3"/>
    <x v="14"/>
    <n v="45"/>
  </r>
  <r>
    <x v="0"/>
    <x v="0"/>
    <x v="2"/>
    <x v="2"/>
    <x v="2"/>
    <x v="1"/>
    <x v="18"/>
    <n v="20"/>
  </r>
  <r>
    <x v="0"/>
    <x v="1"/>
    <x v="4"/>
    <x v="1"/>
    <x v="0"/>
    <x v="0"/>
    <x v="55"/>
    <n v="30"/>
  </r>
  <r>
    <x v="0"/>
    <x v="0"/>
    <x v="4"/>
    <x v="1"/>
    <x v="0"/>
    <x v="2"/>
    <x v="28"/>
    <n v="5"/>
  </r>
  <r>
    <x v="0"/>
    <x v="0"/>
    <x v="4"/>
    <x v="2"/>
    <x v="2"/>
    <x v="3"/>
    <x v="86"/>
    <n v="30"/>
  </r>
  <r>
    <x v="0"/>
    <x v="1"/>
    <x v="4"/>
    <x v="2"/>
    <x v="3"/>
    <x v="2"/>
    <x v="11"/>
    <n v="5"/>
  </r>
  <r>
    <x v="0"/>
    <x v="0"/>
    <x v="4"/>
    <x v="2"/>
    <x v="0"/>
    <x v="1"/>
    <x v="43"/>
    <n v="70"/>
  </r>
  <r>
    <x v="0"/>
    <x v="1"/>
    <x v="4"/>
    <x v="0"/>
    <x v="2"/>
    <x v="6"/>
    <x v="30"/>
    <n v="30"/>
  </r>
  <r>
    <x v="0"/>
    <x v="1"/>
    <x v="4"/>
    <x v="1"/>
    <x v="0"/>
    <x v="8"/>
    <x v="15"/>
    <n v="35"/>
  </r>
  <r>
    <x v="0"/>
    <x v="0"/>
    <x v="4"/>
    <x v="1"/>
    <x v="3"/>
    <x v="6"/>
    <x v="22"/>
    <n v="8"/>
  </r>
  <r>
    <x v="0"/>
    <x v="1"/>
    <x v="4"/>
    <x v="0"/>
    <x v="2"/>
    <x v="1"/>
    <x v="44"/>
    <n v="40"/>
  </r>
  <r>
    <x v="0"/>
    <x v="0"/>
    <x v="4"/>
    <x v="2"/>
    <x v="2"/>
    <x v="4"/>
    <x v="34"/>
    <n v="30"/>
  </r>
  <r>
    <x v="0"/>
    <x v="0"/>
    <x v="4"/>
    <x v="0"/>
    <x v="2"/>
    <x v="2"/>
    <x v="95"/>
    <n v="45"/>
  </r>
  <r>
    <x v="0"/>
    <x v="1"/>
    <x v="4"/>
    <x v="1"/>
    <x v="0"/>
    <x v="3"/>
    <x v="21"/>
    <n v="60"/>
  </r>
  <r>
    <x v="0"/>
    <x v="0"/>
    <x v="4"/>
    <x v="1"/>
    <x v="0"/>
    <x v="8"/>
    <x v="17"/>
    <n v="45"/>
  </r>
  <r>
    <x v="0"/>
    <x v="0"/>
    <x v="4"/>
    <x v="0"/>
    <x v="2"/>
    <x v="4"/>
    <x v="9"/>
    <n v="3"/>
  </r>
  <r>
    <x v="0"/>
    <x v="0"/>
    <x v="4"/>
    <x v="0"/>
    <x v="2"/>
    <x v="6"/>
    <x v="47"/>
    <n v="90"/>
  </r>
  <r>
    <x v="0"/>
    <x v="1"/>
    <x v="1"/>
    <x v="0"/>
    <x v="1"/>
    <x v="2"/>
    <x v="8"/>
    <n v="17.5"/>
  </r>
  <r>
    <x v="0"/>
    <x v="0"/>
    <x v="4"/>
    <x v="0"/>
    <x v="3"/>
    <x v="1"/>
    <x v="90"/>
    <n v="60"/>
  </r>
  <r>
    <x v="0"/>
    <x v="1"/>
    <x v="4"/>
    <x v="0"/>
    <x v="0"/>
    <x v="4"/>
    <x v="79"/>
    <n v="33"/>
  </r>
  <r>
    <x v="0"/>
    <x v="0"/>
    <x v="4"/>
    <x v="2"/>
    <x v="2"/>
    <x v="4"/>
    <x v="69"/>
    <n v="45"/>
  </r>
  <r>
    <x v="0"/>
    <x v="1"/>
    <x v="4"/>
    <x v="0"/>
    <x v="3"/>
    <x v="1"/>
    <x v="28"/>
    <n v="110"/>
  </r>
  <r>
    <x v="0"/>
    <x v="1"/>
    <x v="4"/>
    <x v="1"/>
    <x v="0"/>
    <x v="11"/>
    <x v="42"/>
    <n v="35"/>
  </r>
  <r>
    <x v="0"/>
    <x v="1"/>
    <x v="4"/>
    <x v="0"/>
    <x v="0"/>
    <x v="2"/>
    <x v="86"/>
    <n v="23"/>
  </r>
  <r>
    <x v="0"/>
    <x v="1"/>
    <x v="4"/>
    <x v="2"/>
    <x v="1"/>
    <x v="4"/>
    <x v="1"/>
    <n v="70"/>
  </r>
  <r>
    <x v="0"/>
    <x v="0"/>
    <x v="0"/>
    <x v="2"/>
    <x v="1"/>
    <x v="4"/>
    <x v="83"/>
    <n v="35"/>
  </r>
  <r>
    <x v="0"/>
    <x v="0"/>
    <x v="4"/>
    <x v="0"/>
    <x v="3"/>
    <x v="0"/>
    <x v="19"/>
    <n v="30"/>
  </r>
  <r>
    <x v="0"/>
    <x v="0"/>
    <x v="4"/>
    <x v="0"/>
    <x v="2"/>
    <x v="0"/>
    <x v="17"/>
    <n v="25"/>
  </r>
  <r>
    <x v="0"/>
    <x v="0"/>
    <x v="4"/>
    <x v="0"/>
    <x v="2"/>
    <x v="4"/>
    <x v="96"/>
    <n v="30"/>
  </r>
  <r>
    <x v="0"/>
    <x v="0"/>
    <x v="4"/>
    <x v="0"/>
    <x v="0"/>
    <x v="1"/>
    <x v="69"/>
    <n v="60"/>
  </r>
  <r>
    <x v="0"/>
    <x v="0"/>
    <x v="4"/>
    <x v="0"/>
    <x v="1"/>
    <x v="4"/>
    <x v="97"/>
    <n v="40"/>
  </r>
  <r>
    <x v="0"/>
    <x v="1"/>
    <x v="0"/>
    <x v="1"/>
    <x v="1"/>
    <x v="7"/>
    <x v="69"/>
    <n v="15"/>
  </r>
  <r>
    <x v="0"/>
    <x v="1"/>
    <x v="4"/>
    <x v="2"/>
    <x v="1"/>
    <x v="3"/>
    <x v="86"/>
    <n v="15"/>
  </r>
  <r>
    <x v="0"/>
    <x v="0"/>
    <x v="1"/>
    <x v="2"/>
    <x v="1"/>
    <x v="10"/>
    <x v="60"/>
    <n v="60"/>
  </r>
  <r>
    <x v="0"/>
    <x v="0"/>
    <x v="1"/>
    <x v="0"/>
    <x v="3"/>
    <x v="1"/>
    <x v="49"/>
    <n v="50"/>
  </r>
  <r>
    <x v="0"/>
    <x v="0"/>
    <x v="1"/>
    <x v="1"/>
    <x v="0"/>
    <x v="4"/>
    <x v="38"/>
    <n v="70"/>
  </r>
  <r>
    <x v="0"/>
    <x v="0"/>
    <x v="1"/>
    <x v="1"/>
    <x v="0"/>
    <x v="5"/>
    <x v="7"/>
    <n v="70"/>
  </r>
  <r>
    <x v="0"/>
    <x v="1"/>
    <x v="1"/>
    <x v="1"/>
    <x v="0"/>
    <x v="1"/>
    <x v="1"/>
    <n v="10"/>
  </r>
  <r>
    <x v="0"/>
    <x v="0"/>
    <x v="1"/>
    <x v="0"/>
    <x v="1"/>
    <x v="2"/>
    <x v="98"/>
    <n v="30"/>
  </r>
  <r>
    <x v="0"/>
    <x v="1"/>
    <x v="1"/>
    <x v="1"/>
    <x v="0"/>
    <x v="4"/>
    <x v="59"/>
    <n v="30"/>
  </r>
  <r>
    <x v="0"/>
    <x v="0"/>
    <x v="0"/>
    <x v="1"/>
    <x v="3"/>
    <x v="9"/>
    <x v="99"/>
    <n v="90"/>
  </r>
  <r>
    <x v="0"/>
    <x v="0"/>
    <x v="1"/>
    <x v="0"/>
    <x v="1"/>
    <x v="1"/>
    <x v="1"/>
    <n v="25"/>
  </r>
  <r>
    <x v="0"/>
    <x v="1"/>
    <x v="4"/>
    <x v="1"/>
    <x v="3"/>
    <x v="4"/>
    <x v="8"/>
    <n v="45"/>
  </r>
  <r>
    <x v="0"/>
    <x v="1"/>
    <x v="1"/>
    <x v="1"/>
    <x v="0"/>
    <x v="6"/>
    <x v="1"/>
    <n v="25"/>
  </r>
  <r>
    <x v="0"/>
    <x v="0"/>
    <x v="1"/>
    <x v="0"/>
    <x v="3"/>
    <x v="3"/>
    <x v="19"/>
    <n v="30"/>
  </r>
  <r>
    <x v="0"/>
    <x v="1"/>
    <x v="1"/>
    <x v="0"/>
    <x v="3"/>
    <x v="3"/>
    <x v="100"/>
    <n v="75"/>
  </r>
  <r>
    <x v="0"/>
    <x v="1"/>
    <x v="1"/>
    <x v="1"/>
    <x v="3"/>
    <x v="0"/>
    <x v="82"/>
    <n v="50"/>
  </r>
  <r>
    <x v="0"/>
    <x v="1"/>
    <x v="1"/>
    <x v="1"/>
    <x v="3"/>
    <x v="10"/>
    <x v="101"/>
    <n v="45"/>
  </r>
  <r>
    <x v="1"/>
    <x v="1"/>
    <x v="3"/>
    <x v="1"/>
    <x v="0"/>
    <x v="3"/>
    <x v="57"/>
    <n v="40"/>
  </r>
  <r>
    <x v="1"/>
    <x v="1"/>
    <x v="3"/>
    <x v="0"/>
    <x v="0"/>
    <x v="6"/>
    <x v="39"/>
    <n v="20"/>
  </r>
  <r>
    <x v="1"/>
    <x v="1"/>
    <x v="3"/>
    <x v="0"/>
    <x v="1"/>
    <x v="3"/>
    <x v="22"/>
    <n v="60"/>
  </r>
  <r>
    <x v="1"/>
    <x v="0"/>
    <x v="3"/>
    <x v="1"/>
    <x v="0"/>
    <x v="2"/>
    <x v="89"/>
    <n v="70"/>
  </r>
  <r>
    <x v="1"/>
    <x v="1"/>
    <x v="3"/>
    <x v="0"/>
    <x v="3"/>
    <x v="7"/>
    <x v="68"/>
    <n v="60"/>
  </r>
  <r>
    <x v="1"/>
    <x v="1"/>
    <x v="3"/>
    <x v="0"/>
    <x v="0"/>
    <x v="9"/>
    <x v="102"/>
    <n v="60"/>
  </r>
  <r>
    <x v="1"/>
    <x v="1"/>
    <x v="3"/>
    <x v="0"/>
    <x v="0"/>
    <x v="4"/>
    <x v="18"/>
    <n v="6"/>
  </r>
  <r>
    <x v="1"/>
    <x v="1"/>
    <x v="3"/>
    <x v="1"/>
    <x v="0"/>
    <x v="6"/>
    <x v="23"/>
    <n v="25"/>
  </r>
  <r>
    <x v="1"/>
    <x v="1"/>
    <x v="3"/>
    <x v="1"/>
    <x v="0"/>
    <x v="7"/>
    <x v="94"/>
    <n v="45"/>
  </r>
  <r>
    <x v="1"/>
    <x v="0"/>
    <x v="3"/>
    <x v="1"/>
    <x v="0"/>
    <x v="0"/>
    <x v="94"/>
    <n v="20"/>
  </r>
  <r>
    <x v="1"/>
    <x v="1"/>
    <x v="3"/>
    <x v="0"/>
    <x v="3"/>
    <x v="6"/>
    <x v="50"/>
    <n v="55"/>
  </r>
  <r>
    <x v="1"/>
    <x v="1"/>
    <x v="3"/>
    <x v="0"/>
    <x v="0"/>
    <x v="7"/>
    <x v="52"/>
    <n v="60"/>
  </r>
  <r>
    <x v="1"/>
    <x v="1"/>
    <x v="3"/>
    <x v="1"/>
    <x v="0"/>
    <x v="4"/>
    <x v="61"/>
    <n v="2"/>
  </r>
  <r>
    <x v="1"/>
    <x v="1"/>
    <x v="3"/>
    <x v="1"/>
    <x v="0"/>
    <x v="9"/>
    <x v="42"/>
    <n v="32"/>
  </r>
  <r>
    <x v="1"/>
    <x v="0"/>
    <x v="3"/>
    <x v="0"/>
    <x v="0"/>
    <x v="1"/>
    <x v="49"/>
    <n v="5"/>
  </r>
  <r>
    <x v="1"/>
    <x v="0"/>
    <x v="3"/>
    <x v="1"/>
    <x v="3"/>
    <x v="0"/>
    <x v="88"/>
    <n v="20"/>
  </r>
  <r>
    <x v="1"/>
    <x v="0"/>
    <x v="3"/>
    <x v="1"/>
    <x v="0"/>
    <x v="1"/>
    <x v="49"/>
    <n v="20"/>
  </r>
  <r>
    <x v="1"/>
    <x v="1"/>
    <x v="3"/>
    <x v="1"/>
    <x v="0"/>
    <x v="3"/>
    <x v="40"/>
    <n v="70"/>
  </r>
  <r>
    <x v="1"/>
    <x v="1"/>
    <x v="3"/>
    <x v="0"/>
    <x v="3"/>
    <x v="6"/>
    <x v="21"/>
    <n v="35"/>
  </r>
  <r>
    <x v="1"/>
    <x v="0"/>
    <x v="3"/>
    <x v="1"/>
    <x v="0"/>
    <x v="0"/>
    <x v="51"/>
    <n v="20"/>
  </r>
  <r>
    <x v="1"/>
    <x v="1"/>
    <x v="3"/>
    <x v="0"/>
    <x v="3"/>
    <x v="4"/>
    <x v="39"/>
    <n v="20"/>
  </r>
  <r>
    <x v="1"/>
    <x v="0"/>
    <x v="3"/>
    <x v="1"/>
    <x v="0"/>
    <x v="6"/>
    <x v="48"/>
    <n v="40"/>
  </r>
  <r>
    <x v="1"/>
    <x v="1"/>
    <x v="3"/>
    <x v="1"/>
    <x v="0"/>
    <x v="3"/>
    <x v="51"/>
    <n v="65"/>
  </r>
  <r>
    <x v="1"/>
    <x v="0"/>
    <x v="3"/>
    <x v="1"/>
    <x v="3"/>
    <x v="6"/>
    <x v="2"/>
    <n v="55"/>
  </r>
  <r>
    <x v="1"/>
    <x v="1"/>
    <x v="3"/>
    <x v="1"/>
    <x v="0"/>
    <x v="4"/>
    <x v="33"/>
    <n v="55"/>
  </r>
  <r>
    <x v="1"/>
    <x v="0"/>
    <x v="3"/>
    <x v="1"/>
    <x v="0"/>
    <x v="0"/>
    <x v="33"/>
    <n v="30"/>
  </r>
  <r>
    <x v="1"/>
    <x v="1"/>
    <x v="3"/>
    <x v="1"/>
    <x v="3"/>
    <x v="1"/>
    <x v="31"/>
    <n v="60"/>
  </r>
  <r>
    <x v="1"/>
    <x v="1"/>
    <x v="3"/>
    <x v="0"/>
    <x v="3"/>
    <x v="2"/>
    <x v="42"/>
    <n v="20"/>
  </r>
  <r>
    <x v="1"/>
    <x v="1"/>
    <x v="3"/>
    <x v="1"/>
    <x v="0"/>
    <x v="6"/>
    <x v="30"/>
    <n v="5"/>
  </r>
  <r>
    <x v="1"/>
    <x v="1"/>
    <x v="3"/>
    <x v="0"/>
    <x v="3"/>
    <x v="6"/>
    <x v="80"/>
    <n v="7"/>
  </r>
  <r>
    <x v="1"/>
    <x v="0"/>
    <x v="3"/>
    <x v="1"/>
    <x v="0"/>
    <x v="1"/>
    <x v="67"/>
    <n v="25"/>
  </r>
  <r>
    <x v="1"/>
    <x v="0"/>
    <x v="3"/>
    <x v="0"/>
    <x v="3"/>
    <x v="7"/>
    <x v="60"/>
    <n v="60"/>
  </r>
  <r>
    <x v="1"/>
    <x v="1"/>
    <x v="3"/>
    <x v="1"/>
    <x v="0"/>
    <x v="11"/>
    <x v="53"/>
    <n v="45"/>
  </r>
  <r>
    <x v="1"/>
    <x v="1"/>
    <x v="3"/>
    <x v="1"/>
    <x v="3"/>
    <x v="1"/>
    <x v="49"/>
    <n v="60"/>
  </r>
  <r>
    <x v="1"/>
    <x v="0"/>
    <x v="3"/>
    <x v="1"/>
    <x v="0"/>
    <x v="6"/>
    <x v="54"/>
    <n v="15"/>
  </r>
  <r>
    <x v="1"/>
    <x v="1"/>
    <x v="3"/>
    <x v="0"/>
    <x v="0"/>
    <x v="4"/>
    <x v="64"/>
    <n v="40"/>
  </r>
  <r>
    <x v="1"/>
    <x v="1"/>
    <x v="3"/>
    <x v="0"/>
    <x v="3"/>
    <x v="1"/>
    <x v="97"/>
    <n v="13"/>
  </r>
  <r>
    <x v="1"/>
    <x v="1"/>
    <x v="3"/>
    <x v="0"/>
    <x v="0"/>
    <x v="3"/>
    <x v="63"/>
    <n v="55"/>
  </r>
  <r>
    <x v="1"/>
    <x v="1"/>
    <x v="3"/>
    <x v="2"/>
    <x v="0"/>
    <x v="4"/>
    <x v="46"/>
    <n v="10"/>
  </r>
  <r>
    <x v="1"/>
    <x v="1"/>
    <x v="3"/>
    <x v="2"/>
    <x v="3"/>
    <x v="1"/>
    <x v="3"/>
    <n v="80"/>
  </r>
  <r>
    <x v="1"/>
    <x v="1"/>
    <x v="3"/>
    <x v="1"/>
    <x v="0"/>
    <x v="1"/>
    <x v="34"/>
    <n v="50"/>
  </r>
  <r>
    <x v="1"/>
    <x v="1"/>
    <x v="3"/>
    <x v="1"/>
    <x v="0"/>
    <x v="6"/>
    <x v="39"/>
    <n v="45"/>
  </r>
  <r>
    <x v="1"/>
    <x v="1"/>
    <x v="3"/>
    <x v="1"/>
    <x v="0"/>
    <x v="4"/>
    <x v="40"/>
    <n v="40"/>
  </r>
  <r>
    <x v="1"/>
    <x v="1"/>
    <x v="3"/>
    <x v="1"/>
    <x v="3"/>
    <x v="6"/>
    <x v="33"/>
    <n v="60"/>
  </r>
  <r>
    <x v="1"/>
    <x v="0"/>
    <x v="3"/>
    <x v="1"/>
    <x v="0"/>
    <x v="12"/>
    <x v="42"/>
    <n v="15"/>
  </r>
  <r>
    <x v="1"/>
    <x v="1"/>
    <x v="3"/>
    <x v="0"/>
    <x v="0"/>
    <x v="7"/>
    <x v="49"/>
    <n v="5"/>
  </r>
  <r>
    <x v="1"/>
    <x v="1"/>
    <x v="3"/>
    <x v="0"/>
    <x v="0"/>
    <x v="2"/>
    <x v="34"/>
    <n v="40"/>
  </r>
  <r>
    <x v="1"/>
    <x v="0"/>
    <x v="3"/>
    <x v="1"/>
    <x v="0"/>
    <x v="6"/>
    <x v="70"/>
    <n v="5"/>
  </r>
  <r>
    <x v="1"/>
    <x v="1"/>
    <x v="3"/>
    <x v="1"/>
    <x v="3"/>
    <x v="6"/>
    <x v="3"/>
    <n v="75"/>
  </r>
  <r>
    <x v="1"/>
    <x v="1"/>
    <x v="3"/>
    <x v="1"/>
    <x v="0"/>
    <x v="1"/>
    <x v="93"/>
    <n v="10"/>
  </r>
  <r>
    <x v="1"/>
    <x v="1"/>
    <x v="3"/>
    <x v="1"/>
    <x v="3"/>
    <x v="0"/>
    <x v="42"/>
    <n v="45"/>
  </r>
  <r>
    <x v="1"/>
    <x v="1"/>
    <x v="3"/>
    <x v="0"/>
    <x v="3"/>
    <x v="1"/>
    <x v="34"/>
    <n v="3"/>
  </r>
  <r>
    <x v="1"/>
    <x v="1"/>
    <x v="3"/>
    <x v="1"/>
    <x v="0"/>
    <x v="2"/>
    <x v="22"/>
    <n v="30"/>
  </r>
  <r>
    <x v="1"/>
    <x v="1"/>
    <x v="3"/>
    <x v="0"/>
    <x v="3"/>
    <x v="2"/>
    <x v="61"/>
    <n v="15"/>
  </r>
  <r>
    <x v="1"/>
    <x v="1"/>
    <x v="3"/>
    <x v="2"/>
    <x v="3"/>
    <x v="3"/>
    <x v="33"/>
    <n v="20"/>
  </r>
  <r>
    <x v="1"/>
    <x v="1"/>
    <x v="3"/>
    <x v="1"/>
    <x v="3"/>
    <x v="2"/>
    <x v="69"/>
    <n v="55"/>
  </r>
  <r>
    <x v="1"/>
    <x v="1"/>
    <x v="5"/>
    <x v="0"/>
    <x v="0"/>
    <x v="1"/>
    <x v="63"/>
    <n v="45"/>
  </r>
  <r>
    <x v="1"/>
    <x v="0"/>
    <x v="5"/>
    <x v="1"/>
    <x v="0"/>
    <x v="4"/>
    <x v="74"/>
    <n v="20"/>
  </r>
  <r>
    <x v="1"/>
    <x v="1"/>
    <x v="5"/>
    <x v="1"/>
    <x v="0"/>
    <x v="0"/>
    <x v="50"/>
    <n v="55"/>
  </r>
  <r>
    <x v="1"/>
    <x v="1"/>
    <x v="3"/>
    <x v="1"/>
    <x v="0"/>
    <x v="0"/>
    <x v="103"/>
    <n v="60"/>
  </r>
  <r>
    <x v="1"/>
    <x v="1"/>
    <x v="3"/>
    <x v="1"/>
    <x v="0"/>
    <x v="2"/>
    <x v="104"/>
    <n v="25"/>
  </r>
  <r>
    <x v="1"/>
    <x v="1"/>
    <x v="3"/>
    <x v="1"/>
    <x v="0"/>
    <x v="0"/>
    <x v="51"/>
    <n v="25"/>
  </r>
  <r>
    <x v="1"/>
    <x v="1"/>
    <x v="3"/>
    <x v="1"/>
    <x v="0"/>
    <x v="2"/>
    <x v="0"/>
    <n v="10"/>
  </r>
  <r>
    <x v="1"/>
    <x v="1"/>
    <x v="3"/>
    <x v="0"/>
    <x v="2"/>
    <x v="11"/>
    <x v="56"/>
    <n v="25"/>
  </r>
  <r>
    <x v="1"/>
    <x v="0"/>
    <x v="3"/>
    <x v="0"/>
    <x v="3"/>
    <x v="6"/>
    <x v="3"/>
    <n v="20"/>
  </r>
  <r>
    <x v="1"/>
    <x v="0"/>
    <x v="3"/>
    <x v="1"/>
    <x v="0"/>
    <x v="3"/>
    <x v="80"/>
    <n v="5"/>
  </r>
  <r>
    <x v="1"/>
    <x v="1"/>
    <x v="5"/>
    <x v="0"/>
    <x v="3"/>
    <x v="3"/>
    <x v="53"/>
    <n v="50"/>
  </r>
  <r>
    <x v="1"/>
    <x v="0"/>
    <x v="5"/>
    <x v="1"/>
    <x v="3"/>
    <x v="0"/>
    <x v="21"/>
    <n v="45"/>
  </r>
  <r>
    <x v="1"/>
    <x v="1"/>
    <x v="5"/>
    <x v="0"/>
    <x v="2"/>
    <x v="2"/>
    <x v="10"/>
    <n v="40"/>
  </r>
  <r>
    <x v="1"/>
    <x v="1"/>
    <x v="5"/>
    <x v="2"/>
    <x v="3"/>
    <x v="6"/>
    <x v="89"/>
    <n v="90"/>
  </r>
  <r>
    <x v="1"/>
    <x v="0"/>
    <x v="5"/>
    <x v="1"/>
    <x v="3"/>
    <x v="7"/>
    <x v="86"/>
    <n v="40"/>
  </r>
  <r>
    <x v="1"/>
    <x v="1"/>
    <x v="5"/>
    <x v="0"/>
    <x v="2"/>
    <x v="0"/>
    <x v="69"/>
    <n v="60"/>
  </r>
  <r>
    <x v="1"/>
    <x v="1"/>
    <x v="5"/>
    <x v="1"/>
    <x v="3"/>
    <x v="6"/>
    <x v="30"/>
    <n v="25"/>
  </r>
  <r>
    <x v="1"/>
    <x v="1"/>
    <x v="5"/>
    <x v="0"/>
    <x v="3"/>
    <x v="1"/>
    <x v="28"/>
    <n v="45"/>
  </r>
  <r>
    <x v="1"/>
    <x v="1"/>
    <x v="5"/>
    <x v="0"/>
    <x v="1"/>
    <x v="2"/>
    <x v="1"/>
    <n v="30"/>
  </r>
  <r>
    <x v="1"/>
    <x v="1"/>
    <x v="5"/>
    <x v="0"/>
    <x v="3"/>
    <x v="2"/>
    <x v="31"/>
    <n v="50"/>
  </r>
  <r>
    <x v="1"/>
    <x v="1"/>
    <x v="5"/>
    <x v="0"/>
    <x v="1"/>
    <x v="6"/>
    <x v="39"/>
    <n v="20"/>
  </r>
  <r>
    <x v="1"/>
    <x v="1"/>
    <x v="5"/>
    <x v="0"/>
    <x v="1"/>
    <x v="2"/>
    <x v="74"/>
    <n v="40"/>
  </r>
  <r>
    <x v="1"/>
    <x v="0"/>
    <x v="5"/>
    <x v="0"/>
    <x v="3"/>
    <x v="1"/>
    <x v="41"/>
    <n v="30"/>
  </r>
  <r>
    <x v="1"/>
    <x v="0"/>
    <x v="5"/>
    <x v="1"/>
    <x v="0"/>
    <x v="2"/>
    <x v="25"/>
    <n v="40"/>
  </r>
  <r>
    <x v="1"/>
    <x v="1"/>
    <x v="5"/>
    <x v="0"/>
    <x v="0"/>
    <x v="2"/>
    <x v="70"/>
    <n v="25"/>
  </r>
  <r>
    <x v="1"/>
    <x v="1"/>
    <x v="5"/>
    <x v="1"/>
    <x v="0"/>
    <x v="0"/>
    <x v="30"/>
    <n v="35"/>
  </r>
  <r>
    <x v="1"/>
    <x v="1"/>
    <x v="5"/>
    <x v="0"/>
    <x v="0"/>
    <x v="0"/>
    <x v="0"/>
    <n v="15"/>
  </r>
  <r>
    <x v="1"/>
    <x v="0"/>
    <x v="5"/>
    <x v="0"/>
    <x v="1"/>
    <x v="5"/>
    <x v="42"/>
    <n v="20"/>
  </r>
  <r>
    <x v="1"/>
    <x v="1"/>
    <x v="5"/>
    <x v="0"/>
    <x v="0"/>
    <x v="2"/>
    <x v="39"/>
    <n v="5"/>
  </r>
  <r>
    <x v="1"/>
    <x v="1"/>
    <x v="5"/>
    <x v="0"/>
    <x v="3"/>
    <x v="4"/>
    <x v="48"/>
    <n v="45"/>
  </r>
  <r>
    <x v="1"/>
    <x v="1"/>
    <x v="5"/>
    <x v="0"/>
    <x v="0"/>
    <x v="2"/>
    <x v="50"/>
    <n v="50"/>
  </r>
  <r>
    <x v="1"/>
    <x v="0"/>
    <x v="5"/>
    <x v="0"/>
    <x v="0"/>
    <x v="0"/>
    <x v="39"/>
    <n v="50"/>
  </r>
  <r>
    <x v="1"/>
    <x v="0"/>
    <x v="5"/>
    <x v="0"/>
    <x v="0"/>
    <x v="3"/>
    <x v="0"/>
    <n v="40"/>
  </r>
  <r>
    <x v="1"/>
    <x v="1"/>
    <x v="5"/>
    <x v="0"/>
    <x v="1"/>
    <x v="6"/>
    <x v="31"/>
    <n v="25"/>
  </r>
  <r>
    <x v="1"/>
    <x v="1"/>
    <x v="5"/>
    <x v="1"/>
    <x v="0"/>
    <x v="7"/>
    <x v="53"/>
    <n v="60"/>
  </r>
  <r>
    <x v="1"/>
    <x v="0"/>
    <x v="5"/>
    <x v="0"/>
    <x v="3"/>
    <x v="6"/>
    <x v="49"/>
    <n v="30"/>
  </r>
  <r>
    <x v="1"/>
    <x v="0"/>
    <x v="5"/>
    <x v="1"/>
    <x v="0"/>
    <x v="2"/>
    <x v="40"/>
    <n v="40"/>
  </r>
  <r>
    <x v="1"/>
    <x v="1"/>
    <x v="5"/>
    <x v="0"/>
    <x v="0"/>
    <x v="0"/>
    <x v="0"/>
    <n v="35"/>
  </r>
  <r>
    <x v="1"/>
    <x v="0"/>
    <x v="5"/>
    <x v="1"/>
    <x v="0"/>
    <x v="6"/>
    <x v="67"/>
    <n v="60"/>
  </r>
  <r>
    <x v="1"/>
    <x v="1"/>
    <x v="5"/>
    <x v="0"/>
    <x v="3"/>
    <x v="6"/>
    <x v="83"/>
    <n v="50"/>
  </r>
  <r>
    <x v="1"/>
    <x v="0"/>
    <x v="5"/>
    <x v="0"/>
    <x v="3"/>
    <x v="2"/>
    <x v="22"/>
    <n v="95"/>
  </r>
  <r>
    <x v="1"/>
    <x v="1"/>
    <x v="5"/>
    <x v="1"/>
    <x v="3"/>
    <x v="1"/>
    <x v="0"/>
    <n v="25"/>
  </r>
  <r>
    <x v="1"/>
    <x v="0"/>
    <x v="5"/>
    <x v="0"/>
    <x v="0"/>
    <x v="2"/>
    <x v="3"/>
    <n v="30"/>
  </r>
  <r>
    <x v="1"/>
    <x v="1"/>
    <x v="5"/>
    <x v="0"/>
    <x v="3"/>
    <x v="3"/>
    <x v="5"/>
    <n v="40"/>
  </r>
  <r>
    <x v="1"/>
    <x v="1"/>
    <x v="5"/>
    <x v="0"/>
    <x v="3"/>
    <x v="3"/>
    <x v="40"/>
    <n v="45"/>
  </r>
  <r>
    <x v="1"/>
    <x v="1"/>
    <x v="5"/>
    <x v="1"/>
    <x v="0"/>
    <x v="7"/>
    <x v="41"/>
    <n v="35"/>
  </r>
  <r>
    <x v="1"/>
    <x v="1"/>
    <x v="5"/>
    <x v="1"/>
    <x v="1"/>
    <x v="0"/>
    <x v="53"/>
    <n v="25"/>
  </r>
  <r>
    <x v="1"/>
    <x v="1"/>
    <x v="3"/>
    <x v="0"/>
    <x v="3"/>
    <x v="7"/>
    <x v="41"/>
    <n v="40"/>
  </r>
  <r>
    <x v="1"/>
    <x v="1"/>
    <x v="5"/>
    <x v="0"/>
    <x v="0"/>
    <x v="2"/>
    <x v="53"/>
    <n v="45"/>
  </r>
  <r>
    <x v="1"/>
    <x v="1"/>
    <x v="5"/>
    <x v="2"/>
    <x v="1"/>
    <x v="6"/>
    <x v="42"/>
    <n v="20"/>
  </r>
  <r>
    <x v="1"/>
    <x v="1"/>
    <x v="5"/>
    <x v="0"/>
    <x v="3"/>
    <x v="2"/>
    <x v="79"/>
    <n v="50"/>
  </r>
  <r>
    <x v="1"/>
    <x v="0"/>
    <x v="5"/>
    <x v="0"/>
    <x v="0"/>
    <x v="2"/>
    <x v="30"/>
    <n v="20"/>
  </r>
  <r>
    <x v="1"/>
    <x v="1"/>
    <x v="5"/>
    <x v="1"/>
    <x v="3"/>
    <x v="2"/>
    <x v="0"/>
    <n v="30"/>
  </r>
  <r>
    <x v="1"/>
    <x v="1"/>
    <x v="5"/>
    <x v="1"/>
    <x v="0"/>
    <x v="6"/>
    <x v="3"/>
    <n v="50"/>
  </r>
  <r>
    <x v="1"/>
    <x v="0"/>
    <x v="5"/>
    <x v="0"/>
    <x v="1"/>
    <x v="7"/>
    <x v="41"/>
    <n v="30"/>
  </r>
  <r>
    <x v="1"/>
    <x v="0"/>
    <x v="5"/>
    <x v="0"/>
    <x v="3"/>
    <x v="6"/>
    <x v="102"/>
    <n v="45"/>
  </r>
  <r>
    <x v="1"/>
    <x v="1"/>
    <x v="5"/>
    <x v="0"/>
    <x v="0"/>
    <x v="1"/>
    <x v="65"/>
    <n v="30"/>
  </r>
  <r>
    <x v="1"/>
    <x v="1"/>
    <x v="5"/>
    <x v="1"/>
    <x v="0"/>
    <x v="0"/>
    <x v="41"/>
    <n v="25"/>
  </r>
  <r>
    <x v="1"/>
    <x v="1"/>
    <x v="5"/>
    <x v="0"/>
    <x v="0"/>
    <x v="1"/>
    <x v="49"/>
    <n v="50"/>
  </r>
  <r>
    <x v="1"/>
    <x v="1"/>
    <x v="5"/>
    <x v="0"/>
    <x v="0"/>
    <x v="6"/>
    <x v="53"/>
    <n v="40"/>
  </r>
  <r>
    <x v="1"/>
    <x v="0"/>
    <x v="5"/>
    <x v="0"/>
    <x v="0"/>
    <x v="2"/>
    <x v="40"/>
    <n v="50"/>
  </r>
  <r>
    <x v="1"/>
    <x v="0"/>
    <x v="5"/>
    <x v="0"/>
    <x v="3"/>
    <x v="0"/>
    <x v="61"/>
    <n v="45"/>
  </r>
  <r>
    <x v="1"/>
    <x v="1"/>
    <x v="5"/>
    <x v="0"/>
    <x v="0"/>
    <x v="2"/>
    <x v="3"/>
    <n v="45"/>
  </r>
  <r>
    <x v="1"/>
    <x v="1"/>
    <x v="5"/>
    <x v="1"/>
    <x v="0"/>
    <x v="1"/>
    <x v="54"/>
    <n v="55"/>
  </r>
  <r>
    <x v="1"/>
    <x v="1"/>
    <x v="5"/>
    <x v="1"/>
    <x v="0"/>
    <x v="4"/>
    <x v="81"/>
    <n v="17"/>
  </r>
  <r>
    <x v="1"/>
    <x v="1"/>
    <x v="5"/>
    <x v="1"/>
    <x v="3"/>
    <x v="4"/>
    <x v="3"/>
    <n v="10"/>
  </r>
  <r>
    <x v="1"/>
    <x v="1"/>
    <x v="3"/>
    <x v="1"/>
    <x v="3"/>
    <x v="1"/>
    <x v="31"/>
    <n v="10"/>
  </r>
  <r>
    <x v="1"/>
    <x v="0"/>
    <x v="3"/>
    <x v="1"/>
    <x v="0"/>
    <x v="2"/>
    <x v="67"/>
    <n v="50"/>
  </r>
  <r>
    <x v="1"/>
    <x v="1"/>
    <x v="5"/>
    <x v="1"/>
    <x v="0"/>
    <x v="1"/>
    <x v="51"/>
    <n v="40"/>
  </r>
  <r>
    <x v="1"/>
    <x v="0"/>
    <x v="5"/>
    <x v="0"/>
    <x v="0"/>
    <x v="1"/>
    <x v="40"/>
    <n v="25"/>
  </r>
  <r>
    <x v="1"/>
    <x v="1"/>
    <x v="3"/>
    <x v="1"/>
    <x v="0"/>
    <x v="1"/>
    <x v="46"/>
    <n v="5"/>
  </r>
  <r>
    <x v="1"/>
    <x v="0"/>
    <x v="5"/>
    <x v="0"/>
    <x v="0"/>
    <x v="1"/>
    <x v="51"/>
    <n v="25"/>
  </r>
  <r>
    <x v="1"/>
    <x v="1"/>
    <x v="5"/>
    <x v="1"/>
    <x v="0"/>
    <x v="1"/>
    <x v="30"/>
    <n v="45"/>
  </r>
  <r>
    <x v="1"/>
    <x v="0"/>
    <x v="5"/>
    <x v="1"/>
    <x v="0"/>
    <x v="7"/>
    <x v="41"/>
    <n v="45"/>
  </r>
  <r>
    <x v="1"/>
    <x v="0"/>
    <x v="5"/>
    <x v="0"/>
    <x v="0"/>
    <x v="6"/>
    <x v="2"/>
    <n v="25"/>
  </r>
  <r>
    <x v="1"/>
    <x v="0"/>
    <x v="5"/>
    <x v="0"/>
    <x v="0"/>
    <x v="1"/>
    <x v="54"/>
    <n v="70"/>
  </r>
  <r>
    <x v="1"/>
    <x v="0"/>
    <x v="5"/>
    <x v="0"/>
    <x v="1"/>
    <x v="1"/>
    <x v="39"/>
    <n v="20"/>
  </r>
  <r>
    <x v="1"/>
    <x v="0"/>
    <x v="3"/>
    <x v="1"/>
    <x v="0"/>
    <x v="2"/>
    <x v="59"/>
    <n v="30"/>
  </r>
  <r>
    <x v="1"/>
    <x v="1"/>
    <x v="5"/>
    <x v="0"/>
    <x v="3"/>
    <x v="7"/>
    <x v="64"/>
    <n v="60"/>
  </r>
  <r>
    <x v="1"/>
    <x v="1"/>
    <x v="5"/>
    <x v="0"/>
    <x v="0"/>
    <x v="0"/>
    <x v="39"/>
    <n v="25"/>
  </r>
  <r>
    <x v="1"/>
    <x v="1"/>
    <x v="5"/>
    <x v="0"/>
    <x v="3"/>
    <x v="1"/>
    <x v="54"/>
    <n v="45"/>
  </r>
  <r>
    <x v="1"/>
    <x v="1"/>
    <x v="3"/>
    <x v="0"/>
    <x v="0"/>
    <x v="2"/>
    <x v="105"/>
    <n v="75"/>
  </r>
  <r>
    <x v="1"/>
    <x v="0"/>
    <x v="5"/>
    <x v="1"/>
    <x v="3"/>
    <x v="6"/>
    <x v="3"/>
    <n v="5"/>
  </r>
  <r>
    <x v="1"/>
    <x v="0"/>
    <x v="5"/>
    <x v="0"/>
    <x v="3"/>
    <x v="7"/>
    <x v="33"/>
    <n v="30"/>
  </r>
  <r>
    <x v="1"/>
    <x v="1"/>
    <x v="5"/>
    <x v="1"/>
    <x v="0"/>
    <x v="0"/>
    <x v="6"/>
    <n v="40"/>
  </r>
  <r>
    <x v="1"/>
    <x v="0"/>
    <x v="5"/>
    <x v="0"/>
    <x v="3"/>
    <x v="2"/>
    <x v="49"/>
    <n v="15"/>
  </r>
  <r>
    <x v="1"/>
    <x v="0"/>
    <x v="5"/>
    <x v="1"/>
    <x v="0"/>
    <x v="3"/>
    <x v="30"/>
    <n v="30"/>
  </r>
  <r>
    <x v="1"/>
    <x v="1"/>
    <x v="5"/>
    <x v="0"/>
    <x v="0"/>
    <x v="2"/>
    <x v="50"/>
    <n v="20"/>
  </r>
  <r>
    <x v="1"/>
    <x v="1"/>
    <x v="5"/>
    <x v="0"/>
    <x v="0"/>
    <x v="1"/>
    <x v="39"/>
    <n v="40"/>
  </r>
  <r>
    <x v="1"/>
    <x v="1"/>
    <x v="5"/>
    <x v="0"/>
    <x v="0"/>
    <x v="11"/>
    <x v="50"/>
    <n v="70"/>
  </r>
  <r>
    <x v="1"/>
    <x v="0"/>
    <x v="3"/>
    <x v="1"/>
    <x v="0"/>
    <x v="2"/>
    <x v="52"/>
    <n v="45"/>
  </r>
  <r>
    <x v="1"/>
    <x v="0"/>
    <x v="5"/>
    <x v="1"/>
    <x v="0"/>
    <x v="3"/>
    <x v="74"/>
    <n v="20"/>
  </r>
  <r>
    <x v="1"/>
    <x v="1"/>
    <x v="5"/>
    <x v="2"/>
    <x v="1"/>
    <x v="7"/>
    <x v="87"/>
    <n v="40"/>
  </r>
  <r>
    <x v="1"/>
    <x v="1"/>
    <x v="5"/>
    <x v="0"/>
    <x v="0"/>
    <x v="0"/>
    <x v="62"/>
    <n v="35"/>
  </r>
  <r>
    <x v="1"/>
    <x v="0"/>
    <x v="5"/>
    <x v="0"/>
    <x v="3"/>
    <x v="4"/>
    <x v="57"/>
    <n v="12"/>
  </r>
  <r>
    <x v="1"/>
    <x v="0"/>
    <x v="5"/>
    <x v="1"/>
    <x v="3"/>
    <x v="3"/>
    <x v="69"/>
    <n v="20"/>
  </r>
  <r>
    <x v="1"/>
    <x v="1"/>
    <x v="5"/>
    <x v="1"/>
    <x v="0"/>
    <x v="4"/>
    <x v="39"/>
    <n v="40"/>
  </r>
  <r>
    <x v="1"/>
    <x v="1"/>
    <x v="5"/>
    <x v="0"/>
    <x v="3"/>
    <x v="6"/>
    <x v="79"/>
    <n v="50"/>
  </r>
  <r>
    <x v="1"/>
    <x v="1"/>
    <x v="5"/>
    <x v="0"/>
    <x v="3"/>
    <x v="1"/>
    <x v="61"/>
    <n v="55"/>
  </r>
  <r>
    <x v="1"/>
    <x v="1"/>
    <x v="5"/>
    <x v="1"/>
    <x v="0"/>
    <x v="0"/>
    <x v="44"/>
    <n v="45"/>
  </r>
  <r>
    <x v="1"/>
    <x v="1"/>
    <x v="5"/>
    <x v="1"/>
    <x v="0"/>
    <x v="8"/>
    <x v="45"/>
    <n v="45"/>
  </r>
  <r>
    <x v="1"/>
    <x v="1"/>
    <x v="5"/>
    <x v="0"/>
    <x v="0"/>
    <x v="2"/>
    <x v="50"/>
    <n v="50"/>
  </r>
  <r>
    <x v="1"/>
    <x v="1"/>
    <x v="5"/>
    <x v="1"/>
    <x v="3"/>
    <x v="6"/>
    <x v="30"/>
    <n v="23"/>
  </r>
  <r>
    <x v="1"/>
    <x v="0"/>
    <x v="5"/>
    <x v="0"/>
    <x v="0"/>
    <x v="6"/>
    <x v="49"/>
    <n v="40"/>
  </r>
  <r>
    <x v="1"/>
    <x v="0"/>
    <x v="5"/>
    <x v="0"/>
    <x v="3"/>
    <x v="1"/>
    <x v="61"/>
    <n v="30"/>
  </r>
  <r>
    <x v="1"/>
    <x v="1"/>
    <x v="5"/>
    <x v="0"/>
    <x v="0"/>
    <x v="9"/>
    <x v="7"/>
    <n v="80"/>
  </r>
  <r>
    <x v="1"/>
    <x v="1"/>
    <x v="5"/>
    <x v="0"/>
    <x v="2"/>
    <x v="6"/>
    <x v="0"/>
    <n v="25"/>
  </r>
  <r>
    <x v="1"/>
    <x v="1"/>
    <x v="5"/>
    <x v="1"/>
    <x v="1"/>
    <x v="2"/>
    <x v="6"/>
    <n v="20"/>
  </r>
  <r>
    <x v="1"/>
    <x v="1"/>
    <x v="5"/>
    <x v="1"/>
    <x v="0"/>
    <x v="1"/>
    <x v="3"/>
    <n v="45"/>
  </r>
  <r>
    <x v="1"/>
    <x v="0"/>
    <x v="3"/>
    <x v="1"/>
    <x v="0"/>
    <x v="6"/>
    <x v="79"/>
    <n v="15"/>
  </r>
  <r>
    <x v="1"/>
    <x v="0"/>
    <x v="3"/>
    <x v="0"/>
    <x v="3"/>
    <x v="6"/>
    <x v="18"/>
    <n v="25"/>
  </r>
  <r>
    <x v="1"/>
    <x v="1"/>
    <x v="3"/>
    <x v="1"/>
    <x v="3"/>
    <x v="7"/>
    <x v="89"/>
    <n v="40"/>
  </r>
  <r>
    <x v="1"/>
    <x v="0"/>
    <x v="3"/>
    <x v="0"/>
    <x v="0"/>
    <x v="4"/>
    <x v="106"/>
    <n v="40"/>
  </r>
  <r>
    <x v="1"/>
    <x v="1"/>
    <x v="3"/>
    <x v="1"/>
    <x v="3"/>
    <x v="2"/>
    <x v="31"/>
    <n v="35"/>
  </r>
  <r>
    <x v="1"/>
    <x v="1"/>
    <x v="3"/>
    <x v="1"/>
    <x v="0"/>
    <x v="2"/>
    <x v="23"/>
    <n v="35"/>
  </r>
  <r>
    <x v="1"/>
    <x v="0"/>
    <x v="5"/>
    <x v="0"/>
    <x v="3"/>
    <x v="1"/>
    <x v="52"/>
    <n v="15"/>
  </r>
  <r>
    <x v="1"/>
    <x v="1"/>
    <x v="5"/>
    <x v="0"/>
    <x v="3"/>
    <x v="4"/>
    <x v="49"/>
    <n v="10"/>
  </r>
  <r>
    <x v="1"/>
    <x v="1"/>
    <x v="5"/>
    <x v="0"/>
    <x v="3"/>
    <x v="7"/>
    <x v="22"/>
    <n v="20"/>
  </r>
  <r>
    <x v="2"/>
    <x v="1"/>
    <x v="3"/>
    <x v="2"/>
    <x v="0"/>
    <x v="5"/>
    <x v="31"/>
    <n v="3"/>
  </r>
  <r>
    <x v="2"/>
    <x v="0"/>
    <x v="3"/>
    <x v="1"/>
    <x v="0"/>
    <x v="6"/>
    <x v="23"/>
    <n v="50"/>
  </r>
  <r>
    <x v="2"/>
    <x v="1"/>
    <x v="3"/>
    <x v="1"/>
    <x v="0"/>
    <x v="6"/>
    <x v="23"/>
    <n v="10"/>
  </r>
  <r>
    <x v="2"/>
    <x v="0"/>
    <x v="3"/>
    <x v="0"/>
    <x v="0"/>
    <x v="1"/>
    <x v="63"/>
    <n v="80"/>
  </r>
  <r>
    <x v="2"/>
    <x v="1"/>
    <x v="3"/>
    <x v="0"/>
    <x v="0"/>
    <x v="3"/>
    <x v="107"/>
    <n v="45"/>
  </r>
  <r>
    <x v="2"/>
    <x v="0"/>
    <x v="3"/>
    <x v="0"/>
    <x v="0"/>
    <x v="4"/>
    <x v="10"/>
    <n v="3"/>
  </r>
  <r>
    <x v="2"/>
    <x v="1"/>
    <x v="3"/>
    <x v="1"/>
    <x v="0"/>
    <x v="1"/>
    <x v="67"/>
    <n v="5"/>
  </r>
  <r>
    <x v="2"/>
    <x v="0"/>
    <x v="3"/>
    <x v="0"/>
    <x v="0"/>
    <x v="2"/>
    <x v="81"/>
    <n v="25"/>
  </r>
  <r>
    <x v="2"/>
    <x v="1"/>
    <x v="3"/>
    <x v="1"/>
    <x v="0"/>
    <x v="1"/>
    <x v="81"/>
    <n v="30"/>
  </r>
  <r>
    <x v="2"/>
    <x v="1"/>
    <x v="3"/>
    <x v="0"/>
    <x v="1"/>
    <x v="7"/>
    <x v="25"/>
    <n v="30"/>
  </r>
  <r>
    <x v="2"/>
    <x v="1"/>
    <x v="3"/>
    <x v="1"/>
    <x v="3"/>
    <x v="0"/>
    <x v="59"/>
    <n v="20"/>
  </r>
  <r>
    <x v="2"/>
    <x v="0"/>
    <x v="3"/>
    <x v="0"/>
    <x v="3"/>
    <x v="6"/>
    <x v="41"/>
    <n v="40"/>
  </r>
  <r>
    <x v="2"/>
    <x v="1"/>
    <x v="3"/>
    <x v="0"/>
    <x v="1"/>
    <x v="0"/>
    <x v="46"/>
    <n v="70"/>
  </r>
  <r>
    <x v="2"/>
    <x v="1"/>
    <x v="3"/>
    <x v="1"/>
    <x v="0"/>
    <x v="0"/>
    <x v="92"/>
    <n v="5"/>
  </r>
  <r>
    <x v="2"/>
    <x v="0"/>
    <x v="3"/>
    <x v="2"/>
    <x v="0"/>
    <x v="2"/>
    <x v="105"/>
    <n v="7"/>
  </r>
  <r>
    <x v="2"/>
    <x v="1"/>
    <x v="3"/>
    <x v="1"/>
    <x v="0"/>
    <x v="4"/>
    <x v="59"/>
    <n v="35"/>
  </r>
  <r>
    <x v="2"/>
    <x v="0"/>
    <x v="3"/>
    <x v="0"/>
    <x v="3"/>
    <x v="6"/>
    <x v="80"/>
    <n v="35"/>
  </r>
  <r>
    <x v="2"/>
    <x v="1"/>
    <x v="3"/>
    <x v="1"/>
    <x v="0"/>
    <x v="3"/>
    <x v="23"/>
    <n v="30"/>
  </r>
  <r>
    <x v="2"/>
    <x v="1"/>
    <x v="3"/>
    <x v="1"/>
    <x v="0"/>
    <x v="6"/>
    <x v="59"/>
    <n v="10"/>
  </r>
  <r>
    <x v="2"/>
    <x v="0"/>
    <x v="3"/>
    <x v="1"/>
    <x v="0"/>
    <x v="2"/>
    <x v="55"/>
    <n v="40"/>
  </r>
  <r>
    <x v="2"/>
    <x v="1"/>
    <x v="3"/>
    <x v="0"/>
    <x v="0"/>
    <x v="6"/>
    <x v="40"/>
    <n v="20"/>
  </r>
  <r>
    <x v="2"/>
    <x v="0"/>
    <x v="3"/>
    <x v="0"/>
    <x v="0"/>
    <x v="1"/>
    <x v="30"/>
    <n v="5"/>
  </r>
  <r>
    <x v="2"/>
    <x v="1"/>
    <x v="3"/>
    <x v="1"/>
    <x v="0"/>
    <x v="2"/>
    <x v="39"/>
    <n v="30"/>
  </r>
  <r>
    <x v="2"/>
    <x v="1"/>
    <x v="3"/>
    <x v="1"/>
    <x v="0"/>
    <x v="3"/>
    <x v="53"/>
    <n v="30"/>
  </r>
  <r>
    <x v="2"/>
    <x v="1"/>
    <x v="3"/>
    <x v="1"/>
    <x v="0"/>
    <x v="1"/>
    <x v="39"/>
    <n v="20"/>
  </r>
  <r>
    <x v="2"/>
    <x v="1"/>
    <x v="3"/>
    <x v="2"/>
    <x v="0"/>
    <x v="2"/>
    <x v="69"/>
    <n v="45"/>
  </r>
  <r>
    <x v="2"/>
    <x v="1"/>
    <x v="3"/>
    <x v="0"/>
    <x v="0"/>
    <x v="11"/>
    <x v="3"/>
    <n v="15"/>
  </r>
  <r>
    <x v="2"/>
    <x v="1"/>
    <x v="3"/>
    <x v="0"/>
    <x v="3"/>
    <x v="2"/>
    <x v="27"/>
    <n v="35"/>
  </r>
  <r>
    <x v="2"/>
    <x v="1"/>
    <x v="3"/>
    <x v="1"/>
    <x v="0"/>
    <x v="5"/>
    <x v="108"/>
    <n v="20"/>
  </r>
  <r>
    <x v="2"/>
    <x v="1"/>
    <x v="3"/>
    <x v="1"/>
    <x v="0"/>
    <x v="1"/>
    <x v="3"/>
    <n v="25"/>
  </r>
  <r>
    <x v="2"/>
    <x v="1"/>
    <x v="3"/>
    <x v="1"/>
    <x v="0"/>
    <x v="7"/>
    <x v="42"/>
    <n v="15"/>
  </r>
  <r>
    <x v="2"/>
    <x v="1"/>
    <x v="3"/>
    <x v="1"/>
    <x v="0"/>
    <x v="1"/>
    <x v="42"/>
    <n v="90"/>
  </r>
  <r>
    <x v="2"/>
    <x v="0"/>
    <x v="3"/>
    <x v="0"/>
    <x v="0"/>
    <x v="0"/>
    <x v="109"/>
    <n v="70"/>
  </r>
  <r>
    <x v="2"/>
    <x v="1"/>
    <x v="3"/>
    <x v="1"/>
    <x v="0"/>
    <x v="6"/>
    <x v="1"/>
    <n v="60"/>
  </r>
  <r>
    <x v="2"/>
    <x v="1"/>
    <x v="3"/>
    <x v="1"/>
    <x v="3"/>
    <x v="3"/>
    <x v="83"/>
    <n v="35"/>
  </r>
  <r>
    <x v="2"/>
    <x v="1"/>
    <x v="3"/>
    <x v="1"/>
    <x v="0"/>
    <x v="0"/>
    <x v="83"/>
    <n v="25"/>
  </r>
  <r>
    <x v="2"/>
    <x v="1"/>
    <x v="3"/>
    <x v="1"/>
    <x v="0"/>
    <x v="1"/>
    <x v="74"/>
    <n v="90"/>
  </r>
  <r>
    <x v="2"/>
    <x v="1"/>
    <x v="3"/>
    <x v="1"/>
    <x v="0"/>
    <x v="2"/>
    <x v="53"/>
    <n v="50"/>
  </r>
  <r>
    <x v="2"/>
    <x v="1"/>
    <x v="3"/>
    <x v="1"/>
    <x v="0"/>
    <x v="4"/>
    <x v="5"/>
    <n v="40"/>
  </r>
  <r>
    <x v="2"/>
    <x v="1"/>
    <x v="3"/>
    <x v="1"/>
    <x v="0"/>
    <x v="7"/>
    <x v="19"/>
    <n v="35"/>
  </r>
  <r>
    <x v="2"/>
    <x v="1"/>
    <x v="3"/>
    <x v="1"/>
    <x v="0"/>
    <x v="6"/>
    <x v="23"/>
    <n v="50"/>
  </r>
  <r>
    <x v="2"/>
    <x v="1"/>
    <x v="3"/>
    <x v="0"/>
    <x v="0"/>
    <x v="2"/>
    <x v="67"/>
    <n v="60"/>
  </r>
  <r>
    <x v="2"/>
    <x v="1"/>
    <x v="3"/>
    <x v="1"/>
    <x v="0"/>
    <x v="1"/>
    <x v="64"/>
    <n v="40"/>
  </r>
  <r>
    <x v="2"/>
    <x v="1"/>
    <x v="3"/>
    <x v="1"/>
    <x v="0"/>
    <x v="6"/>
    <x v="53"/>
    <n v="15"/>
  </r>
  <r>
    <x v="2"/>
    <x v="1"/>
    <x v="3"/>
    <x v="1"/>
    <x v="0"/>
    <x v="0"/>
    <x v="36"/>
    <n v="50"/>
  </r>
  <r>
    <x v="2"/>
    <x v="0"/>
    <x v="3"/>
    <x v="1"/>
    <x v="0"/>
    <x v="1"/>
    <x v="69"/>
    <n v="55"/>
  </r>
  <r>
    <x v="2"/>
    <x v="1"/>
    <x v="3"/>
    <x v="1"/>
    <x v="1"/>
    <x v="2"/>
    <x v="10"/>
    <n v="35"/>
  </r>
  <r>
    <x v="2"/>
    <x v="0"/>
    <x v="3"/>
    <x v="1"/>
    <x v="0"/>
    <x v="2"/>
    <x v="52"/>
    <n v="20"/>
  </r>
  <r>
    <x v="2"/>
    <x v="1"/>
    <x v="3"/>
    <x v="0"/>
    <x v="0"/>
    <x v="4"/>
    <x v="40"/>
    <n v="35"/>
  </r>
  <r>
    <x v="2"/>
    <x v="0"/>
    <x v="3"/>
    <x v="1"/>
    <x v="0"/>
    <x v="1"/>
    <x v="18"/>
    <n v="45"/>
  </r>
  <r>
    <x v="2"/>
    <x v="0"/>
    <x v="3"/>
    <x v="1"/>
    <x v="3"/>
    <x v="2"/>
    <x v="103"/>
    <n v="15"/>
  </r>
  <r>
    <x v="2"/>
    <x v="0"/>
    <x v="3"/>
    <x v="1"/>
    <x v="0"/>
    <x v="2"/>
    <x v="55"/>
    <n v="65"/>
  </r>
  <r>
    <x v="2"/>
    <x v="1"/>
    <x v="3"/>
    <x v="2"/>
    <x v="0"/>
    <x v="3"/>
    <x v="67"/>
    <n v="60"/>
  </r>
  <r>
    <x v="2"/>
    <x v="1"/>
    <x v="3"/>
    <x v="1"/>
    <x v="0"/>
    <x v="4"/>
    <x v="63"/>
    <n v="35"/>
  </r>
  <r>
    <x v="2"/>
    <x v="1"/>
    <x v="3"/>
    <x v="1"/>
    <x v="0"/>
    <x v="5"/>
    <x v="104"/>
    <n v="23"/>
  </r>
  <r>
    <x v="2"/>
    <x v="0"/>
    <x v="3"/>
    <x v="0"/>
    <x v="0"/>
    <x v="2"/>
    <x v="3"/>
    <n v="50"/>
  </r>
  <r>
    <x v="2"/>
    <x v="1"/>
    <x v="3"/>
    <x v="1"/>
    <x v="0"/>
    <x v="2"/>
    <x v="108"/>
    <n v="30"/>
  </r>
  <r>
    <x v="2"/>
    <x v="0"/>
    <x v="3"/>
    <x v="1"/>
    <x v="0"/>
    <x v="6"/>
    <x v="89"/>
    <n v="30"/>
  </r>
  <r>
    <x v="2"/>
    <x v="1"/>
    <x v="3"/>
    <x v="0"/>
    <x v="0"/>
    <x v="0"/>
    <x v="105"/>
    <n v="50"/>
  </r>
  <r>
    <x v="2"/>
    <x v="1"/>
    <x v="3"/>
    <x v="0"/>
    <x v="3"/>
    <x v="4"/>
    <x v="88"/>
    <n v="60"/>
  </r>
  <r>
    <x v="2"/>
    <x v="0"/>
    <x v="3"/>
    <x v="0"/>
    <x v="0"/>
    <x v="2"/>
    <x v="3"/>
    <n v="60"/>
  </r>
  <r>
    <x v="2"/>
    <x v="0"/>
    <x v="3"/>
    <x v="1"/>
    <x v="0"/>
    <x v="2"/>
    <x v="62"/>
    <n v="45"/>
  </r>
  <r>
    <x v="2"/>
    <x v="1"/>
    <x v="3"/>
    <x v="0"/>
    <x v="0"/>
    <x v="7"/>
    <x v="39"/>
    <n v="5"/>
  </r>
  <r>
    <x v="2"/>
    <x v="1"/>
    <x v="3"/>
    <x v="0"/>
    <x v="1"/>
    <x v="9"/>
    <x v="34"/>
    <n v="12"/>
  </r>
  <r>
    <x v="2"/>
    <x v="1"/>
    <x v="3"/>
    <x v="0"/>
    <x v="0"/>
    <x v="2"/>
    <x v="74"/>
    <n v="25"/>
  </r>
  <r>
    <x v="2"/>
    <x v="1"/>
    <x v="3"/>
    <x v="0"/>
    <x v="0"/>
    <x v="1"/>
    <x v="1"/>
    <n v="20"/>
  </r>
  <r>
    <x v="2"/>
    <x v="0"/>
    <x v="3"/>
    <x v="1"/>
    <x v="0"/>
    <x v="1"/>
    <x v="110"/>
    <n v="15"/>
  </r>
  <r>
    <x v="2"/>
    <x v="1"/>
    <x v="3"/>
    <x v="1"/>
    <x v="3"/>
    <x v="3"/>
    <x v="69"/>
    <n v="35"/>
  </r>
  <r>
    <x v="2"/>
    <x v="0"/>
    <x v="3"/>
    <x v="1"/>
    <x v="0"/>
    <x v="2"/>
    <x v="19"/>
    <n v="20"/>
  </r>
  <r>
    <x v="2"/>
    <x v="1"/>
    <x v="3"/>
    <x v="1"/>
    <x v="0"/>
    <x v="9"/>
    <x v="49"/>
    <n v="35"/>
  </r>
  <r>
    <x v="2"/>
    <x v="1"/>
    <x v="3"/>
    <x v="0"/>
    <x v="0"/>
    <x v="0"/>
    <x v="48"/>
    <n v="120"/>
  </r>
  <r>
    <x v="2"/>
    <x v="1"/>
    <x v="3"/>
    <x v="1"/>
    <x v="0"/>
    <x v="0"/>
    <x v="18"/>
    <n v="25"/>
  </r>
  <r>
    <x v="2"/>
    <x v="0"/>
    <x v="3"/>
    <x v="0"/>
    <x v="3"/>
    <x v="1"/>
    <x v="88"/>
    <n v="7"/>
  </r>
  <r>
    <x v="2"/>
    <x v="0"/>
    <x v="3"/>
    <x v="0"/>
    <x v="0"/>
    <x v="2"/>
    <x v="19"/>
    <n v="30"/>
  </r>
  <r>
    <x v="2"/>
    <x v="1"/>
    <x v="3"/>
    <x v="0"/>
    <x v="0"/>
    <x v="2"/>
    <x v="69"/>
    <n v="30"/>
  </r>
  <r>
    <x v="2"/>
    <x v="1"/>
    <x v="3"/>
    <x v="1"/>
    <x v="0"/>
    <x v="0"/>
    <x v="103"/>
    <n v="35"/>
  </r>
  <r>
    <x v="2"/>
    <x v="0"/>
    <x v="3"/>
    <x v="0"/>
    <x v="3"/>
    <x v="7"/>
    <x v="31"/>
    <n v="30"/>
  </r>
  <r>
    <x v="2"/>
    <x v="1"/>
    <x v="3"/>
    <x v="1"/>
    <x v="0"/>
    <x v="1"/>
    <x v="54"/>
    <n v="50"/>
  </r>
  <r>
    <x v="2"/>
    <x v="0"/>
    <x v="3"/>
    <x v="1"/>
    <x v="3"/>
    <x v="3"/>
    <x v="59"/>
    <n v="60"/>
  </r>
  <r>
    <x v="2"/>
    <x v="1"/>
    <x v="3"/>
    <x v="0"/>
    <x v="3"/>
    <x v="5"/>
    <x v="33"/>
    <n v="15"/>
  </r>
  <r>
    <x v="2"/>
    <x v="1"/>
    <x v="3"/>
    <x v="1"/>
    <x v="0"/>
    <x v="1"/>
    <x v="30"/>
    <n v="70"/>
  </r>
  <r>
    <x v="2"/>
    <x v="1"/>
    <x v="3"/>
    <x v="1"/>
    <x v="0"/>
    <x v="4"/>
    <x v="53"/>
    <n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CCD2A7-C0B0-4A91-900D-B2CDFAD9655C}" name="Kimutatás3" cacheId="21" applyNumberFormats="0" applyBorderFormats="0" applyFontFormats="0" applyPatternFormats="0" applyAlignmentFormats="0" applyWidthHeightFormats="1" dataCaption="Értékek" grandTotalCaption="Összesen" updatedVersion="8" minRefreshableVersion="3" useAutoFormatting="1" itemPrintTitles="1" createdVersion="8" indent="0" outline="1" outlineData="1" multipleFieldFilters="0" rowHeaderCaption="Osztályköz">
  <location ref="G97:K106" firstHeaderRow="0" firstDataRow="1" firstDataCol="1"/>
  <pivotFields count="4">
    <pivotField showAll="0"/>
    <pivotField showAll="0"/>
    <pivotField axis="axisRow"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Gyakoriság" fld="2" subtotal="count" baseField="0" baseItem="0"/>
    <dataField name="Relatív gyak." fld="2" subtotal="count" showDataAs="percentOfTotal" baseField="0" baseItem="0" numFmtId="166"/>
    <dataField name="Kumulált gyak." fld="2" subtotal="count" baseField="0" baseItem="0"/>
    <dataField name="Kum. rel. gyak" fld="2" subtotal="count" baseField="2" baseItem="0" numFmtId="166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20">
    <format dxfId="210">
      <pivotArea type="all" dataOnly="0" outline="0" fieldPosition="0"/>
    </format>
    <format dxfId="209">
      <pivotArea outline="0" collapsedLevelsAreSubtotals="1" fieldPosition="0"/>
    </format>
    <format dxfId="208">
      <pivotArea field="2" type="button" dataOnly="0" labelOnly="1" outline="0" axis="axisRow" fieldPosition="0"/>
    </format>
    <format dxfId="207">
      <pivotArea dataOnly="0" labelOnly="1" fieldPosition="0">
        <references count="1">
          <reference field="2" count="8">
            <x v="0"/>
            <x v="1"/>
            <x v="2"/>
            <x v="3"/>
            <x v="4"/>
            <x v="5"/>
            <x v="6"/>
            <x v="8"/>
          </reference>
        </references>
      </pivotArea>
    </format>
    <format dxfId="206">
      <pivotArea dataOnly="0" labelOnly="1" grandRow="1" outline="0" fieldPosition="0"/>
    </format>
    <format dxfId="20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86">
      <pivotArea type="all" dataOnly="0" outline="0" fieldPosition="0"/>
    </format>
    <format dxfId="185">
      <pivotArea outline="0" collapsedLevelsAreSubtotals="1" fieldPosition="0"/>
    </format>
    <format dxfId="184">
      <pivotArea field="2" type="button" dataOnly="0" labelOnly="1" outline="0" axis="axisRow" fieldPosition="0"/>
    </format>
    <format dxfId="183">
      <pivotArea dataOnly="0" labelOnly="1" fieldPosition="0">
        <references count="1">
          <reference field="2" count="8">
            <x v="0"/>
            <x v="1"/>
            <x v="2"/>
            <x v="3"/>
            <x v="4"/>
            <x v="5"/>
            <x v="6"/>
            <x v="8"/>
          </reference>
        </references>
      </pivotArea>
    </format>
    <format dxfId="182">
      <pivotArea dataOnly="0" labelOnly="1" grandRow="1" outline="0" fieldPosition="0"/>
    </format>
    <format dxfId="18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62">
      <pivotArea outline="0" fieldPosition="0">
        <references count="1">
          <reference field="4294967294" count="1">
            <x v="3"/>
          </reference>
        </references>
      </pivotArea>
    </format>
    <format dxfId="16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60">
      <pivotArea dataOnly="0" labelOnly="1" fieldPosition="0">
        <references count="1">
          <reference field="2" count="8">
            <x v="0"/>
            <x v="1"/>
            <x v="2"/>
            <x v="3"/>
            <x v="4"/>
            <x v="5"/>
            <x v="6"/>
            <x v="8"/>
          </reference>
        </references>
      </pivotArea>
    </format>
    <format dxfId="159">
      <pivotArea dataOnly="0" labelOnly="1" grandRow="1" outline="0" fieldPosition="0"/>
    </format>
    <format dxfId="158">
      <pivotArea field="2" type="button" dataOnly="0" labelOnly="1" outline="0" axis="axisRow" fieldPosition="0"/>
    </format>
    <format dxfId="15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5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41239A-4AC5-414F-BC11-A2E220317047}" name="Kimutatás4" cacheId="0" applyNumberFormats="0" applyBorderFormats="0" applyFontFormats="0" applyPatternFormats="0" applyAlignmentFormats="0" applyWidthHeightFormats="1" dataCaption="Értékek" updatedVersion="8" minRefreshableVersion="3" useAutoFormatting="1" itemPrintTitles="1" createdVersion="5" indent="0" outline="1" outlineData="1" multipleFieldFilters="0" chartFormat="9">
  <location ref="G58:H67" firstHeaderRow="1" firstDataRow="1" firstDataCol="1"/>
  <pivotFields count="2">
    <pivotField axis="axisRow"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8"/>
    </i>
    <i t="grand">
      <x/>
    </i>
  </rowItems>
  <colItems count="1">
    <i/>
  </colItems>
  <dataFields count="1">
    <dataField name="Mennyiség / Életkor,_x000a_év" fld="0" subtotal="count" baseField="0" baseItem="0"/>
  </dataFields>
  <formats count="18">
    <format dxfId="275">
      <pivotArea outline="0" collapsedLevelsAreSubtotals="1" fieldPosition="0"/>
    </format>
    <format dxfId="274">
      <pivotArea type="all" dataOnly="0" outline="0" fieldPosition="0"/>
    </format>
    <format dxfId="273">
      <pivotArea type="all" dataOnly="0" outline="0" fieldPosition="0"/>
    </format>
    <format dxfId="213">
      <pivotArea dataOnly="0" labelOnly="1" fieldPosition="0">
        <references count="1">
          <reference field="0" count="8">
            <x v="0"/>
            <x v="1"/>
            <x v="2"/>
            <x v="3"/>
            <x v="4"/>
            <x v="5"/>
            <x v="6"/>
            <x v="8"/>
          </reference>
        </references>
      </pivotArea>
    </format>
    <format dxfId="212">
      <pivotArea collapsedLevelsAreSubtotals="1" fieldPosition="0">
        <references count="1">
          <reference field="0" count="2">
            <x v="6"/>
            <x v="8"/>
          </reference>
        </references>
      </pivotArea>
    </format>
    <format dxfId="211">
      <pivotArea dataOnly="0" labelOnly="1" fieldPosition="0">
        <references count="1">
          <reference field="0" count="2">
            <x v="6"/>
            <x v="8"/>
          </reference>
        </references>
      </pivotArea>
    </format>
    <format dxfId="204">
      <pivotArea type="all" dataOnly="0" outline="0" fieldPosition="0"/>
    </format>
    <format dxfId="203">
      <pivotArea outline="0" collapsedLevelsAreSubtotals="1" fieldPosition="0"/>
    </format>
    <format dxfId="202">
      <pivotArea field="0" type="button" dataOnly="0" labelOnly="1" outline="0" axis="axisRow" fieldPosition="0"/>
    </format>
    <format dxfId="201">
      <pivotArea dataOnly="0" labelOnly="1" fieldPosition="0">
        <references count="1">
          <reference field="0" count="8">
            <x v="0"/>
            <x v="1"/>
            <x v="2"/>
            <x v="3"/>
            <x v="4"/>
            <x v="5"/>
            <x v="6"/>
            <x v="8"/>
          </reference>
        </references>
      </pivotArea>
    </format>
    <format dxfId="200">
      <pivotArea dataOnly="0" labelOnly="1" grandRow="1" outline="0" fieldPosition="0"/>
    </format>
    <format dxfId="199">
      <pivotArea dataOnly="0" labelOnly="1" outline="0" axis="axisValues" fieldPosition="0"/>
    </format>
    <format dxfId="180">
      <pivotArea type="all" dataOnly="0" outline="0" fieldPosition="0"/>
    </format>
    <format dxfId="179">
      <pivotArea outline="0" collapsedLevelsAreSubtotals="1" fieldPosition="0"/>
    </format>
    <format dxfId="178">
      <pivotArea field="0" type="button" dataOnly="0" labelOnly="1" outline="0" axis="axisRow" fieldPosition="0"/>
    </format>
    <format dxfId="177">
      <pivotArea dataOnly="0" labelOnly="1" fieldPosition="0">
        <references count="1">
          <reference field="0" count="8">
            <x v="0"/>
            <x v="1"/>
            <x v="2"/>
            <x v="3"/>
            <x v="4"/>
            <x v="5"/>
            <x v="6"/>
            <x v="8"/>
          </reference>
        </references>
      </pivotArea>
    </format>
    <format dxfId="176">
      <pivotArea dataOnly="0" labelOnly="1" grandRow="1" outline="0" fieldPosition="0"/>
    </format>
    <format dxfId="175">
      <pivotArea dataOnly="0" labelOnly="1" outline="0" axis="axisValues" fieldPosition="0"/>
    </format>
  </format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1C03B2-B753-4AE0-8135-573CFC760A46}" name="Kimutatás2" cacheId="1" applyNumberFormats="0" applyBorderFormats="0" applyFontFormats="0" applyPatternFormats="0" applyAlignmentFormats="0" applyWidthHeightFormats="1" dataCaption="Értékek" updatedVersion="8" minRefreshableVersion="3" useAutoFormatting="1" itemPrintTitles="1" createdVersion="5" indent="0" outline="1" outlineData="1" multipleFieldFilters="0" chartFormat="14">
  <location ref="G36:H48" firstHeaderRow="1" firstDataRow="1" firstDataCol="1"/>
  <pivotFields count="4"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dataField="1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3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Mennyiség / Eredmény,_x000a_perc" fld="3" subtotal="count" baseField="0" baseItem="0"/>
  </dataFields>
  <formats count="21">
    <format dxfId="283">
      <pivotArea outline="0" collapsedLevelsAreSubtotals="1" fieldPosition="0"/>
    </format>
    <format dxfId="282">
      <pivotArea dataOnly="0" labelOnly="1" grandRow="1" outline="0" fieldPosition="0"/>
    </format>
    <format dxfId="281">
      <pivotArea field="2" type="button" dataOnly="0" labelOnly="1" outline="0"/>
    </format>
    <format dxfId="280">
      <pivotArea dataOnly="0" labelOnly="1" outline="0" axis="axisValues" fieldPosition="0"/>
    </format>
    <format dxfId="279">
      <pivotArea type="all" dataOnly="0" outline="0" fieldPosition="0"/>
    </format>
    <format dxfId="278">
      <pivotArea field="2" type="button" dataOnly="0" labelOnly="1" outline="0"/>
    </format>
    <format dxfId="277">
      <pivotArea type="all" dataOnly="0" outline="0" fieldPosition="0"/>
    </format>
    <format dxfId="276">
      <pivotArea field="2" type="button" dataOnly="0" labelOnly="1" outline="0"/>
    </format>
    <format dxfId="214">
      <pivotArea dataOnly="0" labelOnly="1" fieldPosition="0">
        <references count="1">
          <reference field="3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98">
      <pivotArea type="all" dataOnly="0" outline="0" fieldPosition="0"/>
    </format>
    <format dxfId="197">
      <pivotArea outline="0" collapsedLevelsAreSubtotals="1" fieldPosition="0"/>
    </format>
    <format dxfId="196">
      <pivotArea field="3" type="button" dataOnly="0" labelOnly="1" outline="0" axis="axisRow" fieldPosition="0"/>
    </format>
    <format dxfId="195">
      <pivotArea dataOnly="0" labelOnly="1" fieldPosition="0">
        <references count="1">
          <reference field="3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94">
      <pivotArea dataOnly="0" labelOnly="1" grandRow="1" outline="0" fieldPosition="0"/>
    </format>
    <format dxfId="193">
      <pivotArea dataOnly="0" labelOnly="1" outline="0" axis="axisValues" fieldPosition="0"/>
    </format>
    <format dxfId="174">
      <pivotArea type="all" dataOnly="0" outline="0" fieldPosition="0"/>
    </format>
    <format dxfId="173">
      <pivotArea outline="0" collapsedLevelsAreSubtotals="1" fieldPosition="0"/>
    </format>
    <format dxfId="172">
      <pivotArea field="3" type="button" dataOnly="0" labelOnly="1" outline="0" axis="axisRow" fieldPosition="0"/>
    </format>
    <format dxfId="171">
      <pivotArea dataOnly="0" labelOnly="1" fieldPosition="0">
        <references count="1">
          <reference field="3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70">
      <pivotArea dataOnly="0" labelOnly="1" grandRow="1" outline="0" fieldPosition="0"/>
    </format>
    <format dxfId="169">
      <pivotArea dataOnly="0" labelOnly="1" outline="0" axis="axisValues" fieldPosition="0"/>
    </format>
  </formats>
  <chartFormats count="1"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A52650-C6C4-48B0-B2EA-BE152F064E09}" name="Kimutatás1" cacheId="1" applyNumberFormats="0" applyBorderFormats="0" applyFontFormats="0" applyPatternFormats="0" applyAlignmentFormats="0" applyWidthHeightFormats="1" dataCaption="Értékek" updatedVersion="8" minRefreshableVersion="3" useAutoFormatting="1" itemPrintTitles="1" createdVersion="5" indent="0" outline="1" outlineData="1" multipleFieldFilters="0" chartFormat="7">
  <location ref="G7:H32" firstHeaderRow="1" firstDataRow="1" firstDataCol="1"/>
  <pivotFields count="4">
    <pivotField showAll="0"/>
    <pivotField axis="axisRow" dataField="1" showAll="0">
      <items count="25">
        <item x="3"/>
        <item x="4"/>
        <item x="2"/>
        <item x="1"/>
        <item x="6"/>
        <item x="11"/>
        <item x="5"/>
        <item x="0"/>
        <item x="8"/>
        <item x="7"/>
        <item x="9"/>
        <item x="10"/>
        <item x="12"/>
        <item x="13"/>
        <item x="14"/>
        <item x="15"/>
        <item x="19"/>
        <item x="23"/>
        <item x="20"/>
        <item x="17"/>
        <item x="21"/>
        <item x="22"/>
        <item x="16"/>
        <item x="18"/>
        <item t="default"/>
      </items>
    </pivotField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Mennyiség / Hányadik indulás" fld="1" subtotal="count" baseField="0" baseItem="0"/>
  </dataFields>
  <formats count="20">
    <format dxfId="291">
      <pivotArea collapsedLevelsAreSubtotals="1" fieldPosition="0">
        <references count="1">
          <reference field="1" count="0"/>
        </references>
      </pivotArea>
    </format>
    <format dxfId="290">
      <pivotArea dataOnly="0" labelOnly="1" fieldPosition="0">
        <references count="1">
          <reference field="1" count="0"/>
        </references>
      </pivotArea>
    </format>
    <format dxfId="289">
      <pivotArea grandRow="1" outline="0" collapsedLevelsAreSubtotals="1" fieldPosition="0"/>
    </format>
    <format dxfId="288">
      <pivotArea dataOnly="0" labelOnly="1" grandRow="1" outline="0" fieldPosition="0"/>
    </format>
    <format dxfId="287">
      <pivotArea field="1" type="button" dataOnly="0" labelOnly="1" outline="0" axis="axisRow" fieldPosition="0"/>
    </format>
    <format dxfId="286">
      <pivotArea dataOnly="0" labelOnly="1" outline="0" axis="axisValues" fieldPosition="0"/>
    </format>
    <format dxfId="285">
      <pivotArea field="1" type="button" dataOnly="0" labelOnly="1" outline="0" axis="axisRow" fieldPosition="0"/>
    </format>
    <format dxfId="284">
      <pivotArea dataOnly="0" labelOnly="1" outline="0" axis="axisValues" fieldPosition="0"/>
    </format>
    <format dxfId="192">
      <pivotArea type="all" dataOnly="0" outline="0" fieldPosition="0"/>
    </format>
    <format dxfId="191">
      <pivotArea outline="0" collapsedLevelsAreSubtotals="1" fieldPosition="0"/>
    </format>
    <format dxfId="190">
      <pivotArea field="1" type="button" dataOnly="0" labelOnly="1" outline="0" axis="axisRow" fieldPosition="0"/>
    </format>
    <format dxfId="189">
      <pivotArea dataOnly="0" labelOnly="1" fieldPosition="0">
        <references count="1">
          <reference field="1" count="0"/>
        </references>
      </pivotArea>
    </format>
    <format dxfId="188">
      <pivotArea dataOnly="0" labelOnly="1" grandRow="1" outline="0" fieldPosition="0"/>
    </format>
    <format dxfId="187">
      <pivotArea dataOnly="0" labelOnly="1" outline="0" axis="axisValues" fieldPosition="0"/>
    </format>
    <format dxfId="168">
      <pivotArea type="all" dataOnly="0" outline="0" fieldPosition="0"/>
    </format>
    <format dxfId="167">
      <pivotArea outline="0" collapsedLevelsAreSubtotals="1" fieldPosition="0"/>
    </format>
    <format dxfId="166">
      <pivotArea field="1" type="button" dataOnly="0" labelOnly="1" outline="0" axis="axisRow" fieldPosition="0"/>
    </format>
    <format dxfId="165">
      <pivotArea dataOnly="0" labelOnly="1" fieldPosition="0">
        <references count="1">
          <reference field="1" count="0"/>
        </references>
      </pivotArea>
    </format>
    <format dxfId="164">
      <pivotArea dataOnly="0" labelOnly="1" grandRow="1" outline="0" fieldPosition="0"/>
    </format>
    <format dxfId="163">
      <pivotArea dataOnly="0" labelOnly="1" outline="0" axis="axisValues" fieldPosition="0"/>
    </format>
  </format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460911-A0E2-46F8-8F13-0EBBE4B53B30}" name="Kimutatás2" cacheId="51" applyNumberFormats="0" applyBorderFormats="0" applyFontFormats="0" applyPatternFormats="0" applyAlignmentFormats="0" applyWidthHeightFormats="1" dataCaption="Értékek" updatedVersion="8" minRefreshableVersion="3" useAutoFormatting="1" itemPrintTitles="1" createdVersion="6" indent="0" outline="1" outlineData="1" multipleFieldFilters="0" chartFormat="3">
  <location ref="B8:D12" firstHeaderRow="0" firstDataRow="1" firstDataCol="1" rowPageCount="3" colPageCount="1"/>
  <pivotFields count="8">
    <pivotField axis="axisPage" showAll="0">
      <items count="4">
        <item x="0"/>
        <item x="1"/>
        <item x="2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7">
        <item x="3"/>
        <item x="0"/>
        <item x="2"/>
        <item x="4"/>
        <item x="1"/>
        <item x="5"/>
        <item t="default"/>
      </items>
    </pivotField>
    <pivotField axis="axisRow" dataField="1" showAll="0">
      <items count="4">
        <item x="2"/>
        <item x="0"/>
        <item x="1"/>
        <item t="default"/>
      </items>
    </pivotField>
    <pivotField numFmtId="1" showAll="0"/>
    <pivotField numFmtId="1" showAll="0"/>
    <pivotField numFmtId="1" showAll="0"/>
    <pivotField numFmtId="1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3">
    <pageField fld="0" hier="-1"/>
    <pageField fld="2" hier="-1"/>
    <pageField fld="1" hier="-1"/>
  </pageFields>
  <dataFields count="2">
    <dataField name="Darabszám" fld="3" subtotal="count" baseField="0" baseItem="0"/>
    <dataField name="Megoszlás" fld="3" subtotal="count" showDataAs="percentOfTotal" baseField="0" baseItem="0" numFmtId="10"/>
  </dataFields>
  <formats count="3">
    <format dxfId="272">
      <pivotArea outline="0" collapsedLevelsAreSubtotals="1" fieldPosition="0"/>
    </format>
    <format dxfId="271">
      <pivotArea outline="0" fieldPosition="0">
        <references count="1">
          <reference field="4294967294" count="1">
            <x v="1"/>
          </reference>
        </references>
      </pivotArea>
    </format>
    <format dxfId="2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B1DF11-D5F9-461B-93FC-44405EACD8EB}" name="Kimutatás1" cacheId="51" applyNumberFormats="0" applyBorderFormats="0" applyFontFormats="0" applyPatternFormats="0" applyAlignmentFormats="0" applyWidthHeightFormats="1" dataCaption="Értékek" updatedVersion="8" minRefreshableVersion="3" useAutoFormatting="1" itemPrintTitles="1" createdVersion="8" indent="0" outline="1" outlineData="1" multipleFieldFilters="0">
  <location ref="B7:F12" firstHeaderRow="0" firstDataRow="1" firstDataCol="1" rowPageCount="2" colPageCount="1"/>
  <pivotFields count="8">
    <pivotField axis="axisPage" showAll="0">
      <items count="4">
        <item x="0"/>
        <item x="1"/>
        <item x="2"/>
        <item t="default"/>
      </items>
    </pivotField>
    <pivotField showAll="0"/>
    <pivotField axis="axisPage" showAll="0">
      <items count="7">
        <item x="5"/>
        <item x="3"/>
        <item x="0"/>
        <item x="2"/>
        <item x="4"/>
        <item x="1"/>
        <item t="default"/>
      </items>
    </pivotField>
    <pivotField showAll="0"/>
    <pivotField axis="axisRow" dataField="1" numFmtId="1" showAll="0">
      <items count="5">
        <item x="2"/>
        <item x="1"/>
        <item x="3"/>
        <item x="0"/>
        <item t="default"/>
      </items>
    </pivotField>
    <pivotField numFmtId="1" showAll="0"/>
    <pivotField numFmtId="1" showAll="0"/>
    <pivotField numFmtI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0" hier="-1"/>
    <pageField fld="2" hier="-1"/>
  </pageFields>
  <dataFields count="4">
    <dataField name="Darabszám" fld="4" subtotal="count" baseField="0" baseItem="0"/>
    <dataField name="Megoszlás" fld="4" subtotal="count" showDataAs="percentOfTotal" baseField="0" baseItem="0" numFmtId="10"/>
    <dataField name="Kumulált" fld="4" subtotal="count" showDataAs="runTotal" baseField="4" baseItem="0"/>
    <dataField name="Kumulált megoszlás" fld="4" subtotal="count" baseField="4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10">
    <format dxfId="2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8">
      <pivotArea outline="0" collapsedLevelsAreSubtotals="1" fieldPosition="0"/>
    </format>
    <format dxfId="267">
      <pivotArea dataOnly="0" labelOnly="1" fieldPosition="0">
        <references count="1">
          <reference field="4" count="0"/>
        </references>
      </pivotArea>
    </format>
    <format dxfId="266">
      <pivotArea type="all" dataOnly="0" outline="0" fieldPosition="0"/>
    </format>
    <format dxfId="265">
      <pivotArea outline="0" collapsedLevelsAreSubtotals="1" fieldPosition="0"/>
    </format>
    <format dxfId="264">
      <pivotArea field="4" type="button" dataOnly="0" labelOnly="1" outline="0" axis="axisRow" fieldPosition="0"/>
    </format>
    <format dxfId="263">
      <pivotArea dataOnly="0" labelOnly="1" fieldPosition="0">
        <references count="1">
          <reference field="4" count="0"/>
        </references>
      </pivotArea>
    </format>
    <format dxfId="262">
      <pivotArea dataOnly="0" labelOnly="1" grandRow="1" outline="0" fieldPosition="0"/>
    </format>
    <format dxfId="2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4">
      <pivotArea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6A4090-F708-4958-9E2B-1494DC99FB82}" name="Kimutatás3" cacheId="51" applyNumberFormats="0" applyBorderFormats="0" applyFontFormats="0" applyPatternFormats="0" applyAlignmentFormats="0" applyWidthHeightFormats="1" dataCaption="Értékek" updatedVersion="8" minRefreshableVersion="3" useAutoFormatting="1" itemPrintTitles="1" createdVersion="6" indent="0" outline="1" outlineData="1" multipleFieldFilters="0" chartFormat="14" rowHeaderCaption="Alkalmazások">
  <location ref="B28:C42" firstHeaderRow="1" firstDataRow="1" firstDataCol="1" rowPageCount="3" colPageCount="1"/>
  <pivotFields count="8">
    <pivotField axis="axisPage" showAll="0">
      <items count="4">
        <item x="0"/>
        <item x="1"/>
        <item x="2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7">
        <item x="5"/>
        <item x="3"/>
        <item x="0"/>
        <item x="2"/>
        <item x="4"/>
        <item x="1"/>
        <item t="default"/>
      </items>
    </pivotField>
    <pivotField showAll="0"/>
    <pivotField numFmtId="1" showAll="0"/>
    <pivotField axis="axisRow" dataField="1" numFmtId="1" showAll="0">
      <items count="14">
        <item x="10"/>
        <item x="8"/>
        <item x="5"/>
        <item x="3"/>
        <item x="4"/>
        <item x="1"/>
        <item x="2"/>
        <item x="6"/>
        <item x="0"/>
        <item x="7"/>
        <item x="9"/>
        <item x="11"/>
        <item x="12"/>
        <item t="default"/>
      </items>
    </pivotField>
    <pivotField numFmtId="1" showAll="0"/>
    <pivotField numFmtId="1" showAll="0"/>
  </pivotFields>
  <rowFields count="1">
    <field x="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3">
    <pageField fld="0" hier="-1"/>
    <pageField fld="2" hier="-1"/>
    <pageField fld="1" hier="-1"/>
  </pageFields>
  <dataFields count="1">
    <dataField name="Gyakoriság" fld="5" subtotal="count" baseField="0" baseItem="0"/>
  </dataFields>
  <formats count="9">
    <format dxfId="250">
      <pivotArea outline="0" collapsedLevelsAreSubtotals="1" fieldPosition="0"/>
    </format>
    <format dxfId="249">
      <pivotArea dataOnly="0" labelOnly="1" grandCol="1" outline="0" fieldPosition="0"/>
    </format>
    <format dxfId="248">
      <pivotArea dataOnly="0" labelOnly="1" fieldPosition="0">
        <references count="1">
          <reference field="5" count="0"/>
        </references>
      </pivotArea>
    </format>
    <format dxfId="247">
      <pivotArea type="all" dataOnly="0" outline="0" fieldPosition="0"/>
    </format>
    <format dxfId="246">
      <pivotArea outline="0" collapsedLevelsAreSubtotals="1" fieldPosition="0"/>
    </format>
    <format dxfId="245">
      <pivotArea field="5" type="button" dataOnly="0" labelOnly="1" outline="0" axis="axisRow" fieldPosition="0"/>
    </format>
    <format dxfId="244">
      <pivotArea dataOnly="0" labelOnly="1" fieldPosition="0">
        <references count="1">
          <reference field="5" count="0"/>
        </references>
      </pivotArea>
    </format>
    <format dxfId="243">
      <pivotArea dataOnly="0" labelOnly="1" grandRow="1" outline="0" fieldPosition="0"/>
    </format>
    <format dxfId="242">
      <pivotArea dataOnly="0" labelOnly="1" outline="0" axis="axisValues" fieldPosition="0"/>
    </format>
  </formats>
  <chartFormats count="3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E72D68-9BD2-4995-A938-DAAD8CB623D9}" name="Kimutatás4" cacheId="51" applyNumberFormats="0" applyBorderFormats="0" applyFontFormats="0" applyPatternFormats="0" applyAlignmentFormats="0" applyWidthHeightFormats="1" dataCaption="Értékek" updatedVersion="8" minRefreshableVersion="3" useAutoFormatting="1" itemPrintTitles="1" createdVersion="6" indent="0" outline="1" outlineData="1" multipleFieldFilters="0" chartFormat="12" rowHeaderCaption="Alkalmazások">
  <location ref="B8:F22" firstHeaderRow="0" firstDataRow="1" firstDataCol="1" rowPageCount="3" colPageCount="1"/>
  <pivotFields count="8">
    <pivotField axis="axisPage" showAll="0">
      <items count="4">
        <item x="0"/>
        <item x="1"/>
        <item x="2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7">
        <item x="5"/>
        <item x="3"/>
        <item x="0"/>
        <item x="2"/>
        <item x="4"/>
        <item x="1"/>
        <item t="default"/>
      </items>
    </pivotField>
    <pivotField showAll="0"/>
    <pivotField numFmtId="1" showAll="0"/>
    <pivotField axis="axisRow" dataField="1" numFmtId="1" showAll="0">
      <items count="14">
        <item x="10"/>
        <item x="8"/>
        <item x="5"/>
        <item x="3"/>
        <item x="4"/>
        <item x="1"/>
        <item x="2"/>
        <item x="6"/>
        <item x="0"/>
        <item x="7"/>
        <item x="9"/>
        <item x="11"/>
        <item x="12"/>
        <item t="default"/>
      </items>
    </pivotField>
    <pivotField numFmtId="1" showAll="0"/>
    <pivotField numFmtId="1" showAll="0"/>
  </pivotFields>
  <rowFields count="1">
    <field x="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0" hier="-1"/>
    <pageField fld="2" hier="-1"/>
    <pageField fld="1" hier="-1"/>
  </pageFields>
  <dataFields count="4">
    <dataField name="Gyakoriság" fld="5" subtotal="count" baseField="0" baseItem="0"/>
    <dataField name="Relatív gyakoriság" fld="5" showDataAs="percentOfTotal" baseField="0" baseItem="0" numFmtId="10"/>
    <dataField name="Kum. gyakoriság" fld="5" subtotal="count" showDataAs="runTotal" baseField="5" baseItem="0"/>
    <dataField name="Kum. rel. gyak" fld="5" subtotal="count" baseField="5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13">
    <format dxfId="260">
      <pivotArea outline="0" collapsedLevelsAreSubtotals="1" fieldPosition="0"/>
    </format>
    <format dxfId="259">
      <pivotArea dataOnly="0" labelOnly="1" grandCol="1" outline="0" fieldPosition="0"/>
    </format>
    <format dxfId="258">
      <pivotArea dataOnly="0" labelOnly="1" fieldPosition="0">
        <references count="1">
          <reference field="5" count="0"/>
        </references>
      </pivotArea>
    </format>
    <format dxfId="257">
      <pivotArea outline="0" fieldPosition="0">
        <references count="1">
          <reference field="4294967294" count="1">
            <x v="1"/>
          </reference>
        </references>
      </pivotArea>
    </format>
    <format dxfId="256">
      <pivotArea type="all" dataOnly="0" outline="0" fieldPosition="0"/>
    </format>
    <format dxfId="255">
      <pivotArea outline="0" collapsedLevelsAreSubtotals="1" fieldPosition="0"/>
    </format>
    <format dxfId="254">
      <pivotArea field="5" type="button" dataOnly="0" labelOnly="1" outline="0" axis="axisRow" fieldPosition="0"/>
    </format>
    <format dxfId="253">
      <pivotArea dataOnly="0" labelOnly="1" fieldPosition="0">
        <references count="1">
          <reference field="5" count="0"/>
        </references>
      </pivotArea>
    </format>
    <format dxfId="252">
      <pivotArea dataOnly="0" labelOnly="1" grandRow="1" outline="0" fieldPosition="0"/>
    </format>
    <format dxfId="2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3">
      <pivotArea outline="0" fieldPosition="0">
        <references count="1">
          <reference field="4294967294" count="1">
            <x v="3"/>
          </reference>
        </references>
      </pivotArea>
    </format>
    <format dxfId="70">
      <pivotArea field="5" type="button" dataOnly="0" labelOnly="1" outline="0" axis="axisRow" fieldPosition="0"/>
    </format>
    <format dxfId="6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1BBC4-3F85-4DE9-95FC-D40F05FD633F}" name="Kimutatás4" cacheId="51" applyNumberFormats="0" applyBorderFormats="0" applyFontFormats="0" applyPatternFormats="0" applyAlignmentFormats="0" applyWidthHeightFormats="1" dataCaption="Értékek" updatedVersion="8" minRefreshableVersion="3" itemPrintTitles="1" createdVersion="6" indent="0" outline="1" outlineData="1" multipleFieldFilters="0" chartFormat="10" rowHeaderCaption="Osztályköz">
  <location ref="B7:C19" firstHeaderRow="1" firstDataRow="1" firstDataCol="1" rowPageCount="2" colPageCount="1"/>
  <pivotFields count="8">
    <pivotField axis="axisPage" showAll="0">
      <items count="4">
        <item x="0"/>
        <item x="1"/>
        <item x="2"/>
        <item t="default"/>
      </items>
    </pivotField>
    <pivotField showAll="0"/>
    <pivotField axis="axisPage" showAll="0">
      <items count="7">
        <item x="3"/>
        <item x="0"/>
        <item x="2"/>
        <item x="4"/>
        <item x="1"/>
        <item x="5"/>
        <item t="default"/>
      </items>
    </pivotField>
    <pivotField showAll="0"/>
    <pivotField numFmtId="1" showAll="0"/>
    <pivotField numFmtId="1" showAll="0"/>
    <pivotField axis="axisRow" dataField="1" numFmtId="1" showAll="0" sortType="ascending">
      <items count="13">
        <item x="0"/>
        <item x="11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umFmtId="1" showAll="0"/>
  </pivotFields>
  <rowFields count="1">
    <field x="6"/>
  </rowFields>
  <rowItems count="12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2">
    <pageField fld="0" hier="-1"/>
    <pageField fld="2" hier="-1"/>
  </pageFields>
  <dataFields count="1">
    <dataField name="Gyakoriság" fld="6" subtotal="count" baseField="0" baseItem="0"/>
  </dataFields>
  <formats count="8">
    <format dxfId="241">
      <pivotArea outline="0" collapsedLevelsAreSubtotals="1" fieldPosition="0"/>
    </format>
    <format dxfId="240">
      <pivotArea dataOnly="0" labelOnly="1" grandCol="1" outline="0" fieldPosition="0"/>
    </format>
    <format dxfId="16">
      <pivotArea type="all" dataOnly="0" outline="0" fieldPosition="0"/>
    </format>
    <format dxfId="10">
      <pivotArea outline="0" collapsedLevelsAreSubtotals="1" fieldPosition="0"/>
    </format>
    <format dxfId="9">
      <pivotArea field="6" type="button" dataOnly="0" labelOnly="1" outline="0" axis="axisRow" fieldPosition="0"/>
    </format>
    <format dxfId="8">
      <pivotArea dataOnly="0" labelOnly="1" fieldPosition="0">
        <references count="1">
          <reference field="6" count="11">
            <x v="0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1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Kimutatás4" cacheId="3" applyNumberFormats="0" applyBorderFormats="0" applyFontFormats="0" applyPatternFormats="0" applyAlignmentFormats="0" applyWidthHeightFormats="1" dataCaption="Értékek" updatedVersion="8" minRefreshableVersion="3" useAutoFormatting="1" itemPrintTitles="1" createdVersion="6" indent="0" outline="1" outlineData="1" multipleFieldFilters="0" chartFormat="11" rowHeaderCaption="Idő">
  <location ref="B4:C18" firstHeaderRow="1" firstDataRow="1" firstDataCol="1"/>
  <pivotFields count="8">
    <pivotField showAll="0"/>
    <pivotField showAll="0"/>
    <pivotField showAll="0"/>
    <pivotField numFmtId="1" showAll="0"/>
    <pivotField numFmtId="1" showAll="0"/>
    <pivotField numFmtId="1" showAll="0"/>
    <pivotField showAll="0"/>
    <pivotField axis="axisRow" dataField="1" numFmtId="1" showAll="0">
      <items count="15">
        <item x="0"/>
        <item x="13"/>
        <item x="2"/>
        <item x="3"/>
        <item x="4"/>
        <item x="5"/>
        <item x="1"/>
        <item x="6"/>
        <item x="7"/>
        <item x="8"/>
        <item x="9"/>
        <item x="10"/>
        <item x="11"/>
        <item x="12"/>
        <item t="default"/>
      </items>
    </pivotField>
  </pivotFields>
  <rowFields count="1">
    <field x="7"/>
  </rowFields>
  <row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Gyakoriság" fld="7" subtotal="count" baseField="0" baseItem="0"/>
  </dataFields>
  <formats count="3">
    <format dxfId="239">
      <pivotArea outline="0" collapsedLevelsAreSubtotals="1" fieldPosition="0"/>
    </format>
    <format dxfId="238">
      <pivotArea dataOnly="0" labelOnly="1" grandCol="1" outline="0" fieldPosition="0"/>
    </format>
    <format dxfId="237">
      <pivotArea field="7" type="button" dataOnly="0" labelOnly="1" outline="0" axis="axisRow" fieldPosition="0"/>
    </format>
  </formats>
  <chartFormats count="1"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6A4A29-B15A-4A79-886A-17C58DED0D63}" name="Kimutatás2" cacheId="16" applyNumberFormats="0" applyBorderFormats="0" applyFontFormats="0" applyPatternFormats="0" applyAlignmentFormats="0" applyWidthHeightFormats="1" dataCaption="Értékek" grandTotalCaption="Összesen" updatedVersion="8" minRefreshableVersion="3" useAutoFormatting="1" itemPrintTitles="1" createdVersion="8" indent="0" outline="1" outlineData="1" multipleFieldFilters="0" rowHeaderCaption="Idő (perc)">
  <location ref="I48:M64" firstHeaderRow="0" firstDataRow="1" firstDataCol="1"/>
  <pivotFields count="5">
    <pivotField dataField="1" showAll="0"/>
    <pivotField showAll="0"/>
    <pivotField showAll="0"/>
    <pivotField showAll="0"/>
    <pivotField axis="axisRow" numFmtId="2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1"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Gyakoriság" fld="0" subtotal="count" baseField="0" baseItem="0"/>
    <dataField name="Relatív" fld="0" subtotal="count" showDataAs="percentOfTotal" baseField="0" baseItem="0" numFmtId="166"/>
    <dataField name="Kumulált" fld="0" subtotal="count" showDataAs="runTotal" baseField="4" baseItem="0"/>
    <dataField name="Kum. rel." fld="0" subtotal="count" baseField="4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13">
    <format dxfId="233">
      <pivotArea type="all" dataOnly="0" outline="0" fieldPosition="0"/>
    </format>
    <format dxfId="232">
      <pivotArea outline="0" collapsedLevelsAreSubtotals="1" fieldPosition="0"/>
    </format>
    <format dxfId="231">
      <pivotArea field="4" type="button" dataOnly="0" labelOnly="1" outline="0" axis="axisRow" fieldPosition="0"/>
    </format>
    <format dxfId="230">
      <pivotArea dataOnly="0" labelOnly="1" fieldPosition="0">
        <references count="1">
          <reference field="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229">
      <pivotArea dataOnly="0" labelOnly="1" grandRow="1" outline="0" fieldPosition="0"/>
    </format>
    <format dxfId="228">
      <pivotArea dataOnly="0" labelOnly="1" outline="0" axis="axisValues" fieldPosition="0"/>
    </format>
    <format dxfId="22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20">
      <pivotArea outline="0" fieldPosition="0">
        <references count="1">
          <reference field="4294967294" count="1">
            <x v="1"/>
          </reference>
        </references>
      </pivotArea>
    </format>
    <format dxfId="219">
      <pivotArea outline="0" fieldPosition="0">
        <references count="1">
          <reference field="4294967294" count="1">
            <x v="3"/>
          </reference>
        </references>
      </pivotArea>
    </format>
    <format dxfId="218">
      <pivotArea dataOnly="0" labelOnly="1" fieldPosition="0">
        <references count="1">
          <reference field="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217">
      <pivotArea dataOnly="0" labelOnly="1" grandRow="1" outline="0" fieldPosition="0"/>
    </format>
    <format dxfId="2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5">
      <pivotArea collapsedLevelsAreSubtotals="1" fieldPosition="0">
        <references count="2">
          <reference field="4294967294" count="1" selected="0">
            <x v="3"/>
          </reference>
          <reference field="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5C206-0588-4E7A-A919-146A9FEBD9C4}" name="Kimutatás3" cacheId="2" applyNumberFormats="0" applyBorderFormats="0" applyFontFormats="0" applyPatternFormats="0" applyAlignmentFormats="0" applyWidthHeightFormats="1" dataCaption="Értékek" grandTotalCaption="Összesen" updatedVersion="8" minRefreshableVersion="3" useAutoFormatting="1" itemPrintTitles="1" createdVersion="8" indent="0" outline="1" outlineData="1" multipleFieldFilters="0" chartFormat="5" rowHeaderCaption="Idő (perc)">
  <location ref="I12:J28" firstHeaderRow="1" firstDataRow="1" firstDataCol="1"/>
  <pivotFields count="8"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1">
    <field x="7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Gyakoriság" fld="1" subtotal="count" baseField="0" baseItem="0"/>
  </dataFields>
  <formats count="9">
    <format dxfId="236">
      <pivotArea field="7" type="button" dataOnly="0" labelOnly="1" outline="0" axis="axisRow" fieldPosition="0"/>
    </format>
    <format dxfId="235">
      <pivotArea dataOnly="0" labelOnly="1" fieldPosition="0">
        <references count="1">
          <reference field="7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234">
      <pivotArea dataOnly="0" labelOnly="1" grandRow="1" outline="0" fieldPosition="0"/>
    </format>
    <format dxfId="227">
      <pivotArea type="all" dataOnly="0" outline="0" fieldPosition="0"/>
    </format>
    <format dxfId="226">
      <pivotArea outline="0" collapsedLevelsAreSubtotals="1" fieldPosition="0"/>
    </format>
    <format dxfId="225">
      <pivotArea field="7" type="button" dataOnly="0" labelOnly="1" outline="0" axis="axisRow" fieldPosition="0"/>
    </format>
    <format dxfId="224">
      <pivotArea dataOnly="0" labelOnly="1" fieldPosition="0">
        <references count="1">
          <reference field="7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223">
      <pivotArea dataOnly="0" labelOnly="1" grandRow="1" outline="0" fieldPosition="0"/>
    </format>
    <format dxfId="222">
      <pivotArea dataOnly="0" labelOnly="1" outline="0" axis="axisValues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mments" Target="../comments3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3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4.bin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4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B1:Y7"/>
  <sheetViews>
    <sheetView tabSelected="1" zoomScaleNormal="100" workbookViewId="0"/>
  </sheetViews>
  <sheetFormatPr defaultColWidth="9.140625" defaultRowHeight="13.5" customHeight="1" x14ac:dyDescent="0.2"/>
  <cols>
    <col min="1" max="1" width="2.5703125" style="1" customWidth="1"/>
    <col min="2" max="10" width="10.7109375" style="1" customWidth="1"/>
    <col min="11" max="16384" width="9.140625" style="1"/>
  </cols>
  <sheetData>
    <row r="1" spans="2:25" ht="13.5" customHeight="1" thickBot="1" x14ac:dyDescent="0.25"/>
    <row r="2" spans="2:25" ht="27" customHeight="1" thickBot="1" x14ac:dyDescent="0.25">
      <c r="B2" s="274" t="s">
        <v>15</v>
      </c>
      <c r="C2" s="275"/>
      <c r="D2" s="275"/>
      <c r="E2" s="275"/>
      <c r="F2" s="275"/>
      <c r="G2" s="275"/>
      <c r="H2" s="275"/>
      <c r="I2" s="275"/>
      <c r="J2" s="276"/>
      <c r="K2" s="10"/>
      <c r="L2" s="10"/>
      <c r="M2" s="10"/>
      <c r="N2" s="10"/>
      <c r="O2" s="10"/>
    </row>
    <row r="3" spans="2:25" ht="6.75" customHeight="1" thickBot="1" x14ac:dyDescent="0.25">
      <c r="V3" s="11"/>
      <c r="W3" s="11"/>
      <c r="X3" s="11"/>
      <c r="Y3" s="11"/>
    </row>
    <row r="4" spans="2:25" ht="13.5" customHeight="1" thickBot="1" x14ac:dyDescent="0.25">
      <c r="B4" s="274" t="s">
        <v>0</v>
      </c>
      <c r="C4" s="275"/>
      <c r="D4" s="275"/>
      <c r="E4" s="275"/>
      <c r="F4" s="275"/>
      <c r="G4" s="275"/>
      <c r="H4" s="275"/>
      <c r="I4" s="275"/>
      <c r="J4" s="276"/>
      <c r="K4" s="10"/>
      <c r="L4" s="10"/>
      <c r="M4" s="10"/>
      <c r="N4" s="10"/>
      <c r="O4" s="10"/>
      <c r="V4" s="7"/>
      <c r="W4" s="6"/>
      <c r="X4" s="5"/>
      <c r="Y4" s="5"/>
    </row>
    <row r="5" spans="2:25" s="8" customFormat="1" thickBot="1" x14ac:dyDescent="0.25">
      <c r="B5" s="9"/>
      <c r="C5" s="9"/>
      <c r="D5" s="9"/>
      <c r="E5" s="9"/>
      <c r="F5" s="9"/>
      <c r="G5" s="9"/>
      <c r="H5" s="9"/>
    </row>
    <row r="6" spans="2:25" ht="13.5" customHeight="1" thickBot="1" x14ac:dyDescent="0.25">
      <c r="V6" s="7"/>
      <c r="W6" s="6"/>
      <c r="X6" s="5"/>
      <c r="Y6" s="5"/>
    </row>
    <row r="7" spans="2:25" ht="13.5" customHeight="1" thickBot="1" x14ac:dyDescent="0.25">
      <c r="B7" s="4" t="s">
        <v>1</v>
      </c>
      <c r="C7" s="3">
        <f>(4.53*54/94.7-1)*100</f>
        <v>158.31045406546988</v>
      </c>
      <c r="D7" s="2" t="s">
        <v>2</v>
      </c>
    </row>
  </sheetData>
  <mergeCells count="2">
    <mergeCell ref="B2:J2"/>
    <mergeCell ref="B4:J4"/>
  </mergeCells>
  <pageMargins left="0.75" right="0.75" top="1" bottom="1" header="0.5" footer="0.5"/>
  <pageSetup paperSize="9" scale="8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214C2-1B24-44E6-A65F-C7CDC9439B6A}">
  <sheetPr>
    <tabColor theme="4"/>
  </sheetPr>
  <dimension ref="A1:H95"/>
  <sheetViews>
    <sheetView zoomScaleNormal="100" workbookViewId="0"/>
  </sheetViews>
  <sheetFormatPr defaultColWidth="9.140625" defaultRowHeight="12.75" x14ac:dyDescent="0.2"/>
  <cols>
    <col min="1" max="1" width="2.5703125" style="32" customWidth="1"/>
    <col min="2" max="2" width="10.140625" style="32" customWidth="1"/>
    <col min="3" max="8" width="17.7109375" style="32" customWidth="1"/>
    <col min="9" max="16384" width="9.140625" style="32"/>
  </cols>
  <sheetData>
    <row r="1" spans="2:8" ht="13.5" customHeight="1" thickBot="1" x14ac:dyDescent="0.25"/>
    <row r="2" spans="2:8" ht="13.9" customHeight="1" thickBot="1" x14ac:dyDescent="0.25">
      <c r="B2" s="290" t="s">
        <v>61</v>
      </c>
      <c r="C2" s="291"/>
      <c r="D2" s="291"/>
      <c r="E2" s="291"/>
      <c r="F2" s="291"/>
      <c r="G2" s="292"/>
    </row>
    <row r="3" spans="2:8" ht="13.5" thickBot="1" x14ac:dyDescent="0.25"/>
    <row r="4" spans="2:8" ht="13.5" customHeight="1" x14ac:dyDescent="0.2">
      <c r="B4" s="293" t="s">
        <v>52</v>
      </c>
      <c r="C4" s="287" t="s">
        <v>59</v>
      </c>
      <c r="D4" s="295" t="s">
        <v>57</v>
      </c>
    </row>
    <row r="5" spans="2:8" ht="13.5" customHeight="1" thickBot="1" x14ac:dyDescent="0.25">
      <c r="B5" s="294"/>
      <c r="C5" s="288"/>
      <c r="D5" s="296"/>
    </row>
    <row r="6" spans="2:8" ht="13.5" customHeight="1" x14ac:dyDescent="0.2">
      <c r="B6" s="51">
        <v>1996</v>
      </c>
      <c r="C6" s="70">
        <v>206</v>
      </c>
      <c r="D6" s="70">
        <v>1710</v>
      </c>
    </row>
    <row r="7" spans="2:8" ht="13.5" customHeight="1" x14ac:dyDescent="0.2">
      <c r="B7" s="50">
        <v>1997</v>
      </c>
      <c r="C7" s="69">
        <v>260</v>
      </c>
      <c r="D7" s="69">
        <v>2101</v>
      </c>
    </row>
    <row r="8" spans="2:8" ht="13.5" customHeight="1" x14ac:dyDescent="0.2">
      <c r="B8" s="50">
        <v>1998</v>
      </c>
      <c r="C8" s="69">
        <v>266</v>
      </c>
      <c r="D8" s="69">
        <v>1984</v>
      </c>
    </row>
    <row r="9" spans="2:8" ht="13.5" customHeight="1" x14ac:dyDescent="0.2">
      <c r="B9" s="50">
        <v>1999</v>
      </c>
      <c r="C9" s="69">
        <v>297</v>
      </c>
      <c r="D9" s="69">
        <v>2504</v>
      </c>
    </row>
    <row r="10" spans="2:8" ht="13.5" customHeight="1" x14ac:dyDescent="0.2">
      <c r="B10" s="50">
        <v>2000</v>
      </c>
      <c r="C10" s="69">
        <v>325</v>
      </c>
      <c r="D10" s="69">
        <v>3489</v>
      </c>
    </row>
    <row r="11" spans="2:8" ht="13.5" customHeight="1" x14ac:dyDescent="0.2">
      <c r="B11" s="50">
        <v>2001</v>
      </c>
      <c r="C11" s="69">
        <v>361</v>
      </c>
      <c r="D11" s="69">
        <v>4321</v>
      </c>
    </row>
    <row r="12" spans="2:8" ht="13.5" customHeight="1" x14ac:dyDescent="0.2">
      <c r="B12" s="50">
        <v>2002</v>
      </c>
      <c r="C12" s="69">
        <v>355</v>
      </c>
      <c r="D12" s="69">
        <v>4590</v>
      </c>
    </row>
    <row r="13" spans="2:8" ht="13.5" customHeight="1" x14ac:dyDescent="0.2">
      <c r="B13" s="50">
        <v>2003</v>
      </c>
      <c r="C13" s="69">
        <v>353</v>
      </c>
      <c r="D13" s="69">
        <v>4985</v>
      </c>
    </row>
    <row r="14" spans="2:8" ht="13.5" customHeight="1" thickBot="1" x14ac:dyDescent="0.25">
      <c r="B14" s="46">
        <v>2004</v>
      </c>
      <c r="C14" s="68">
        <v>369</v>
      </c>
      <c r="D14" s="68">
        <v>4873</v>
      </c>
    </row>
    <row r="15" spans="2:8" ht="13.5" customHeight="1" thickBot="1" x14ac:dyDescent="0.25">
      <c r="B15" s="33"/>
      <c r="C15" s="34"/>
      <c r="D15" s="35"/>
      <c r="E15" s="35"/>
      <c r="F15" s="34"/>
      <c r="G15" s="35"/>
      <c r="H15" s="36"/>
    </row>
    <row r="16" spans="2:8" ht="54" customHeight="1" thickBot="1" x14ac:dyDescent="0.25">
      <c r="B16" s="290" t="s">
        <v>60</v>
      </c>
      <c r="C16" s="291"/>
      <c r="D16" s="291"/>
      <c r="E16" s="291"/>
      <c r="F16" s="291"/>
      <c r="G16" s="292"/>
    </row>
    <row r="17" spans="1:8" s="66" customFormat="1" ht="13.5" thickBot="1" x14ac:dyDescent="0.25">
      <c r="B17" s="67"/>
      <c r="C17" s="67"/>
      <c r="D17" s="67"/>
      <c r="E17" s="67"/>
      <c r="F17" s="67"/>
    </row>
    <row r="18" spans="1:8" ht="13.5" customHeight="1" thickBot="1" x14ac:dyDescent="0.25"/>
    <row r="19" spans="1:8" ht="13.5" customHeight="1" x14ac:dyDescent="0.2">
      <c r="A19" s="32" t="s">
        <v>45</v>
      </c>
      <c r="B19" s="285" t="s">
        <v>52</v>
      </c>
      <c r="C19" s="287" t="s">
        <v>59</v>
      </c>
      <c r="D19" s="277" t="s">
        <v>58</v>
      </c>
      <c r="E19" s="277"/>
      <c r="F19" s="287" t="s">
        <v>57</v>
      </c>
      <c r="G19" s="289" t="s">
        <v>56</v>
      </c>
      <c r="H19" s="278"/>
    </row>
    <row r="20" spans="1:8" ht="13.5" customHeight="1" thickBot="1" x14ac:dyDescent="0.25">
      <c r="B20" s="280"/>
      <c r="C20" s="288"/>
      <c r="D20" s="54" t="s">
        <v>49</v>
      </c>
      <c r="E20" s="54" t="s">
        <v>48</v>
      </c>
      <c r="F20" s="288"/>
      <c r="G20" s="65" t="s">
        <v>49</v>
      </c>
      <c r="H20" s="53" t="s">
        <v>48</v>
      </c>
    </row>
    <row r="21" spans="1:8" ht="13.5" customHeight="1" x14ac:dyDescent="0.2">
      <c r="B21" s="51">
        <v>1996</v>
      </c>
      <c r="C21" s="63">
        <v>206</v>
      </c>
      <c r="D21" s="48">
        <f t="shared" ref="D21:D29" si="0">(C21/C$21)</f>
        <v>1</v>
      </c>
      <c r="E21" s="48"/>
      <c r="F21" s="63">
        <v>1710</v>
      </c>
      <c r="G21" s="48">
        <f t="shared" ref="G21:G29" si="1">F21/F$21</f>
        <v>1</v>
      </c>
      <c r="H21" s="48"/>
    </row>
    <row r="22" spans="1:8" ht="13.5" customHeight="1" x14ac:dyDescent="0.2">
      <c r="B22" s="50">
        <v>1997</v>
      </c>
      <c r="C22" s="64">
        <v>260</v>
      </c>
      <c r="D22" s="48">
        <f t="shared" si="0"/>
        <v>1.2621359223300972</v>
      </c>
      <c r="E22" s="47">
        <f t="shared" ref="E22:E29" si="2">(C22/C21)</f>
        <v>1.2621359223300972</v>
      </c>
      <c r="F22" s="63">
        <v>2101</v>
      </c>
      <c r="G22" s="48">
        <f t="shared" si="1"/>
        <v>1.2286549707602339</v>
      </c>
      <c r="H22" s="47">
        <f t="shared" ref="H22:H29" si="3">F22/F21</f>
        <v>1.2286549707602339</v>
      </c>
    </row>
    <row r="23" spans="1:8" ht="13.5" customHeight="1" x14ac:dyDescent="0.2">
      <c r="B23" s="50">
        <v>1998</v>
      </c>
      <c r="C23" s="64">
        <v>266</v>
      </c>
      <c r="D23" s="48">
        <f t="shared" si="0"/>
        <v>1.2912621359223302</v>
      </c>
      <c r="E23" s="47">
        <f t="shared" si="2"/>
        <v>1.023076923076923</v>
      </c>
      <c r="F23" s="63">
        <v>1984</v>
      </c>
      <c r="G23" s="48">
        <f t="shared" si="1"/>
        <v>1.160233918128655</v>
      </c>
      <c r="H23" s="47">
        <f t="shared" si="3"/>
        <v>0.94431223227034744</v>
      </c>
    </row>
    <row r="24" spans="1:8" ht="13.5" customHeight="1" x14ac:dyDescent="0.2">
      <c r="B24" s="50">
        <v>1999</v>
      </c>
      <c r="C24" s="64">
        <v>297</v>
      </c>
      <c r="D24" s="48">
        <f t="shared" si="0"/>
        <v>1.441747572815534</v>
      </c>
      <c r="E24" s="47">
        <f t="shared" si="2"/>
        <v>1.1165413533834587</v>
      </c>
      <c r="F24" s="63">
        <v>2504</v>
      </c>
      <c r="G24" s="48">
        <f t="shared" si="1"/>
        <v>1.4643274853801169</v>
      </c>
      <c r="H24" s="47">
        <f t="shared" si="3"/>
        <v>1.2620967741935485</v>
      </c>
    </row>
    <row r="25" spans="1:8" ht="13.5" customHeight="1" x14ac:dyDescent="0.2">
      <c r="B25" s="50">
        <v>2000</v>
      </c>
      <c r="C25" s="64">
        <v>325</v>
      </c>
      <c r="D25" s="48">
        <f t="shared" si="0"/>
        <v>1.5776699029126213</v>
      </c>
      <c r="E25" s="47">
        <f t="shared" si="2"/>
        <v>1.0942760942760943</v>
      </c>
      <c r="F25" s="63">
        <v>3489</v>
      </c>
      <c r="G25" s="48">
        <f t="shared" si="1"/>
        <v>2.0403508771929824</v>
      </c>
      <c r="H25" s="47">
        <f t="shared" si="3"/>
        <v>1.3933706070287539</v>
      </c>
    </row>
    <row r="26" spans="1:8" ht="13.5" customHeight="1" x14ac:dyDescent="0.2">
      <c r="B26" s="50">
        <v>2001</v>
      </c>
      <c r="C26" s="64">
        <v>361</v>
      </c>
      <c r="D26" s="48">
        <f t="shared" si="0"/>
        <v>1.7524271844660195</v>
      </c>
      <c r="E26" s="47">
        <f t="shared" si="2"/>
        <v>1.1107692307692307</v>
      </c>
      <c r="F26" s="63">
        <v>4321</v>
      </c>
      <c r="G26" s="48">
        <f t="shared" si="1"/>
        <v>2.5269005847953214</v>
      </c>
      <c r="H26" s="47">
        <f t="shared" si="3"/>
        <v>1.238463743192892</v>
      </c>
    </row>
    <row r="27" spans="1:8" ht="13.5" customHeight="1" x14ac:dyDescent="0.2">
      <c r="B27" s="50">
        <v>2002</v>
      </c>
      <c r="C27" s="64">
        <v>355</v>
      </c>
      <c r="D27" s="48">
        <f t="shared" si="0"/>
        <v>1.7233009708737863</v>
      </c>
      <c r="E27" s="47">
        <f t="shared" si="2"/>
        <v>0.9833795013850416</v>
      </c>
      <c r="F27" s="63">
        <v>4590</v>
      </c>
      <c r="G27" s="48">
        <f t="shared" si="1"/>
        <v>2.6842105263157894</v>
      </c>
      <c r="H27" s="47">
        <f t="shared" si="3"/>
        <v>1.0622541078454062</v>
      </c>
    </row>
    <row r="28" spans="1:8" ht="13.5" customHeight="1" x14ac:dyDescent="0.2">
      <c r="B28" s="50">
        <v>2003</v>
      </c>
      <c r="C28" s="64">
        <v>353</v>
      </c>
      <c r="D28" s="48">
        <f t="shared" si="0"/>
        <v>1.7135922330097086</v>
      </c>
      <c r="E28" s="47">
        <f t="shared" si="2"/>
        <v>0.9943661971830986</v>
      </c>
      <c r="F28" s="63">
        <v>4985</v>
      </c>
      <c r="G28" s="48">
        <f t="shared" si="1"/>
        <v>2.9152046783625729</v>
      </c>
      <c r="H28" s="47">
        <f t="shared" si="3"/>
        <v>1.0860566448801743</v>
      </c>
    </row>
    <row r="29" spans="1:8" ht="13.5" customHeight="1" thickBot="1" x14ac:dyDescent="0.25">
      <c r="B29" s="46">
        <v>2004</v>
      </c>
      <c r="C29" s="62">
        <v>369</v>
      </c>
      <c r="D29" s="44">
        <f t="shared" si="0"/>
        <v>1.7912621359223302</v>
      </c>
      <c r="E29" s="44">
        <f t="shared" si="2"/>
        <v>1.0453257790368271</v>
      </c>
      <c r="F29" s="62">
        <v>4873</v>
      </c>
      <c r="G29" s="44">
        <f t="shared" si="1"/>
        <v>2.8497076023391812</v>
      </c>
      <c r="H29" s="44">
        <f t="shared" si="3"/>
        <v>0.97753259779338009</v>
      </c>
    </row>
    <row r="30" spans="1:8" ht="13.5" customHeight="1" thickBot="1" x14ac:dyDescent="0.25">
      <c r="B30" s="61"/>
      <c r="C30" s="60"/>
      <c r="D30" s="59"/>
      <c r="E30" s="35"/>
      <c r="F30" s="34"/>
      <c r="G30" s="35"/>
      <c r="H30" s="36"/>
    </row>
    <row r="31" spans="1:8" ht="13.5" customHeight="1" x14ac:dyDescent="0.2">
      <c r="B31" s="279" t="s">
        <v>52</v>
      </c>
      <c r="C31" s="281" t="s">
        <v>55</v>
      </c>
      <c r="D31" s="283" t="s">
        <v>54</v>
      </c>
      <c r="E31" s="58"/>
    </row>
    <row r="32" spans="1:8" ht="13.5" customHeight="1" thickBot="1" x14ac:dyDescent="0.25">
      <c r="B32" s="280"/>
      <c r="C32" s="282"/>
      <c r="D32" s="284"/>
      <c r="E32" s="58"/>
    </row>
    <row r="33" spans="1:8" ht="13.5" customHeight="1" x14ac:dyDescent="0.2">
      <c r="B33" s="51">
        <v>1996</v>
      </c>
      <c r="C33" s="57"/>
      <c r="D33" s="57"/>
    </row>
    <row r="34" spans="1:8" ht="13.5" customHeight="1" x14ac:dyDescent="0.2">
      <c r="B34" s="50">
        <v>1997</v>
      </c>
      <c r="C34" s="56">
        <f t="shared" ref="C34:C41" si="4">D22/D21</f>
        <v>1.2621359223300972</v>
      </c>
      <c r="D34" s="56">
        <f>PRODUCT($E$22:E22)</f>
        <v>1.2621359223300972</v>
      </c>
    </row>
    <row r="35" spans="1:8" ht="13.5" customHeight="1" x14ac:dyDescent="0.2">
      <c r="B35" s="50">
        <v>1998</v>
      </c>
      <c r="C35" s="56">
        <f t="shared" si="4"/>
        <v>1.023076923076923</v>
      </c>
      <c r="D35" s="56">
        <f>PRODUCT($E$22:E23)</f>
        <v>1.2912621359223302</v>
      </c>
    </row>
    <row r="36" spans="1:8" ht="13.5" customHeight="1" x14ac:dyDescent="0.2">
      <c r="B36" s="50">
        <v>1999</v>
      </c>
      <c r="C36" s="56">
        <f t="shared" si="4"/>
        <v>1.1165413533834585</v>
      </c>
      <c r="D36" s="56">
        <f>PRODUCT($E$22:E24)</f>
        <v>1.4417475728155342</v>
      </c>
    </row>
    <row r="37" spans="1:8" ht="13.5" customHeight="1" x14ac:dyDescent="0.2">
      <c r="B37" s="50">
        <v>2000</v>
      </c>
      <c r="C37" s="56">
        <f t="shared" si="4"/>
        <v>1.0942760942760943</v>
      </c>
      <c r="D37" s="56">
        <f>PRODUCT($E$22:E25)</f>
        <v>1.5776699029126215</v>
      </c>
    </row>
    <row r="38" spans="1:8" ht="13.5" customHeight="1" x14ac:dyDescent="0.2">
      <c r="B38" s="50">
        <v>2001</v>
      </c>
      <c r="C38" s="56">
        <f t="shared" si="4"/>
        <v>1.110769230769231</v>
      </c>
      <c r="D38" s="56">
        <f>PRODUCT($E$22:E26)</f>
        <v>1.7524271844660195</v>
      </c>
    </row>
    <row r="39" spans="1:8" ht="13.5" customHeight="1" x14ac:dyDescent="0.2">
      <c r="B39" s="50">
        <v>2002</v>
      </c>
      <c r="C39" s="56">
        <f t="shared" si="4"/>
        <v>0.98337950138504149</v>
      </c>
      <c r="D39" s="56">
        <f>PRODUCT($E$22:E27)</f>
        <v>1.7233009708737865</v>
      </c>
    </row>
    <row r="40" spans="1:8" ht="13.5" customHeight="1" x14ac:dyDescent="0.2">
      <c r="B40" s="50">
        <v>2003</v>
      </c>
      <c r="C40" s="56">
        <f t="shared" si="4"/>
        <v>0.9943661971830986</v>
      </c>
      <c r="D40" s="56">
        <f>PRODUCT($E$22:E28)</f>
        <v>1.7135922330097089</v>
      </c>
    </row>
    <row r="41" spans="1:8" ht="13.5" customHeight="1" thickBot="1" x14ac:dyDescent="0.25">
      <c r="B41" s="46">
        <v>2004</v>
      </c>
      <c r="C41" s="55">
        <f t="shared" si="4"/>
        <v>1.0453257790368273</v>
      </c>
      <c r="D41" s="55">
        <f>PRODUCT($E$22:E29)</f>
        <v>1.7912621359223302</v>
      </c>
    </row>
    <row r="42" spans="1:8" ht="13.5" customHeight="1" thickBot="1" x14ac:dyDescent="0.25">
      <c r="B42" s="33"/>
      <c r="C42" s="34"/>
      <c r="D42" s="34"/>
      <c r="E42" s="35"/>
      <c r="F42" s="36"/>
      <c r="G42" s="35"/>
      <c r="H42" s="35"/>
    </row>
    <row r="43" spans="1:8" ht="13.5" customHeight="1" x14ac:dyDescent="0.2">
      <c r="A43" s="32" t="s">
        <v>53</v>
      </c>
      <c r="B43" s="285" t="s">
        <v>52</v>
      </c>
      <c r="C43" s="286" t="s">
        <v>51</v>
      </c>
      <c r="D43" s="277" t="s">
        <v>50</v>
      </c>
      <c r="E43" s="277"/>
      <c r="F43" s="277" t="s">
        <v>50</v>
      </c>
      <c r="G43" s="278"/>
    </row>
    <row r="44" spans="1:8" ht="13.5" customHeight="1" thickBot="1" x14ac:dyDescent="0.25">
      <c r="B44" s="280"/>
      <c r="C44" s="282"/>
      <c r="D44" s="54" t="s">
        <v>49</v>
      </c>
      <c r="E44" s="54" t="s">
        <v>48</v>
      </c>
      <c r="F44" s="54" t="s">
        <v>49</v>
      </c>
      <c r="G44" s="53" t="s">
        <v>48</v>
      </c>
      <c r="H44" s="52"/>
    </row>
    <row r="45" spans="1:8" ht="13.5" customHeight="1" x14ac:dyDescent="0.2">
      <c r="B45" s="51">
        <v>1996</v>
      </c>
      <c r="C45" s="49">
        <f t="shared" ref="C45:C53" si="5">F21/C21*100/1000</f>
        <v>0.83009708737864085</v>
      </c>
      <c r="D45" s="48">
        <f t="shared" ref="D45:D53" si="6">C45/$C$45</f>
        <v>1</v>
      </c>
      <c r="E45" s="48"/>
      <c r="F45" s="48">
        <f t="shared" ref="F45:F53" si="7">G21/D21</f>
        <v>1</v>
      </c>
      <c r="G45" s="48"/>
      <c r="H45" s="43"/>
    </row>
    <row r="46" spans="1:8" ht="13.5" customHeight="1" x14ac:dyDescent="0.2">
      <c r="B46" s="50">
        <v>1997</v>
      </c>
      <c r="C46" s="49">
        <f t="shared" si="5"/>
        <v>0.80807692307692314</v>
      </c>
      <c r="D46" s="48">
        <f t="shared" si="6"/>
        <v>0.97347278452541608</v>
      </c>
      <c r="E46" s="47">
        <f t="shared" ref="E46:E53" si="8">C46/C45</f>
        <v>0.97347278452541608</v>
      </c>
      <c r="F46" s="48">
        <f t="shared" si="7"/>
        <v>0.97347278452541597</v>
      </c>
      <c r="G46" s="47">
        <f t="shared" ref="G46:G53" si="9">H22/E22</f>
        <v>0.97347278452541597</v>
      </c>
      <c r="H46" s="43"/>
    </row>
    <row r="47" spans="1:8" ht="13.5" customHeight="1" x14ac:dyDescent="0.2">
      <c r="B47" s="50">
        <v>1998</v>
      </c>
      <c r="C47" s="49">
        <f t="shared" si="5"/>
        <v>0.74586466165413523</v>
      </c>
      <c r="D47" s="48">
        <f t="shared" si="6"/>
        <v>0.89852701930264234</v>
      </c>
      <c r="E47" s="47">
        <f t="shared" si="8"/>
        <v>0.92301195635447475</v>
      </c>
      <c r="F47" s="48">
        <f t="shared" si="7"/>
        <v>0.89852701930264245</v>
      </c>
      <c r="G47" s="47">
        <f t="shared" si="9"/>
        <v>0.92301195635447497</v>
      </c>
      <c r="H47" s="43"/>
    </row>
    <row r="48" spans="1:8" ht="13.5" customHeight="1" x14ac:dyDescent="0.2">
      <c r="B48" s="50">
        <v>1999</v>
      </c>
      <c r="C48" s="49">
        <f t="shared" si="5"/>
        <v>0.84309764309764312</v>
      </c>
      <c r="D48" s="48">
        <f t="shared" si="6"/>
        <v>1.0156614881761079</v>
      </c>
      <c r="E48" s="47">
        <f t="shared" si="8"/>
        <v>1.1303627674595418</v>
      </c>
      <c r="F48" s="48">
        <f t="shared" si="7"/>
        <v>1.0156614881761079</v>
      </c>
      <c r="G48" s="47">
        <f t="shared" si="9"/>
        <v>1.1303627674595416</v>
      </c>
      <c r="H48" s="43"/>
    </row>
    <row r="49" spans="2:8" ht="13.5" customHeight="1" x14ac:dyDescent="0.2">
      <c r="B49" s="50">
        <v>2000</v>
      </c>
      <c r="C49" s="49">
        <f t="shared" si="5"/>
        <v>1.0735384615384616</v>
      </c>
      <c r="D49" s="48">
        <f t="shared" si="6"/>
        <v>1.293268556005398</v>
      </c>
      <c r="E49" s="47">
        <f t="shared" si="8"/>
        <v>1.2733263701155075</v>
      </c>
      <c r="F49" s="48">
        <f t="shared" si="7"/>
        <v>1.293268556005398</v>
      </c>
      <c r="G49" s="47">
        <f t="shared" si="9"/>
        <v>1.2733263701155073</v>
      </c>
      <c r="H49" s="43"/>
    </row>
    <row r="50" spans="2:8" ht="13.5" customHeight="1" x14ac:dyDescent="0.2">
      <c r="B50" s="50">
        <v>2001</v>
      </c>
      <c r="C50" s="49">
        <f t="shared" si="5"/>
        <v>1.1969529085872574</v>
      </c>
      <c r="D50" s="48">
        <f t="shared" si="6"/>
        <v>1.441943269994006</v>
      </c>
      <c r="E50" s="47">
        <f t="shared" si="8"/>
        <v>1.1149604336224095</v>
      </c>
      <c r="F50" s="48">
        <f t="shared" si="7"/>
        <v>1.441943269994006</v>
      </c>
      <c r="G50" s="47">
        <f t="shared" si="9"/>
        <v>1.1149604336224097</v>
      </c>
      <c r="H50" s="43"/>
    </row>
    <row r="51" spans="2:8" ht="13.5" customHeight="1" x14ac:dyDescent="0.2">
      <c r="B51" s="50">
        <v>2002</v>
      </c>
      <c r="C51" s="49">
        <f t="shared" si="5"/>
        <v>1.2929577464788731</v>
      </c>
      <c r="D51" s="48">
        <f t="shared" si="6"/>
        <v>1.5575982209043733</v>
      </c>
      <c r="E51" s="47">
        <f t="shared" si="8"/>
        <v>1.0802076984005398</v>
      </c>
      <c r="F51" s="48">
        <f t="shared" si="7"/>
        <v>1.5575982209043737</v>
      </c>
      <c r="G51" s="47">
        <f t="shared" si="9"/>
        <v>1.0802076984005398</v>
      </c>
      <c r="H51" s="43"/>
    </row>
    <row r="52" spans="2:8" ht="13.5" customHeight="1" x14ac:dyDescent="0.2">
      <c r="B52" s="50">
        <v>2003</v>
      </c>
      <c r="C52" s="49">
        <f t="shared" si="5"/>
        <v>1.4121813031161474</v>
      </c>
      <c r="D52" s="48">
        <f t="shared" si="6"/>
        <v>1.7012242598943061</v>
      </c>
      <c r="E52" s="47">
        <f t="shared" si="8"/>
        <v>1.0922099403185892</v>
      </c>
      <c r="F52" s="48">
        <f t="shared" si="7"/>
        <v>1.7012242598943061</v>
      </c>
      <c r="G52" s="47">
        <f t="shared" si="9"/>
        <v>1.0922099403185888</v>
      </c>
      <c r="H52" s="43"/>
    </row>
    <row r="53" spans="2:8" ht="13.5" customHeight="1" thickBot="1" x14ac:dyDescent="0.25">
      <c r="B53" s="46">
        <v>2004</v>
      </c>
      <c r="C53" s="45">
        <f t="shared" si="5"/>
        <v>1.3205962059620597</v>
      </c>
      <c r="D53" s="44">
        <f t="shared" si="6"/>
        <v>1.5908936750186216</v>
      </c>
      <c r="E53" s="44">
        <f t="shared" si="8"/>
        <v>0.93514636049068611</v>
      </c>
      <c r="F53" s="44">
        <f t="shared" si="7"/>
        <v>1.5908936750186213</v>
      </c>
      <c r="G53" s="44">
        <f t="shared" si="9"/>
        <v>0.93514636049068622</v>
      </c>
      <c r="H53" s="43"/>
    </row>
    <row r="54" spans="2:8" ht="13.5" customHeight="1" x14ac:dyDescent="0.2"/>
    <row r="55" spans="2:8" ht="13.5" customHeight="1" x14ac:dyDescent="0.2">
      <c r="B55" s="33"/>
      <c r="C55" s="34"/>
    </row>
    <row r="56" spans="2:8" ht="13.5" customHeight="1" x14ac:dyDescent="0.2">
      <c r="B56" s="33"/>
      <c r="C56" s="34"/>
    </row>
    <row r="57" spans="2:8" ht="13.5" customHeight="1" x14ac:dyDescent="0.2">
      <c r="B57" s="33"/>
      <c r="C57" s="34"/>
    </row>
    <row r="58" spans="2:8" ht="13.5" customHeight="1" x14ac:dyDescent="0.2">
      <c r="B58" s="33"/>
      <c r="C58" s="34"/>
    </row>
    <row r="59" spans="2:8" ht="13.5" customHeight="1" x14ac:dyDescent="0.2">
      <c r="B59" s="33"/>
      <c r="C59" s="34"/>
    </row>
    <row r="60" spans="2:8" ht="13.5" customHeight="1" x14ac:dyDescent="0.2">
      <c r="B60" s="33"/>
      <c r="C60" s="34"/>
    </row>
    <row r="61" spans="2:8" ht="13.5" customHeight="1" x14ac:dyDescent="0.2">
      <c r="B61" s="33"/>
      <c r="C61" s="34"/>
    </row>
    <row r="62" spans="2:8" ht="13.5" customHeight="1" x14ac:dyDescent="0.2">
      <c r="B62" s="33"/>
      <c r="C62" s="34"/>
    </row>
    <row r="63" spans="2:8" ht="13.5" customHeight="1" x14ac:dyDescent="0.2">
      <c r="B63" s="33"/>
      <c r="C63" s="34"/>
    </row>
    <row r="64" spans="2:8" ht="13.5" customHeight="1" x14ac:dyDescent="0.2">
      <c r="B64" s="33"/>
      <c r="C64" s="34"/>
    </row>
    <row r="65" spans="2:3" ht="13.5" customHeight="1" x14ac:dyDescent="0.2">
      <c r="B65" s="33"/>
      <c r="C65" s="34"/>
    </row>
    <row r="66" spans="2:3" ht="13.5" customHeight="1" x14ac:dyDescent="0.2"/>
    <row r="67" spans="2:3" ht="13.5" customHeight="1" x14ac:dyDescent="0.2">
      <c r="B67" s="33"/>
      <c r="C67" s="33"/>
    </row>
    <row r="68" spans="2:3" x14ac:dyDescent="0.2">
      <c r="B68" s="33"/>
      <c r="C68" s="33"/>
    </row>
    <row r="69" spans="2:3" x14ac:dyDescent="0.2">
      <c r="B69" s="33"/>
      <c r="C69" s="33"/>
    </row>
    <row r="70" spans="2:3" x14ac:dyDescent="0.2">
      <c r="B70" s="33"/>
      <c r="C70" s="37"/>
    </row>
    <row r="71" spans="2:3" x14ac:dyDescent="0.2">
      <c r="B71" s="33"/>
      <c r="C71" s="37"/>
    </row>
    <row r="72" spans="2:3" x14ac:dyDescent="0.2">
      <c r="B72" s="33"/>
      <c r="C72" s="37"/>
    </row>
    <row r="73" spans="2:3" x14ac:dyDescent="0.2">
      <c r="B73" s="33"/>
      <c r="C73" s="37"/>
    </row>
    <row r="74" spans="2:3" x14ac:dyDescent="0.2">
      <c r="B74" s="33"/>
      <c r="C74" s="37"/>
    </row>
    <row r="75" spans="2:3" x14ac:dyDescent="0.2">
      <c r="B75" s="33"/>
      <c r="C75" s="37"/>
    </row>
    <row r="76" spans="2:3" x14ac:dyDescent="0.2">
      <c r="B76" s="33"/>
      <c r="C76" s="37"/>
    </row>
    <row r="77" spans="2:3" x14ac:dyDescent="0.2">
      <c r="B77" s="33"/>
      <c r="C77" s="37"/>
    </row>
    <row r="78" spans="2:3" x14ac:dyDescent="0.2">
      <c r="B78" s="33"/>
      <c r="C78" s="37"/>
    </row>
    <row r="79" spans="2:3" x14ac:dyDescent="0.2">
      <c r="B79" s="33"/>
      <c r="C79" s="37"/>
    </row>
    <row r="86" spans="4:4" x14ac:dyDescent="0.2">
      <c r="D86" s="37"/>
    </row>
    <row r="87" spans="4:4" x14ac:dyDescent="0.2">
      <c r="D87" s="37"/>
    </row>
    <row r="88" spans="4:4" x14ac:dyDescent="0.2">
      <c r="D88" s="37"/>
    </row>
    <row r="89" spans="4:4" x14ac:dyDescent="0.2">
      <c r="D89" s="37"/>
    </row>
    <row r="90" spans="4:4" x14ac:dyDescent="0.2">
      <c r="D90" s="37"/>
    </row>
    <row r="91" spans="4:4" x14ac:dyDescent="0.2">
      <c r="D91" s="37"/>
    </row>
    <row r="92" spans="4:4" x14ac:dyDescent="0.2">
      <c r="D92" s="37"/>
    </row>
    <row r="93" spans="4:4" x14ac:dyDescent="0.2">
      <c r="D93" s="37"/>
    </row>
    <row r="94" spans="4:4" x14ac:dyDescent="0.2">
      <c r="D94" s="37"/>
    </row>
    <row r="95" spans="4:4" x14ac:dyDescent="0.2">
      <c r="D95" s="37"/>
    </row>
  </sheetData>
  <mergeCells count="17">
    <mergeCell ref="B2:G2"/>
    <mergeCell ref="B4:B5"/>
    <mergeCell ref="C4:C5"/>
    <mergeCell ref="D4:D5"/>
    <mergeCell ref="B16:G16"/>
    <mergeCell ref="B19:B20"/>
    <mergeCell ref="C19:C20"/>
    <mergeCell ref="D19:E19"/>
    <mergeCell ref="F19:F20"/>
    <mergeCell ref="G19:H19"/>
    <mergeCell ref="F43:G43"/>
    <mergeCell ref="B31:B32"/>
    <mergeCell ref="C31:C32"/>
    <mergeCell ref="D31:D32"/>
    <mergeCell ref="B43:B44"/>
    <mergeCell ref="C43:C44"/>
    <mergeCell ref="D43:E43"/>
  </mergeCells>
  <pageMargins left="0.74803149606299213" right="0.74803149606299213" top="0.98425196850393704" bottom="0.98425196850393704" header="0.51181102362204722" footer="0.51181102362204722"/>
  <pageSetup paperSize="9" scale="35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B3D3-4E3F-489A-9891-43E979624B82}">
  <sheetPr>
    <tabColor rgb="FF4F81BD"/>
  </sheetPr>
  <dimension ref="A1:R56"/>
  <sheetViews>
    <sheetView workbookViewId="0"/>
  </sheetViews>
  <sheetFormatPr defaultColWidth="9.140625" defaultRowHeight="13.5" customHeight="1" x14ac:dyDescent="0.2"/>
  <cols>
    <col min="1" max="1" width="2.5703125" style="250" customWidth="1"/>
    <col min="2" max="2" width="9.140625" style="263"/>
    <col min="3" max="9" width="13.5703125" style="250" customWidth="1"/>
    <col min="10" max="10" width="4.28515625" style="250" customWidth="1"/>
    <col min="11" max="11" width="9.140625" style="250"/>
    <col min="12" max="18" width="13.5703125" style="250" customWidth="1"/>
    <col min="19" max="16384" width="9.140625" style="250"/>
  </cols>
  <sheetData>
    <row r="1" spans="2:18" s="30" customFormat="1" ht="13.5" customHeight="1" thickBot="1" x14ac:dyDescent="0.25">
      <c r="B1" s="198"/>
    </row>
    <row r="2" spans="2:18" s="30" customFormat="1" ht="96" customHeight="1" thickBot="1" x14ac:dyDescent="0.25">
      <c r="B2" s="300" t="s">
        <v>6396</v>
      </c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  <c r="P2" s="301"/>
      <c r="Q2" s="301"/>
      <c r="R2" s="302"/>
    </row>
    <row r="3" spans="2:18" s="30" customFormat="1" ht="13.5" customHeight="1" thickBot="1" x14ac:dyDescent="0.25">
      <c r="B3" s="198"/>
    </row>
    <row r="4" spans="2:18" s="30" customFormat="1" thickBot="1" x14ac:dyDescent="0.25">
      <c r="B4" s="300" t="s">
        <v>6395</v>
      </c>
      <c r="C4" s="301"/>
      <c r="D4" s="301"/>
      <c r="E4" s="301"/>
      <c r="F4" s="301"/>
      <c r="G4" s="301"/>
      <c r="H4" s="301"/>
      <c r="I4" s="301"/>
      <c r="J4" s="301"/>
      <c r="K4" s="301"/>
      <c r="L4" s="301"/>
      <c r="M4" s="301"/>
      <c r="N4" s="301"/>
      <c r="O4" s="301"/>
      <c r="P4" s="301"/>
      <c r="Q4" s="301"/>
      <c r="R4" s="302"/>
    </row>
    <row r="5" spans="2:18" s="97" customFormat="1" ht="13.5" customHeight="1" thickBot="1" x14ac:dyDescent="0.25">
      <c r="B5" s="121"/>
      <c r="C5" s="98"/>
      <c r="D5" s="98"/>
      <c r="E5" s="98"/>
      <c r="F5" s="98"/>
      <c r="G5" s="98"/>
    </row>
    <row r="6" spans="2:18" s="30" customFormat="1" ht="13.5" customHeight="1" thickBot="1" x14ac:dyDescent="0.25">
      <c r="B6" s="198"/>
    </row>
    <row r="7" spans="2:18" s="30" customFormat="1" ht="13.5" customHeight="1" thickBot="1" x14ac:dyDescent="0.25">
      <c r="B7" s="297" t="s">
        <v>732</v>
      </c>
      <c r="C7" s="298"/>
      <c r="D7" s="298"/>
      <c r="E7" s="298"/>
      <c r="F7" s="298"/>
      <c r="G7" s="298"/>
      <c r="H7" s="298"/>
      <c r="I7" s="299"/>
      <c r="K7" s="297" t="s">
        <v>733</v>
      </c>
      <c r="L7" s="298"/>
      <c r="M7" s="298"/>
      <c r="N7" s="298"/>
      <c r="O7" s="298"/>
      <c r="P7" s="298"/>
      <c r="Q7" s="298"/>
      <c r="R7" s="299"/>
    </row>
    <row r="8" spans="2:18" s="30" customFormat="1" ht="6.75" customHeight="1" thickBot="1" x14ac:dyDescent="0.25">
      <c r="B8" s="198"/>
      <c r="K8" s="198"/>
    </row>
    <row r="9" spans="2:18" thickBot="1" x14ac:dyDescent="0.25">
      <c r="B9" s="247" t="s">
        <v>52</v>
      </c>
      <c r="C9" s="248" t="s">
        <v>6399</v>
      </c>
      <c r="D9" s="248" t="s">
        <v>6397</v>
      </c>
      <c r="E9" s="248" t="s">
        <v>6400</v>
      </c>
      <c r="F9" s="248" t="s">
        <v>6402</v>
      </c>
      <c r="G9" s="248" t="s">
        <v>6401</v>
      </c>
      <c r="H9" s="248" t="s">
        <v>6398</v>
      </c>
      <c r="I9" s="249" t="s">
        <v>44</v>
      </c>
      <c r="K9" s="247" t="s">
        <v>52</v>
      </c>
      <c r="L9" s="248" t="s">
        <v>6399</v>
      </c>
      <c r="M9" s="248" t="s">
        <v>6397</v>
      </c>
      <c r="N9" s="248" t="s">
        <v>6400</v>
      </c>
      <c r="O9" s="248" t="s">
        <v>6402</v>
      </c>
      <c r="P9" s="248" t="s">
        <v>6401</v>
      </c>
      <c r="Q9" s="248" t="s">
        <v>6398</v>
      </c>
      <c r="R9" s="249" t="s">
        <v>44</v>
      </c>
    </row>
    <row r="10" spans="2:18" ht="13.5" customHeight="1" x14ac:dyDescent="0.2">
      <c r="B10" s="251">
        <v>2013</v>
      </c>
      <c r="C10" s="252">
        <v>13648</v>
      </c>
      <c r="D10" s="252">
        <v>11493</v>
      </c>
      <c r="E10" s="252">
        <v>4255</v>
      </c>
      <c r="F10" s="252">
        <v>19727</v>
      </c>
      <c r="G10" s="252">
        <v>221876</v>
      </c>
      <c r="H10" s="252">
        <v>106830</v>
      </c>
      <c r="I10" s="253">
        <f t="shared" ref="I10:I22" si="0">SUM(C10:H10)</f>
        <v>377829</v>
      </c>
      <c r="K10" s="251">
        <v>2013</v>
      </c>
      <c r="L10" s="254">
        <f t="shared" ref="L10:R22" si="1">C10/$I10</f>
        <v>3.6122161083453098E-2</v>
      </c>
      <c r="M10" s="255">
        <f t="shared" si="1"/>
        <v>3.0418522665015126E-2</v>
      </c>
      <c r="N10" s="255">
        <f t="shared" si="1"/>
        <v>1.1261708338957571E-2</v>
      </c>
      <c r="O10" s="255">
        <f t="shared" si="1"/>
        <v>5.2211450153376263E-2</v>
      </c>
      <c r="P10" s="255">
        <f t="shared" si="1"/>
        <v>0.58723920080247938</v>
      </c>
      <c r="Q10" s="255">
        <f t="shared" si="1"/>
        <v>0.28274695695671853</v>
      </c>
      <c r="R10" s="256">
        <f t="shared" si="1"/>
        <v>1</v>
      </c>
    </row>
    <row r="11" spans="2:18" ht="13.5" customHeight="1" x14ac:dyDescent="0.2">
      <c r="B11" s="251">
        <v>2014</v>
      </c>
      <c r="C11" s="252">
        <v>13744</v>
      </c>
      <c r="D11" s="252">
        <v>15417</v>
      </c>
      <c r="E11" s="252">
        <v>4441</v>
      </c>
      <c r="F11" s="252">
        <v>21241</v>
      </c>
      <c r="G11" s="252">
        <v>191207</v>
      </c>
      <c r="H11" s="252">
        <v>83525</v>
      </c>
      <c r="I11" s="253">
        <f t="shared" si="0"/>
        <v>329575</v>
      </c>
      <c r="K11" s="251">
        <v>2014</v>
      </c>
      <c r="L11" s="254">
        <f t="shared" si="1"/>
        <v>4.1702192217249488E-2</v>
      </c>
      <c r="M11" s="255">
        <f t="shared" si="1"/>
        <v>4.6778426761738601E-2</v>
      </c>
      <c r="N11" s="255">
        <f t="shared" si="1"/>
        <v>1.3474929833876962E-2</v>
      </c>
      <c r="O11" s="255">
        <f t="shared" si="1"/>
        <v>6.4449670029583558E-2</v>
      </c>
      <c r="P11" s="255">
        <f t="shared" si="1"/>
        <v>0.58016233027383757</v>
      </c>
      <c r="Q11" s="255">
        <f t="shared" si="1"/>
        <v>0.25343245088371386</v>
      </c>
      <c r="R11" s="256">
        <f t="shared" si="1"/>
        <v>1</v>
      </c>
    </row>
    <row r="12" spans="2:18" ht="13.5" customHeight="1" x14ac:dyDescent="0.2">
      <c r="B12" s="251">
        <v>2015</v>
      </c>
      <c r="C12" s="252">
        <v>12806</v>
      </c>
      <c r="D12" s="252">
        <v>15790</v>
      </c>
      <c r="E12" s="252">
        <v>4511</v>
      </c>
      <c r="F12" s="252">
        <v>20283</v>
      </c>
      <c r="G12" s="252">
        <v>156097</v>
      </c>
      <c r="H12" s="252">
        <v>70626</v>
      </c>
      <c r="I12" s="253">
        <f t="shared" si="0"/>
        <v>280113</v>
      </c>
      <c r="K12" s="251">
        <v>2015</v>
      </c>
      <c r="L12" s="254">
        <f t="shared" si="1"/>
        <v>4.5717264104129407E-2</v>
      </c>
      <c r="M12" s="255">
        <f t="shared" si="1"/>
        <v>5.6370107777932478E-2</v>
      </c>
      <c r="N12" s="255">
        <f t="shared" si="1"/>
        <v>1.6104215084626561E-2</v>
      </c>
      <c r="O12" s="255">
        <f t="shared" si="1"/>
        <v>7.2410063081684892E-2</v>
      </c>
      <c r="P12" s="255">
        <f t="shared" si="1"/>
        <v>0.55726438972843106</v>
      </c>
      <c r="Q12" s="255">
        <f t="shared" si="1"/>
        <v>0.25213396022319562</v>
      </c>
      <c r="R12" s="256">
        <f t="shared" si="1"/>
        <v>1</v>
      </c>
    </row>
    <row r="13" spans="2:18" ht="13.5" customHeight="1" x14ac:dyDescent="0.2">
      <c r="B13" s="251">
        <v>2016</v>
      </c>
      <c r="C13" s="252">
        <v>11821</v>
      </c>
      <c r="D13" s="252">
        <v>18053</v>
      </c>
      <c r="E13" s="252">
        <v>4361</v>
      </c>
      <c r="F13" s="252">
        <v>18930</v>
      </c>
      <c r="G13" s="252">
        <v>147012</v>
      </c>
      <c r="H13" s="252">
        <v>90602</v>
      </c>
      <c r="I13" s="253">
        <f t="shared" si="0"/>
        <v>290779</v>
      </c>
      <c r="K13" s="251">
        <v>2016</v>
      </c>
      <c r="L13" s="254">
        <f t="shared" si="1"/>
        <v>4.0652866953940964E-2</v>
      </c>
      <c r="M13" s="255">
        <f t="shared" si="1"/>
        <v>6.2084951114076324E-2</v>
      </c>
      <c r="N13" s="255">
        <f t="shared" si="1"/>
        <v>1.4997644259042091E-2</v>
      </c>
      <c r="O13" s="255">
        <f t="shared" si="1"/>
        <v>6.5100987347779582E-2</v>
      </c>
      <c r="P13" s="255">
        <f t="shared" si="1"/>
        <v>0.50557983898424574</v>
      </c>
      <c r="Q13" s="255">
        <f t="shared" si="1"/>
        <v>0.31158371134091528</v>
      </c>
      <c r="R13" s="256">
        <f t="shared" si="1"/>
        <v>1</v>
      </c>
    </row>
    <row r="14" spans="2:18" ht="13.5" customHeight="1" x14ac:dyDescent="0.2">
      <c r="B14" s="251">
        <v>2017</v>
      </c>
      <c r="C14" s="252">
        <v>10901</v>
      </c>
      <c r="D14" s="252">
        <v>18962</v>
      </c>
      <c r="E14" s="252">
        <v>3994</v>
      </c>
      <c r="F14" s="252">
        <v>18426</v>
      </c>
      <c r="G14" s="252">
        <v>110903</v>
      </c>
      <c r="H14" s="252">
        <v>63266</v>
      </c>
      <c r="I14" s="253">
        <f t="shared" si="0"/>
        <v>226452</v>
      </c>
      <c r="K14" s="251">
        <v>2017</v>
      </c>
      <c r="L14" s="254">
        <f t="shared" si="1"/>
        <v>4.8138236800734813E-2</v>
      </c>
      <c r="M14" s="255">
        <f t="shared" si="1"/>
        <v>8.3735184498260118E-2</v>
      </c>
      <c r="N14" s="255">
        <f t="shared" si="1"/>
        <v>1.7637291788105205E-2</v>
      </c>
      <c r="O14" s="255">
        <f t="shared" si="1"/>
        <v>8.1368236977372693E-2</v>
      </c>
      <c r="P14" s="255">
        <f t="shared" si="1"/>
        <v>0.48974175542719872</v>
      </c>
      <c r="Q14" s="255">
        <f t="shared" si="1"/>
        <v>0.27937929450832849</v>
      </c>
      <c r="R14" s="256">
        <f t="shared" si="1"/>
        <v>1</v>
      </c>
    </row>
    <row r="15" spans="2:18" ht="13.5" customHeight="1" x14ac:dyDescent="0.2">
      <c r="B15" s="251">
        <v>2018</v>
      </c>
      <c r="C15" s="257">
        <v>8796</v>
      </c>
      <c r="D15" s="257">
        <v>19379</v>
      </c>
      <c r="E15" s="257">
        <v>3331</v>
      </c>
      <c r="F15" s="257">
        <v>18782</v>
      </c>
      <c r="G15" s="257">
        <v>91442</v>
      </c>
      <c r="H15" s="257">
        <v>58100</v>
      </c>
      <c r="I15" s="253">
        <f t="shared" si="0"/>
        <v>199830</v>
      </c>
      <c r="K15" s="251">
        <v>2018</v>
      </c>
      <c r="L15" s="254">
        <f t="shared" si="1"/>
        <v>4.4017414802582193E-2</v>
      </c>
      <c r="M15" s="255">
        <f t="shared" si="1"/>
        <v>9.6977430816193769E-2</v>
      </c>
      <c r="N15" s="255">
        <f t="shared" si="1"/>
        <v>1.6669168793474454E-2</v>
      </c>
      <c r="O15" s="255">
        <f t="shared" si="1"/>
        <v>9.3989891407696535E-2</v>
      </c>
      <c r="P15" s="255">
        <f t="shared" si="1"/>
        <v>0.45759895911524795</v>
      </c>
      <c r="Q15" s="255">
        <f t="shared" si="1"/>
        <v>0.2907471350648051</v>
      </c>
      <c r="R15" s="256">
        <f t="shared" si="1"/>
        <v>1</v>
      </c>
    </row>
    <row r="16" spans="2:18" ht="13.5" customHeight="1" x14ac:dyDescent="0.2">
      <c r="B16" s="251">
        <v>2019</v>
      </c>
      <c r="C16" s="257">
        <v>7230</v>
      </c>
      <c r="D16" s="257">
        <v>17000</v>
      </c>
      <c r="E16" s="257">
        <v>2657</v>
      </c>
      <c r="F16" s="257">
        <v>16232</v>
      </c>
      <c r="G16" s="257">
        <v>77319</v>
      </c>
      <c r="H16" s="257">
        <v>45210</v>
      </c>
      <c r="I16" s="253">
        <f t="shared" si="0"/>
        <v>165648</v>
      </c>
      <c r="K16" s="251">
        <v>2019</v>
      </c>
      <c r="L16" s="254">
        <f t="shared" si="1"/>
        <v>4.3646769052448568E-2</v>
      </c>
      <c r="M16" s="255">
        <f t="shared" si="1"/>
        <v>0.10262725779967159</v>
      </c>
      <c r="N16" s="255">
        <f t="shared" si="1"/>
        <v>1.6040036704336909E-2</v>
      </c>
      <c r="O16" s="255">
        <f t="shared" si="1"/>
        <v>9.7990920506133491E-2</v>
      </c>
      <c r="P16" s="255">
        <f t="shared" si="1"/>
        <v>0.46676687916545928</v>
      </c>
      <c r="Q16" s="255">
        <f t="shared" si="1"/>
        <v>0.27292813677195016</v>
      </c>
      <c r="R16" s="256">
        <f t="shared" si="1"/>
        <v>1</v>
      </c>
    </row>
    <row r="17" spans="2:18" ht="13.5" customHeight="1" x14ac:dyDescent="0.2">
      <c r="B17" s="258">
        <v>2020</v>
      </c>
      <c r="C17" s="257">
        <v>7633</v>
      </c>
      <c r="D17" s="257">
        <v>17309</v>
      </c>
      <c r="E17" s="257">
        <v>3222</v>
      </c>
      <c r="F17" s="257">
        <v>16367</v>
      </c>
      <c r="G17" s="257">
        <v>68876</v>
      </c>
      <c r="H17" s="257">
        <v>49009</v>
      </c>
      <c r="I17" s="259">
        <f t="shared" si="0"/>
        <v>162416</v>
      </c>
      <c r="K17" s="258">
        <v>2020</v>
      </c>
      <c r="L17" s="254">
        <f t="shared" si="1"/>
        <v>4.6996601320066986E-2</v>
      </c>
      <c r="M17" s="255">
        <f t="shared" si="1"/>
        <v>0.10657201260959512</v>
      </c>
      <c r="N17" s="255">
        <f t="shared" si="1"/>
        <v>1.9837947000295536E-2</v>
      </c>
      <c r="O17" s="255">
        <f t="shared" si="1"/>
        <v>0.10077209141956457</v>
      </c>
      <c r="P17" s="255">
        <f t="shared" si="1"/>
        <v>0.42407152004728599</v>
      </c>
      <c r="Q17" s="255">
        <f t="shared" si="1"/>
        <v>0.3017498276031918</v>
      </c>
      <c r="R17" s="256">
        <f t="shared" si="1"/>
        <v>1</v>
      </c>
    </row>
    <row r="18" spans="2:18" ht="13.5" customHeight="1" x14ac:dyDescent="0.2">
      <c r="B18" s="258">
        <v>2021</v>
      </c>
      <c r="C18" s="257">
        <v>6970</v>
      </c>
      <c r="D18" s="257">
        <v>14790</v>
      </c>
      <c r="E18" s="257">
        <v>3308</v>
      </c>
      <c r="F18" s="257">
        <v>16487</v>
      </c>
      <c r="G18" s="257">
        <v>60908</v>
      </c>
      <c r="H18" s="257">
        <v>51549</v>
      </c>
      <c r="I18" s="259">
        <f t="shared" si="0"/>
        <v>154012</v>
      </c>
      <c r="K18" s="258">
        <v>2021</v>
      </c>
      <c r="L18" s="254">
        <f t="shared" si="1"/>
        <v>4.5256213801521956E-2</v>
      </c>
      <c r="M18" s="255">
        <f t="shared" si="1"/>
        <v>9.6031478066644152E-2</v>
      </c>
      <c r="N18" s="255">
        <f t="shared" si="1"/>
        <v>2.1478845804223049E-2</v>
      </c>
      <c r="O18" s="255">
        <f t="shared" si="1"/>
        <v>0.10705009999220839</v>
      </c>
      <c r="P18" s="255">
        <f t="shared" si="1"/>
        <v>0.39547567721995691</v>
      </c>
      <c r="Q18" s="255">
        <f t="shared" si="1"/>
        <v>0.33470768511544557</v>
      </c>
      <c r="R18" s="256">
        <f t="shared" si="1"/>
        <v>1</v>
      </c>
    </row>
    <row r="19" spans="2:18" ht="13.5" customHeight="1" x14ac:dyDescent="0.2">
      <c r="B19" s="258">
        <v>2022</v>
      </c>
      <c r="C19" s="257">
        <v>7103</v>
      </c>
      <c r="D19" s="257">
        <v>15451</v>
      </c>
      <c r="E19" s="257">
        <v>3541</v>
      </c>
      <c r="F19" s="257">
        <v>17623</v>
      </c>
      <c r="G19" s="257">
        <v>72423</v>
      </c>
      <c r="H19" s="257">
        <v>51633</v>
      </c>
      <c r="I19" s="259">
        <f t="shared" si="0"/>
        <v>167774</v>
      </c>
      <c r="K19" s="258">
        <v>2022</v>
      </c>
      <c r="L19" s="254">
        <f t="shared" si="1"/>
        <v>4.2336714866427455E-2</v>
      </c>
      <c r="M19" s="255">
        <f t="shared" si="1"/>
        <v>9.2094126622718653E-2</v>
      </c>
      <c r="N19" s="255">
        <f t="shared" si="1"/>
        <v>2.1105773242576321E-2</v>
      </c>
      <c r="O19" s="255">
        <f t="shared" si="1"/>
        <v>0.10504011348599902</v>
      </c>
      <c r="P19" s="255">
        <f t="shared" si="1"/>
        <v>0.43166998462217032</v>
      </c>
      <c r="Q19" s="255">
        <f t="shared" si="1"/>
        <v>0.30775328716010825</v>
      </c>
      <c r="R19" s="256">
        <f t="shared" si="1"/>
        <v>1</v>
      </c>
    </row>
    <row r="20" spans="2:18" ht="13.5" customHeight="1" x14ac:dyDescent="0.2">
      <c r="B20" s="258">
        <v>2023</v>
      </c>
      <c r="C20" s="257">
        <v>6773</v>
      </c>
      <c r="D20" s="257">
        <v>14194</v>
      </c>
      <c r="E20" s="257">
        <v>3588</v>
      </c>
      <c r="F20" s="257">
        <v>16494</v>
      </c>
      <c r="G20" s="257">
        <v>77207</v>
      </c>
      <c r="H20" s="257">
        <v>59916</v>
      </c>
      <c r="I20" s="259">
        <f t="shared" si="0"/>
        <v>178172</v>
      </c>
      <c r="K20" s="258">
        <v>2023</v>
      </c>
      <c r="L20" s="254">
        <f t="shared" si="1"/>
        <v>3.801382933345307E-2</v>
      </c>
      <c r="M20" s="255">
        <f t="shared" si="1"/>
        <v>7.9664593763329822E-2</v>
      </c>
      <c r="N20" s="255">
        <f t="shared" si="1"/>
        <v>2.0137844330197788E-2</v>
      </c>
      <c r="O20" s="255">
        <f t="shared" si="1"/>
        <v>9.2573468333969428E-2</v>
      </c>
      <c r="P20" s="255">
        <f t="shared" si="1"/>
        <v>0.433328469119727</v>
      </c>
      <c r="Q20" s="255">
        <f t="shared" si="1"/>
        <v>0.33628179511932288</v>
      </c>
      <c r="R20" s="256">
        <f t="shared" si="1"/>
        <v>1</v>
      </c>
    </row>
    <row r="21" spans="2:18" ht="13.5" customHeight="1" x14ac:dyDescent="0.2">
      <c r="B21" s="258">
        <v>2024</v>
      </c>
      <c r="C21" s="257">
        <v>6572</v>
      </c>
      <c r="D21" s="257">
        <v>13553</v>
      </c>
      <c r="E21" s="257">
        <v>3588</v>
      </c>
      <c r="F21" s="257">
        <v>16352</v>
      </c>
      <c r="G21" s="257">
        <v>94685</v>
      </c>
      <c r="H21" s="257">
        <v>98720</v>
      </c>
      <c r="I21" s="259">
        <f t="shared" si="0"/>
        <v>233470</v>
      </c>
      <c r="K21" s="258">
        <v>2024</v>
      </c>
      <c r="L21" s="254">
        <f t="shared" si="1"/>
        <v>2.8149226881398037E-2</v>
      </c>
      <c r="M21" s="255">
        <f t="shared" si="1"/>
        <v>5.8050284833169145E-2</v>
      </c>
      <c r="N21" s="255">
        <f t="shared" si="1"/>
        <v>1.5368141517111406E-2</v>
      </c>
      <c r="O21" s="255">
        <f t="shared" si="1"/>
        <v>7.003897717051441E-2</v>
      </c>
      <c r="P21" s="255">
        <f t="shared" si="1"/>
        <v>0.4055553175996916</v>
      </c>
      <c r="Q21" s="255">
        <f t="shared" si="1"/>
        <v>0.42283805199811542</v>
      </c>
      <c r="R21" s="256">
        <f t="shared" si="1"/>
        <v>1</v>
      </c>
    </row>
    <row r="22" spans="2:18" ht="13.5" customHeight="1" thickBot="1" x14ac:dyDescent="0.25">
      <c r="B22" s="207">
        <v>2025</v>
      </c>
      <c r="C22" s="260">
        <v>6249</v>
      </c>
      <c r="D22" s="260">
        <v>12775</v>
      </c>
      <c r="E22" s="260">
        <v>3995</v>
      </c>
      <c r="F22" s="260">
        <v>16153</v>
      </c>
      <c r="G22" s="260">
        <v>85675</v>
      </c>
      <c r="H22" s="260">
        <v>61990</v>
      </c>
      <c r="I22" s="261">
        <f t="shared" si="0"/>
        <v>186837</v>
      </c>
      <c r="K22" s="207">
        <v>2025</v>
      </c>
      <c r="L22" s="273">
        <f t="shared" si="1"/>
        <v>3.3446265996563848E-2</v>
      </c>
      <c r="M22" s="262">
        <f t="shared" si="1"/>
        <v>6.8375107714210778E-2</v>
      </c>
      <c r="N22" s="262">
        <f t="shared" si="1"/>
        <v>2.1382274388905838E-2</v>
      </c>
      <c r="O22" s="262">
        <f t="shared" si="1"/>
        <v>8.645503834893517E-2</v>
      </c>
      <c r="P22" s="262">
        <f t="shared" si="1"/>
        <v>0.45855478304618463</v>
      </c>
      <c r="Q22" s="262">
        <f t="shared" si="1"/>
        <v>0.33178653050519974</v>
      </c>
      <c r="R22" s="262">
        <f t="shared" si="1"/>
        <v>1</v>
      </c>
    </row>
    <row r="23" spans="2:18" ht="13.5" customHeight="1" thickBot="1" x14ac:dyDescent="0.25"/>
    <row r="24" spans="2:18" s="30" customFormat="1" ht="13.5" customHeight="1" thickBot="1" x14ac:dyDescent="0.25">
      <c r="B24" s="297" t="s">
        <v>6440</v>
      </c>
      <c r="C24" s="298"/>
      <c r="D24" s="298"/>
      <c r="E24" s="298"/>
      <c r="F24" s="298"/>
      <c r="G24" s="298"/>
      <c r="H24" s="298"/>
      <c r="I24" s="299"/>
      <c r="K24" s="297" t="s">
        <v>6441</v>
      </c>
      <c r="L24" s="298"/>
      <c r="M24" s="298"/>
      <c r="N24" s="298"/>
      <c r="O24" s="298"/>
      <c r="P24" s="298"/>
      <c r="Q24" s="298"/>
      <c r="R24" s="299"/>
    </row>
    <row r="25" spans="2:18" s="30" customFormat="1" ht="6.75" customHeight="1" thickBot="1" x14ac:dyDescent="0.25">
      <c r="B25" s="198"/>
      <c r="K25" s="198"/>
    </row>
    <row r="26" spans="2:18" thickBot="1" x14ac:dyDescent="0.25">
      <c r="B26" s="247" t="s">
        <v>52</v>
      </c>
      <c r="C26" s="248" t="s">
        <v>6399</v>
      </c>
      <c r="D26" s="248" t="s">
        <v>6397</v>
      </c>
      <c r="E26" s="248" t="s">
        <v>6400</v>
      </c>
      <c r="F26" s="248" t="s">
        <v>6402</v>
      </c>
      <c r="G26" s="248" t="s">
        <v>6401</v>
      </c>
      <c r="H26" s="248" t="s">
        <v>6398</v>
      </c>
      <c r="I26" s="249" t="s">
        <v>44</v>
      </c>
      <c r="K26" s="247" t="s">
        <v>52</v>
      </c>
      <c r="L26" s="248" t="s">
        <v>6399</v>
      </c>
      <c r="M26" s="248" t="s">
        <v>6397</v>
      </c>
      <c r="N26" s="248" t="s">
        <v>6400</v>
      </c>
      <c r="O26" s="248" t="s">
        <v>6402</v>
      </c>
      <c r="P26" s="248" t="s">
        <v>6401</v>
      </c>
      <c r="Q26" s="248" t="s">
        <v>6398</v>
      </c>
      <c r="R26" s="249" t="s">
        <v>44</v>
      </c>
    </row>
    <row r="27" spans="2:18" ht="13.5" customHeight="1" x14ac:dyDescent="0.2">
      <c r="B27" s="251">
        <v>2013</v>
      </c>
      <c r="C27" s="256">
        <f t="shared" ref="C27:I38" si="2">C10/C$10</f>
        <v>1</v>
      </c>
      <c r="D27" s="256">
        <f t="shared" si="2"/>
        <v>1</v>
      </c>
      <c r="E27" s="256">
        <f t="shared" si="2"/>
        <v>1</v>
      </c>
      <c r="F27" s="256">
        <f t="shared" si="2"/>
        <v>1</v>
      </c>
      <c r="G27" s="256">
        <f t="shared" si="2"/>
        <v>1</v>
      </c>
      <c r="H27" s="256">
        <f t="shared" si="2"/>
        <v>1</v>
      </c>
      <c r="I27" s="256">
        <f t="shared" si="2"/>
        <v>1</v>
      </c>
      <c r="K27" s="251">
        <v>2013</v>
      </c>
      <c r="L27" s="255" cm="1">
        <f t="array" ref="L27:R39">L10:R22/L10:R10</f>
        <v>1</v>
      </c>
      <c r="M27" s="255">
        <v>1</v>
      </c>
      <c r="N27" s="255">
        <v>1</v>
      </c>
      <c r="O27" s="255">
        <v>1</v>
      </c>
      <c r="P27" s="255">
        <v>1</v>
      </c>
      <c r="Q27" s="255">
        <v>1</v>
      </c>
      <c r="R27" s="264">
        <v>1</v>
      </c>
    </row>
    <row r="28" spans="2:18" ht="13.5" customHeight="1" x14ac:dyDescent="0.2">
      <c r="B28" s="251">
        <v>2014</v>
      </c>
      <c r="C28" s="256">
        <f t="shared" si="2"/>
        <v>1.0070339976553342</v>
      </c>
      <c r="D28" s="256">
        <f t="shared" si="2"/>
        <v>1.3414252153484729</v>
      </c>
      <c r="E28" s="256">
        <f t="shared" si="2"/>
        <v>1.0437132784958871</v>
      </c>
      <c r="F28" s="256">
        <f t="shared" si="2"/>
        <v>1.0767476048055964</v>
      </c>
      <c r="G28" s="256">
        <f t="shared" si="2"/>
        <v>0.86177414411653352</v>
      </c>
      <c r="H28" s="256">
        <f t="shared" si="2"/>
        <v>0.78184966769634001</v>
      </c>
      <c r="I28" s="256">
        <f t="shared" si="2"/>
        <v>0.87228614002630822</v>
      </c>
      <c r="K28" s="251">
        <v>2014</v>
      </c>
      <c r="L28" s="256">
        <v>1.1544766693472417</v>
      </c>
      <c r="M28" s="256">
        <v>1.537827042979286</v>
      </c>
      <c r="N28" s="256">
        <v>1.1965262665579079</v>
      </c>
      <c r="O28" s="255">
        <v>1.2343972412230713</v>
      </c>
      <c r="P28" s="255">
        <v>0.98794891328955725</v>
      </c>
      <c r="Q28" s="255">
        <v>0.89632247013893773</v>
      </c>
      <c r="R28" s="264">
        <v>1</v>
      </c>
    </row>
    <row r="29" spans="2:18" ht="13.5" customHeight="1" x14ac:dyDescent="0.2">
      <c r="B29" s="251">
        <v>2015</v>
      </c>
      <c r="C29" s="256">
        <f t="shared" si="2"/>
        <v>0.93830597889800704</v>
      </c>
      <c r="D29" s="256">
        <f t="shared" si="2"/>
        <v>1.3738797528930653</v>
      </c>
      <c r="E29" s="256">
        <f t="shared" si="2"/>
        <v>1.0601645123384253</v>
      </c>
      <c r="F29" s="256">
        <f t="shared" si="2"/>
        <v>1.028184721447762</v>
      </c>
      <c r="G29" s="256">
        <f t="shared" si="2"/>
        <v>0.70353260379671523</v>
      </c>
      <c r="H29" s="256">
        <f t="shared" si="2"/>
        <v>0.66110643077787135</v>
      </c>
      <c r="I29" s="256">
        <f t="shared" si="2"/>
        <v>0.74137506649833651</v>
      </c>
      <c r="K29" s="251">
        <v>2015</v>
      </c>
      <c r="L29" s="256">
        <v>1.2656292628369805</v>
      </c>
      <c r="M29" s="256">
        <v>1.8531507397223048</v>
      </c>
      <c r="N29" s="256">
        <v>1.429997527898794</v>
      </c>
      <c r="O29" s="255">
        <v>1.3868617490794304</v>
      </c>
      <c r="P29" s="255">
        <v>0.94895638602959942</v>
      </c>
      <c r="Q29" s="255">
        <v>0.89173005763521274</v>
      </c>
      <c r="R29" s="264">
        <v>1</v>
      </c>
    </row>
    <row r="30" spans="2:18" ht="13.5" customHeight="1" x14ac:dyDescent="0.2">
      <c r="B30" s="251">
        <v>2016</v>
      </c>
      <c r="C30" s="256">
        <f t="shared" si="2"/>
        <v>0.86613423212192264</v>
      </c>
      <c r="D30" s="256">
        <f t="shared" si="2"/>
        <v>1.5707822152614634</v>
      </c>
      <c r="E30" s="256">
        <f t="shared" si="2"/>
        <v>1.0249118683901293</v>
      </c>
      <c r="F30" s="256">
        <f t="shared" si="2"/>
        <v>0.9595985197952045</v>
      </c>
      <c r="G30" s="256">
        <f t="shared" si="2"/>
        <v>0.66258630947015451</v>
      </c>
      <c r="H30" s="256">
        <f t="shared" si="2"/>
        <v>0.84809510437143121</v>
      </c>
      <c r="I30" s="256">
        <f t="shared" si="2"/>
        <v>0.76960476829465185</v>
      </c>
      <c r="K30" s="251">
        <v>2016</v>
      </c>
      <c r="L30" s="256">
        <v>1.1254273203649297</v>
      </c>
      <c r="M30" s="256">
        <v>2.041024536194235</v>
      </c>
      <c r="N30" s="256">
        <v>1.3317379395416249</v>
      </c>
      <c r="O30" s="255">
        <v>1.2468718481585752</v>
      </c>
      <c r="P30" s="255">
        <v>0.86094361257449481</v>
      </c>
      <c r="Q30" s="255">
        <v>1.1019878505309995</v>
      </c>
      <c r="R30" s="264">
        <v>1</v>
      </c>
    </row>
    <row r="31" spans="2:18" ht="13.5" customHeight="1" x14ac:dyDescent="0.2">
      <c r="B31" s="251">
        <v>2017</v>
      </c>
      <c r="C31" s="256">
        <f t="shared" si="2"/>
        <v>0.79872508792497066</v>
      </c>
      <c r="D31" s="256">
        <f t="shared" si="2"/>
        <v>1.6498738362481511</v>
      </c>
      <c r="E31" s="256">
        <f t="shared" si="2"/>
        <v>0.93866039952996472</v>
      </c>
      <c r="F31" s="256">
        <f t="shared" si="2"/>
        <v>0.93404977949003898</v>
      </c>
      <c r="G31" s="256">
        <f t="shared" si="2"/>
        <v>0.49984225423209361</v>
      </c>
      <c r="H31" s="256">
        <f t="shared" si="2"/>
        <v>0.59221192548909485</v>
      </c>
      <c r="I31" s="256">
        <f t="shared" si="2"/>
        <v>0.5993504998292879</v>
      </c>
      <c r="K31" s="251">
        <v>2017</v>
      </c>
      <c r="L31" s="256">
        <v>1.3326510750428511</v>
      </c>
      <c r="M31" s="256">
        <v>2.7527696009565057</v>
      </c>
      <c r="N31" s="256">
        <v>1.5661293346669805</v>
      </c>
      <c r="O31" s="255">
        <v>1.5584366405902441</v>
      </c>
      <c r="P31" s="255">
        <v>0.83397319994638031</v>
      </c>
      <c r="Q31" s="255">
        <v>0.98808948296159538</v>
      </c>
      <c r="R31" s="264">
        <v>1</v>
      </c>
    </row>
    <row r="32" spans="2:18" ht="13.5" customHeight="1" x14ac:dyDescent="0.2">
      <c r="B32" s="251">
        <v>2018</v>
      </c>
      <c r="C32" s="256">
        <f t="shared" si="2"/>
        <v>0.64449003516998826</v>
      </c>
      <c r="D32" s="256">
        <f t="shared" si="2"/>
        <v>1.6861567910902289</v>
      </c>
      <c r="E32" s="256">
        <f t="shared" si="2"/>
        <v>0.78284371327849589</v>
      </c>
      <c r="F32" s="256">
        <f t="shared" si="2"/>
        <v>0.95209611192781463</v>
      </c>
      <c r="G32" s="256">
        <f t="shared" si="2"/>
        <v>0.41213110025419603</v>
      </c>
      <c r="H32" s="256">
        <f t="shared" si="2"/>
        <v>0.54385472245623889</v>
      </c>
      <c r="I32" s="256">
        <f t="shared" si="2"/>
        <v>0.52889005343687223</v>
      </c>
      <c r="K32" s="251">
        <v>2018</v>
      </c>
      <c r="L32" s="256">
        <v>1.2185709127670594</v>
      </c>
      <c r="M32" s="256">
        <v>3.1881045599801334</v>
      </c>
      <c r="N32" s="256">
        <v>1.4801634256332925</v>
      </c>
      <c r="O32" s="255">
        <v>1.8001777604642659</v>
      </c>
      <c r="P32" s="255">
        <v>0.77923775948527574</v>
      </c>
      <c r="Q32" s="255">
        <v>1.0282944799625595</v>
      </c>
      <c r="R32" s="264">
        <v>1</v>
      </c>
    </row>
    <row r="33" spans="1:18" ht="13.5" customHeight="1" x14ac:dyDescent="0.2">
      <c r="B33" s="251">
        <v>2019</v>
      </c>
      <c r="C33" s="256">
        <f t="shared" si="2"/>
        <v>0.52974794841735051</v>
      </c>
      <c r="D33" s="256">
        <f t="shared" si="2"/>
        <v>1.4791612285739146</v>
      </c>
      <c r="E33" s="256">
        <f t="shared" si="2"/>
        <v>0.62444183313748536</v>
      </c>
      <c r="F33" s="256">
        <f t="shared" si="2"/>
        <v>0.82283165205048914</v>
      </c>
      <c r="G33" s="256">
        <f t="shared" si="2"/>
        <v>0.34847842939299428</v>
      </c>
      <c r="H33" s="256">
        <f t="shared" si="2"/>
        <v>0.42319573153608536</v>
      </c>
      <c r="I33" s="256">
        <f t="shared" si="2"/>
        <v>0.43842055533058605</v>
      </c>
      <c r="K33" s="251">
        <v>2019</v>
      </c>
      <c r="L33" s="256">
        <v>1.2083100164359313</v>
      </c>
      <c r="M33" s="256">
        <v>3.373840962950676</v>
      </c>
      <c r="N33" s="256">
        <v>1.424298713974832</v>
      </c>
      <c r="O33" s="255">
        <v>1.8768090182953268</v>
      </c>
      <c r="P33" s="255">
        <v>0.79484966011739133</v>
      </c>
      <c r="Q33" s="255">
        <v>0.96527347176269918</v>
      </c>
      <c r="R33" s="264">
        <v>1</v>
      </c>
    </row>
    <row r="34" spans="1:18" ht="13.5" customHeight="1" x14ac:dyDescent="0.2">
      <c r="B34" s="258">
        <v>2020</v>
      </c>
      <c r="C34" s="265">
        <f t="shared" si="2"/>
        <v>0.55927608440797183</v>
      </c>
      <c r="D34" s="265">
        <f t="shared" si="2"/>
        <v>1.5060471591403464</v>
      </c>
      <c r="E34" s="265">
        <f t="shared" si="2"/>
        <v>0.75722679200940068</v>
      </c>
      <c r="F34" s="265">
        <f t="shared" si="2"/>
        <v>0.82967506463222995</v>
      </c>
      <c r="G34" s="265">
        <f t="shared" si="2"/>
        <v>0.31042564315203086</v>
      </c>
      <c r="H34" s="265">
        <f t="shared" si="2"/>
        <v>0.45875690349152859</v>
      </c>
      <c r="I34" s="256">
        <f t="shared" si="2"/>
        <v>0.42986642105291017</v>
      </c>
      <c r="K34" s="258">
        <v>2020</v>
      </c>
      <c r="L34" s="256">
        <v>1.3010462250996182</v>
      </c>
      <c r="M34" s="256">
        <v>3.5035236189220145</v>
      </c>
      <c r="N34" s="256">
        <v>1.7615397596180169</v>
      </c>
      <c r="O34" s="255">
        <v>1.9300764702672815</v>
      </c>
      <c r="P34" s="255">
        <v>0.7221444335932955</v>
      </c>
      <c r="Q34" s="255">
        <v>1.067208046555147</v>
      </c>
      <c r="R34" s="264">
        <v>1</v>
      </c>
    </row>
    <row r="35" spans="1:18" ht="13.5" customHeight="1" x14ac:dyDescent="0.2">
      <c r="B35" s="258">
        <v>2021</v>
      </c>
      <c r="C35" s="265">
        <f t="shared" si="2"/>
        <v>0.51069753810082064</v>
      </c>
      <c r="D35" s="265">
        <f t="shared" si="2"/>
        <v>1.2868702688593057</v>
      </c>
      <c r="E35" s="265">
        <f t="shared" si="2"/>
        <v>0.77743830787309043</v>
      </c>
      <c r="F35" s="265">
        <f t="shared" si="2"/>
        <v>0.83575809803822176</v>
      </c>
      <c r="G35" s="265">
        <f t="shared" si="2"/>
        <v>0.27451369233265427</v>
      </c>
      <c r="H35" s="265">
        <f t="shared" si="2"/>
        <v>0.48253299634934005</v>
      </c>
      <c r="I35" s="256">
        <f t="shared" si="2"/>
        <v>0.40762355457098315</v>
      </c>
      <c r="K35" s="258">
        <v>2021</v>
      </c>
      <c r="L35" s="256">
        <v>1.2528656216599676</v>
      </c>
      <c r="M35" s="256">
        <v>3.1570066411243447</v>
      </c>
      <c r="N35" s="256">
        <v>1.907245788804651</v>
      </c>
      <c r="O35" s="255">
        <v>2.0503184584557261</v>
      </c>
      <c r="P35" s="255">
        <v>0.673449042025001</v>
      </c>
      <c r="Q35" s="255">
        <v>1.1837711313253176</v>
      </c>
      <c r="R35" s="264">
        <v>1</v>
      </c>
    </row>
    <row r="36" spans="1:18" ht="13.5" customHeight="1" x14ac:dyDescent="0.2">
      <c r="B36" s="258">
        <v>2022</v>
      </c>
      <c r="C36" s="265">
        <f t="shared" si="2"/>
        <v>0.52044255568581477</v>
      </c>
      <c r="D36" s="265">
        <f t="shared" si="2"/>
        <v>1.3443835378056208</v>
      </c>
      <c r="E36" s="265">
        <f t="shared" si="2"/>
        <v>0.83219741480611042</v>
      </c>
      <c r="F36" s="265">
        <f t="shared" si="2"/>
        <v>0.89334414761494396</v>
      </c>
      <c r="G36" s="265">
        <f t="shared" si="2"/>
        <v>0.32641204997385925</v>
      </c>
      <c r="H36" s="265">
        <f t="shared" si="2"/>
        <v>0.48331929233361415</v>
      </c>
      <c r="I36" s="256">
        <f t="shared" si="2"/>
        <v>0.44404743945012159</v>
      </c>
      <c r="K36" s="258">
        <v>2022</v>
      </c>
      <c r="L36" s="256">
        <v>1.1720426905969679</v>
      </c>
      <c r="M36" s="256">
        <v>3.0275673686361406</v>
      </c>
      <c r="N36" s="256">
        <v>1.8741182605098399</v>
      </c>
      <c r="O36" s="255">
        <v>2.0118214142191677</v>
      </c>
      <c r="P36" s="255">
        <v>0.73508373424710205</v>
      </c>
      <c r="Q36" s="255">
        <v>1.088440669609815</v>
      </c>
      <c r="R36" s="264">
        <v>1</v>
      </c>
    </row>
    <row r="37" spans="1:18" ht="13.5" customHeight="1" x14ac:dyDescent="0.2">
      <c r="B37" s="258">
        <v>2023</v>
      </c>
      <c r="C37" s="265">
        <f t="shared" si="2"/>
        <v>0.49626318874560377</v>
      </c>
      <c r="D37" s="265">
        <f t="shared" si="2"/>
        <v>1.2350126163751849</v>
      </c>
      <c r="E37" s="265">
        <f t="shared" si="2"/>
        <v>0.84324324324324329</v>
      </c>
      <c r="F37" s="265">
        <f t="shared" si="2"/>
        <v>0.8361129416535712</v>
      </c>
      <c r="G37" s="265">
        <f t="shared" si="2"/>
        <v>0.34797364293569383</v>
      </c>
      <c r="H37" s="265">
        <f t="shared" si="2"/>
        <v>0.56085369278292618</v>
      </c>
      <c r="I37" s="256">
        <f t="shared" si="2"/>
        <v>0.47156782565658012</v>
      </c>
      <c r="K37" s="258">
        <v>2023</v>
      </c>
      <c r="L37" s="256">
        <v>1.0523686344687309</v>
      </c>
      <c r="M37" s="256">
        <v>2.6189501259031709</v>
      </c>
      <c r="N37" s="256">
        <v>1.7881695852959576</v>
      </c>
      <c r="O37" s="255">
        <v>1.7730491695217385</v>
      </c>
      <c r="P37" s="255">
        <v>0.73790794028663464</v>
      </c>
      <c r="Q37" s="255">
        <v>1.1893383353752565</v>
      </c>
      <c r="R37" s="264">
        <v>1</v>
      </c>
    </row>
    <row r="38" spans="1:18" ht="13.5" customHeight="1" x14ac:dyDescent="0.2">
      <c r="B38" s="258">
        <v>2024</v>
      </c>
      <c r="C38" s="265">
        <f t="shared" si="2"/>
        <v>0.48153575615474797</v>
      </c>
      <c r="D38" s="265">
        <f t="shared" si="2"/>
        <v>1.179239537109545</v>
      </c>
      <c r="E38" s="265">
        <f t="shared" si="2"/>
        <v>0.84324324324324329</v>
      </c>
      <c r="F38" s="265">
        <f t="shared" si="2"/>
        <v>0.82891468545648095</v>
      </c>
      <c r="G38" s="265">
        <f t="shared" si="2"/>
        <v>0.42674737240620886</v>
      </c>
      <c r="H38" s="265">
        <f t="shared" si="2"/>
        <v>0.92408499485163342</v>
      </c>
      <c r="I38" s="256">
        <f t="shared" si="2"/>
        <v>0.61792504016367189</v>
      </c>
      <c r="K38" s="258">
        <v>2024</v>
      </c>
      <c r="L38" s="256">
        <v>0.77927859344751893</v>
      </c>
      <c r="M38" s="256">
        <v>1.9083860670174424</v>
      </c>
      <c r="N38" s="256">
        <v>1.3646367899573879</v>
      </c>
      <c r="O38" s="255">
        <v>1.3414486087777304</v>
      </c>
      <c r="P38" s="255">
        <v>0.69061349624733581</v>
      </c>
      <c r="Q38" s="255">
        <v>1.4954645544172604</v>
      </c>
      <c r="R38" s="264">
        <v>1</v>
      </c>
    </row>
    <row r="39" spans="1:18" ht="13.5" customHeight="1" thickBot="1" x14ac:dyDescent="0.25">
      <c r="B39" s="207">
        <v>2025</v>
      </c>
      <c r="C39" s="262">
        <f t="shared" ref="C39:I39" si="3">C22/C$10</f>
        <v>0.45786928487690504</v>
      </c>
      <c r="D39" s="262">
        <f t="shared" si="3"/>
        <v>1.1115461585312798</v>
      </c>
      <c r="E39" s="262">
        <f t="shared" si="3"/>
        <v>0.93889541715628677</v>
      </c>
      <c r="F39" s="262">
        <f t="shared" si="3"/>
        <v>0.81882698839154455</v>
      </c>
      <c r="G39" s="262">
        <f t="shared" si="3"/>
        <v>0.38613910472516177</v>
      </c>
      <c r="H39" s="262">
        <f t="shared" si="3"/>
        <v>0.58026771506131236</v>
      </c>
      <c r="I39" s="262">
        <f t="shared" si="3"/>
        <v>0.49450148082862883</v>
      </c>
      <c r="K39" s="207">
        <v>2025</v>
      </c>
      <c r="L39" s="262">
        <v>0.92592095803163255</v>
      </c>
      <c r="M39" s="262">
        <v>2.2478115872750841</v>
      </c>
      <c r="N39" s="262">
        <v>1.8986705875642547</v>
      </c>
      <c r="O39" s="262">
        <v>1.6558635719744426</v>
      </c>
      <c r="P39" s="262">
        <v>0.78086541637471785</v>
      </c>
      <c r="Q39" s="262">
        <v>1.1734397925137987</v>
      </c>
      <c r="R39" s="266">
        <v>1</v>
      </c>
    </row>
    <row r="40" spans="1:18" ht="13.5" customHeight="1" thickBot="1" x14ac:dyDescent="0.25"/>
    <row r="41" spans="1:18" ht="13.5" customHeight="1" thickBot="1" x14ac:dyDescent="0.25">
      <c r="A41" s="30"/>
      <c r="B41" s="297" t="s">
        <v>734</v>
      </c>
      <c r="C41" s="298"/>
      <c r="D41" s="298"/>
      <c r="E41" s="298"/>
      <c r="F41" s="298"/>
      <c r="G41" s="298"/>
      <c r="H41" s="298"/>
      <c r="I41" s="299"/>
      <c r="J41" s="30"/>
      <c r="K41" s="297" t="s">
        <v>718</v>
      </c>
      <c r="L41" s="298"/>
      <c r="M41" s="298"/>
      <c r="N41" s="298"/>
      <c r="O41" s="298"/>
      <c r="P41" s="298"/>
      <c r="Q41" s="298"/>
      <c r="R41" s="299"/>
    </row>
    <row r="42" spans="1:18" ht="6.75" customHeight="1" thickBot="1" x14ac:dyDescent="0.25">
      <c r="A42" s="30"/>
      <c r="B42" s="198"/>
      <c r="C42" s="30"/>
      <c r="D42" s="30"/>
      <c r="E42" s="30"/>
      <c r="F42" s="30"/>
      <c r="G42" s="30"/>
      <c r="H42" s="30"/>
      <c r="I42" s="30"/>
      <c r="J42" s="30"/>
      <c r="K42" s="198"/>
      <c r="L42" s="30"/>
      <c r="M42" s="30"/>
      <c r="N42" s="30"/>
      <c r="O42" s="30"/>
      <c r="P42" s="30"/>
      <c r="Q42" s="30"/>
      <c r="R42" s="30"/>
    </row>
    <row r="43" spans="1:18" thickBot="1" x14ac:dyDescent="0.25">
      <c r="B43" s="247" t="s">
        <v>52</v>
      </c>
      <c r="C43" s="248" t="s">
        <v>6399</v>
      </c>
      <c r="D43" s="248" t="s">
        <v>6397</v>
      </c>
      <c r="E43" s="248" t="s">
        <v>6400</v>
      </c>
      <c r="F43" s="248" t="s">
        <v>6402</v>
      </c>
      <c r="G43" s="248" t="s">
        <v>6401</v>
      </c>
      <c r="H43" s="248" t="s">
        <v>6398</v>
      </c>
      <c r="I43" s="249" t="s">
        <v>44</v>
      </c>
      <c r="K43" s="247" t="s">
        <v>52</v>
      </c>
      <c r="L43" s="248" t="s">
        <v>6399</v>
      </c>
      <c r="M43" s="248" t="s">
        <v>6397</v>
      </c>
      <c r="N43" s="248" t="s">
        <v>6400</v>
      </c>
      <c r="O43" s="248" t="s">
        <v>6402</v>
      </c>
      <c r="P43" s="248" t="s">
        <v>6401</v>
      </c>
      <c r="Q43" s="248" t="s">
        <v>6398</v>
      </c>
      <c r="R43" s="249" t="s">
        <v>44</v>
      </c>
    </row>
    <row r="44" spans="1:18" ht="13.5" customHeight="1" x14ac:dyDescent="0.2">
      <c r="B44" s="251">
        <v>2013</v>
      </c>
      <c r="C44" s="267"/>
      <c r="D44" s="267"/>
      <c r="E44" s="267"/>
      <c r="F44" s="267"/>
      <c r="G44" s="267"/>
      <c r="H44" s="267"/>
      <c r="I44" s="267"/>
      <c r="K44" s="251">
        <v>2013</v>
      </c>
      <c r="L44" s="267"/>
      <c r="M44" s="267"/>
      <c r="N44" s="267"/>
      <c r="O44" s="267"/>
      <c r="P44" s="267"/>
      <c r="Q44" s="267"/>
      <c r="R44" s="267"/>
    </row>
    <row r="45" spans="1:18" ht="13.5" customHeight="1" x14ac:dyDescent="0.2">
      <c r="B45" s="251">
        <v>2014</v>
      </c>
      <c r="C45" s="256">
        <f t="shared" ref="C45:I55" si="4">C11/C10</f>
        <v>1.0070339976553342</v>
      </c>
      <c r="D45" s="256">
        <f t="shared" si="4"/>
        <v>1.3414252153484729</v>
      </c>
      <c r="E45" s="256">
        <f t="shared" si="4"/>
        <v>1.0437132784958871</v>
      </c>
      <c r="F45" s="256">
        <f t="shared" si="4"/>
        <v>1.0767476048055964</v>
      </c>
      <c r="G45" s="256">
        <f t="shared" si="4"/>
        <v>0.86177414411653352</v>
      </c>
      <c r="H45" s="256">
        <f t="shared" si="4"/>
        <v>0.78184966769634001</v>
      </c>
      <c r="I45" s="256">
        <f t="shared" si="4"/>
        <v>0.87228614002630822</v>
      </c>
      <c r="K45" s="251">
        <v>2014</v>
      </c>
      <c r="L45" s="256" cm="1">
        <f t="array" ref="L45:R56">L11:R22/L10:R21</f>
        <v>1.1544766693472417</v>
      </c>
      <c r="M45" s="256">
        <v>1.537827042979286</v>
      </c>
      <c r="N45" s="256">
        <v>1.1965262665579079</v>
      </c>
      <c r="O45" s="256">
        <v>1.2343972412230713</v>
      </c>
      <c r="P45" s="256">
        <v>0.98794891328955725</v>
      </c>
      <c r="Q45" s="256">
        <v>0.89632247013893773</v>
      </c>
      <c r="R45" s="267">
        <v>1</v>
      </c>
    </row>
    <row r="46" spans="1:18" ht="13.5" customHeight="1" x14ac:dyDescent="0.2">
      <c r="B46" s="251">
        <v>2015</v>
      </c>
      <c r="C46" s="256">
        <f t="shared" si="4"/>
        <v>0.93175203725261935</v>
      </c>
      <c r="D46" s="256">
        <f t="shared" si="4"/>
        <v>1.0241940714795357</v>
      </c>
      <c r="E46" s="256">
        <f t="shared" si="4"/>
        <v>1.0157622157171808</v>
      </c>
      <c r="F46" s="256">
        <f t="shared" si="4"/>
        <v>0.95489854526623041</v>
      </c>
      <c r="G46" s="256">
        <f t="shared" si="4"/>
        <v>0.81637701548583474</v>
      </c>
      <c r="H46" s="256">
        <f t="shared" si="4"/>
        <v>0.84556719545046388</v>
      </c>
      <c r="I46" s="256">
        <f t="shared" si="4"/>
        <v>0.84992186907380718</v>
      </c>
      <c r="K46" s="251">
        <v>2015</v>
      </c>
      <c r="L46" s="256">
        <v>1.0962796359952305</v>
      </c>
      <c r="M46" s="256">
        <v>1.2050449679517479</v>
      </c>
      <c r="N46" s="256">
        <v>1.195124225741004</v>
      </c>
      <c r="O46" s="256">
        <v>1.1235133251799019</v>
      </c>
      <c r="P46" s="256">
        <v>0.96053183850354673</v>
      </c>
      <c r="Q46" s="256">
        <v>0.99487638360442621</v>
      </c>
      <c r="R46" s="267">
        <v>1</v>
      </c>
    </row>
    <row r="47" spans="1:18" ht="13.5" customHeight="1" x14ac:dyDescent="0.2">
      <c r="B47" s="251">
        <v>2016</v>
      </c>
      <c r="C47" s="256">
        <f t="shared" si="4"/>
        <v>0.92308292987662033</v>
      </c>
      <c r="D47" s="256">
        <f t="shared" si="4"/>
        <v>1.1433185560481318</v>
      </c>
      <c r="E47" s="256">
        <f t="shared" si="4"/>
        <v>0.96674794945688314</v>
      </c>
      <c r="F47" s="256">
        <f t="shared" si="4"/>
        <v>0.93329389143617802</v>
      </c>
      <c r="G47" s="256">
        <f t="shared" si="4"/>
        <v>0.94179900959019069</v>
      </c>
      <c r="H47" s="256">
        <f t="shared" si="4"/>
        <v>1.282842012856455</v>
      </c>
      <c r="I47" s="256">
        <f t="shared" si="4"/>
        <v>1.0380774901557586</v>
      </c>
      <c r="K47" s="251">
        <v>2016</v>
      </c>
      <c r="L47" s="256">
        <v>0.88922352967899931</v>
      </c>
      <c r="M47" s="256">
        <v>1.1013807416983699</v>
      </c>
      <c r="N47" s="256">
        <v>0.93128688236157331</v>
      </c>
      <c r="O47" s="256">
        <v>0.8990599452225303</v>
      </c>
      <c r="P47" s="256">
        <v>0.90725308902409407</v>
      </c>
      <c r="Q47" s="256">
        <v>1.235786369535834</v>
      </c>
      <c r="R47" s="267">
        <v>1</v>
      </c>
    </row>
    <row r="48" spans="1:18" ht="13.5" customHeight="1" x14ac:dyDescent="0.2">
      <c r="B48" s="251">
        <v>2017</v>
      </c>
      <c r="C48" s="256">
        <f t="shared" si="4"/>
        <v>0.92217240504187459</v>
      </c>
      <c r="D48" s="256">
        <f t="shared" si="4"/>
        <v>1.0503517420927271</v>
      </c>
      <c r="E48" s="256">
        <f t="shared" si="4"/>
        <v>0.91584498968126582</v>
      </c>
      <c r="F48" s="256">
        <f t="shared" si="4"/>
        <v>0.97337559429477016</v>
      </c>
      <c r="G48" s="256">
        <f t="shared" si="4"/>
        <v>0.75438059478137842</v>
      </c>
      <c r="H48" s="256">
        <f t="shared" si="4"/>
        <v>0.69828480607492105</v>
      </c>
      <c r="I48" s="256">
        <f t="shared" si="4"/>
        <v>0.77877700934386596</v>
      </c>
      <c r="K48" s="251">
        <v>2017</v>
      </c>
      <c r="L48" s="256">
        <v>1.1841289534456365</v>
      </c>
      <c r="M48" s="256">
        <v>1.3487195044158633</v>
      </c>
      <c r="N48" s="256">
        <v>1.1760041432821471</v>
      </c>
      <c r="O48" s="256">
        <v>1.2498771568961149</v>
      </c>
      <c r="P48" s="256">
        <v>0.96867342734855266</v>
      </c>
      <c r="Q48" s="256">
        <v>0.89664281006862157</v>
      </c>
      <c r="R48" s="267">
        <v>1</v>
      </c>
    </row>
    <row r="49" spans="2:18" ht="13.5" customHeight="1" x14ac:dyDescent="0.2">
      <c r="B49" s="251">
        <v>2018</v>
      </c>
      <c r="C49" s="256">
        <f t="shared" si="4"/>
        <v>0.80689844968351532</v>
      </c>
      <c r="D49" s="256">
        <f t="shared" si="4"/>
        <v>1.0219913511232992</v>
      </c>
      <c r="E49" s="256">
        <f t="shared" si="4"/>
        <v>0.83400100150225343</v>
      </c>
      <c r="F49" s="256">
        <f t="shared" si="4"/>
        <v>1.0193205253446218</v>
      </c>
      <c r="G49" s="256">
        <f t="shared" si="4"/>
        <v>0.82452233032469813</v>
      </c>
      <c r="H49" s="256">
        <f t="shared" si="4"/>
        <v>0.91834476654127017</v>
      </c>
      <c r="I49" s="256">
        <f t="shared" si="4"/>
        <v>0.88243866249801284</v>
      </c>
      <c r="K49" s="251">
        <v>2018</v>
      </c>
      <c r="L49" s="256">
        <v>0.9143960753026642</v>
      </c>
      <c r="M49" s="256">
        <v>1.158144349920299</v>
      </c>
      <c r="N49" s="256">
        <v>0.94510931688028976</v>
      </c>
      <c r="O49" s="256">
        <v>1.155117708078568</v>
      </c>
      <c r="P49" s="256">
        <v>0.93436786641989955</v>
      </c>
      <c r="Q49" s="256">
        <v>1.0406896315508367</v>
      </c>
      <c r="R49" s="267">
        <v>1</v>
      </c>
    </row>
    <row r="50" spans="2:18" ht="13.5" customHeight="1" x14ac:dyDescent="0.2">
      <c r="B50" s="251">
        <v>2019</v>
      </c>
      <c r="C50" s="256">
        <f t="shared" si="4"/>
        <v>0.82196452933151432</v>
      </c>
      <c r="D50" s="256">
        <f t="shared" si="4"/>
        <v>0.87723824758759483</v>
      </c>
      <c r="E50" s="256">
        <f t="shared" si="4"/>
        <v>0.79765836085259678</v>
      </c>
      <c r="F50" s="256">
        <f t="shared" si="4"/>
        <v>0.86423171121286335</v>
      </c>
      <c r="G50" s="256">
        <f t="shared" si="4"/>
        <v>0.84555237199536315</v>
      </c>
      <c r="H50" s="256">
        <f t="shared" si="4"/>
        <v>0.77814113597246126</v>
      </c>
      <c r="I50" s="256">
        <f t="shared" si="4"/>
        <v>0.82894460291247563</v>
      </c>
      <c r="K50" s="251">
        <v>2019</v>
      </c>
      <c r="L50" s="256">
        <v>0.99157956568335581</v>
      </c>
      <c r="M50" s="256">
        <v>1.058259194288063</v>
      </c>
      <c r="N50" s="256">
        <v>0.96225774080685811</v>
      </c>
      <c r="O50" s="256">
        <v>1.042568717108969</v>
      </c>
      <c r="P50" s="256">
        <v>1.0200348358919722</v>
      </c>
      <c r="Q50" s="256">
        <v>0.93871307351357658</v>
      </c>
      <c r="R50" s="267">
        <v>1</v>
      </c>
    </row>
    <row r="51" spans="2:18" ht="13.5" customHeight="1" x14ac:dyDescent="0.2">
      <c r="B51" s="258">
        <v>2020</v>
      </c>
      <c r="C51" s="256">
        <f t="shared" si="4"/>
        <v>1.0557399723374827</v>
      </c>
      <c r="D51" s="256">
        <f t="shared" si="4"/>
        <v>1.0181764705882352</v>
      </c>
      <c r="E51" s="256">
        <f t="shared" si="4"/>
        <v>1.2126458411742567</v>
      </c>
      <c r="F51" s="256">
        <f t="shared" si="4"/>
        <v>1.0083169048792509</v>
      </c>
      <c r="G51" s="256">
        <f t="shared" si="4"/>
        <v>0.89080303676974615</v>
      </c>
      <c r="H51" s="256">
        <f t="shared" si="4"/>
        <v>1.0840300818403008</v>
      </c>
      <c r="I51" s="256">
        <f t="shared" si="4"/>
        <v>0.98048874722302715</v>
      </c>
      <c r="K51" s="258">
        <v>2020</v>
      </c>
      <c r="L51" s="256">
        <v>1.0767486881696342</v>
      </c>
      <c r="M51" s="256">
        <v>1.0384376908678947</v>
      </c>
      <c r="N51" s="256">
        <v>1.2367769080560611</v>
      </c>
      <c r="O51" s="256">
        <v>1.0283819245606229</v>
      </c>
      <c r="P51" s="256">
        <v>0.90852958720098331</v>
      </c>
      <c r="Q51" s="256">
        <v>1.1056017571956098</v>
      </c>
      <c r="R51" s="267">
        <v>1</v>
      </c>
    </row>
    <row r="52" spans="2:18" ht="13.5" customHeight="1" x14ac:dyDescent="0.2">
      <c r="B52" s="258">
        <v>2021</v>
      </c>
      <c r="C52" s="256">
        <f t="shared" si="4"/>
        <v>0.9131403118040089</v>
      </c>
      <c r="D52" s="256">
        <f t="shared" si="4"/>
        <v>0.85446877347044892</v>
      </c>
      <c r="E52" s="256">
        <f t="shared" si="4"/>
        <v>1.0266914959652389</v>
      </c>
      <c r="F52" s="256">
        <f t="shared" si="4"/>
        <v>1.0073318262357183</v>
      </c>
      <c r="G52" s="256">
        <f t="shared" si="4"/>
        <v>0.88431383936349384</v>
      </c>
      <c r="H52" s="256">
        <f t="shared" si="4"/>
        <v>1.0518272154094146</v>
      </c>
      <c r="I52" s="256">
        <f t="shared" si="4"/>
        <v>0.9482563294256724</v>
      </c>
      <c r="K52" s="258">
        <v>2021</v>
      </c>
      <c r="L52" s="256">
        <v>0.96296780044386099</v>
      </c>
      <c r="M52" s="256">
        <v>0.90109472191761952</v>
      </c>
      <c r="N52" s="256">
        <v>1.0827151521224987</v>
      </c>
      <c r="O52" s="256">
        <v>1.0622990798762459</v>
      </c>
      <c r="P52" s="256">
        <v>0.93256834879140083</v>
      </c>
      <c r="Q52" s="256">
        <v>1.1092224568081415</v>
      </c>
      <c r="R52" s="267">
        <v>1</v>
      </c>
    </row>
    <row r="53" spans="2:18" ht="13.5" customHeight="1" x14ac:dyDescent="0.2">
      <c r="B53" s="258">
        <v>2022</v>
      </c>
      <c r="C53" s="256">
        <f t="shared" si="4"/>
        <v>1.0190817790530846</v>
      </c>
      <c r="D53" s="256">
        <f t="shared" si="4"/>
        <v>1.0446923597025017</v>
      </c>
      <c r="E53" s="256">
        <f t="shared" si="4"/>
        <v>1.0704353083434099</v>
      </c>
      <c r="F53" s="256">
        <f t="shared" si="4"/>
        <v>1.0689027718808759</v>
      </c>
      <c r="G53" s="256">
        <f t="shared" si="4"/>
        <v>1.1890556248768636</v>
      </c>
      <c r="H53" s="256">
        <f t="shared" si="4"/>
        <v>1.0016295175464121</v>
      </c>
      <c r="I53" s="256">
        <f t="shared" si="4"/>
        <v>1.0893566735059605</v>
      </c>
      <c r="K53" s="258">
        <v>2022</v>
      </c>
      <c r="L53" s="256">
        <v>0.93548954519486738</v>
      </c>
      <c r="M53" s="256">
        <v>0.95899936642448591</v>
      </c>
      <c r="N53" s="256">
        <v>0.98263069789469892</v>
      </c>
      <c r="O53" s="256">
        <v>0.98122387081977813</v>
      </c>
      <c r="P53" s="256">
        <v>1.0915209442376976</v>
      </c>
      <c r="Q53" s="256">
        <v>0.91946884056145783</v>
      </c>
      <c r="R53" s="267">
        <v>1</v>
      </c>
    </row>
    <row r="54" spans="2:18" ht="13.5" customHeight="1" x14ac:dyDescent="0.2">
      <c r="B54" s="258">
        <v>2023</v>
      </c>
      <c r="C54" s="256">
        <f t="shared" si="4"/>
        <v>0.95354075742643951</v>
      </c>
      <c r="D54" s="256">
        <f t="shared" si="4"/>
        <v>0.91864604232735747</v>
      </c>
      <c r="E54" s="256">
        <f t="shared" si="4"/>
        <v>1.0132730866986728</v>
      </c>
      <c r="F54" s="256">
        <f t="shared" si="4"/>
        <v>0.93593599273676442</v>
      </c>
      <c r="G54" s="256">
        <f t="shared" si="4"/>
        <v>1.0660563633099982</v>
      </c>
      <c r="H54" s="256">
        <f t="shared" si="4"/>
        <v>1.1604206612050434</v>
      </c>
      <c r="I54" s="256">
        <f t="shared" si="4"/>
        <v>1.0619762299283559</v>
      </c>
      <c r="K54" s="258">
        <v>2023</v>
      </c>
      <c r="L54" s="256">
        <v>0.89789274990718793</v>
      </c>
      <c r="M54" s="256">
        <v>0.86503446728683564</v>
      </c>
      <c r="N54" s="256">
        <v>0.95413913997588362</v>
      </c>
      <c r="O54" s="256">
        <v>0.88131538763339878</v>
      </c>
      <c r="P54" s="256">
        <v>1.0038420194978539</v>
      </c>
      <c r="Q54" s="256">
        <v>1.0926992794210926</v>
      </c>
      <c r="R54" s="267">
        <v>1</v>
      </c>
    </row>
    <row r="55" spans="2:18" ht="13.5" customHeight="1" x14ac:dyDescent="0.2">
      <c r="B55" s="258">
        <v>2024</v>
      </c>
      <c r="C55" s="256">
        <f t="shared" si="4"/>
        <v>0.97032334268418718</v>
      </c>
      <c r="D55" s="256">
        <f t="shared" si="4"/>
        <v>0.95484007327039599</v>
      </c>
      <c r="E55" s="256">
        <f t="shared" si="4"/>
        <v>1</v>
      </c>
      <c r="F55" s="256">
        <f t="shared" si="4"/>
        <v>0.99139080877894992</v>
      </c>
      <c r="G55" s="256">
        <f t="shared" si="4"/>
        <v>1.2263784371883379</v>
      </c>
      <c r="H55" s="256">
        <f t="shared" si="4"/>
        <v>1.6476400293744575</v>
      </c>
      <c r="I55" s="256">
        <f t="shared" si="4"/>
        <v>1.3103630200031431</v>
      </c>
      <c r="K55" s="258">
        <v>2024</v>
      </c>
      <c r="L55" s="256">
        <v>0.74049963855196377</v>
      </c>
      <c r="M55" s="256">
        <v>0.72868362331234415</v>
      </c>
      <c r="N55" s="256">
        <v>0.76314729943890003</v>
      </c>
      <c r="O55" s="256">
        <v>0.75657721840820258</v>
      </c>
      <c r="P55" s="256">
        <v>0.93590739243037879</v>
      </c>
      <c r="Q55" s="256">
        <v>1.2573920388645474</v>
      </c>
      <c r="R55" s="267">
        <v>1</v>
      </c>
    </row>
    <row r="56" spans="2:18" ht="13.5" customHeight="1" thickBot="1" x14ac:dyDescent="0.25">
      <c r="B56" s="207">
        <v>2025</v>
      </c>
      <c r="C56" s="262">
        <f t="shared" ref="C56:I56" si="5">C22/C16</f>
        <v>0.86431535269709547</v>
      </c>
      <c r="D56" s="262">
        <f t="shared" si="5"/>
        <v>0.75147058823529411</v>
      </c>
      <c r="E56" s="262">
        <f t="shared" si="5"/>
        <v>1.5035754610462928</v>
      </c>
      <c r="F56" s="262">
        <f t="shared" si="5"/>
        <v>0.99513307047806798</v>
      </c>
      <c r="G56" s="262">
        <f t="shared" si="5"/>
        <v>1.1080717546786689</v>
      </c>
      <c r="H56" s="262">
        <f t="shared" si="5"/>
        <v>1.3711568237115683</v>
      </c>
      <c r="I56" s="262">
        <f t="shared" si="5"/>
        <v>1.1279158215010141</v>
      </c>
      <c r="K56" s="207">
        <v>2025</v>
      </c>
      <c r="L56" s="262">
        <v>1.1881770727659406</v>
      </c>
      <c r="M56" s="262">
        <v>1.1778599865739534</v>
      </c>
      <c r="N56" s="262">
        <v>1.3913376815991767</v>
      </c>
      <c r="O56" s="262">
        <v>1.2343846503990885</v>
      </c>
      <c r="P56" s="262">
        <v>1.1306836901071207</v>
      </c>
      <c r="Q56" s="262">
        <v>0.78466573416783814</v>
      </c>
      <c r="R56" s="266">
        <v>1</v>
      </c>
    </row>
  </sheetData>
  <mergeCells count="8">
    <mergeCell ref="B41:I41"/>
    <mergeCell ref="K41:R41"/>
    <mergeCell ref="B2:R2"/>
    <mergeCell ref="B4:R4"/>
    <mergeCell ref="B7:I7"/>
    <mergeCell ref="K7:R7"/>
    <mergeCell ref="B24:I24"/>
    <mergeCell ref="K24:R24"/>
  </mergeCells>
  <conditionalFormatting sqref="C27:I39 L27:R39 C44:I56 L44:R56">
    <cfRule type="cellIs" dxfId="4" priority="6" stopIfTrue="1" operator="greaterThan">
      <formula>1</formula>
    </cfRule>
  </conditionalFormatting>
  <conditionalFormatting sqref="L10:Q10">
    <cfRule type="colorScale" priority="4">
      <colorScale>
        <cfvo type="min"/>
        <cfvo type="percentile" val="50"/>
        <cfvo type="max"/>
        <color theme="0"/>
        <color theme="4" tint="0.79998168889431442"/>
        <color theme="4" tint="0.59999389629810485"/>
      </colorScale>
    </cfRule>
  </conditionalFormatting>
  <conditionalFormatting sqref="L11:Q22">
    <cfRule type="colorScale" priority="1">
      <colorScale>
        <cfvo type="min"/>
        <cfvo type="percentile" val="50"/>
        <cfvo type="max"/>
        <color theme="0"/>
        <color theme="4" tint="0.79998168889431442"/>
        <color theme="4" tint="0.59999389629810485"/>
      </colorScale>
    </cfRule>
  </conditionalFormatting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FB633-DF97-4471-ADBF-EEB457F5FF71}">
  <sheetPr>
    <tabColor theme="4"/>
  </sheetPr>
  <dimension ref="B1:T586"/>
  <sheetViews>
    <sheetView zoomScaleNormal="100" workbookViewId="0"/>
  </sheetViews>
  <sheetFormatPr defaultColWidth="8.85546875" defaultRowHeight="12.75" x14ac:dyDescent="0.2"/>
  <cols>
    <col min="1" max="1" width="2.5703125" style="71" customWidth="1"/>
    <col min="2" max="5" width="11.140625" style="71" customWidth="1"/>
    <col min="6" max="6" width="8.85546875" style="71" customWidth="1"/>
    <col min="7" max="7" width="12.85546875" style="71" bestFit="1" customWidth="1"/>
    <col min="8" max="11" width="16.7109375" style="71" customWidth="1"/>
    <col min="12" max="12" width="8.85546875" style="71"/>
    <col min="13" max="16" width="10.5703125" style="71" customWidth="1"/>
    <col min="17" max="16384" width="8.85546875" style="71"/>
  </cols>
  <sheetData>
    <row r="1" spans="2:12" s="83" customFormat="1" ht="13.5" customHeight="1" thickBot="1" x14ac:dyDescent="0.25"/>
    <row r="2" spans="2:12" s="83" customFormat="1" ht="28.9" customHeight="1" thickBot="1" x14ac:dyDescent="0.25">
      <c r="B2" s="303" t="s">
        <v>78</v>
      </c>
      <c r="C2" s="304"/>
      <c r="D2" s="304"/>
      <c r="E2" s="304"/>
      <c r="F2" s="304"/>
      <c r="G2" s="304"/>
      <c r="H2" s="305"/>
    </row>
    <row r="3" spans="2:12" s="83" customFormat="1" ht="13.5" thickBot="1" x14ac:dyDescent="0.25"/>
    <row r="4" spans="2:12" s="83" customFormat="1" ht="54" customHeight="1" thickBot="1" x14ac:dyDescent="0.25">
      <c r="B4" s="303" t="s">
        <v>6461</v>
      </c>
      <c r="C4" s="304"/>
      <c r="D4" s="304"/>
      <c r="E4" s="304"/>
      <c r="F4" s="304"/>
      <c r="G4" s="304"/>
      <c r="H4" s="305"/>
    </row>
    <row r="5" spans="2:12" s="84" customFormat="1" ht="15.6" customHeight="1" thickBot="1" x14ac:dyDescent="0.25">
      <c r="B5" s="85"/>
      <c r="C5" s="85"/>
      <c r="D5" s="85"/>
      <c r="E5" s="85"/>
      <c r="F5" s="85"/>
      <c r="G5" s="85"/>
      <c r="H5" s="85"/>
      <c r="I5" s="85"/>
      <c r="J5" s="85"/>
      <c r="K5" s="85"/>
    </row>
    <row r="6" spans="2:12" s="83" customFormat="1" ht="13.5" thickBot="1" x14ac:dyDescent="0.25"/>
    <row r="7" spans="2:12" ht="26.25" thickBot="1" x14ac:dyDescent="0.25">
      <c r="B7" s="25" t="s">
        <v>5</v>
      </c>
      <c r="C7" s="82" t="s">
        <v>6</v>
      </c>
      <c r="D7" s="82" t="s">
        <v>9</v>
      </c>
      <c r="E7" s="81" t="s">
        <v>10</v>
      </c>
      <c r="G7" s="26" t="s">
        <v>11</v>
      </c>
      <c r="H7" s="27" t="s">
        <v>13</v>
      </c>
    </row>
    <row r="8" spans="2:12" x14ac:dyDescent="0.2">
      <c r="B8" s="80" t="s">
        <v>7</v>
      </c>
      <c r="C8" s="80">
        <v>8</v>
      </c>
      <c r="D8" s="80">
        <v>34</v>
      </c>
      <c r="E8" s="80">
        <v>153</v>
      </c>
      <c r="G8" s="28">
        <v>1</v>
      </c>
      <c r="H8" s="28">
        <v>210</v>
      </c>
    </row>
    <row r="9" spans="2:12" x14ac:dyDescent="0.2">
      <c r="B9" s="73" t="s">
        <v>8</v>
      </c>
      <c r="C9" s="73">
        <v>8</v>
      </c>
      <c r="D9" s="73">
        <v>49</v>
      </c>
      <c r="E9" s="73">
        <v>180</v>
      </c>
      <c r="G9" s="28">
        <v>2</v>
      </c>
      <c r="H9" s="28">
        <v>96</v>
      </c>
    </row>
    <row r="10" spans="2:12" x14ac:dyDescent="0.2">
      <c r="B10" s="73" t="s">
        <v>8</v>
      </c>
      <c r="C10" s="73">
        <v>4</v>
      </c>
      <c r="D10" s="73">
        <v>35</v>
      </c>
      <c r="E10" s="73">
        <v>154</v>
      </c>
      <c r="G10" s="28">
        <v>3</v>
      </c>
      <c r="H10" s="28">
        <v>68</v>
      </c>
    </row>
    <row r="11" spans="2:12" x14ac:dyDescent="0.2">
      <c r="B11" s="73" t="s">
        <v>7</v>
      </c>
      <c r="C11" s="73">
        <v>3</v>
      </c>
      <c r="D11" s="73">
        <v>37</v>
      </c>
      <c r="E11" s="73">
        <v>156</v>
      </c>
      <c r="G11" s="28">
        <v>4</v>
      </c>
      <c r="H11" s="28">
        <v>47</v>
      </c>
    </row>
    <row r="12" spans="2:12" x14ac:dyDescent="0.2">
      <c r="B12" s="73" t="s">
        <v>8</v>
      </c>
      <c r="C12" s="73">
        <v>3</v>
      </c>
      <c r="D12" s="73">
        <v>41</v>
      </c>
      <c r="E12" s="73">
        <v>226</v>
      </c>
      <c r="G12" s="28">
        <v>5</v>
      </c>
      <c r="H12" s="28">
        <v>42</v>
      </c>
      <c r="L12" s="404"/>
    </row>
    <row r="13" spans="2:12" x14ac:dyDescent="0.2">
      <c r="B13" s="73" t="s">
        <v>7</v>
      </c>
      <c r="C13" s="73">
        <v>1</v>
      </c>
      <c r="D13" s="73">
        <v>35</v>
      </c>
      <c r="E13" s="73">
        <v>172</v>
      </c>
      <c r="G13" s="28">
        <v>6</v>
      </c>
      <c r="H13" s="28">
        <v>29</v>
      </c>
    </row>
    <row r="14" spans="2:12" x14ac:dyDescent="0.2">
      <c r="B14" s="73" t="s">
        <v>8</v>
      </c>
      <c r="C14" s="73">
        <v>1</v>
      </c>
      <c r="D14" s="73">
        <v>58</v>
      </c>
      <c r="E14" s="73">
        <v>211</v>
      </c>
      <c r="G14" s="28">
        <v>7</v>
      </c>
      <c r="H14" s="28">
        <v>15</v>
      </c>
    </row>
    <row r="15" spans="2:12" x14ac:dyDescent="0.2">
      <c r="B15" s="73" t="s">
        <v>7</v>
      </c>
      <c r="C15" s="73">
        <v>1</v>
      </c>
      <c r="D15" s="73">
        <v>26</v>
      </c>
      <c r="E15" s="73">
        <v>197</v>
      </c>
      <c r="G15" s="28">
        <v>8</v>
      </c>
      <c r="H15" s="28">
        <v>11</v>
      </c>
    </row>
    <row r="16" spans="2:12" x14ac:dyDescent="0.2">
      <c r="B16" s="73" t="s">
        <v>7</v>
      </c>
      <c r="C16" s="73">
        <v>2</v>
      </c>
      <c r="D16" s="73">
        <v>53</v>
      </c>
      <c r="E16" s="73">
        <v>131</v>
      </c>
      <c r="G16" s="28">
        <v>9</v>
      </c>
      <c r="H16" s="28">
        <v>13</v>
      </c>
    </row>
    <row r="17" spans="2:8" x14ac:dyDescent="0.2">
      <c r="B17" s="73" t="s">
        <v>7</v>
      </c>
      <c r="C17" s="73">
        <v>7</v>
      </c>
      <c r="D17" s="73">
        <v>52</v>
      </c>
      <c r="E17" s="73">
        <v>151</v>
      </c>
      <c r="G17" s="28">
        <v>10</v>
      </c>
      <c r="H17" s="28">
        <v>14</v>
      </c>
    </row>
    <row r="18" spans="2:8" x14ac:dyDescent="0.2">
      <c r="B18" s="73" t="s">
        <v>7</v>
      </c>
      <c r="C18" s="73">
        <v>5</v>
      </c>
      <c r="D18" s="73">
        <v>38</v>
      </c>
      <c r="E18" s="73">
        <v>161</v>
      </c>
      <c r="G18" s="28">
        <v>11</v>
      </c>
      <c r="H18" s="28">
        <v>10</v>
      </c>
    </row>
    <row r="19" spans="2:8" x14ac:dyDescent="0.2">
      <c r="B19" s="73" t="s">
        <v>7</v>
      </c>
      <c r="C19" s="73">
        <v>1</v>
      </c>
      <c r="D19" s="73">
        <v>24</v>
      </c>
      <c r="E19" s="73">
        <v>231</v>
      </c>
      <c r="G19" s="28">
        <v>12</v>
      </c>
      <c r="H19" s="28">
        <v>4</v>
      </c>
    </row>
    <row r="20" spans="2:8" x14ac:dyDescent="0.2">
      <c r="B20" s="73" t="s">
        <v>7</v>
      </c>
      <c r="C20" s="73">
        <v>10</v>
      </c>
      <c r="D20" s="73">
        <v>38</v>
      </c>
      <c r="E20" s="73">
        <v>67</v>
      </c>
      <c r="G20" s="28">
        <v>14</v>
      </c>
      <c r="H20" s="28">
        <v>4</v>
      </c>
    </row>
    <row r="21" spans="2:8" x14ac:dyDescent="0.2">
      <c r="B21" s="73" t="s">
        <v>7</v>
      </c>
      <c r="C21" s="73">
        <v>2</v>
      </c>
      <c r="D21" s="73">
        <v>34</v>
      </c>
      <c r="E21" s="73">
        <v>147</v>
      </c>
      <c r="G21" s="28">
        <v>15</v>
      </c>
      <c r="H21" s="28">
        <v>2</v>
      </c>
    </row>
    <row r="22" spans="2:8" x14ac:dyDescent="0.2">
      <c r="B22" s="73" t="s">
        <v>7</v>
      </c>
      <c r="C22" s="73">
        <v>9</v>
      </c>
      <c r="D22" s="73">
        <v>53</v>
      </c>
      <c r="E22" s="73">
        <v>191</v>
      </c>
      <c r="G22" s="28">
        <v>16</v>
      </c>
      <c r="H22" s="28">
        <v>3</v>
      </c>
    </row>
    <row r="23" spans="2:8" x14ac:dyDescent="0.2">
      <c r="B23" s="73" t="s">
        <v>7</v>
      </c>
      <c r="C23" s="73">
        <v>9</v>
      </c>
      <c r="D23" s="73">
        <v>40</v>
      </c>
      <c r="E23" s="73">
        <v>148</v>
      </c>
      <c r="G23" s="28">
        <v>17</v>
      </c>
      <c r="H23" s="28">
        <v>3</v>
      </c>
    </row>
    <row r="24" spans="2:8" x14ac:dyDescent="0.2">
      <c r="B24" s="73" t="s">
        <v>7</v>
      </c>
      <c r="C24" s="73">
        <v>7</v>
      </c>
      <c r="D24" s="73">
        <v>36</v>
      </c>
      <c r="E24" s="73">
        <v>105</v>
      </c>
      <c r="G24" s="28">
        <v>18</v>
      </c>
      <c r="H24" s="28">
        <v>1</v>
      </c>
    </row>
    <row r="25" spans="2:8" x14ac:dyDescent="0.2">
      <c r="B25" s="73" t="s">
        <v>7</v>
      </c>
      <c r="C25" s="73">
        <v>3</v>
      </c>
      <c r="D25" s="73">
        <v>43</v>
      </c>
      <c r="E25" s="73">
        <v>167</v>
      </c>
      <c r="G25" s="28">
        <v>19</v>
      </c>
      <c r="H25" s="28">
        <v>1</v>
      </c>
    </row>
    <row r="26" spans="2:8" x14ac:dyDescent="0.2">
      <c r="B26" s="73" t="s">
        <v>7</v>
      </c>
      <c r="C26" s="73">
        <v>7</v>
      </c>
      <c r="D26" s="73">
        <v>41</v>
      </c>
      <c r="E26" s="73">
        <v>119</v>
      </c>
      <c r="G26" s="28">
        <v>20</v>
      </c>
      <c r="H26" s="28">
        <v>1</v>
      </c>
    </row>
    <row r="27" spans="2:8" x14ac:dyDescent="0.2">
      <c r="B27" s="73" t="s">
        <v>7</v>
      </c>
      <c r="C27" s="73">
        <v>3</v>
      </c>
      <c r="D27" s="73">
        <v>31</v>
      </c>
      <c r="E27" s="73">
        <v>162</v>
      </c>
      <c r="G27" s="28">
        <v>21</v>
      </c>
      <c r="H27" s="28">
        <v>1</v>
      </c>
    </row>
    <row r="28" spans="2:8" x14ac:dyDescent="0.2">
      <c r="B28" s="73" t="s">
        <v>7</v>
      </c>
      <c r="C28" s="73">
        <v>2</v>
      </c>
      <c r="D28" s="73">
        <v>37</v>
      </c>
      <c r="E28" s="73">
        <v>189</v>
      </c>
      <c r="G28" s="28">
        <v>23</v>
      </c>
      <c r="H28" s="28">
        <v>1</v>
      </c>
    </row>
    <row r="29" spans="2:8" x14ac:dyDescent="0.2">
      <c r="B29" s="73" t="s">
        <v>7</v>
      </c>
      <c r="C29" s="73">
        <v>2</v>
      </c>
      <c r="D29" s="73">
        <v>50</v>
      </c>
      <c r="E29" s="73">
        <v>169</v>
      </c>
      <c r="G29" s="28">
        <v>24</v>
      </c>
      <c r="H29" s="28">
        <v>1</v>
      </c>
    </row>
    <row r="30" spans="2:8" x14ac:dyDescent="0.2">
      <c r="B30" s="73" t="s">
        <v>7</v>
      </c>
      <c r="C30" s="73">
        <v>5</v>
      </c>
      <c r="D30" s="73">
        <v>45</v>
      </c>
      <c r="E30" s="73">
        <v>185</v>
      </c>
      <c r="G30" s="28">
        <v>25</v>
      </c>
      <c r="H30" s="28">
        <v>1</v>
      </c>
    </row>
    <row r="31" spans="2:8" x14ac:dyDescent="0.2">
      <c r="B31" s="73" t="s">
        <v>8</v>
      </c>
      <c r="C31" s="73">
        <v>11</v>
      </c>
      <c r="D31" s="73">
        <v>56</v>
      </c>
      <c r="E31" s="73">
        <v>188</v>
      </c>
      <c r="G31" s="28">
        <v>28</v>
      </c>
      <c r="H31" s="28">
        <v>1</v>
      </c>
    </row>
    <row r="32" spans="2:8" x14ac:dyDescent="0.2">
      <c r="B32" s="73" t="s">
        <v>8</v>
      </c>
      <c r="C32" s="73">
        <v>11</v>
      </c>
      <c r="D32" s="73">
        <v>56</v>
      </c>
      <c r="E32" s="73">
        <v>214</v>
      </c>
      <c r="G32" s="28" t="s">
        <v>12</v>
      </c>
      <c r="H32" s="28">
        <v>579</v>
      </c>
    </row>
    <row r="33" spans="2:18" x14ac:dyDescent="0.2">
      <c r="B33" s="73" t="s">
        <v>7</v>
      </c>
      <c r="C33" s="73">
        <v>12</v>
      </c>
      <c r="D33" s="73">
        <v>53</v>
      </c>
      <c r="E33" s="73">
        <v>182</v>
      </c>
      <c r="G33" s="29"/>
      <c r="H33" s="29"/>
    </row>
    <row r="34" spans="2:18" x14ac:dyDescent="0.2">
      <c r="B34" s="73" t="s">
        <v>7</v>
      </c>
      <c r="C34" s="73">
        <v>2</v>
      </c>
      <c r="D34" s="73">
        <v>45</v>
      </c>
      <c r="E34" s="73">
        <v>139</v>
      </c>
      <c r="G34" s="401" t="s">
        <v>77</v>
      </c>
      <c r="H34" s="402"/>
      <c r="I34" s="402"/>
      <c r="J34" s="402"/>
      <c r="K34" s="402"/>
      <c r="L34" s="402"/>
      <c r="M34" s="402"/>
      <c r="N34" s="402"/>
      <c r="O34" s="402"/>
      <c r="P34" s="402"/>
      <c r="Q34" s="402"/>
      <c r="R34" s="403"/>
    </row>
    <row r="35" spans="2:18" x14ac:dyDescent="0.2">
      <c r="B35" s="73" t="s">
        <v>8</v>
      </c>
      <c r="C35" s="73">
        <v>3</v>
      </c>
      <c r="D35" s="73">
        <v>35</v>
      </c>
      <c r="E35" s="73">
        <v>177</v>
      </c>
      <c r="G35" s="29"/>
      <c r="H35" s="29"/>
    </row>
    <row r="36" spans="2:18" x14ac:dyDescent="0.2">
      <c r="B36" s="73" t="s">
        <v>7</v>
      </c>
      <c r="C36" s="73">
        <v>1</v>
      </c>
      <c r="D36" s="73">
        <v>51</v>
      </c>
      <c r="E36" s="73">
        <v>129</v>
      </c>
      <c r="G36" s="75" t="s">
        <v>11</v>
      </c>
      <c r="H36" s="30" t="s">
        <v>76</v>
      </c>
    </row>
    <row r="37" spans="2:18" x14ac:dyDescent="0.2">
      <c r="B37" s="73" t="s">
        <v>8</v>
      </c>
      <c r="C37" s="73">
        <v>11</v>
      </c>
      <c r="D37" s="73">
        <v>29</v>
      </c>
      <c r="E37" s="73">
        <v>121</v>
      </c>
      <c r="G37" s="28" t="s">
        <v>75</v>
      </c>
      <c r="H37" s="28">
        <v>6</v>
      </c>
    </row>
    <row r="38" spans="2:18" x14ac:dyDescent="0.2">
      <c r="B38" s="73" t="s">
        <v>7</v>
      </c>
      <c r="C38" s="73">
        <v>6</v>
      </c>
      <c r="D38" s="73">
        <v>49</v>
      </c>
      <c r="E38" s="73">
        <v>189</v>
      </c>
      <c r="G38" s="28" t="s">
        <v>74</v>
      </c>
      <c r="H38" s="28">
        <v>32</v>
      </c>
    </row>
    <row r="39" spans="2:18" x14ac:dyDescent="0.2">
      <c r="B39" s="73" t="s">
        <v>7</v>
      </c>
      <c r="C39" s="73">
        <v>3</v>
      </c>
      <c r="D39" s="73">
        <v>51</v>
      </c>
      <c r="E39" s="73">
        <v>178</v>
      </c>
      <c r="G39" s="28" t="s">
        <v>73</v>
      </c>
      <c r="H39" s="28">
        <v>78</v>
      </c>
    </row>
    <row r="40" spans="2:18" x14ac:dyDescent="0.2">
      <c r="B40" s="73" t="s">
        <v>8</v>
      </c>
      <c r="C40" s="73">
        <v>1</v>
      </c>
      <c r="D40" s="73">
        <v>51</v>
      </c>
      <c r="E40" s="73">
        <v>133</v>
      </c>
      <c r="G40" s="28" t="s">
        <v>72</v>
      </c>
      <c r="H40" s="28">
        <v>135</v>
      </c>
    </row>
    <row r="41" spans="2:18" x14ac:dyDescent="0.2">
      <c r="B41" s="73" t="s">
        <v>7</v>
      </c>
      <c r="C41" s="73">
        <v>1</v>
      </c>
      <c r="D41" s="73">
        <v>41</v>
      </c>
      <c r="E41" s="73">
        <v>156</v>
      </c>
      <c r="G41" s="28" t="s">
        <v>71</v>
      </c>
      <c r="H41" s="28">
        <v>139</v>
      </c>
    </row>
    <row r="42" spans="2:18" x14ac:dyDescent="0.2">
      <c r="B42" s="73" t="s">
        <v>8</v>
      </c>
      <c r="C42" s="73">
        <v>1</v>
      </c>
      <c r="D42" s="73">
        <v>28</v>
      </c>
      <c r="E42" s="73">
        <v>186</v>
      </c>
      <c r="G42" s="28" t="s">
        <v>70</v>
      </c>
      <c r="H42" s="28">
        <v>97</v>
      </c>
    </row>
    <row r="43" spans="2:18" x14ac:dyDescent="0.2">
      <c r="B43" s="73" t="s">
        <v>8</v>
      </c>
      <c r="C43" s="73">
        <v>5</v>
      </c>
      <c r="D43" s="73">
        <v>49</v>
      </c>
      <c r="E43" s="73">
        <v>175</v>
      </c>
      <c r="G43" s="28" t="s">
        <v>69</v>
      </c>
      <c r="H43" s="28">
        <v>52</v>
      </c>
    </row>
    <row r="44" spans="2:18" x14ac:dyDescent="0.2">
      <c r="B44" s="73" t="s">
        <v>7</v>
      </c>
      <c r="C44" s="73">
        <v>7</v>
      </c>
      <c r="D44" s="73">
        <v>46</v>
      </c>
      <c r="E44" s="73">
        <v>210</v>
      </c>
      <c r="G44" s="28" t="s">
        <v>68</v>
      </c>
      <c r="H44" s="28">
        <v>20</v>
      </c>
    </row>
    <row r="45" spans="2:18" x14ac:dyDescent="0.2">
      <c r="B45" s="73" t="s">
        <v>8</v>
      </c>
      <c r="C45" s="73">
        <v>2</v>
      </c>
      <c r="D45" s="73">
        <v>47</v>
      </c>
      <c r="E45" s="73">
        <v>182</v>
      </c>
      <c r="G45" s="28" t="s">
        <v>67</v>
      </c>
      <c r="H45" s="28">
        <v>16</v>
      </c>
    </row>
    <row r="46" spans="2:18" x14ac:dyDescent="0.2">
      <c r="B46" s="73" t="s">
        <v>7</v>
      </c>
      <c r="C46" s="73">
        <v>2</v>
      </c>
      <c r="D46" s="73">
        <v>33</v>
      </c>
      <c r="E46" s="73">
        <v>134</v>
      </c>
      <c r="G46" s="28" t="s">
        <v>66</v>
      </c>
      <c r="H46" s="28">
        <v>2</v>
      </c>
    </row>
    <row r="47" spans="2:18" x14ac:dyDescent="0.2">
      <c r="B47" s="73" t="s">
        <v>7</v>
      </c>
      <c r="C47" s="73">
        <v>1</v>
      </c>
      <c r="D47" s="73">
        <v>28</v>
      </c>
      <c r="E47" s="73">
        <v>200</v>
      </c>
      <c r="G47" s="28" t="s">
        <v>65</v>
      </c>
      <c r="H47" s="28">
        <v>2</v>
      </c>
    </row>
    <row r="48" spans="2:18" x14ac:dyDescent="0.2">
      <c r="B48" s="73" t="s">
        <v>7</v>
      </c>
      <c r="C48" s="73">
        <v>2</v>
      </c>
      <c r="D48" s="73">
        <v>31</v>
      </c>
      <c r="E48" s="73">
        <v>164</v>
      </c>
      <c r="G48" s="28" t="s">
        <v>12</v>
      </c>
      <c r="H48" s="28">
        <v>579</v>
      </c>
    </row>
    <row r="49" spans="2:18" x14ac:dyDescent="0.2">
      <c r="B49" s="73" t="s">
        <v>8</v>
      </c>
      <c r="C49" s="73">
        <v>14</v>
      </c>
      <c r="D49" s="73">
        <v>25</v>
      </c>
      <c r="E49" s="73">
        <v>201</v>
      </c>
    </row>
    <row r="50" spans="2:18" x14ac:dyDescent="0.2">
      <c r="B50" s="73" t="s">
        <v>8</v>
      </c>
      <c r="C50" s="73">
        <v>1</v>
      </c>
      <c r="D50" s="73">
        <v>32</v>
      </c>
      <c r="E50" s="73">
        <v>228</v>
      </c>
      <c r="G50" s="79" t="s">
        <v>17</v>
      </c>
      <c r="H50" s="78">
        <v>10</v>
      </c>
    </row>
    <row r="51" spans="2:18" x14ac:dyDescent="0.2">
      <c r="B51" s="73" t="s">
        <v>7</v>
      </c>
      <c r="C51" s="73">
        <v>1</v>
      </c>
      <c r="D51" s="73">
        <v>30</v>
      </c>
      <c r="E51" s="73">
        <v>151</v>
      </c>
      <c r="G51" s="77" t="s">
        <v>18</v>
      </c>
      <c r="H51" s="73">
        <f>(MAX(E8:E586)-MIN(E8:E586)+1)/10</f>
        <v>22.2</v>
      </c>
    </row>
    <row r="52" spans="2:18" x14ac:dyDescent="0.2">
      <c r="B52" s="73" t="s">
        <v>8</v>
      </c>
      <c r="C52" s="73">
        <v>2</v>
      </c>
      <c r="D52" s="73">
        <v>46</v>
      </c>
      <c r="E52" s="73">
        <v>121</v>
      </c>
      <c r="G52" s="76" t="s">
        <v>64</v>
      </c>
      <c r="H52" s="73">
        <f>ROUND(H51,0)</f>
        <v>22</v>
      </c>
    </row>
    <row r="53" spans="2:18" x14ac:dyDescent="0.2">
      <c r="B53" s="73" t="s">
        <v>7</v>
      </c>
      <c r="C53" s="73">
        <v>3</v>
      </c>
      <c r="D53" s="73">
        <v>16</v>
      </c>
      <c r="E53" s="73">
        <v>258</v>
      </c>
      <c r="G53" s="74"/>
      <c r="H53" s="74"/>
    </row>
    <row r="54" spans="2:18" x14ac:dyDescent="0.2">
      <c r="B54" s="73" t="s">
        <v>7</v>
      </c>
      <c r="C54" s="73">
        <v>6</v>
      </c>
      <c r="D54" s="73">
        <v>36</v>
      </c>
      <c r="E54" s="73">
        <v>105</v>
      </c>
      <c r="G54" s="74"/>
      <c r="H54" s="74"/>
    </row>
    <row r="55" spans="2:18" x14ac:dyDescent="0.2">
      <c r="B55" s="73" t="s">
        <v>7</v>
      </c>
      <c r="C55" s="73">
        <v>2</v>
      </c>
      <c r="D55" s="73">
        <v>17</v>
      </c>
      <c r="E55" s="73">
        <v>128</v>
      </c>
      <c r="G55" s="74"/>
      <c r="H55" s="74"/>
    </row>
    <row r="56" spans="2:18" x14ac:dyDescent="0.2">
      <c r="B56" s="73" t="s">
        <v>7</v>
      </c>
      <c r="C56" s="73">
        <v>6</v>
      </c>
      <c r="D56" s="73">
        <v>45</v>
      </c>
      <c r="E56" s="73">
        <v>175</v>
      </c>
      <c r="G56" s="401" t="s">
        <v>63</v>
      </c>
      <c r="H56" s="402"/>
      <c r="I56" s="402"/>
      <c r="J56" s="402"/>
      <c r="K56" s="402"/>
      <c r="L56" s="402"/>
      <c r="M56" s="402"/>
      <c r="N56" s="402"/>
      <c r="O56" s="402"/>
      <c r="P56" s="402"/>
      <c r="Q56" s="402"/>
      <c r="R56" s="403"/>
    </row>
    <row r="57" spans="2:18" x14ac:dyDescent="0.2">
      <c r="B57" s="73" t="s">
        <v>7</v>
      </c>
      <c r="C57" s="73">
        <v>6</v>
      </c>
      <c r="D57" s="73">
        <v>40</v>
      </c>
      <c r="E57" s="73">
        <v>109</v>
      </c>
      <c r="G57" s="29"/>
      <c r="H57" s="29"/>
    </row>
    <row r="58" spans="2:18" x14ac:dyDescent="0.2">
      <c r="B58" s="73" t="s">
        <v>8</v>
      </c>
      <c r="C58" s="73">
        <v>4</v>
      </c>
      <c r="D58" s="73">
        <v>27</v>
      </c>
      <c r="E58" s="73">
        <v>156</v>
      </c>
      <c r="G58" s="75" t="s">
        <v>11</v>
      </c>
      <c r="H58" s="74" t="s">
        <v>14</v>
      </c>
    </row>
    <row r="59" spans="2:18" x14ac:dyDescent="0.2">
      <c r="B59" s="73" t="s">
        <v>7</v>
      </c>
      <c r="C59" s="73">
        <v>2</v>
      </c>
      <c r="D59" s="73">
        <v>30</v>
      </c>
      <c r="E59" s="73">
        <v>149</v>
      </c>
      <c r="G59" s="28" t="s">
        <v>6403</v>
      </c>
      <c r="H59" s="28">
        <v>6</v>
      </c>
    </row>
    <row r="60" spans="2:18" x14ac:dyDescent="0.2">
      <c r="B60" s="73" t="s">
        <v>7</v>
      </c>
      <c r="C60" s="73">
        <v>1</v>
      </c>
      <c r="D60" s="73">
        <v>12</v>
      </c>
      <c r="E60" s="73">
        <v>245</v>
      </c>
      <c r="G60" s="28" t="s">
        <v>6404</v>
      </c>
      <c r="H60" s="28">
        <v>86</v>
      </c>
    </row>
    <row r="61" spans="2:18" x14ac:dyDescent="0.2">
      <c r="B61" s="73" t="s">
        <v>7</v>
      </c>
      <c r="C61" s="73">
        <v>5</v>
      </c>
      <c r="D61" s="73">
        <v>21</v>
      </c>
      <c r="E61" s="73">
        <v>181</v>
      </c>
      <c r="G61" s="28" t="s">
        <v>6405</v>
      </c>
      <c r="H61" s="28">
        <v>144</v>
      </c>
    </row>
    <row r="62" spans="2:18" x14ac:dyDescent="0.2">
      <c r="B62" s="73" t="s">
        <v>7</v>
      </c>
      <c r="C62" s="73">
        <v>1</v>
      </c>
      <c r="D62" s="73">
        <v>33</v>
      </c>
      <c r="E62" s="73">
        <v>168</v>
      </c>
      <c r="G62" s="28" t="s">
        <v>6406</v>
      </c>
      <c r="H62" s="28">
        <v>192</v>
      </c>
    </row>
    <row r="63" spans="2:18" x14ac:dyDescent="0.2">
      <c r="B63" s="73" t="s">
        <v>7</v>
      </c>
      <c r="C63" s="73">
        <v>5</v>
      </c>
      <c r="D63" s="73">
        <v>41</v>
      </c>
      <c r="E63" s="73">
        <v>178</v>
      </c>
      <c r="G63" s="28" t="s">
        <v>6407</v>
      </c>
      <c r="H63" s="28">
        <v>94</v>
      </c>
    </row>
    <row r="64" spans="2:18" x14ac:dyDescent="0.2">
      <c r="B64" s="73" t="s">
        <v>8</v>
      </c>
      <c r="C64" s="73">
        <v>1</v>
      </c>
      <c r="D64" s="73">
        <v>17</v>
      </c>
      <c r="E64" s="73">
        <v>129</v>
      </c>
      <c r="G64" s="28" t="s">
        <v>6408</v>
      </c>
      <c r="H64" s="28">
        <v>46</v>
      </c>
    </row>
    <row r="65" spans="2:20" x14ac:dyDescent="0.2">
      <c r="B65" s="73" t="s">
        <v>7</v>
      </c>
      <c r="C65" s="73">
        <v>2</v>
      </c>
      <c r="D65" s="73">
        <v>25</v>
      </c>
      <c r="E65" s="73">
        <v>153</v>
      </c>
      <c r="G65" s="400" t="s">
        <v>6409</v>
      </c>
      <c r="H65" s="400">
        <v>10</v>
      </c>
    </row>
    <row r="66" spans="2:20" x14ac:dyDescent="0.2">
      <c r="B66" s="73" t="s">
        <v>8</v>
      </c>
      <c r="C66" s="73">
        <v>3</v>
      </c>
      <c r="D66" s="73">
        <v>36</v>
      </c>
      <c r="E66" s="73">
        <v>165</v>
      </c>
      <c r="G66" s="400" t="s">
        <v>6410</v>
      </c>
      <c r="H66" s="400">
        <v>1</v>
      </c>
    </row>
    <row r="67" spans="2:20" x14ac:dyDescent="0.2">
      <c r="B67" s="73" t="s">
        <v>8</v>
      </c>
      <c r="C67" s="73">
        <v>2</v>
      </c>
      <c r="D67" s="73">
        <v>51</v>
      </c>
      <c r="E67" s="73">
        <v>179</v>
      </c>
      <c r="G67" s="31" t="s">
        <v>12</v>
      </c>
      <c r="H67" s="28">
        <v>579</v>
      </c>
    </row>
    <row r="68" spans="2:20" x14ac:dyDescent="0.2">
      <c r="B68" s="73" t="s">
        <v>8</v>
      </c>
      <c r="C68" s="73">
        <v>6</v>
      </c>
      <c r="D68" s="73">
        <v>23</v>
      </c>
      <c r="E68" s="73">
        <v>229</v>
      </c>
      <c r="G68" s="29"/>
      <c r="H68" s="29"/>
    </row>
    <row r="69" spans="2:20" x14ac:dyDescent="0.2">
      <c r="B69" s="73" t="s">
        <v>7</v>
      </c>
      <c r="C69" s="73">
        <v>7</v>
      </c>
      <c r="D69" s="73">
        <v>37</v>
      </c>
      <c r="E69" s="73">
        <v>157</v>
      </c>
      <c r="G69" s="29"/>
      <c r="H69" s="29"/>
      <c r="S69" s="29"/>
      <c r="T69" s="29"/>
    </row>
    <row r="70" spans="2:20" x14ac:dyDescent="0.2">
      <c r="B70" s="73" t="s">
        <v>7</v>
      </c>
      <c r="C70" s="73">
        <v>1</v>
      </c>
      <c r="D70" s="73">
        <v>30</v>
      </c>
      <c r="E70" s="73">
        <v>101</v>
      </c>
      <c r="G70" s="29"/>
      <c r="H70" s="29"/>
    </row>
    <row r="71" spans="2:20" x14ac:dyDescent="0.2">
      <c r="B71" s="73" t="s">
        <v>7</v>
      </c>
      <c r="C71" s="73">
        <v>10</v>
      </c>
      <c r="D71" s="73">
        <v>40</v>
      </c>
      <c r="E71" s="73">
        <v>135</v>
      </c>
      <c r="G71" s="29"/>
      <c r="H71" s="29"/>
    </row>
    <row r="72" spans="2:20" x14ac:dyDescent="0.2">
      <c r="B72" s="73" t="s">
        <v>7</v>
      </c>
      <c r="C72" s="73">
        <v>1</v>
      </c>
      <c r="D72" s="73">
        <v>35</v>
      </c>
      <c r="E72" s="73">
        <v>188</v>
      </c>
      <c r="G72" s="29"/>
      <c r="H72" s="29"/>
    </row>
    <row r="73" spans="2:20" x14ac:dyDescent="0.2">
      <c r="B73" s="73" t="s">
        <v>7</v>
      </c>
      <c r="C73" s="73">
        <v>1</v>
      </c>
      <c r="D73" s="73">
        <v>33</v>
      </c>
      <c r="E73" s="73">
        <v>136</v>
      </c>
      <c r="G73" s="29"/>
      <c r="H73" s="29"/>
    </row>
    <row r="74" spans="2:20" x14ac:dyDescent="0.2">
      <c r="B74" s="73" t="s">
        <v>7</v>
      </c>
      <c r="C74" s="73">
        <v>4</v>
      </c>
      <c r="D74" s="73">
        <v>27</v>
      </c>
      <c r="E74" s="73">
        <v>177</v>
      </c>
      <c r="G74" s="29"/>
      <c r="H74" s="29"/>
    </row>
    <row r="75" spans="2:20" x14ac:dyDescent="0.2">
      <c r="B75" s="73" t="s">
        <v>7</v>
      </c>
      <c r="C75" s="73">
        <v>2</v>
      </c>
      <c r="D75" s="73">
        <v>37</v>
      </c>
      <c r="E75" s="73">
        <v>209</v>
      </c>
      <c r="G75" s="29"/>
      <c r="H75" s="29"/>
    </row>
    <row r="76" spans="2:20" x14ac:dyDescent="0.2">
      <c r="B76" s="73" t="s">
        <v>7</v>
      </c>
      <c r="C76" s="73">
        <v>1</v>
      </c>
      <c r="D76" s="73">
        <v>19</v>
      </c>
      <c r="E76" s="73">
        <v>162</v>
      </c>
      <c r="G76" s="74"/>
      <c r="H76" s="74"/>
    </row>
    <row r="77" spans="2:20" x14ac:dyDescent="0.2">
      <c r="B77" s="73" t="s">
        <v>8</v>
      </c>
      <c r="C77" s="73">
        <v>1</v>
      </c>
      <c r="D77" s="73">
        <v>26</v>
      </c>
      <c r="E77" s="73">
        <v>161</v>
      </c>
    </row>
    <row r="78" spans="2:20" x14ac:dyDescent="0.2">
      <c r="B78" s="73" t="s">
        <v>8</v>
      </c>
      <c r="C78" s="73">
        <v>2</v>
      </c>
      <c r="D78" s="73">
        <v>22</v>
      </c>
      <c r="E78" s="73">
        <v>165</v>
      </c>
    </row>
    <row r="79" spans="2:20" x14ac:dyDescent="0.2">
      <c r="B79" s="73" t="s">
        <v>8</v>
      </c>
      <c r="C79" s="73">
        <v>1</v>
      </c>
      <c r="D79" s="73">
        <v>14</v>
      </c>
      <c r="E79" s="73">
        <v>128</v>
      </c>
    </row>
    <row r="80" spans="2:20" x14ac:dyDescent="0.2">
      <c r="B80" s="73" t="s">
        <v>7</v>
      </c>
      <c r="C80" s="73">
        <v>1</v>
      </c>
      <c r="D80" s="73">
        <v>40</v>
      </c>
      <c r="E80" s="73">
        <v>85</v>
      </c>
    </row>
    <row r="81" spans="2:11" x14ac:dyDescent="0.2">
      <c r="B81" s="73" t="s">
        <v>8</v>
      </c>
      <c r="C81" s="73">
        <v>3</v>
      </c>
      <c r="D81" s="73">
        <v>39</v>
      </c>
      <c r="E81" s="73">
        <v>160</v>
      </c>
    </row>
    <row r="82" spans="2:11" x14ac:dyDescent="0.2">
      <c r="B82" s="73" t="s">
        <v>7</v>
      </c>
      <c r="C82" s="73">
        <v>1</v>
      </c>
      <c r="D82" s="73">
        <v>18</v>
      </c>
      <c r="E82" s="73">
        <v>119</v>
      </c>
    </row>
    <row r="83" spans="2:11" x14ac:dyDescent="0.2">
      <c r="B83" s="73" t="s">
        <v>8</v>
      </c>
      <c r="C83" s="73">
        <v>6</v>
      </c>
      <c r="D83" s="73">
        <v>23</v>
      </c>
      <c r="E83" s="73">
        <v>128</v>
      </c>
    </row>
    <row r="84" spans="2:11" x14ac:dyDescent="0.2">
      <c r="B84" s="73" t="s">
        <v>7</v>
      </c>
      <c r="C84" s="73">
        <v>4</v>
      </c>
      <c r="D84" s="73">
        <v>44</v>
      </c>
      <c r="E84" s="73">
        <v>138</v>
      </c>
    </row>
    <row r="85" spans="2:11" x14ac:dyDescent="0.2">
      <c r="B85" s="73" t="s">
        <v>8</v>
      </c>
      <c r="C85" s="73">
        <v>2</v>
      </c>
      <c r="D85" s="73">
        <v>16</v>
      </c>
      <c r="E85" s="73">
        <v>170</v>
      </c>
    </row>
    <row r="86" spans="2:11" x14ac:dyDescent="0.2">
      <c r="B86" s="73" t="s">
        <v>7</v>
      </c>
      <c r="C86" s="73">
        <v>1</v>
      </c>
      <c r="D86" s="73">
        <v>42</v>
      </c>
      <c r="E86" s="73">
        <v>102</v>
      </c>
    </row>
    <row r="87" spans="2:11" x14ac:dyDescent="0.2">
      <c r="B87" s="73" t="s">
        <v>7</v>
      </c>
      <c r="C87" s="73">
        <v>3</v>
      </c>
      <c r="D87" s="73">
        <v>38</v>
      </c>
      <c r="E87" s="73">
        <v>174</v>
      </c>
      <c r="G87" s="74"/>
      <c r="H87" s="74"/>
      <c r="I87" s="74"/>
      <c r="J87" s="74"/>
      <c r="K87" s="74"/>
    </row>
    <row r="88" spans="2:11" x14ac:dyDescent="0.2">
      <c r="B88" s="73" t="s">
        <v>7</v>
      </c>
      <c r="C88" s="73">
        <v>1</v>
      </c>
      <c r="D88" s="73">
        <v>27</v>
      </c>
      <c r="E88" s="73">
        <v>105</v>
      </c>
      <c r="G88" s="74"/>
      <c r="H88" s="74"/>
      <c r="I88" s="74"/>
      <c r="J88" s="74"/>
      <c r="K88" s="74"/>
    </row>
    <row r="89" spans="2:11" x14ac:dyDescent="0.2">
      <c r="B89" s="73" t="s">
        <v>7</v>
      </c>
      <c r="C89" s="73">
        <v>3</v>
      </c>
      <c r="D89" s="73">
        <v>18</v>
      </c>
      <c r="E89" s="73">
        <v>186</v>
      </c>
      <c r="G89" s="74"/>
      <c r="H89" s="74"/>
      <c r="I89" s="74"/>
      <c r="J89" s="74"/>
      <c r="K89" s="74"/>
    </row>
    <row r="90" spans="2:11" x14ac:dyDescent="0.2">
      <c r="B90" s="73" t="s">
        <v>7</v>
      </c>
      <c r="C90" s="73">
        <v>5</v>
      </c>
      <c r="D90" s="73">
        <v>39</v>
      </c>
      <c r="E90" s="73">
        <v>134</v>
      </c>
      <c r="G90" s="74"/>
      <c r="H90" s="74"/>
      <c r="I90" s="74"/>
      <c r="J90" s="74"/>
      <c r="K90" s="74"/>
    </row>
    <row r="91" spans="2:11" x14ac:dyDescent="0.2">
      <c r="B91" s="73" t="s">
        <v>7</v>
      </c>
      <c r="C91" s="73">
        <v>2</v>
      </c>
      <c r="D91" s="73">
        <v>34</v>
      </c>
      <c r="E91" s="73">
        <v>151</v>
      </c>
      <c r="G91" s="74"/>
      <c r="H91" s="74"/>
      <c r="I91" s="74"/>
      <c r="J91" s="74"/>
      <c r="K91" s="74"/>
    </row>
    <row r="92" spans="2:11" x14ac:dyDescent="0.2">
      <c r="B92" s="73" t="s">
        <v>8</v>
      </c>
      <c r="C92" s="73">
        <v>3</v>
      </c>
      <c r="D92" s="73">
        <v>15</v>
      </c>
      <c r="E92" s="73">
        <v>143</v>
      </c>
      <c r="G92" s="74"/>
      <c r="H92" s="74"/>
      <c r="I92" s="74"/>
      <c r="J92" s="74"/>
      <c r="K92" s="74"/>
    </row>
    <row r="93" spans="2:11" x14ac:dyDescent="0.2">
      <c r="B93" s="73" t="s">
        <v>7</v>
      </c>
      <c r="C93" s="73">
        <v>1</v>
      </c>
      <c r="D93" s="73">
        <v>34</v>
      </c>
      <c r="E93" s="73">
        <v>131</v>
      </c>
      <c r="G93" s="74"/>
      <c r="H93" s="74"/>
      <c r="I93" s="74"/>
      <c r="J93" s="74"/>
      <c r="K93" s="74"/>
    </row>
    <row r="94" spans="2:11" x14ac:dyDescent="0.2">
      <c r="B94" s="73" t="s">
        <v>7</v>
      </c>
      <c r="C94" s="73">
        <v>15</v>
      </c>
      <c r="D94" s="73">
        <v>44</v>
      </c>
      <c r="E94" s="73">
        <v>132</v>
      </c>
      <c r="G94" s="74"/>
      <c r="H94" s="74"/>
      <c r="I94" s="74"/>
      <c r="J94" s="74"/>
      <c r="K94" s="74"/>
    </row>
    <row r="95" spans="2:11" x14ac:dyDescent="0.2">
      <c r="B95" s="73" t="s">
        <v>7</v>
      </c>
      <c r="C95" s="73">
        <v>16</v>
      </c>
      <c r="D95" s="73">
        <v>44</v>
      </c>
      <c r="E95" s="73">
        <v>136</v>
      </c>
      <c r="G95" s="74"/>
      <c r="H95" s="74"/>
      <c r="I95" s="74"/>
      <c r="J95" s="74"/>
      <c r="K95" s="74"/>
    </row>
    <row r="96" spans="2:11" ht="13.5" thickBot="1" x14ac:dyDescent="0.25">
      <c r="B96" s="73" t="s">
        <v>7</v>
      </c>
      <c r="C96" s="73">
        <v>1</v>
      </c>
      <c r="D96" s="73">
        <v>43</v>
      </c>
      <c r="E96" s="73">
        <v>156</v>
      </c>
      <c r="G96" s="74"/>
      <c r="H96" s="74"/>
      <c r="I96" s="74"/>
      <c r="J96" s="74"/>
      <c r="K96" s="74"/>
    </row>
    <row r="97" spans="2:18" ht="15" thickBot="1" x14ac:dyDescent="0.25">
      <c r="B97" s="73" t="s">
        <v>7</v>
      </c>
      <c r="C97" s="73">
        <v>3</v>
      </c>
      <c r="D97" s="73">
        <v>34</v>
      </c>
      <c r="E97" s="73">
        <v>124</v>
      </c>
      <c r="G97" s="405" t="s">
        <v>31</v>
      </c>
      <c r="H97" s="396" t="s">
        <v>28</v>
      </c>
      <c r="I97" s="396" t="s">
        <v>6459</v>
      </c>
      <c r="J97" s="396" t="s">
        <v>6460</v>
      </c>
      <c r="K97" s="396" t="s">
        <v>6458</v>
      </c>
      <c r="M97" s="386" t="s">
        <v>6449</v>
      </c>
      <c r="N97" s="387" t="s">
        <v>6450</v>
      </c>
      <c r="O97" s="387" t="s">
        <v>6451</v>
      </c>
      <c r="P97" s="388" t="s">
        <v>6452</v>
      </c>
    </row>
    <row r="98" spans="2:18" x14ac:dyDescent="0.2">
      <c r="B98" s="73" t="s">
        <v>7</v>
      </c>
      <c r="C98" s="73">
        <v>2</v>
      </c>
      <c r="D98" s="73">
        <v>54</v>
      </c>
      <c r="E98" s="73">
        <v>155</v>
      </c>
      <c r="G98" s="396" t="s">
        <v>6403</v>
      </c>
      <c r="H98" s="406">
        <v>6</v>
      </c>
      <c r="I98" s="407">
        <v>1.0362694300518135E-2</v>
      </c>
      <c r="J98" s="406">
        <v>6</v>
      </c>
      <c r="K98" s="407">
        <v>1.0362694300518135E-2</v>
      </c>
      <c r="M98" s="391" cm="1">
        <f t="array" ref="M98:M106">H98:H106</f>
        <v>6</v>
      </c>
      <c r="N98" s="390" cm="1">
        <f t="array" ref="N98:N106">_xlfn.ANCHORARRAY(M98)/M106</f>
        <v>1.0362694300518135E-2</v>
      </c>
      <c r="O98" s="391">
        <f>M98</f>
        <v>6</v>
      </c>
      <c r="P98" s="390">
        <f>N98</f>
        <v>1.0362694300518135E-2</v>
      </c>
    </row>
    <row r="99" spans="2:18" x14ac:dyDescent="0.2">
      <c r="B99" s="73" t="s">
        <v>7</v>
      </c>
      <c r="C99" s="73">
        <v>1</v>
      </c>
      <c r="D99" s="73">
        <v>37</v>
      </c>
      <c r="E99" s="73">
        <v>122</v>
      </c>
      <c r="G99" s="396" t="s">
        <v>6404</v>
      </c>
      <c r="H99" s="406">
        <v>86</v>
      </c>
      <c r="I99" s="407">
        <v>0.14853195164075994</v>
      </c>
      <c r="J99" s="406">
        <v>86</v>
      </c>
      <c r="K99" s="407">
        <v>0.15889464594127806</v>
      </c>
      <c r="M99" s="391">
        <v>86</v>
      </c>
      <c r="N99" s="390">
        <v>0.14853195164075994</v>
      </c>
      <c r="O99" s="392">
        <f t="shared" ref="O99:P106" si="0">O98+M99</f>
        <v>92</v>
      </c>
      <c r="P99" s="393">
        <f t="shared" si="0"/>
        <v>0.15889464594127808</v>
      </c>
      <c r="R99" s="420"/>
    </row>
    <row r="100" spans="2:18" x14ac:dyDescent="0.2">
      <c r="B100" s="73" t="s">
        <v>7</v>
      </c>
      <c r="C100" s="73">
        <v>1</v>
      </c>
      <c r="D100" s="73">
        <v>27</v>
      </c>
      <c r="E100" s="73">
        <v>147</v>
      </c>
      <c r="G100" s="396" t="s">
        <v>6405</v>
      </c>
      <c r="H100" s="406">
        <v>144</v>
      </c>
      <c r="I100" s="407">
        <v>0.24870466321243523</v>
      </c>
      <c r="J100" s="406">
        <v>144</v>
      </c>
      <c r="K100" s="407">
        <v>0.40759930915371329</v>
      </c>
      <c r="M100" s="391">
        <v>144</v>
      </c>
      <c r="N100" s="390">
        <v>0.24870466321243523</v>
      </c>
      <c r="O100" s="392">
        <f t="shared" si="0"/>
        <v>236</v>
      </c>
      <c r="P100" s="393">
        <f t="shared" si="0"/>
        <v>0.40759930915371334</v>
      </c>
    </row>
    <row r="101" spans="2:18" x14ac:dyDescent="0.2">
      <c r="B101" s="73" t="s">
        <v>8</v>
      </c>
      <c r="C101" s="73">
        <v>4</v>
      </c>
      <c r="D101" s="73">
        <v>41</v>
      </c>
      <c r="E101" s="73">
        <v>160</v>
      </c>
      <c r="G101" s="396" t="s">
        <v>6406</v>
      </c>
      <c r="H101" s="406">
        <v>192</v>
      </c>
      <c r="I101" s="407">
        <v>0.33160621761658032</v>
      </c>
      <c r="J101" s="406">
        <v>192</v>
      </c>
      <c r="K101" s="407">
        <v>0.73920552677029361</v>
      </c>
      <c r="M101" s="391">
        <v>192</v>
      </c>
      <c r="N101" s="390">
        <v>0.33160621761658032</v>
      </c>
      <c r="O101" s="392">
        <f t="shared" si="0"/>
        <v>428</v>
      </c>
      <c r="P101" s="393">
        <f t="shared" si="0"/>
        <v>0.73920552677029372</v>
      </c>
    </row>
    <row r="102" spans="2:18" x14ac:dyDescent="0.2">
      <c r="B102" s="73" t="s">
        <v>8</v>
      </c>
      <c r="C102" s="73">
        <v>1</v>
      </c>
      <c r="D102" s="73">
        <v>33</v>
      </c>
      <c r="E102" s="73">
        <v>162</v>
      </c>
      <c r="G102" s="396" t="s">
        <v>6407</v>
      </c>
      <c r="H102" s="406">
        <v>94</v>
      </c>
      <c r="I102" s="407">
        <v>0.16234887737478412</v>
      </c>
      <c r="J102" s="406">
        <v>94</v>
      </c>
      <c r="K102" s="407">
        <v>0.9015544041450777</v>
      </c>
      <c r="M102" s="391">
        <v>94</v>
      </c>
      <c r="N102" s="390">
        <v>0.16234887737478412</v>
      </c>
      <c r="O102" s="392">
        <f t="shared" si="0"/>
        <v>522</v>
      </c>
      <c r="P102" s="393">
        <f t="shared" si="0"/>
        <v>0.90155440414507781</v>
      </c>
    </row>
    <row r="103" spans="2:18" x14ac:dyDescent="0.2">
      <c r="B103" s="73" t="s">
        <v>7</v>
      </c>
      <c r="C103" s="73">
        <v>1</v>
      </c>
      <c r="D103" s="73">
        <v>10</v>
      </c>
      <c r="E103" s="73">
        <v>106</v>
      </c>
      <c r="G103" s="396" t="s">
        <v>6408</v>
      </c>
      <c r="H103" s="406">
        <v>46</v>
      </c>
      <c r="I103" s="407">
        <v>7.9447322970639028E-2</v>
      </c>
      <c r="J103" s="406">
        <v>46</v>
      </c>
      <c r="K103" s="407">
        <v>0.98100172711571676</v>
      </c>
      <c r="M103" s="391">
        <v>46</v>
      </c>
      <c r="N103" s="390">
        <v>7.9447322970639028E-2</v>
      </c>
      <c r="O103" s="392">
        <f t="shared" si="0"/>
        <v>568</v>
      </c>
      <c r="P103" s="393">
        <f t="shared" si="0"/>
        <v>0.98100172711571687</v>
      </c>
    </row>
    <row r="104" spans="2:18" x14ac:dyDescent="0.2">
      <c r="B104" s="73" t="s">
        <v>7</v>
      </c>
      <c r="C104" s="73">
        <v>10</v>
      </c>
      <c r="D104" s="73">
        <v>35</v>
      </c>
      <c r="E104" s="73">
        <v>138</v>
      </c>
      <c r="G104" s="396" t="s">
        <v>6409</v>
      </c>
      <c r="H104" s="406">
        <v>10</v>
      </c>
      <c r="I104" s="407">
        <v>1.7271157167530225E-2</v>
      </c>
      <c r="J104" s="406">
        <v>10</v>
      </c>
      <c r="K104" s="407">
        <v>0.99827288428324701</v>
      </c>
      <c r="M104" s="391">
        <v>10</v>
      </c>
      <c r="N104" s="390">
        <v>1.7271157167530225E-2</v>
      </c>
      <c r="O104" s="392">
        <f t="shared" si="0"/>
        <v>578</v>
      </c>
      <c r="P104" s="393">
        <f t="shared" si="0"/>
        <v>0.99827288428324712</v>
      </c>
    </row>
    <row r="105" spans="2:18" ht="13.5" thickBot="1" x14ac:dyDescent="0.25">
      <c r="B105" s="73" t="s">
        <v>7</v>
      </c>
      <c r="C105" s="73">
        <v>1</v>
      </c>
      <c r="D105" s="73">
        <v>33</v>
      </c>
      <c r="E105" s="73">
        <v>143</v>
      </c>
      <c r="G105" s="396" t="s">
        <v>6410</v>
      </c>
      <c r="H105" s="406">
        <v>1</v>
      </c>
      <c r="I105" s="407">
        <v>1.7271157167530224E-3</v>
      </c>
      <c r="J105" s="406">
        <v>1</v>
      </c>
      <c r="K105" s="407">
        <v>1</v>
      </c>
      <c r="M105" s="414">
        <v>1</v>
      </c>
      <c r="N105" s="415">
        <v>1.7271157167530224E-3</v>
      </c>
      <c r="O105" s="416">
        <f t="shared" si="0"/>
        <v>579</v>
      </c>
      <c r="P105" s="417">
        <f t="shared" si="0"/>
        <v>1.0000000000000002</v>
      </c>
    </row>
    <row r="106" spans="2:18" ht="13.5" thickBot="1" x14ac:dyDescent="0.25">
      <c r="B106" s="73" t="s">
        <v>7</v>
      </c>
      <c r="C106" s="73">
        <v>17</v>
      </c>
      <c r="D106" s="73">
        <v>48</v>
      </c>
      <c r="E106" s="73">
        <v>209</v>
      </c>
      <c r="G106" s="396" t="s">
        <v>44</v>
      </c>
      <c r="H106" s="406">
        <v>579</v>
      </c>
      <c r="I106" s="407">
        <v>1</v>
      </c>
      <c r="J106" s="406">
        <v>579</v>
      </c>
      <c r="K106" s="407"/>
      <c r="M106" s="418">
        <v>579</v>
      </c>
      <c r="N106" s="419">
        <v>1</v>
      </c>
      <c r="O106" s="418"/>
      <c r="P106" s="419"/>
    </row>
    <row r="107" spans="2:18" x14ac:dyDescent="0.2">
      <c r="B107" s="73" t="s">
        <v>7</v>
      </c>
      <c r="C107" s="73">
        <v>2</v>
      </c>
      <c r="D107" s="73">
        <v>24</v>
      </c>
      <c r="E107" s="73">
        <v>211</v>
      </c>
      <c r="G107" s="74"/>
      <c r="H107" s="74"/>
      <c r="I107" s="74"/>
      <c r="J107" s="74"/>
      <c r="K107" s="74"/>
    </row>
    <row r="108" spans="2:18" x14ac:dyDescent="0.2">
      <c r="B108" s="73" t="s">
        <v>7</v>
      </c>
      <c r="C108" s="73">
        <v>1</v>
      </c>
      <c r="D108" s="73">
        <v>23</v>
      </c>
      <c r="E108" s="73">
        <v>228</v>
      </c>
      <c r="G108" s="74"/>
      <c r="H108" s="74"/>
      <c r="I108" s="74"/>
      <c r="J108" s="74"/>
      <c r="K108" s="74"/>
    </row>
    <row r="109" spans="2:18" x14ac:dyDescent="0.2">
      <c r="B109" s="73" t="s">
        <v>8</v>
      </c>
      <c r="C109" s="73">
        <v>2</v>
      </c>
      <c r="D109" s="73">
        <v>53</v>
      </c>
      <c r="E109" s="73">
        <v>174</v>
      </c>
      <c r="G109" s="74"/>
      <c r="H109" s="74"/>
      <c r="I109" s="74"/>
      <c r="J109" s="74"/>
      <c r="K109" s="74"/>
    </row>
    <row r="110" spans="2:18" x14ac:dyDescent="0.2">
      <c r="B110" s="73" t="s">
        <v>8</v>
      </c>
      <c r="C110" s="73">
        <v>5</v>
      </c>
      <c r="D110" s="73">
        <v>51</v>
      </c>
      <c r="E110" s="73">
        <v>197</v>
      </c>
      <c r="G110" s="74"/>
      <c r="H110" s="74"/>
      <c r="I110" s="74"/>
      <c r="J110" s="74"/>
      <c r="K110" s="74"/>
    </row>
    <row r="111" spans="2:18" x14ac:dyDescent="0.2">
      <c r="B111" s="73" t="s">
        <v>8</v>
      </c>
      <c r="C111" s="73">
        <v>5</v>
      </c>
      <c r="D111" s="73">
        <v>25</v>
      </c>
      <c r="E111" s="73">
        <v>164</v>
      </c>
      <c r="G111" s="74"/>
      <c r="H111" s="74"/>
      <c r="I111" s="74"/>
      <c r="J111" s="74"/>
      <c r="K111" s="74"/>
    </row>
    <row r="112" spans="2:18" x14ac:dyDescent="0.2">
      <c r="B112" s="73" t="s">
        <v>7</v>
      </c>
      <c r="C112" s="73">
        <v>3</v>
      </c>
      <c r="D112" s="73">
        <v>39</v>
      </c>
      <c r="E112" s="73">
        <v>181</v>
      </c>
      <c r="G112" s="74"/>
      <c r="H112" s="74"/>
      <c r="I112" s="74"/>
      <c r="J112" s="74"/>
      <c r="K112" s="74"/>
    </row>
    <row r="113" spans="2:11" x14ac:dyDescent="0.2">
      <c r="B113" s="73" t="s">
        <v>8</v>
      </c>
      <c r="C113" s="73">
        <v>2</v>
      </c>
      <c r="D113" s="73">
        <v>31</v>
      </c>
      <c r="E113" s="73">
        <v>150</v>
      </c>
      <c r="G113" s="74"/>
      <c r="H113" s="74"/>
      <c r="I113" s="74"/>
      <c r="J113" s="74"/>
      <c r="K113" s="74"/>
    </row>
    <row r="114" spans="2:11" x14ac:dyDescent="0.2">
      <c r="B114" s="73" t="s">
        <v>8</v>
      </c>
      <c r="C114" s="73">
        <v>1</v>
      </c>
      <c r="D114" s="73">
        <v>17</v>
      </c>
      <c r="E114" s="73">
        <v>125</v>
      </c>
      <c r="G114" s="74"/>
      <c r="H114" s="74"/>
      <c r="I114" s="74"/>
      <c r="J114" s="74"/>
      <c r="K114" s="74"/>
    </row>
    <row r="115" spans="2:11" x14ac:dyDescent="0.2">
      <c r="B115" s="73" t="s">
        <v>7</v>
      </c>
      <c r="C115" s="73">
        <v>2</v>
      </c>
      <c r="D115" s="73">
        <v>40</v>
      </c>
      <c r="E115" s="73">
        <v>123</v>
      </c>
      <c r="G115" s="74"/>
      <c r="H115" s="74"/>
      <c r="I115" s="74"/>
      <c r="J115" s="74"/>
      <c r="K115" s="74"/>
    </row>
    <row r="116" spans="2:11" x14ac:dyDescent="0.2">
      <c r="B116" s="73" t="s">
        <v>7</v>
      </c>
      <c r="C116" s="73">
        <v>4</v>
      </c>
      <c r="D116" s="73">
        <v>40</v>
      </c>
      <c r="E116" s="73">
        <v>138</v>
      </c>
      <c r="G116" s="74"/>
      <c r="H116" s="74"/>
      <c r="I116" s="74"/>
      <c r="J116" s="74"/>
      <c r="K116" s="74"/>
    </row>
    <row r="117" spans="2:11" x14ac:dyDescent="0.2">
      <c r="B117" s="73" t="s">
        <v>7</v>
      </c>
      <c r="C117" s="73">
        <v>4</v>
      </c>
      <c r="D117" s="73">
        <v>54</v>
      </c>
      <c r="E117" s="73">
        <v>178</v>
      </c>
      <c r="G117" s="74"/>
      <c r="H117" s="74"/>
      <c r="I117" s="74"/>
      <c r="J117" s="74"/>
      <c r="K117" s="74"/>
    </row>
    <row r="118" spans="2:11" x14ac:dyDescent="0.2">
      <c r="B118" s="73" t="s">
        <v>7</v>
      </c>
      <c r="C118" s="73">
        <v>1</v>
      </c>
      <c r="D118" s="73">
        <v>17</v>
      </c>
      <c r="E118" s="73">
        <v>117</v>
      </c>
      <c r="G118" s="74"/>
      <c r="H118" s="74"/>
      <c r="I118" s="74"/>
      <c r="J118" s="74"/>
      <c r="K118" s="74"/>
    </row>
    <row r="119" spans="2:11" x14ac:dyDescent="0.2">
      <c r="B119" s="73" t="s">
        <v>7</v>
      </c>
      <c r="C119" s="73">
        <v>1</v>
      </c>
      <c r="D119" s="73">
        <v>19</v>
      </c>
      <c r="E119" s="73">
        <v>179</v>
      </c>
      <c r="G119" s="74"/>
      <c r="H119" s="74"/>
      <c r="I119" s="74"/>
      <c r="J119" s="74"/>
      <c r="K119" s="74"/>
    </row>
    <row r="120" spans="2:11" x14ac:dyDescent="0.2">
      <c r="B120" s="73" t="s">
        <v>8</v>
      </c>
      <c r="C120" s="73">
        <v>1</v>
      </c>
      <c r="D120" s="73">
        <v>22</v>
      </c>
      <c r="E120" s="73">
        <v>161</v>
      </c>
      <c r="G120" s="74"/>
      <c r="H120" s="74"/>
      <c r="I120" s="74"/>
      <c r="J120" s="74"/>
      <c r="K120" s="74"/>
    </row>
    <row r="121" spans="2:11" x14ac:dyDescent="0.2">
      <c r="B121" s="73" t="s">
        <v>7</v>
      </c>
      <c r="C121" s="73">
        <v>11</v>
      </c>
      <c r="D121" s="73">
        <v>33</v>
      </c>
      <c r="E121" s="73">
        <v>118</v>
      </c>
      <c r="G121" s="74"/>
      <c r="H121" s="74"/>
      <c r="I121" s="74"/>
      <c r="J121" s="74"/>
      <c r="K121" s="74"/>
    </row>
    <row r="122" spans="2:11" x14ac:dyDescent="0.2">
      <c r="B122" s="73" t="s">
        <v>7</v>
      </c>
      <c r="C122" s="73">
        <v>4</v>
      </c>
      <c r="D122" s="73">
        <v>30</v>
      </c>
      <c r="E122" s="73">
        <v>120</v>
      </c>
      <c r="G122" s="74"/>
      <c r="H122" s="74"/>
      <c r="I122" s="74"/>
      <c r="J122" s="74"/>
      <c r="K122" s="74"/>
    </row>
    <row r="123" spans="2:11" x14ac:dyDescent="0.2">
      <c r="B123" s="73" t="s">
        <v>7</v>
      </c>
      <c r="C123" s="73">
        <v>1</v>
      </c>
      <c r="D123" s="73">
        <v>37</v>
      </c>
      <c r="E123" s="73">
        <v>155</v>
      </c>
      <c r="G123" s="74"/>
      <c r="H123" s="74"/>
      <c r="I123" s="74"/>
      <c r="J123" s="74"/>
      <c r="K123" s="74"/>
    </row>
    <row r="124" spans="2:11" x14ac:dyDescent="0.2">
      <c r="B124" s="73" t="s">
        <v>7</v>
      </c>
      <c r="C124" s="73">
        <v>1</v>
      </c>
      <c r="D124" s="73">
        <v>17</v>
      </c>
      <c r="E124" s="73">
        <v>205</v>
      </c>
      <c r="G124" s="74"/>
      <c r="H124" s="74"/>
      <c r="I124" s="74"/>
      <c r="J124" s="74"/>
      <c r="K124" s="74"/>
    </row>
    <row r="125" spans="2:11" x14ac:dyDescent="0.2">
      <c r="B125" s="73" t="s">
        <v>7</v>
      </c>
      <c r="C125" s="73">
        <v>4</v>
      </c>
      <c r="D125" s="73">
        <v>33</v>
      </c>
      <c r="E125" s="73">
        <v>135</v>
      </c>
      <c r="G125" s="74"/>
      <c r="H125" s="74"/>
      <c r="I125" s="74"/>
      <c r="J125" s="74"/>
      <c r="K125" s="74"/>
    </row>
    <row r="126" spans="2:11" x14ac:dyDescent="0.2">
      <c r="B126" s="73" t="s">
        <v>7</v>
      </c>
      <c r="C126" s="73">
        <v>5</v>
      </c>
      <c r="D126" s="73">
        <v>54</v>
      </c>
      <c r="E126" s="73">
        <v>154</v>
      </c>
      <c r="G126" s="74"/>
      <c r="H126" s="74"/>
      <c r="I126" s="74"/>
      <c r="J126" s="74"/>
      <c r="K126" s="74"/>
    </row>
    <row r="127" spans="2:11" x14ac:dyDescent="0.2">
      <c r="B127" s="73" t="s">
        <v>7</v>
      </c>
      <c r="C127" s="73">
        <v>2</v>
      </c>
      <c r="D127" s="73">
        <v>19</v>
      </c>
      <c r="E127" s="73">
        <v>170</v>
      </c>
      <c r="G127" s="74"/>
      <c r="H127" s="74"/>
      <c r="I127" s="74"/>
      <c r="J127" s="74"/>
      <c r="K127" s="74"/>
    </row>
    <row r="128" spans="2:11" x14ac:dyDescent="0.2">
      <c r="B128" s="73" t="s">
        <v>7</v>
      </c>
      <c r="C128" s="73">
        <v>1</v>
      </c>
      <c r="D128" s="73">
        <v>12</v>
      </c>
      <c r="E128" s="73">
        <v>106</v>
      </c>
      <c r="G128" s="74"/>
      <c r="H128" s="74"/>
      <c r="I128" s="74"/>
      <c r="J128" s="74"/>
      <c r="K128" s="74"/>
    </row>
    <row r="129" spans="2:11" x14ac:dyDescent="0.2">
      <c r="B129" s="73" t="s">
        <v>8</v>
      </c>
      <c r="C129" s="73">
        <v>1</v>
      </c>
      <c r="D129" s="73">
        <v>10</v>
      </c>
      <c r="E129" s="73">
        <v>209</v>
      </c>
      <c r="G129" s="74"/>
      <c r="H129" s="74"/>
      <c r="I129" s="74"/>
      <c r="J129" s="74"/>
      <c r="K129" s="74"/>
    </row>
    <row r="130" spans="2:11" x14ac:dyDescent="0.2">
      <c r="B130" s="73" t="s">
        <v>7</v>
      </c>
      <c r="C130" s="73">
        <v>6</v>
      </c>
      <c r="D130" s="73">
        <v>30</v>
      </c>
      <c r="E130" s="73">
        <v>142</v>
      </c>
      <c r="G130" s="74"/>
      <c r="H130" s="74"/>
      <c r="I130" s="74"/>
      <c r="J130" s="74"/>
      <c r="K130" s="74"/>
    </row>
    <row r="131" spans="2:11" x14ac:dyDescent="0.2">
      <c r="B131" s="73" t="s">
        <v>7</v>
      </c>
      <c r="C131" s="73">
        <v>1</v>
      </c>
      <c r="D131" s="73">
        <v>35</v>
      </c>
      <c r="E131" s="73">
        <v>111</v>
      </c>
      <c r="G131" s="74"/>
      <c r="H131" s="74"/>
      <c r="I131" s="74"/>
      <c r="J131" s="74"/>
      <c r="K131" s="74"/>
    </row>
    <row r="132" spans="2:11" x14ac:dyDescent="0.2">
      <c r="B132" s="73" t="s">
        <v>7</v>
      </c>
      <c r="C132" s="73">
        <v>5</v>
      </c>
      <c r="D132" s="73">
        <v>32</v>
      </c>
      <c r="E132" s="73">
        <v>153</v>
      </c>
      <c r="G132" s="74"/>
      <c r="H132" s="74"/>
      <c r="I132" s="74"/>
      <c r="J132" s="74"/>
      <c r="K132" s="74"/>
    </row>
    <row r="133" spans="2:11" x14ac:dyDescent="0.2">
      <c r="B133" s="73" t="s">
        <v>7</v>
      </c>
      <c r="C133" s="73">
        <v>1</v>
      </c>
      <c r="D133" s="73">
        <v>27</v>
      </c>
      <c r="E133" s="73">
        <v>156</v>
      </c>
      <c r="G133" s="74"/>
      <c r="H133" s="74"/>
      <c r="I133" s="74"/>
      <c r="J133" s="74"/>
      <c r="K133" s="74"/>
    </row>
    <row r="134" spans="2:11" x14ac:dyDescent="0.2">
      <c r="B134" s="73" t="s">
        <v>7</v>
      </c>
      <c r="C134" s="73">
        <v>2</v>
      </c>
      <c r="D134" s="73">
        <v>31</v>
      </c>
      <c r="E134" s="73">
        <v>161</v>
      </c>
      <c r="G134" s="74"/>
      <c r="H134" s="74"/>
      <c r="I134" s="74"/>
      <c r="J134" s="74"/>
      <c r="K134" s="74"/>
    </row>
    <row r="135" spans="2:11" x14ac:dyDescent="0.2">
      <c r="B135" s="73" t="s">
        <v>7</v>
      </c>
      <c r="C135" s="73">
        <v>1</v>
      </c>
      <c r="D135" s="73">
        <v>41</v>
      </c>
      <c r="E135" s="73">
        <v>179</v>
      </c>
      <c r="G135" s="74"/>
      <c r="H135" s="74"/>
      <c r="I135" s="74"/>
      <c r="J135" s="74"/>
      <c r="K135" s="74"/>
    </row>
    <row r="136" spans="2:11" x14ac:dyDescent="0.2">
      <c r="B136" s="73" t="s">
        <v>8</v>
      </c>
      <c r="C136" s="73">
        <v>2</v>
      </c>
      <c r="D136" s="73">
        <v>52</v>
      </c>
      <c r="E136" s="73">
        <v>179</v>
      </c>
      <c r="G136" s="74"/>
      <c r="H136" s="74"/>
      <c r="I136" s="74"/>
      <c r="J136" s="74"/>
      <c r="K136" s="74"/>
    </row>
    <row r="137" spans="2:11" x14ac:dyDescent="0.2">
      <c r="B137" s="73" t="s">
        <v>8</v>
      </c>
      <c r="C137" s="73">
        <v>1</v>
      </c>
      <c r="D137" s="73">
        <v>23</v>
      </c>
      <c r="E137" s="73">
        <v>178</v>
      </c>
      <c r="G137" s="74"/>
      <c r="H137" s="74"/>
      <c r="I137" s="74"/>
      <c r="J137" s="74"/>
      <c r="K137" s="74"/>
    </row>
    <row r="138" spans="2:11" x14ac:dyDescent="0.2">
      <c r="B138" s="73" t="s">
        <v>7</v>
      </c>
      <c r="C138" s="73">
        <v>1</v>
      </c>
      <c r="D138" s="73">
        <v>19</v>
      </c>
      <c r="E138" s="73">
        <v>195</v>
      </c>
      <c r="G138" s="74"/>
      <c r="H138" s="74"/>
      <c r="I138" s="74"/>
      <c r="J138" s="74"/>
      <c r="K138" s="74"/>
    </row>
    <row r="139" spans="2:11" x14ac:dyDescent="0.2">
      <c r="B139" s="73" t="s">
        <v>7</v>
      </c>
      <c r="C139" s="73">
        <v>1</v>
      </c>
      <c r="D139" s="73">
        <v>31</v>
      </c>
      <c r="E139" s="73">
        <v>179</v>
      </c>
      <c r="G139" s="74"/>
      <c r="H139" s="74"/>
      <c r="I139" s="74"/>
      <c r="J139" s="74"/>
      <c r="K139" s="74"/>
    </row>
    <row r="140" spans="2:11" x14ac:dyDescent="0.2">
      <c r="B140" s="73" t="s">
        <v>7</v>
      </c>
      <c r="C140" s="73">
        <v>5</v>
      </c>
      <c r="D140" s="73">
        <v>27</v>
      </c>
      <c r="E140" s="73">
        <v>160</v>
      </c>
      <c r="G140" s="74"/>
      <c r="H140" s="74"/>
      <c r="I140" s="74"/>
      <c r="J140" s="74"/>
      <c r="K140" s="74"/>
    </row>
    <row r="141" spans="2:11" x14ac:dyDescent="0.2">
      <c r="B141" s="73" t="s">
        <v>8</v>
      </c>
      <c r="C141" s="73">
        <v>6</v>
      </c>
      <c r="D141" s="73">
        <v>45</v>
      </c>
      <c r="E141" s="73">
        <v>156</v>
      </c>
      <c r="G141" s="74"/>
      <c r="H141" s="74"/>
    </row>
    <row r="142" spans="2:11" x14ac:dyDescent="0.2">
      <c r="B142" s="73" t="s">
        <v>8</v>
      </c>
      <c r="C142" s="73">
        <v>9</v>
      </c>
      <c r="D142" s="73">
        <v>45</v>
      </c>
      <c r="E142" s="73">
        <v>139</v>
      </c>
      <c r="G142" s="74"/>
      <c r="H142" s="74"/>
    </row>
    <row r="143" spans="2:11" x14ac:dyDescent="0.2">
      <c r="B143" s="73" t="s">
        <v>7</v>
      </c>
      <c r="C143" s="73">
        <v>2</v>
      </c>
      <c r="D143" s="73">
        <v>20</v>
      </c>
      <c r="E143" s="73">
        <v>250</v>
      </c>
      <c r="G143" s="74"/>
      <c r="H143" s="74"/>
    </row>
    <row r="144" spans="2:11" x14ac:dyDescent="0.2">
      <c r="B144" s="73" t="s">
        <v>7</v>
      </c>
      <c r="C144" s="73">
        <v>1</v>
      </c>
      <c r="D144" s="73">
        <v>26</v>
      </c>
      <c r="E144" s="73">
        <v>192</v>
      </c>
      <c r="G144" s="74"/>
      <c r="H144" s="74"/>
    </row>
    <row r="145" spans="2:8" x14ac:dyDescent="0.2">
      <c r="B145" s="73" t="s">
        <v>8</v>
      </c>
      <c r="C145" s="73">
        <v>1</v>
      </c>
      <c r="D145" s="73">
        <v>25</v>
      </c>
      <c r="E145" s="73">
        <v>207</v>
      </c>
      <c r="G145" s="74"/>
      <c r="H145" s="74"/>
    </row>
    <row r="146" spans="2:8" x14ac:dyDescent="0.2">
      <c r="B146" s="73" t="s">
        <v>7</v>
      </c>
      <c r="C146" s="73">
        <v>1</v>
      </c>
      <c r="D146" s="73">
        <v>26</v>
      </c>
      <c r="E146" s="73">
        <v>135</v>
      </c>
      <c r="G146" s="74"/>
      <c r="H146" s="74"/>
    </row>
    <row r="147" spans="2:8" x14ac:dyDescent="0.2">
      <c r="B147" s="73" t="s">
        <v>7</v>
      </c>
      <c r="C147" s="73">
        <v>1</v>
      </c>
      <c r="D147" s="73">
        <v>52</v>
      </c>
      <c r="E147" s="73">
        <v>144</v>
      </c>
      <c r="G147" s="74"/>
      <c r="H147" s="74"/>
    </row>
    <row r="148" spans="2:8" x14ac:dyDescent="0.2">
      <c r="B148" s="73" t="s">
        <v>7</v>
      </c>
      <c r="C148" s="73">
        <v>1</v>
      </c>
      <c r="D148" s="73">
        <v>19</v>
      </c>
      <c r="E148" s="73">
        <v>123</v>
      </c>
      <c r="G148" s="74"/>
      <c r="H148" s="74"/>
    </row>
    <row r="149" spans="2:8" x14ac:dyDescent="0.2">
      <c r="B149" s="73" t="s">
        <v>7</v>
      </c>
      <c r="C149" s="73">
        <v>1</v>
      </c>
      <c r="D149" s="73">
        <v>31</v>
      </c>
      <c r="E149" s="73">
        <v>249</v>
      </c>
      <c r="G149" s="74"/>
      <c r="H149" s="74"/>
    </row>
    <row r="150" spans="2:8" x14ac:dyDescent="0.2">
      <c r="B150" s="73" t="s">
        <v>7</v>
      </c>
      <c r="C150" s="73">
        <v>3</v>
      </c>
      <c r="D150" s="73">
        <v>17</v>
      </c>
      <c r="E150" s="73">
        <v>213</v>
      </c>
      <c r="G150" s="74"/>
      <c r="H150" s="74"/>
    </row>
    <row r="151" spans="2:8" x14ac:dyDescent="0.2">
      <c r="B151" s="73" t="s">
        <v>7</v>
      </c>
      <c r="C151" s="73">
        <v>1</v>
      </c>
      <c r="D151" s="73">
        <v>32</v>
      </c>
      <c r="E151" s="73">
        <v>124</v>
      </c>
      <c r="G151" s="74"/>
      <c r="H151" s="74"/>
    </row>
    <row r="152" spans="2:8" x14ac:dyDescent="0.2">
      <c r="B152" s="73" t="s">
        <v>7</v>
      </c>
      <c r="C152" s="73">
        <v>9</v>
      </c>
      <c r="D152" s="73">
        <v>39</v>
      </c>
      <c r="E152" s="73">
        <v>164</v>
      </c>
      <c r="G152" s="74"/>
      <c r="H152" s="74"/>
    </row>
    <row r="153" spans="2:8" x14ac:dyDescent="0.2">
      <c r="B153" s="73" t="s">
        <v>7</v>
      </c>
      <c r="C153" s="73">
        <v>1</v>
      </c>
      <c r="D153" s="73">
        <v>49</v>
      </c>
      <c r="E153" s="73">
        <v>191</v>
      </c>
      <c r="G153" s="74"/>
      <c r="H153" s="74"/>
    </row>
    <row r="154" spans="2:8" x14ac:dyDescent="0.2">
      <c r="B154" s="73" t="s">
        <v>7</v>
      </c>
      <c r="C154" s="73">
        <v>1</v>
      </c>
      <c r="D154" s="73">
        <v>40</v>
      </c>
      <c r="E154" s="73">
        <v>152</v>
      </c>
      <c r="G154" s="74"/>
      <c r="H154" s="74"/>
    </row>
    <row r="155" spans="2:8" x14ac:dyDescent="0.2">
      <c r="B155" s="73" t="s">
        <v>7</v>
      </c>
      <c r="C155" s="73">
        <v>3</v>
      </c>
      <c r="D155" s="73">
        <v>30</v>
      </c>
      <c r="E155" s="73">
        <v>205</v>
      </c>
      <c r="G155" s="74"/>
      <c r="H155" s="74"/>
    </row>
    <row r="156" spans="2:8" x14ac:dyDescent="0.2">
      <c r="B156" s="73" t="s">
        <v>7</v>
      </c>
      <c r="C156" s="73">
        <v>1</v>
      </c>
      <c r="D156" s="73">
        <v>14</v>
      </c>
      <c r="E156" s="73">
        <v>174</v>
      </c>
      <c r="G156" s="74"/>
      <c r="H156" s="74"/>
    </row>
    <row r="157" spans="2:8" x14ac:dyDescent="0.2">
      <c r="B157" s="73" t="s">
        <v>7</v>
      </c>
      <c r="C157" s="73">
        <v>1</v>
      </c>
      <c r="D157" s="73">
        <v>11</v>
      </c>
      <c r="E157" s="73">
        <v>221</v>
      </c>
      <c r="G157" s="74"/>
      <c r="H157" s="74"/>
    </row>
    <row r="158" spans="2:8" x14ac:dyDescent="0.2">
      <c r="B158" s="73" t="s">
        <v>8</v>
      </c>
      <c r="C158" s="73">
        <v>2</v>
      </c>
      <c r="D158" s="73">
        <v>38</v>
      </c>
      <c r="E158" s="73">
        <v>166</v>
      </c>
      <c r="G158" s="74"/>
      <c r="H158" s="74"/>
    </row>
    <row r="159" spans="2:8" x14ac:dyDescent="0.2">
      <c r="B159" s="73" t="s">
        <v>8</v>
      </c>
      <c r="C159" s="73">
        <v>3</v>
      </c>
      <c r="D159" s="73">
        <v>31</v>
      </c>
      <c r="E159" s="73">
        <v>163</v>
      </c>
      <c r="G159" s="74"/>
      <c r="H159" s="74"/>
    </row>
    <row r="160" spans="2:8" x14ac:dyDescent="0.2">
      <c r="B160" s="73" t="s">
        <v>7</v>
      </c>
      <c r="C160" s="73">
        <v>1</v>
      </c>
      <c r="D160" s="73">
        <v>20</v>
      </c>
      <c r="E160" s="73">
        <v>109</v>
      </c>
      <c r="G160" s="74"/>
      <c r="H160" s="74"/>
    </row>
    <row r="161" spans="2:8" x14ac:dyDescent="0.2">
      <c r="B161" s="73" t="s">
        <v>7</v>
      </c>
      <c r="C161" s="73">
        <v>1</v>
      </c>
      <c r="D161" s="73">
        <v>21</v>
      </c>
      <c r="E161" s="73">
        <v>208</v>
      </c>
      <c r="G161" s="74"/>
      <c r="H161" s="74"/>
    </row>
    <row r="162" spans="2:8" x14ac:dyDescent="0.2">
      <c r="B162" s="73" t="s">
        <v>8</v>
      </c>
      <c r="C162" s="73">
        <v>5</v>
      </c>
      <c r="D162" s="73">
        <v>60</v>
      </c>
      <c r="E162" s="73">
        <v>199</v>
      </c>
      <c r="G162" s="74"/>
      <c r="H162" s="74"/>
    </row>
    <row r="163" spans="2:8" x14ac:dyDescent="0.2">
      <c r="B163" s="73" t="s">
        <v>8</v>
      </c>
      <c r="C163" s="73">
        <v>4</v>
      </c>
      <c r="D163" s="73">
        <v>27</v>
      </c>
      <c r="E163" s="73">
        <v>166</v>
      </c>
      <c r="G163" s="74"/>
      <c r="H163" s="74"/>
    </row>
    <row r="164" spans="2:8" x14ac:dyDescent="0.2">
      <c r="B164" s="73" t="s">
        <v>8</v>
      </c>
      <c r="C164" s="73">
        <v>3</v>
      </c>
      <c r="D164" s="73">
        <v>32</v>
      </c>
      <c r="E164" s="73">
        <v>168</v>
      </c>
      <c r="G164" s="74"/>
      <c r="H164" s="74"/>
    </row>
    <row r="165" spans="2:8" x14ac:dyDescent="0.2">
      <c r="B165" s="73" t="s">
        <v>8</v>
      </c>
      <c r="C165" s="73">
        <v>1</v>
      </c>
      <c r="D165" s="73">
        <v>45</v>
      </c>
      <c r="E165" s="73">
        <v>172</v>
      </c>
      <c r="G165" s="74"/>
      <c r="H165" s="74"/>
    </row>
    <row r="166" spans="2:8" x14ac:dyDescent="0.2">
      <c r="B166" s="73" t="s">
        <v>8</v>
      </c>
      <c r="C166" s="73">
        <v>3</v>
      </c>
      <c r="D166" s="73">
        <v>19</v>
      </c>
      <c r="E166" s="73">
        <v>176</v>
      </c>
      <c r="G166" s="74"/>
      <c r="H166" s="74"/>
    </row>
    <row r="167" spans="2:8" x14ac:dyDescent="0.2">
      <c r="B167" s="73" t="s">
        <v>7</v>
      </c>
      <c r="C167" s="73">
        <v>1</v>
      </c>
      <c r="D167" s="73">
        <v>46</v>
      </c>
      <c r="E167" s="73">
        <v>204</v>
      </c>
      <c r="G167" s="74"/>
      <c r="H167" s="74"/>
    </row>
    <row r="168" spans="2:8" x14ac:dyDescent="0.2">
      <c r="B168" s="73" t="s">
        <v>7</v>
      </c>
      <c r="C168" s="73">
        <v>4</v>
      </c>
      <c r="D168" s="73">
        <v>30</v>
      </c>
      <c r="E168" s="73">
        <v>127</v>
      </c>
      <c r="G168" s="74"/>
      <c r="H168" s="74"/>
    </row>
    <row r="169" spans="2:8" x14ac:dyDescent="0.2">
      <c r="B169" s="73" t="s">
        <v>7</v>
      </c>
      <c r="C169" s="73">
        <v>1</v>
      </c>
      <c r="D169" s="73">
        <v>15</v>
      </c>
      <c r="E169" s="73">
        <v>196</v>
      </c>
      <c r="G169" s="74"/>
      <c r="H169" s="74"/>
    </row>
    <row r="170" spans="2:8" x14ac:dyDescent="0.2">
      <c r="B170" s="73" t="s">
        <v>8</v>
      </c>
      <c r="C170" s="73">
        <v>2</v>
      </c>
      <c r="D170" s="73">
        <v>58</v>
      </c>
      <c r="E170" s="73">
        <v>194</v>
      </c>
      <c r="G170" s="74"/>
      <c r="H170" s="74"/>
    </row>
    <row r="171" spans="2:8" x14ac:dyDescent="0.2">
      <c r="B171" s="73" t="s">
        <v>7</v>
      </c>
      <c r="C171" s="73">
        <v>6</v>
      </c>
      <c r="D171" s="73">
        <v>40</v>
      </c>
      <c r="E171" s="73">
        <v>104</v>
      </c>
      <c r="G171" s="74"/>
      <c r="H171" s="74"/>
    </row>
    <row r="172" spans="2:8" x14ac:dyDescent="0.2">
      <c r="B172" s="73" t="s">
        <v>7</v>
      </c>
      <c r="C172" s="73">
        <v>1</v>
      </c>
      <c r="D172" s="73">
        <v>44</v>
      </c>
      <c r="E172" s="73">
        <v>142</v>
      </c>
      <c r="G172" s="74"/>
      <c r="H172" s="74"/>
    </row>
    <row r="173" spans="2:8" x14ac:dyDescent="0.2">
      <c r="B173" s="73" t="s">
        <v>7</v>
      </c>
      <c r="C173" s="73">
        <v>3</v>
      </c>
      <c r="D173" s="73">
        <v>28</v>
      </c>
      <c r="E173" s="73">
        <v>187</v>
      </c>
      <c r="G173" s="74"/>
      <c r="H173" s="74"/>
    </row>
    <row r="174" spans="2:8" x14ac:dyDescent="0.2">
      <c r="B174" s="73" t="s">
        <v>7</v>
      </c>
      <c r="C174" s="73">
        <v>1</v>
      </c>
      <c r="D174" s="73">
        <v>29</v>
      </c>
      <c r="E174" s="73">
        <v>154</v>
      </c>
      <c r="G174" s="74"/>
      <c r="H174" s="74"/>
    </row>
    <row r="175" spans="2:8" x14ac:dyDescent="0.2">
      <c r="B175" s="73" t="s">
        <v>7</v>
      </c>
      <c r="C175" s="73">
        <v>4</v>
      </c>
      <c r="D175" s="73">
        <v>41</v>
      </c>
      <c r="E175" s="73">
        <v>142</v>
      </c>
      <c r="G175" s="74"/>
      <c r="H175" s="74"/>
    </row>
    <row r="176" spans="2:8" x14ac:dyDescent="0.2">
      <c r="B176" s="73" t="s">
        <v>7</v>
      </c>
      <c r="C176" s="73">
        <v>1</v>
      </c>
      <c r="D176" s="73">
        <v>48</v>
      </c>
      <c r="E176" s="73">
        <v>145</v>
      </c>
      <c r="G176" s="74"/>
      <c r="H176" s="74"/>
    </row>
    <row r="177" spans="2:8" x14ac:dyDescent="0.2">
      <c r="B177" s="73" t="s">
        <v>7</v>
      </c>
      <c r="C177" s="73">
        <v>4</v>
      </c>
      <c r="D177" s="73">
        <v>42</v>
      </c>
      <c r="E177" s="73">
        <v>160</v>
      </c>
      <c r="G177" s="74"/>
      <c r="H177" s="74"/>
    </row>
    <row r="178" spans="2:8" x14ac:dyDescent="0.2">
      <c r="B178" s="73" t="s">
        <v>7</v>
      </c>
      <c r="C178" s="73">
        <v>7</v>
      </c>
      <c r="D178" s="73">
        <v>65</v>
      </c>
      <c r="E178" s="73">
        <v>178</v>
      </c>
      <c r="G178" s="74"/>
      <c r="H178" s="74"/>
    </row>
    <row r="179" spans="2:8" x14ac:dyDescent="0.2">
      <c r="B179" s="73" t="s">
        <v>7</v>
      </c>
      <c r="C179" s="73">
        <v>4</v>
      </c>
      <c r="D179" s="73">
        <v>32</v>
      </c>
      <c r="E179" s="73">
        <v>111</v>
      </c>
      <c r="G179" s="74"/>
      <c r="H179" s="74"/>
    </row>
    <row r="180" spans="2:8" x14ac:dyDescent="0.2">
      <c r="B180" s="73" t="s">
        <v>7</v>
      </c>
      <c r="C180" s="73">
        <v>1</v>
      </c>
      <c r="D180" s="73">
        <v>37</v>
      </c>
      <c r="E180" s="73">
        <v>137</v>
      </c>
      <c r="G180" s="74"/>
      <c r="H180" s="74"/>
    </row>
    <row r="181" spans="2:8" x14ac:dyDescent="0.2">
      <c r="B181" s="73" t="s">
        <v>7</v>
      </c>
      <c r="C181" s="73">
        <v>3</v>
      </c>
      <c r="D181" s="73">
        <v>37</v>
      </c>
      <c r="E181" s="73">
        <v>142</v>
      </c>
      <c r="G181" s="74"/>
      <c r="H181" s="74"/>
    </row>
    <row r="182" spans="2:8" x14ac:dyDescent="0.2">
      <c r="B182" s="73" t="s">
        <v>7</v>
      </c>
      <c r="C182" s="73">
        <v>1</v>
      </c>
      <c r="D182" s="73">
        <v>20</v>
      </c>
      <c r="E182" s="73">
        <v>250</v>
      </c>
      <c r="G182" s="74"/>
      <c r="H182" s="74"/>
    </row>
    <row r="183" spans="2:8" x14ac:dyDescent="0.2">
      <c r="B183" s="73" t="s">
        <v>7</v>
      </c>
      <c r="C183" s="73">
        <v>8</v>
      </c>
      <c r="D183" s="73">
        <v>53</v>
      </c>
      <c r="E183" s="73">
        <v>166</v>
      </c>
      <c r="G183" s="74"/>
      <c r="H183" s="74"/>
    </row>
    <row r="184" spans="2:8" x14ac:dyDescent="0.2">
      <c r="B184" s="73" t="s">
        <v>8</v>
      </c>
      <c r="C184" s="73">
        <v>1</v>
      </c>
      <c r="D184" s="73">
        <v>21</v>
      </c>
      <c r="E184" s="73">
        <v>188</v>
      </c>
      <c r="G184" s="74"/>
      <c r="H184" s="74"/>
    </row>
    <row r="185" spans="2:8" x14ac:dyDescent="0.2">
      <c r="B185" s="73" t="s">
        <v>8</v>
      </c>
      <c r="C185" s="73">
        <v>3</v>
      </c>
      <c r="D185" s="73">
        <v>27</v>
      </c>
      <c r="E185" s="73">
        <v>161</v>
      </c>
      <c r="G185" s="74"/>
      <c r="H185" s="74"/>
    </row>
    <row r="186" spans="2:8" x14ac:dyDescent="0.2">
      <c r="B186" s="73" t="s">
        <v>8</v>
      </c>
      <c r="C186" s="73">
        <v>1</v>
      </c>
      <c r="D186" s="73">
        <v>30</v>
      </c>
      <c r="E186" s="73">
        <v>175</v>
      </c>
      <c r="G186" s="74"/>
      <c r="H186" s="74"/>
    </row>
    <row r="187" spans="2:8" x14ac:dyDescent="0.2">
      <c r="B187" s="73" t="s">
        <v>7</v>
      </c>
      <c r="C187" s="73">
        <v>1</v>
      </c>
      <c r="D187" s="73">
        <v>9</v>
      </c>
      <c r="E187" s="73">
        <v>220</v>
      </c>
      <c r="G187" s="74"/>
      <c r="H187" s="74"/>
    </row>
    <row r="188" spans="2:8" x14ac:dyDescent="0.2">
      <c r="B188" s="73" t="s">
        <v>7</v>
      </c>
      <c r="C188" s="73">
        <v>2</v>
      </c>
      <c r="D188" s="73">
        <v>16</v>
      </c>
      <c r="E188" s="73">
        <v>149</v>
      </c>
      <c r="G188" s="74"/>
      <c r="H188" s="74"/>
    </row>
    <row r="189" spans="2:8" x14ac:dyDescent="0.2">
      <c r="B189" s="73" t="s">
        <v>7</v>
      </c>
      <c r="C189" s="73">
        <v>6</v>
      </c>
      <c r="D189" s="73">
        <v>20</v>
      </c>
      <c r="E189" s="73">
        <v>134</v>
      </c>
      <c r="G189" s="74"/>
      <c r="H189" s="74"/>
    </row>
    <row r="190" spans="2:8" x14ac:dyDescent="0.2">
      <c r="B190" s="73" t="s">
        <v>7</v>
      </c>
      <c r="C190" s="73">
        <v>3</v>
      </c>
      <c r="D190" s="73">
        <v>29</v>
      </c>
      <c r="E190" s="73">
        <v>155</v>
      </c>
    </row>
    <row r="191" spans="2:8" x14ac:dyDescent="0.2">
      <c r="B191" s="73" t="s">
        <v>8</v>
      </c>
      <c r="C191" s="73">
        <v>1</v>
      </c>
      <c r="D191" s="73">
        <v>27</v>
      </c>
      <c r="E191" s="73">
        <v>206</v>
      </c>
    </row>
    <row r="192" spans="2:8" x14ac:dyDescent="0.2">
      <c r="B192" s="73" t="s">
        <v>7</v>
      </c>
      <c r="C192" s="73">
        <v>1</v>
      </c>
      <c r="D192" s="73">
        <v>18</v>
      </c>
      <c r="E192" s="73">
        <v>85</v>
      </c>
    </row>
    <row r="193" spans="2:5" x14ac:dyDescent="0.2">
      <c r="B193" s="73" t="s">
        <v>7</v>
      </c>
      <c r="C193" s="73">
        <v>2</v>
      </c>
      <c r="D193" s="73">
        <v>34</v>
      </c>
      <c r="E193" s="73">
        <v>131</v>
      </c>
    </row>
    <row r="194" spans="2:5" x14ac:dyDescent="0.2">
      <c r="B194" s="73" t="s">
        <v>7</v>
      </c>
      <c r="C194" s="73">
        <v>1</v>
      </c>
      <c r="D194" s="73">
        <v>23</v>
      </c>
      <c r="E194" s="73">
        <v>147</v>
      </c>
    </row>
    <row r="195" spans="2:5" x14ac:dyDescent="0.2">
      <c r="B195" s="73" t="s">
        <v>7</v>
      </c>
      <c r="C195" s="73">
        <v>15</v>
      </c>
      <c r="D195" s="73">
        <v>51</v>
      </c>
      <c r="E195" s="73">
        <v>150</v>
      </c>
    </row>
    <row r="196" spans="2:5" x14ac:dyDescent="0.2">
      <c r="B196" s="73" t="s">
        <v>7</v>
      </c>
      <c r="C196" s="73">
        <v>6</v>
      </c>
      <c r="D196" s="73">
        <v>33</v>
      </c>
      <c r="E196" s="73">
        <v>157</v>
      </c>
    </row>
    <row r="197" spans="2:5" x14ac:dyDescent="0.2">
      <c r="B197" s="73" t="s">
        <v>7</v>
      </c>
      <c r="C197" s="73">
        <v>17</v>
      </c>
      <c r="D197" s="73">
        <v>42</v>
      </c>
      <c r="E197" s="73">
        <v>196</v>
      </c>
    </row>
    <row r="198" spans="2:5" x14ac:dyDescent="0.2">
      <c r="B198" s="73" t="s">
        <v>7</v>
      </c>
      <c r="C198" s="73">
        <v>1</v>
      </c>
      <c r="D198" s="73">
        <v>29</v>
      </c>
      <c r="E198" s="73">
        <v>213</v>
      </c>
    </row>
    <row r="199" spans="2:5" x14ac:dyDescent="0.2">
      <c r="B199" s="73" t="s">
        <v>7</v>
      </c>
      <c r="C199" s="73">
        <v>1</v>
      </c>
      <c r="D199" s="73">
        <v>15</v>
      </c>
      <c r="E199" s="73">
        <v>164</v>
      </c>
    </row>
    <row r="200" spans="2:5" x14ac:dyDescent="0.2">
      <c r="B200" s="73" t="s">
        <v>7</v>
      </c>
      <c r="C200" s="73">
        <v>3</v>
      </c>
      <c r="D200" s="73">
        <v>29</v>
      </c>
      <c r="E200" s="73">
        <v>108</v>
      </c>
    </row>
    <row r="201" spans="2:5" x14ac:dyDescent="0.2">
      <c r="B201" s="73" t="s">
        <v>7</v>
      </c>
      <c r="C201" s="73">
        <v>5</v>
      </c>
      <c r="D201" s="73">
        <v>20</v>
      </c>
      <c r="E201" s="73">
        <v>156</v>
      </c>
    </row>
    <row r="202" spans="2:5" x14ac:dyDescent="0.2">
      <c r="B202" s="73" t="s">
        <v>8</v>
      </c>
      <c r="C202" s="73">
        <v>1</v>
      </c>
      <c r="D202" s="73">
        <v>26</v>
      </c>
      <c r="E202" s="73">
        <v>218</v>
      </c>
    </row>
    <row r="203" spans="2:5" x14ac:dyDescent="0.2">
      <c r="B203" s="73" t="s">
        <v>7</v>
      </c>
      <c r="C203" s="73">
        <v>3</v>
      </c>
      <c r="D203" s="73">
        <v>30</v>
      </c>
      <c r="E203" s="73">
        <v>153</v>
      </c>
    </row>
    <row r="204" spans="2:5" x14ac:dyDescent="0.2">
      <c r="B204" s="73" t="s">
        <v>8</v>
      </c>
      <c r="C204" s="73">
        <v>5</v>
      </c>
      <c r="D204" s="73">
        <v>25</v>
      </c>
      <c r="E204" s="73">
        <v>147</v>
      </c>
    </row>
    <row r="205" spans="2:5" x14ac:dyDescent="0.2">
      <c r="B205" s="73" t="s">
        <v>7</v>
      </c>
      <c r="C205" s="73">
        <v>3</v>
      </c>
      <c r="D205" s="73">
        <v>35</v>
      </c>
      <c r="E205" s="73">
        <v>166</v>
      </c>
    </row>
    <row r="206" spans="2:5" x14ac:dyDescent="0.2">
      <c r="B206" s="73" t="s">
        <v>8</v>
      </c>
      <c r="C206" s="73">
        <v>2</v>
      </c>
      <c r="D206" s="73">
        <v>17</v>
      </c>
      <c r="E206" s="73">
        <v>133</v>
      </c>
    </row>
    <row r="207" spans="2:5" x14ac:dyDescent="0.2">
      <c r="B207" s="73" t="s">
        <v>7</v>
      </c>
      <c r="C207" s="73">
        <v>1</v>
      </c>
      <c r="D207" s="73">
        <v>28</v>
      </c>
      <c r="E207" s="73">
        <v>122</v>
      </c>
    </row>
    <row r="208" spans="2:5" x14ac:dyDescent="0.2">
      <c r="B208" s="73" t="s">
        <v>7</v>
      </c>
      <c r="C208" s="73">
        <v>5</v>
      </c>
      <c r="D208" s="73">
        <v>44</v>
      </c>
      <c r="E208" s="73">
        <v>130</v>
      </c>
    </row>
    <row r="209" spans="2:5" x14ac:dyDescent="0.2">
      <c r="B209" s="73" t="s">
        <v>7</v>
      </c>
      <c r="C209" s="73">
        <v>4</v>
      </c>
      <c r="D209" s="73">
        <v>31</v>
      </c>
      <c r="E209" s="73">
        <v>169</v>
      </c>
    </row>
    <row r="210" spans="2:5" x14ac:dyDescent="0.2">
      <c r="B210" s="73" t="s">
        <v>7</v>
      </c>
      <c r="C210" s="73">
        <v>1</v>
      </c>
      <c r="D210" s="73">
        <v>13</v>
      </c>
      <c r="E210" s="73">
        <v>220</v>
      </c>
    </row>
    <row r="211" spans="2:5" x14ac:dyDescent="0.2">
      <c r="B211" s="73" t="s">
        <v>7</v>
      </c>
      <c r="C211" s="73">
        <v>1</v>
      </c>
      <c r="D211" s="73">
        <v>43</v>
      </c>
      <c r="E211" s="73">
        <v>221</v>
      </c>
    </row>
    <row r="212" spans="2:5" x14ac:dyDescent="0.2">
      <c r="B212" s="73" t="s">
        <v>8</v>
      </c>
      <c r="C212" s="73">
        <v>3</v>
      </c>
      <c r="D212" s="73">
        <v>34</v>
      </c>
      <c r="E212" s="73">
        <v>154</v>
      </c>
    </row>
    <row r="213" spans="2:5" x14ac:dyDescent="0.2">
      <c r="B213" s="73" t="s">
        <v>8</v>
      </c>
      <c r="C213" s="73">
        <v>2</v>
      </c>
      <c r="D213" s="73">
        <v>27</v>
      </c>
      <c r="E213" s="73">
        <v>129</v>
      </c>
    </row>
    <row r="214" spans="2:5" x14ac:dyDescent="0.2">
      <c r="B214" s="73" t="s">
        <v>7</v>
      </c>
      <c r="C214" s="73">
        <v>2</v>
      </c>
      <c r="D214" s="73">
        <v>29</v>
      </c>
      <c r="E214" s="73">
        <v>128</v>
      </c>
    </row>
    <row r="215" spans="2:5" x14ac:dyDescent="0.2">
      <c r="B215" s="73" t="s">
        <v>7</v>
      </c>
      <c r="C215" s="73">
        <v>1</v>
      </c>
      <c r="D215" s="73">
        <v>33</v>
      </c>
      <c r="E215" s="73">
        <v>160</v>
      </c>
    </row>
    <row r="216" spans="2:5" x14ac:dyDescent="0.2">
      <c r="B216" s="73" t="s">
        <v>8</v>
      </c>
      <c r="C216" s="73">
        <v>1</v>
      </c>
      <c r="D216" s="73">
        <v>16</v>
      </c>
      <c r="E216" s="73">
        <v>125</v>
      </c>
    </row>
    <row r="217" spans="2:5" x14ac:dyDescent="0.2">
      <c r="B217" s="73" t="s">
        <v>7</v>
      </c>
      <c r="C217" s="73">
        <v>7</v>
      </c>
      <c r="D217" s="73">
        <v>29</v>
      </c>
      <c r="E217" s="73">
        <v>119</v>
      </c>
    </row>
    <row r="218" spans="2:5" x14ac:dyDescent="0.2">
      <c r="B218" s="73" t="s">
        <v>7</v>
      </c>
      <c r="C218" s="73">
        <v>5</v>
      </c>
      <c r="D218" s="73">
        <v>34</v>
      </c>
      <c r="E218" s="73">
        <v>180</v>
      </c>
    </row>
    <row r="219" spans="2:5" x14ac:dyDescent="0.2">
      <c r="B219" s="73" t="s">
        <v>8</v>
      </c>
      <c r="C219" s="73">
        <v>8</v>
      </c>
      <c r="D219" s="73">
        <v>61</v>
      </c>
      <c r="E219" s="73">
        <v>153</v>
      </c>
    </row>
    <row r="220" spans="2:5" x14ac:dyDescent="0.2">
      <c r="B220" s="73" t="s">
        <v>8</v>
      </c>
      <c r="C220" s="73">
        <v>1</v>
      </c>
      <c r="D220" s="73">
        <v>51</v>
      </c>
      <c r="E220" s="73">
        <v>176</v>
      </c>
    </row>
    <row r="221" spans="2:5" x14ac:dyDescent="0.2">
      <c r="B221" s="73" t="s">
        <v>7</v>
      </c>
      <c r="C221" s="73">
        <v>1</v>
      </c>
      <c r="D221" s="73">
        <v>30</v>
      </c>
      <c r="E221" s="73">
        <v>114</v>
      </c>
    </row>
    <row r="222" spans="2:5" x14ac:dyDescent="0.2">
      <c r="B222" s="73" t="s">
        <v>7</v>
      </c>
      <c r="C222" s="73">
        <v>3</v>
      </c>
      <c r="D222" s="73">
        <v>49</v>
      </c>
      <c r="E222" s="73">
        <v>187</v>
      </c>
    </row>
    <row r="223" spans="2:5" x14ac:dyDescent="0.2">
      <c r="B223" s="73" t="s">
        <v>7</v>
      </c>
      <c r="C223" s="73">
        <v>6</v>
      </c>
      <c r="D223" s="73">
        <v>37</v>
      </c>
      <c r="E223" s="73">
        <v>121</v>
      </c>
    </row>
    <row r="224" spans="2:5" x14ac:dyDescent="0.2">
      <c r="B224" s="73" t="s">
        <v>7</v>
      </c>
      <c r="C224" s="73">
        <v>3</v>
      </c>
      <c r="D224" s="73">
        <v>28</v>
      </c>
      <c r="E224" s="73">
        <v>161</v>
      </c>
    </row>
    <row r="225" spans="2:5" x14ac:dyDescent="0.2">
      <c r="B225" s="73" t="s">
        <v>7</v>
      </c>
      <c r="C225" s="73">
        <v>1</v>
      </c>
      <c r="D225" s="73">
        <v>34</v>
      </c>
      <c r="E225" s="73">
        <v>175</v>
      </c>
    </row>
    <row r="226" spans="2:5" x14ac:dyDescent="0.2">
      <c r="B226" s="73" t="s">
        <v>7</v>
      </c>
      <c r="C226" s="73">
        <v>5</v>
      </c>
      <c r="D226" s="73">
        <v>46</v>
      </c>
      <c r="E226" s="73">
        <v>177</v>
      </c>
    </row>
    <row r="227" spans="2:5" x14ac:dyDescent="0.2">
      <c r="B227" s="73" t="s">
        <v>7</v>
      </c>
      <c r="C227" s="73">
        <v>3</v>
      </c>
      <c r="D227" s="73">
        <v>33</v>
      </c>
      <c r="E227" s="73">
        <v>200</v>
      </c>
    </row>
    <row r="228" spans="2:5" x14ac:dyDescent="0.2">
      <c r="B228" s="73" t="s">
        <v>7</v>
      </c>
      <c r="C228" s="73">
        <v>1</v>
      </c>
      <c r="D228" s="73">
        <v>41</v>
      </c>
      <c r="E228" s="73">
        <v>230</v>
      </c>
    </row>
    <row r="229" spans="2:5" x14ac:dyDescent="0.2">
      <c r="B229" s="73" t="s">
        <v>8</v>
      </c>
      <c r="C229" s="73">
        <v>1</v>
      </c>
      <c r="D229" s="73">
        <v>16</v>
      </c>
      <c r="E229" s="73">
        <v>132</v>
      </c>
    </row>
    <row r="230" spans="2:5" x14ac:dyDescent="0.2">
      <c r="B230" s="73" t="s">
        <v>7</v>
      </c>
      <c r="C230" s="73">
        <v>14</v>
      </c>
      <c r="D230" s="73">
        <v>47</v>
      </c>
      <c r="E230" s="73">
        <v>180</v>
      </c>
    </row>
    <row r="231" spans="2:5" x14ac:dyDescent="0.2">
      <c r="B231" s="73" t="s">
        <v>8</v>
      </c>
      <c r="C231" s="73">
        <v>4</v>
      </c>
      <c r="D231" s="73">
        <v>50</v>
      </c>
      <c r="E231" s="73">
        <v>160</v>
      </c>
    </row>
    <row r="232" spans="2:5" x14ac:dyDescent="0.2">
      <c r="B232" s="73" t="s">
        <v>7</v>
      </c>
      <c r="C232" s="73">
        <v>5</v>
      </c>
      <c r="D232" s="73">
        <v>33</v>
      </c>
      <c r="E232" s="73">
        <v>166</v>
      </c>
    </row>
    <row r="233" spans="2:5" x14ac:dyDescent="0.2">
      <c r="B233" s="73" t="s">
        <v>8</v>
      </c>
      <c r="C233" s="73">
        <v>1</v>
      </c>
      <c r="D233" s="73">
        <v>39</v>
      </c>
      <c r="E233" s="73">
        <v>181</v>
      </c>
    </row>
    <row r="234" spans="2:5" x14ac:dyDescent="0.2">
      <c r="B234" s="73" t="s">
        <v>7</v>
      </c>
      <c r="C234" s="73">
        <v>8</v>
      </c>
      <c r="D234" s="73">
        <v>36</v>
      </c>
      <c r="E234" s="73">
        <v>141</v>
      </c>
    </row>
    <row r="235" spans="2:5" x14ac:dyDescent="0.2">
      <c r="B235" s="73" t="s">
        <v>7</v>
      </c>
      <c r="C235" s="73">
        <v>2</v>
      </c>
      <c r="D235" s="73">
        <v>18</v>
      </c>
      <c r="E235" s="73">
        <v>132</v>
      </c>
    </row>
    <row r="236" spans="2:5" x14ac:dyDescent="0.2">
      <c r="B236" s="73" t="s">
        <v>7</v>
      </c>
      <c r="C236" s="73">
        <v>8</v>
      </c>
      <c r="D236" s="73">
        <v>22</v>
      </c>
      <c r="E236" s="73">
        <v>212</v>
      </c>
    </row>
    <row r="237" spans="2:5" x14ac:dyDescent="0.2">
      <c r="B237" s="73" t="s">
        <v>8</v>
      </c>
      <c r="C237" s="73">
        <v>11</v>
      </c>
      <c r="D237" s="73">
        <v>25</v>
      </c>
      <c r="E237" s="73">
        <v>144</v>
      </c>
    </row>
    <row r="238" spans="2:5" x14ac:dyDescent="0.2">
      <c r="B238" s="73" t="s">
        <v>8</v>
      </c>
      <c r="C238" s="73">
        <v>1</v>
      </c>
      <c r="D238" s="73">
        <v>28</v>
      </c>
      <c r="E238" s="73">
        <v>146</v>
      </c>
    </row>
    <row r="239" spans="2:5" x14ac:dyDescent="0.2">
      <c r="B239" s="73" t="s">
        <v>7</v>
      </c>
      <c r="C239" s="73">
        <v>1</v>
      </c>
      <c r="D239" s="73">
        <v>31</v>
      </c>
      <c r="E239" s="73">
        <v>92</v>
      </c>
    </row>
    <row r="240" spans="2:5" x14ac:dyDescent="0.2">
      <c r="B240" s="73" t="s">
        <v>7</v>
      </c>
      <c r="C240" s="73">
        <v>3</v>
      </c>
      <c r="D240" s="73">
        <v>56</v>
      </c>
      <c r="E240" s="73">
        <v>188</v>
      </c>
    </row>
    <row r="241" spans="2:5" x14ac:dyDescent="0.2">
      <c r="B241" s="73" t="s">
        <v>8</v>
      </c>
      <c r="C241" s="73">
        <v>2</v>
      </c>
      <c r="D241" s="73">
        <v>25</v>
      </c>
      <c r="E241" s="73">
        <v>168</v>
      </c>
    </row>
    <row r="242" spans="2:5" x14ac:dyDescent="0.2">
      <c r="B242" s="73" t="s">
        <v>8</v>
      </c>
      <c r="C242" s="73">
        <v>4</v>
      </c>
      <c r="D242" s="73">
        <v>41</v>
      </c>
      <c r="E242" s="73">
        <v>258</v>
      </c>
    </row>
    <row r="243" spans="2:5" x14ac:dyDescent="0.2">
      <c r="B243" s="73" t="s">
        <v>7</v>
      </c>
      <c r="C243" s="73">
        <v>1</v>
      </c>
      <c r="D243" s="73">
        <v>39</v>
      </c>
      <c r="E243" s="73">
        <v>118</v>
      </c>
    </row>
    <row r="244" spans="2:5" x14ac:dyDescent="0.2">
      <c r="B244" s="73" t="s">
        <v>7</v>
      </c>
      <c r="C244" s="73">
        <v>1</v>
      </c>
      <c r="D244" s="73">
        <v>30</v>
      </c>
      <c r="E244" s="73">
        <v>169</v>
      </c>
    </row>
    <row r="245" spans="2:5" x14ac:dyDescent="0.2">
      <c r="B245" s="73" t="s">
        <v>7</v>
      </c>
      <c r="C245" s="73">
        <v>2</v>
      </c>
      <c r="D245" s="73">
        <v>30</v>
      </c>
      <c r="E245" s="73">
        <v>143</v>
      </c>
    </row>
    <row r="246" spans="2:5" x14ac:dyDescent="0.2">
      <c r="B246" s="73" t="s">
        <v>7</v>
      </c>
      <c r="C246" s="73">
        <v>6</v>
      </c>
      <c r="D246" s="73">
        <v>33</v>
      </c>
      <c r="E246" s="73">
        <v>143</v>
      </c>
    </row>
    <row r="247" spans="2:5" x14ac:dyDescent="0.2">
      <c r="B247" s="73" t="s">
        <v>7</v>
      </c>
      <c r="C247" s="73">
        <v>4</v>
      </c>
      <c r="D247" s="73">
        <v>49</v>
      </c>
      <c r="E247" s="73">
        <v>229</v>
      </c>
    </row>
    <row r="248" spans="2:5" x14ac:dyDescent="0.2">
      <c r="B248" s="73" t="s">
        <v>7</v>
      </c>
      <c r="C248" s="73">
        <v>10</v>
      </c>
      <c r="D248" s="73">
        <v>39</v>
      </c>
      <c r="E248" s="73">
        <v>103</v>
      </c>
    </row>
    <row r="249" spans="2:5" x14ac:dyDescent="0.2">
      <c r="B249" s="73" t="s">
        <v>7</v>
      </c>
      <c r="C249" s="73">
        <v>10</v>
      </c>
      <c r="D249" s="73">
        <v>40</v>
      </c>
      <c r="E249" s="73">
        <v>128</v>
      </c>
    </row>
    <row r="250" spans="2:5" x14ac:dyDescent="0.2">
      <c r="B250" s="73" t="s">
        <v>7</v>
      </c>
      <c r="C250" s="73">
        <v>1</v>
      </c>
      <c r="D250" s="73">
        <v>27</v>
      </c>
      <c r="E250" s="73">
        <v>194</v>
      </c>
    </row>
    <row r="251" spans="2:5" x14ac:dyDescent="0.2">
      <c r="B251" s="73" t="s">
        <v>7</v>
      </c>
      <c r="C251" s="73">
        <v>1</v>
      </c>
      <c r="D251" s="73">
        <v>20</v>
      </c>
      <c r="E251" s="73">
        <v>143</v>
      </c>
    </row>
    <row r="252" spans="2:5" x14ac:dyDescent="0.2">
      <c r="B252" s="73" t="s">
        <v>7</v>
      </c>
      <c r="C252" s="73">
        <v>11</v>
      </c>
      <c r="D252" s="73">
        <v>35</v>
      </c>
      <c r="E252" s="73">
        <v>136</v>
      </c>
    </row>
    <row r="253" spans="2:5" x14ac:dyDescent="0.2">
      <c r="B253" s="73" t="s">
        <v>7</v>
      </c>
      <c r="C253" s="73">
        <v>2</v>
      </c>
      <c r="D253" s="73">
        <v>15</v>
      </c>
      <c r="E253" s="73">
        <v>110</v>
      </c>
    </row>
    <row r="254" spans="2:5" x14ac:dyDescent="0.2">
      <c r="B254" s="73" t="s">
        <v>7</v>
      </c>
      <c r="C254" s="73">
        <v>2</v>
      </c>
      <c r="D254" s="73">
        <v>36</v>
      </c>
      <c r="E254" s="73">
        <v>186</v>
      </c>
    </row>
    <row r="255" spans="2:5" x14ac:dyDescent="0.2">
      <c r="B255" s="73" t="s">
        <v>7</v>
      </c>
      <c r="C255" s="73">
        <v>2</v>
      </c>
      <c r="D255" s="73">
        <v>37</v>
      </c>
      <c r="E255" s="73">
        <v>159</v>
      </c>
    </row>
    <row r="256" spans="2:5" x14ac:dyDescent="0.2">
      <c r="B256" s="73" t="s">
        <v>7</v>
      </c>
      <c r="C256" s="73">
        <v>1</v>
      </c>
      <c r="D256" s="73">
        <v>15</v>
      </c>
      <c r="E256" s="73">
        <v>155</v>
      </c>
    </row>
    <row r="257" spans="2:5" x14ac:dyDescent="0.2">
      <c r="B257" s="73" t="s">
        <v>7</v>
      </c>
      <c r="C257" s="73">
        <v>1</v>
      </c>
      <c r="D257" s="73">
        <v>22</v>
      </c>
      <c r="E257" s="73">
        <v>217</v>
      </c>
    </row>
    <row r="258" spans="2:5" x14ac:dyDescent="0.2">
      <c r="B258" s="73" t="s">
        <v>8</v>
      </c>
      <c r="C258" s="73">
        <v>2</v>
      </c>
      <c r="D258" s="73">
        <v>31</v>
      </c>
      <c r="E258" s="73">
        <v>121</v>
      </c>
    </row>
    <row r="259" spans="2:5" x14ac:dyDescent="0.2">
      <c r="B259" s="73" t="s">
        <v>7</v>
      </c>
      <c r="C259" s="73">
        <v>2</v>
      </c>
      <c r="D259" s="73">
        <v>23</v>
      </c>
      <c r="E259" s="73">
        <v>118</v>
      </c>
    </row>
    <row r="260" spans="2:5" x14ac:dyDescent="0.2">
      <c r="B260" s="73" t="s">
        <v>8</v>
      </c>
      <c r="C260" s="73">
        <v>1</v>
      </c>
      <c r="D260" s="73">
        <v>28</v>
      </c>
      <c r="E260" s="73">
        <v>135</v>
      </c>
    </row>
    <row r="261" spans="2:5" x14ac:dyDescent="0.2">
      <c r="B261" s="73" t="s">
        <v>7</v>
      </c>
      <c r="C261" s="73">
        <v>2</v>
      </c>
      <c r="D261" s="73">
        <v>30</v>
      </c>
      <c r="E261" s="73">
        <v>120</v>
      </c>
    </row>
    <row r="262" spans="2:5" x14ac:dyDescent="0.2">
      <c r="B262" s="73" t="s">
        <v>8</v>
      </c>
      <c r="C262" s="73">
        <v>2</v>
      </c>
      <c r="D262" s="73">
        <v>34</v>
      </c>
      <c r="E262" s="73">
        <v>153</v>
      </c>
    </row>
    <row r="263" spans="2:5" x14ac:dyDescent="0.2">
      <c r="B263" s="73" t="s">
        <v>8</v>
      </c>
      <c r="C263" s="73">
        <v>4</v>
      </c>
      <c r="D263" s="73">
        <v>22</v>
      </c>
      <c r="E263" s="73">
        <v>160</v>
      </c>
    </row>
    <row r="264" spans="2:5" x14ac:dyDescent="0.2">
      <c r="B264" s="73" t="s">
        <v>7</v>
      </c>
      <c r="C264" s="73">
        <v>10</v>
      </c>
      <c r="D264" s="73">
        <v>59</v>
      </c>
      <c r="E264" s="73">
        <v>209</v>
      </c>
    </row>
    <row r="265" spans="2:5" x14ac:dyDescent="0.2">
      <c r="B265" s="73" t="s">
        <v>8</v>
      </c>
      <c r="C265" s="73">
        <v>1</v>
      </c>
      <c r="D265" s="73">
        <v>14</v>
      </c>
      <c r="E265" s="73">
        <v>168</v>
      </c>
    </row>
    <row r="266" spans="2:5" x14ac:dyDescent="0.2">
      <c r="B266" s="73" t="s">
        <v>8</v>
      </c>
      <c r="C266" s="73">
        <v>5</v>
      </c>
      <c r="D266" s="73">
        <v>31</v>
      </c>
      <c r="E266" s="73">
        <v>158</v>
      </c>
    </row>
    <row r="267" spans="2:5" x14ac:dyDescent="0.2">
      <c r="B267" s="73" t="s">
        <v>8</v>
      </c>
      <c r="C267" s="73">
        <v>1</v>
      </c>
      <c r="D267" s="73">
        <v>28</v>
      </c>
      <c r="E267" s="73">
        <v>155</v>
      </c>
    </row>
    <row r="268" spans="2:5" x14ac:dyDescent="0.2">
      <c r="B268" s="73" t="s">
        <v>7</v>
      </c>
      <c r="C268" s="73">
        <v>1</v>
      </c>
      <c r="D268" s="73">
        <v>31</v>
      </c>
      <c r="E268" s="73">
        <v>172</v>
      </c>
    </row>
    <row r="269" spans="2:5" x14ac:dyDescent="0.2">
      <c r="B269" s="73" t="s">
        <v>7</v>
      </c>
      <c r="C269" s="73">
        <v>12</v>
      </c>
      <c r="D269" s="73">
        <v>50</v>
      </c>
      <c r="E269" s="73">
        <v>180</v>
      </c>
    </row>
    <row r="270" spans="2:5" x14ac:dyDescent="0.2">
      <c r="B270" s="73" t="s">
        <v>8</v>
      </c>
      <c r="C270" s="73">
        <v>2</v>
      </c>
      <c r="D270" s="73">
        <v>12</v>
      </c>
      <c r="E270" s="73">
        <v>150</v>
      </c>
    </row>
    <row r="271" spans="2:5" x14ac:dyDescent="0.2">
      <c r="B271" s="73" t="s">
        <v>8</v>
      </c>
      <c r="C271" s="73">
        <v>1</v>
      </c>
      <c r="D271" s="73">
        <v>12</v>
      </c>
      <c r="E271" s="73">
        <v>154</v>
      </c>
    </row>
    <row r="272" spans="2:5" x14ac:dyDescent="0.2">
      <c r="B272" s="73" t="s">
        <v>7</v>
      </c>
      <c r="C272" s="73">
        <v>4</v>
      </c>
      <c r="D272" s="73">
        <v>22</v>
      </c>
      <c r="E272" s="73">
        <v>108</v>
      </c>
    </row>
    <row r="273" spans="2:5" x14ac:dyDescent="0.2">
      <c r="B273" s="73" t="s">
        <v>7</v>
      </c>
      <c r="C273" s="73">
        <v>1</v>
      </c>
      <c r="D273" s="73">
        <v>55</v>
      </c>
      <c r="E273" s="73">
        <v>135</v>
      </c>
    </row>
    <row r="274" spans="2:5" x14ac:dyDescent="0.2">
      <c r="B274" s="73" t="s">
        <v>7</v>
      </c>
      <c r="C274" s="73">
        <v>1</v>
      </c>
      <c r="D274" s="73">
        <v>18</v>
      </c>
      <c r="E274" s="73">
        <v>148</v>
      </c>
    </row>
    <row r="275" spans="2:5" x14ac:dyDescent="0.2">
      <c r="B275" s="73" t="s">
        <v>7</v>
      </c>
      <c r="C275" s="73">
        <v>5</v>
      </c>
      <c r="D275" s="73">
        <v>22</v>
      </c>
      <c r="E275" s="73">
        <v>174</v>
      </c>
    </row>
    <row r="276" spans="2:5" x14ac:dyDescent="0.2">
      <c r="B276" s="73" t="s">
        <v>7</v>
      </c>
      <c r="C276" s="73">
        <v>2</v>
      </c>
      <c r="D276" s="73">
        <v>25</v>
      </c>
      <c r="E276" s="73">
        <v>209</v>
      </c>
    </row>
    <row r="277" spans="2:5" x14ac:dyDescent="0.2">
      <c r="B277" s="73" t="s">
        <v>7</v>
      </c>
      <c r="C277" s="73">
        <v>1</v>
      </c>
      <c r="D277" s="73">
        <v>41</v>
      </c>
      <c r="E277" s="73">
        <v>174</v>
      </c>
    </row>
    <row r="278" spans="2:5" x14ac:dyDescent="0.2">
      <c r="B278" s="73" t="s">
        <v>7</v>
      </c>
      <c r="C278" s="73">
        <v>5</v>
      </c>
      <c r="D278" s="73">
        <v>32</v>
      </c>
      <c r="E278" s="73">
        <v>124</v>
      </c>
    </row>
    <row r="279" spans="2:5" x14ac:dyDescent="0.2">
      <c r="B279" s="73" t="s">
        <v>7</v>
      </c>
      <c r="C279" s="73">
        <v>6</v>
      </c>
      <c r="D279" s="73">
        <v>24</v>
      </c>
      <c r="E279" s="73">
        <v>146</v>
      </c>
    </row>
    <row r="280" spans="2:5" x14ac:dyDescent="0.2">
      <c r="B280" s="73" t="s">
        <v>8</v>
      </c>
      <c r="C280" s="73">
        <v>2</v>
      </c>
      <c r="D280" s="73">
        <v>55</v>
      </c>
      <c r="E280" s="73">
        <v>179</v>
      </c>
    </row>
    <row r="281" spans="2:5" x14ac:dyDescent="0.2">
      <c r="B281" s="73" t="s">
        <v>8</v>
      </c>
      <c r="C281" s="73">
        <v>5</v>
      </c>
      <c r="D281" s="73">
        <v>40</v>
      </c>
      <c r="E281" s="73">
        <v>124</v>
      </c>
    </row>
    <row r="282" spans="2:5" x14ac:dyDescent="0.2">
      <c r="B282" s="73" t="s">
        <v>7</v>
      </c>
      <c r="C282" s="73">
        <v>1</v>
      </c>
      <c r="D282" s="73">
        <v>22</v>
      </c>
      <c r="E282" s="73">
        <v>204</v>
      </c>
    </row>
    <row r="283" spans="2:5" x14ac:dyDescent="0.2">
      <c r="B283" s="73" t="s">
        <v>7</v>
      </c>
      <c r="C283" s="73">
        <v>11</v>
      </c>
      <c r="D283" s="73">
        <v>53</v>
      </c>
      <c r="E283" s="73">
        <v>201</v>
      </c>
    </row>
    <row r="284" spans="2:5" x14ac:dyDescent="0.2">
      <c r="B284" s="73" t="s">
        <v>7</v>
      </c>
      <c r="C284" s="73">
        <v>3</v>
      </c>
      <c r="D284" s="73">
        <v>40</v>
      </c>
      <c r="E284" s="73">
        <v>118</v>
      </c>
    </row>
    <row r="285" spans="2:5" x14ac:dyDescent="0.2">
      <c r="B285" s="73" t="s">
        <v>7</v>
      </c>
      <c r="C285" s="73">
        <v>1</v>
      </c>
      <c r="D285" s="73">
        <v>21</v>
      </c>
      <c r="E285" s="73">
        <v>192</v>
      </c>
    </row>
    <row r="286" spans="2:5" x14ac:dyDescent="0.2">
      <c r="B286" s="73" t="s">
        <v>7</v>
      </c>
      <c r="C286" s="73">
        <v>5</v>
      </c>
      <c r="D286" s="73">
        <v>30</v>
      </c>
      <c r="E286" s="73">
        <v>139</v>
      </c>
    </row>
    <row r="287" spans="2:5" x14ac:dyDescent="0.2">
      <c r="B287" s="73" t="s">
        <v>7</v>
      </c>
      <c r="C287" s="73">
        <v>3</v>
      </c>
      <c r="D287" s="73">
        <v>38</v>
      </c>
      <c r="E287" s="73">
        <v>107</v>
      </c>
    </row>
    <row r="288" spans="2:5" x14ac:dyDescent="0.2">
      <c r="B288" s="73" t="s">
        <v>7</v>
      </c>
      <c r="C288" s="73">
        <v>1</v>
      </c>
      <c r="D288" s="73">
        <v>38</v>
      </c>
      <c r="E288" s="73">
        <v>201</v>
      </c>
    </row>
    <row r="289" spans="2:5" x14ac:dyDescent="0.2">
      <c r="B289" s="73" t="s">
        <v>7</v>
      </c>
      <c r="C289" s="73">
        <v>3</v>
      </c>
      <c r="D289" s="73">
        <v>40</v>
      </c>
      <c r="E289" s="73">
        <v>268</v>
      </c>
    </row>
    <row r="290" spans="2:5" x14ac:dyDescent="0.2">
      <c r="B290" s="73" t="s">
        <v>7</v>
      </c>
      <c r="C290" s="73">
        <v>3</v>
      </c>
      <c r="D290" s="73">
        <v>41</v>
      </c>
      <c r="E290" s="73">
        <v>249</v>
      </c>
    </row>
    <row r="291" spans="2:5" x14ac:dyDescent="0.2">
      <c r="B291" s="73" t="s">
        <v>8</v>
      </c>
      <c r="C291" s="73">
        <v>2</v>
      </c>
      <c r="D291" s="73">
        <v>12</v>
      </c>
      <c r="E291" s="73">
        <v>94</v>
      </c>
    </row>
    <row r="292" spans="2:5" x14ac:dyDescent="0.2">
      <c r="B292" s="73" t="s">
        <v>8</v>
      </c>
      <c r="C292" s="73">
        <v>1</v>
      </c>
      <c r="D292" s="73">
        <v>30</v>
      </c>
      <c r="E292" s="73">
        <v>125</v>
      </c>
    </row>
    <row r="293" spans="2:5" x14ac:dyDescent="0.2">
      <c r="B293" s="73" t="s">
        <v>8</v>
      </c>
      <c r="C293" s="73">
        <v>10</v>
      </c>
      <c r="D293" s="73">
        <v>29</v>
      </c>
      <c r="E293" s="73">
        <v>153</v>
      </c>
    </row>
    <row r="294" spans="2:5" x14ac:dyDescent="0.2">
      <c r="B294" s="73" t="s">
        <v>7</v>
      </c>
      <c r="C294" s="73">
        <v>1</v>
      </c>
      <c r="D294" s="73">
        <v>11</v>
      </c>
      <c r="E294" s="73">
        <v>136</v>
      </c>
    </row>
    <row r="295" spans="2:5" x14ac:dyDescent="0.2">
      <c r="B295" s="73" t="s">
        <v>7</v>
      </c>
      <c r="C295" s="73">
        <v>9</v>
      </c>
      <c r="D295" s="73">
        <v>43</v>
      </c>
      <c r="E295" s="73">
        <v>94</v>
      </c>
    </row>
    <row r="296" spans="2:5" x14ac:dyDescent="0.2">
      <c r="B296" s="73" t="s">
        <v>7</v>
      </c>
      <c r="C296" s="73">
        <v>2</v>
      </c>
      <c r="D296" s="73">
        <v>48</v>
      </c>
      <c r="E296" s="73">
        <v>153</v>
      </c>
    </row>
    <row r="297" spans="2:5" x14ac:dyDescent="0.2">
      <c r="B297" s="73" t="s">
        <v>7</v>
      </c>
      <c r="C297" s="73">
        <v>5</v>
      </c>
      <c r="D297" s="73">
        <v>62</v>
      </c>
      <c r="E297" s="73">
        <v>159</v>
      </c>
    </row>
    <row r="298" spans="2:5" x14ac:dyDescent="0.2">
      <c r="B298" s="73" t="s">
        <v>7</v>
      </c>
      <c r="C298" s="73">
        <v>1</v>
      </c>
      <c r="D298" s="73">
        <v>40</v>
      </c>
      <c r="E298" s="73">
        <v>159</v>
      </c>
    </row>
    <row r="299" spans="2:5" x14ac:dyDescent="0.2">
      <c r="B299" s="73" t="s">
        <v>7</v>
      </c>
      <c r="C299" s="73">
        <v>3</v>
      </c>
      <c r="D299" s="73">
        <v>39</v>
      </c>
      <c r="E299" s="73">
        <v>136</v>
      </c>
    </row>
    <row r="300" spans="2:5" x14ac:dyDescent="0.2">
      <c r="B300" s="73" t="s">
        <v>7</v>
      </c>
      <c r="C300" s="73">
        <v>1</v>
      </c>
      <c r="D300" s="73">
        <v>38</v>
      </c>
      <c r="E300" s="73">
        <v>155</v>
      </c>
    </row>
    <row r="301" spans="2:5" x14ac:dyDescent="0.2">
      <c r="B301" s="73" t="s">
        <v>7</v>
      </c>
      <c r="C301" s="73">
        <v>2</v>
      </c>
      <c r="D301" s="73">
        <v>34</v>
      </c>
      <c r="E301" s="73">
        <v>167</v>
      </c>
    </row>
    <row r="302" spans="2:5" x14ac:dyDescent="0.2">
      <c r="B302" s="73" t="s">
        <v>8</v>
      </c>
      <c r="C302" s="73">
        <v>14</v>
      </c>
      <c r="D302" s="73">
        <v>41</v>
      </c>
      <c r="E302" s="73">
        <v>197</v>
      </c>
    </row>
    <row r="303" spans="2:5" x14ac:dyDescent="0.2">
      <c r="B303" s="73" t="s">
        <v>7</v>
      </c>
      <c r="C303" s="73">
        <v>1</v>
      </c>
      <c r="D303" s="73">
        <v>13</v>
      </c>
      <c r="E303" s="73">
        <v>96</v>
      </c>
    </row>
    <row r="304" spans="2:5" x14ac:dyDescent="0.2">
      <c r="B304" s="73" t="s">
        <v>7</v>
      </c>
      <c r="C304" s="73">
        <v>1</v>
      </c>
      <c r="D304" s="73">
        <v>25</v>
      </c>
      <c r="E304" s="73">
        <v>147</v>
      </c>
    </row>
    <row r="305" spans="2:5" x14ac:dyDescent="0.2">
      <c r="B305" s="73" t="s">
        <v>8</v>
      </c>
      <c r="C305" s="73">
        <v>3</v>
      </c>
      <c r="D305" s="73">
        <v>21</v>
      </c>
      <c r="E305" s="73">
        <v>178</v>
      </c>
    </row>
    <row r="306" spans="2:5" x14ac:dyDescent="0.2">
      <c r="B306" s="73" t="s">
        <v>8</v>
      </c>
      <c r="C306" s="73">
        <v>2</v>
      </c>
      <c r="D306" s="73">
        <v>12</v>
      </c>
      <c r="E306" s="73">
        <v>268</v>
      </c>
    </row>
    <row r="307" spans="2:5" x14ac:dyDescent="0.2">
      <c r="B307" s="73" t="s">
        <v>7</v>
      </c>
      <c r="C307" s="73">
        <v>2</v>
      </c>
      <c r="D307" s="73">
        <v>37</v>
      </c>
      <c r="E307" s="73">
        <v>255</v>
      </c>
    </row>
    <row r="308" spans="2:5" x14ac:dyDescent="0.2">
      <c r="B308" s="73" t="s">
        <v>8</v>
      </c>
      <c r="C308" s="73">
        <v>1</v>
      </c>
      <c r="D308" s="73">
        <v>56</v>
      </c>
      <c r="E308" s="73">
        <v>204</v>
      </c>
    </row>
    <row r="309" spans="2:5" x14ac:dyDescent="0.2">
      <c r="B309" s="73" t="s">
        <v>8</v>
      </c>
      <c r="C309" s="73">
        <v>1</v>
      </c>
      <c r="D309" s="73">
        <v>9</v>
      </c>
      <c r="E309" s="73">
        <v>174</v>
      </c>
    </row>
    <row r="310" spans="2:5" x14ac:dyDescent="0.2">
      <c r="B310" s="73" t="s">
        <v>8</v>
      </c>
      <c r="C310" s="73">
        <v>8</v>
      </c>
      <c r="D310" s="73">
        <v>42</v>
      </c>
      <c r="E310" s="73">
        <v>151</v>
      </c>
    </row>
    <row r="311" spans="2:5" x14ac:dyDescent="0.2">
      <c r="B311" s="73" t="s">
        <v>7</v>
      </c>
      <c r="C311" s="73">
        <v>2</v>
      </c>
      <c r="D311" s="73">
        <v>25</v>
      </c>
      <c r="E311" s="73">
        <v>172</v>
      </c>
    </row>
    <row r="312" spans="2:5" x14ac:dyDescent="0.2">
      <c r="B312" s="73" t="s">
        <v>7</v>
      </c>
      <c r="C312" s="73">
        <v>2</v>
      </c>
      <c r="D312" s="73">
        <v>54</v>
      </c>
      <c r="E312" s="73">
        <v>220</v>
      </c>
    </row>
    <row r="313" spans="2:5" x14ac:dyDescent="0.2">
      <c r="B313" s="73" t="s">
        <v>7</v>
      </c>
      <c r="C313" s="73">
        <v>1</v>
      </c>
      <c r="D313" s="73">
        <v>52</v>
      </c>
      <c r="E313" s="73">
        <v>218</v>
      </c>
    </row>
    <row r="314" spans="2:5" x14ac:dyDescent="0.2">
      <c r="B314" s="73" t="s">
        <v>8</v>
      </c>
      <c r="C314" s="73">
        <v>2</v>
      </c>
      <c r="D314" s="73">
        <v>19</v>
      </c>
      <c r="E314" s="73">
        <v>168</v>
      </c>
    </row>
    <row r="315" spans="2:5" x14ac:dyDescent="0.2">
      <c r="B315" s="73" t="s">
        <v>8</v>
      </c>
      <c r="C315" s="73">
        <v>1</v>
      </c>
      <c r="D315" s="73">
        <v>10</v>
      </c>
      <c r="E315" s="73">
        <v>140</v>
      </c>
    </row>
    <row r="316" spans="2:5" x14ac:dyDescent="0.2">
      <c r="B316" s="73" t="s">
        <v>8</v>
      </c>
      <c r="C316" s="73">
        <v>2</v>
      </c>
      <c r="D316" s="73">
        <v>19</v>
      </c>
      <c r="E316" s="73">
        <v>169</v>
      </c>
    </row>
    <row r="317" spans="2:5" x14ac:dyDescent="0.2">
      <c r="B317" s="73" t="s">
        <v>8</v>
      </c>
      <c r="C317" s="73">
        <v>1</v>
      </c>
      <c r="D317" s="73">
        <v>25</v>
      </c>
      <c r="E317" s="73">
        <v>157</v>
      </c>
    </row>
    <row r="318" spans="2:5" x14ac:dyDescent="0.2">
      <c r="B318" s="73" t="s">
        <v>7</v>
      </c>
      <c r="C318" s="73">
        <v>10</v>
      </c>
      <c r="D318" s="73">
        <v>40</v>
      </c>
      <c r="E318" s="73">
        <v>159</v>
      </c>
    </row>
    <row r="319" spans="2:5" x14ac:dyDescent="0.2">
      <c r="B319" s="73" t="s">
        <v>7</v>
      </c>
      <c r="C319" s="73">
        <v>1</v>
      </c>
      <c r="D319" s="73">
        <v>32</v>
      </c>
      <c r="E319" s="73">
        <v>165</v>
      </c>
    </row>
    <row r="320" spans="2:5" x14ac:dyDescent="0.2">
      <c r="B320" s="73" t="s">
        <v>7</v>
      </c>
      <c r="C320" s="73">
        <v>10</v>
      </c>
      <c r="D320" s="73">
        <v>29</v>
      </c>
      <c r="E320" s="73">
        <v>200</v>
      </c>
    </row>
    <row r="321" spans="2:5" x14ac:dyDescent="0.2">
      <c r="B321" s="73" t="s">
        <v>7</v>
      </c>
      <c r="C321" s="73">
        <v>2</v>
      </c>
      <c r="D321" s="73">
        <v>18</v>
      </c>
      <c r="E321" s="73">
        <v>94</v>
      </c>
    </row>
    <row r="322" spans="2:5" x14ac:dyDescent="0.2">
      <c r="B322" s="73" t="s">
        <v>7</v>
      </c>
      <c r="C322" s="73">
        <v>4</v>
      </c>
      <c r="D322" s="73">
        <v>44</v>
      </c>
      <c r="E322" s="73">
        <v>117</v>
      </c>
    </row>
    <row r="323" spans="2:5" x14ac:dyDescent="0.2">
      <c r="B323" s="73" t="s">
        <v>7</v>
      </c>
      <c r="C323" s="73">
        <v>6</v>
      </c>
      <c r="D323" s="73">
        <v>35</v>
      </c>
      <c r="E323" s="73">
        <v>137</v>
      </c>
    </row>
    <row r="324" spans="2:5" x14ac:dyDescent="0.2">
      <c r="B324" s="73" t="s">
        <v>7</v>
      </c>
      <c r="C324" s="73">
        <v>1</v>
      </c>
      <c r="D324" s="73">
        <v>39</v>
      </c>
      <c r="E324" s="73">
        <v>154</v>
      </c>
    </row>
    <row r="325" spans="2:5" x14ac:dyDescent="0.2">
      <c r="B325" s="73" t="s">
        <v>7</v>
      </c>
      <c r="C325" s="73">
        <v>6</v>
      </c>
      <c r="D325" s="73">
        <v>52</v>
      </c>
      <c r="E325" s="73">
        <v>157</v>
      </c>
    </row>
    <row r="326" spans="2:5" x14ac:dyDescent="0.2">
      <c r="B326" s="73" t="s">
        <v>7</v>
      </c>
      <c r="C326" s="73">
        <v>1</v>
      </c>
      <c r="D326" s="73">
        <v>48</v>
      </c>
      <c r="E326" s="73">
        <v>170</v>
      </c>
    </row>
    <row r="327" spans="2:5" x14ac:dyDescent="0.2">
      <c r="B327" s="73" t="s">
        <v>7</v>
      </c>
      <c r="C327" s="73">
        <v>11</v>
      </c>
      <c r="D327" s="73">
        <v>57</v>
      </c>
      <c r="E327" s="73">
        <v>157</v>
      </c>
    </row>
    <row r="328" spans="2:5" x14ac:dyDescent="0.2">
      <c r="B328" s="73" t="s">
        <v>7</v>
      </c>
      <c r="C328" s="73">
        <v>8</v>
      </c>
      <c r="D328" s="73">
        <v>42</v>
      </c>
      <c r="E328" s="73">
        <v>154</v>
      </c>
    </row>
    <row r="329" spans="2:5" x14ac:dyDescent="0.2">
      <c r="B329" s="73" t="s">
        <v>7</v>
      </c>
      <c r="C329" s="73">
        <v>2</v>
      </c>
      <c r="D329" s="73">
        <v>30</v>
      </c>
      <c r="E329" s="73">
        <v>113</v>
      </c>
    </row>
    <row r="330" spans="2:5" x14ac:dyDescent="0.2">
      <c r="B330" s="73" t="s">
        <v>7</v>
      </c>
      <c r="C330" s="73">
        <v>5</v>
      </c>
      <c r="D330" s="73">
        <v>31</v>
      </c>
      <c r="E330" s="73">
        <v>136</v>
      </c>
    </row>
    <row r="331" spans="2:5" x14ac:dyDescent="0.2">
      <c r="B331" s="73" t="s">
        <v>7</v>
      </c>
      <c r="C331" s="73">
        <v>3</v>
      </c>
      <c r="D331" s="73">
        <v>32</v>
      </c>
      <c r="E331" s="73">
        <v>133</v>
      </c>
    </row>
    <row r="332" spans="2:5" x14ac:dyDescent="0.2">
      <c r="B332" s="73" t="s">
        <v>7</v>
      </c>
      <c r="C332" s="73">
        <v>1</v>
      </c>
      <c r="D332" s="73">
        <v>24</v>
      </c>
      <c r="E332" s="73">
        <v>161</v>
      </c>
    </row>
    <row r="333" spans="2:5" x14ac:dyDescent="0.2">
      <c r="B333" s="73" t="s">
        <v>7</v>
      </c>
      <c r="C333" s="73">
        <v>6</v>
      </c>
      <c r="D333" s="73">
        <v>35</v>
      </c>
      <c r="E333" s="73">
        <v>249</v>
      </c>
    </row>
    <row r="334" spans="2:5" x14ac:dyDescent="0.2">
      <c r="B334" s="73" t="s">
        <v>8</v>
      </c>
      <c r="C334" s="73">
        <v>2</v>
      </c>
      <c r="D334" s="73">
        <v>28</v>
      </c>
      <c r="E334" s="73">
        <v>130</v>
      </c>
    </row>
    <row r="335" spans="2:5" x14ac:dyDescent="0.2">
      <c r="B335" s="73" t="s">
        <v>7</v>
      </c>
      <c r="C335" s="73">
        <v>1</v>
      </c>
      <c r="D335" s="73">
        <v>40</v>
      </c>
      <c r="E335" s="73">
        <v>90</v>
      </c>
    </row>
    <row r="336" spans="2:5" x14ac:dyDescent="0.2">
      <c r="B336" s="73" t="s">
        <v>7</v>
      </c>
      <c r="C336" s="73">
        <v>11</v>
      </c>
      <c r="D336" s="73">
        <v>48</v>
      </c>
      <c r="E336" s="73">
        <v>135</v>
      </c>
    </row>
    <row r="337" spans="2:5" x14ac:dyDescent="0.2">
      <c r="B337" s="73" t="s">
        <v>7</v>
      </c>
      <c r="C337" s="73">
        <v>4</v>
      </c>
      <c r="D337" s="73">
        <v>37</v>
      </c>
      <c r="E337" s="73">
        <v>245</v>
      </c>
    </row>
    <row r="338" spans="2:5" x14ac:dyDescent="0.2">
      <c r="B338" s="73" t="s">
        <v>7</v>
      </c>
      <c r="C338" s="73">
        <v>1</v>
      </c>
      <c r="D338" s="73">
        <v>15</v>
      </c>
      <c r="E338" s="73">
        <v>124</v>
      </c>
    </row>
    <row r="339" spans="2:5" x14ac:dyDescent="0.2">
      <c r="B339" s="73" t="s">
        <v>7</v>
      </c>
      <c r="C339" s="73">
        <v>3</v>
      </c>
      <c r="D339" s="73">
        <v>29</v>
      </c>
      <c r="E339" s="73">
        <v>178</v>
      </c>
    </row>
    <row r="340" spans="2:5" x14ac:dyDescent="0.2">
      <c r="B340" s="73" t="s">
        <v>7</v>
      </c>
      <c r="C340" s="73">
        <v>4</v>
      </c>
      <c r="D340" s="73">
        <v>83</v>
      </c>
      <c r="E340" s="73">
        <v>160</v>
      </c>
    </row>
    <row r="341" spans="2:5" x14ac:dyDescent="0.2">
      <c r="B341" s="73" t="s">
        <v>7</v>
      </c>
      <c r="C341" s="73">
        <v>6</v>
      </c>
      <c r="D341" s="73">
        <v>63</v>
      </c>
      <c r="E341" s="73">
        <v>160</v>
      </c>
    </row>
    <row r="342" spans="2:5" x14ac:dyDescent="0.2">
      <c r="B342" s="73" t="s">
        <v>7</v>
      </c>
      <c r="C342" s="73">
        <v>1</v>
      </c>
      <c r="D342" s="73">
        <v>38</v>
      </c>
      <c r="E342" s="73">
        <v>166</v>
      </c>
    </row>
    <row r="343" spans="2:5" x14ac:dyDescent="0.2">
      <c r="B343" s="73" t="s">
        <v>8</v>
      </c>
      <c r="C343" s="73">
        <v>3</v>
      </c>
      <c r="D343" s="73">
        <v>23</v>
      </c>
      <c r="E343" s="73">
        <v>139</v>
      </c>
    </row>
    <row r="344" spans="2:5" x14ac:dyDescent="0.2">
      <c r="B344" s="73" t="s">
        <v>7</v>
      </c>
      <c r="C344" s="73">
        <v>4</v>
      </c>
      <c r="D344" s="73">
        <v>36</v>
      </c>
      <c r="E344" s="73">
        <v>137</v>
      </c>
    </row>
    <row r="345" spans="2:5" x14ac:dyDescent="0.2">
      <c r="B345" s="73" t="s">
        <v>8</v>
      </c>
      <c r="C345" s="73">
        <v>1</v>
      </c>
      <c r="D345" s="73">
        <v>25</v>
      </c>
      <c r="E345" s="73">
        <v>123</v>
      </c>
    </row>
    <row r="346" spans="2:5" x14ac:dyDescent="0.2">
      <c r="B346" s="73" t="s">
        <v>7</v>
      </c>
      <c r="C346" s="73">
        <v>2</v>
      </c>
      <c r="D346" s="73">
        <v>33</v>
      </c>
      <c r="E346" s="73">
        <v>170</v>
      </c>
    </row>
    <row r="347" spans="2:5" x14ac:dyDescent="0.2">
      <c r="B347" s="73" t="s">
        <v>8</v>
      </c>
      <c r="C347" s="73">
        <v>1</v>
      </c>
      <c r="D347" s="73">
        <v>41</v>
      </c>
      <c r="E347" s="73">
        <v>191</v>
      </c>
    </row>
    <row r="348" spans="2:5" x14ac:dyDescent="0.2">
      <c r="B348" s="73" t="s">
        <v>7</v>
      </c>
      <c r="C348" s="73">
        <v>5</v>
      </c>
      <c r="D348" s="73">
        <v>51</v>
      </c>
      <c r="E348" s="73">
        <v>130</v>
      </c>
    </row>
    <row r="349" spans="2:5" x14ac:dyDescent="0.2">
      <c r="B349" s="73" t="s">
        <v>8</v>
      </c>
      <c r="C349" s="73">
        <v>3</v>
      </c>
      <c r="D349" s="73">
        <v>18</v>
      </c>
      <c r="E349" s="73">
        <v>197</v>
      </c>
    </row>
    <row r="350" spans="2:5" x14ac:dyDescent="0.2">
      <c r="B350" s="73" t="s">
        <v>7</v>
      </c>
      <c r="C350" s="73">
        <v>5</v>
      </c>
      <c r="D350" s="73">
        <v>17</v>
      </c>
      <c r="E350" s="73">
        <v>85</v>
      </c>
    </row>
    <row r="351" spans="2:5" x14ac:dyDescent="0.2">
      <c r="B351" s="73" t="s">
        <v>7</v>
      </c>
      <c r="C351" s="73">
        <v>1</v>
      </c>
      <c r="D351" s="73">
        <v>24</v>
      </c>
      <c r="E351" s="73">
        <v>166</v>
      </c>
    </row>
    <row r="352" spans="2:5" x14ac:dyDescent="0.2">
      <c r="B352" s="73" t="s">
        <v>8</v>
      </c>
      <c r="C352" s="73">
        <v>1</v>
      </c>
      <c r="D352" s="73">
        <v>24</v>
      </c>
      <c r="E352" s="73">
        <v>158</v>
      </c>
    </row>
    <row r="353" spans="2:5" x14ac:dyDescent="0.2">
      <c r="B353" s="73" t="s">
        <v>8</v>
      </c>
      <c r="C353" s="73">
        <v>1</v>
      </c>
      <c r="D353" s="73">
        <v>13</v>
      </c>
      <c r="E353" s="73">
        <v>159</v>
      </c>
    </row>
    <row r="354" spans="2:5" x14ac:dyDescent="0.2">
      <c r="B354" s="73" t="s">
        <v>7</v>
      </c>
      <c r="C354" s="73">
        <v>1</v>
      </c>
      <c r="D354" s="73">
        <v>19</v>
      </c>
      <c r="E354" s="73">
        <v>184</v>
      </c>
    </row>
    <row r="355" spans="2:5" x14ac:dyDescent="0.2">
      <c r="B355" s="73" t="s">
        <v>7</v>
      </c>
      <c r="C355" s="73">
        <v>6</v>
      </c>
      <c r="D355" s="73">
        <v>27</v>
      </c>
      <c r="E355" s="73">
        <v>137</v>
      </c>
    </row>
    <row r="356" spans="2:5" x14ac:dyDescent="0.2">
      <c r="B356" s="73" t="s">
        <v>7</v>
      </c>
      <c r="C356" s="73">
        <v>2</v>
      </c>
      <c r="D356" s="73">
        <v>42</v>
      </c>
      <c r="E356" s="73">
        <v>201</v>
      </c>
    </row>
    <row r="357" spans="2:5" x14ac:dyDescent="0.2">
      <c r="B357" s="73" t="s">
        <v>8</v>
      </c>
      <c r="C357" s="73">
        <v>1</v>
      </c>
      <c r="D357" s="73">
        <v>24</v>
      </c>
      <c r="E357" s="73">
        <v>156</v>
      </c>
    </row>
    <row r="358" spans="2:5" x14ac:dyDescent="0.2">
      <c r="B358" s="73" t="s">
        <v>7</v>
      </c>
      <c r="C358" s="73">
        <v>3</v>
      </c>
      <c r="D358" s="73">
        <v>44</v>
      </c>
      <c r="E358" s="73">
        <v>187</v>
      </c>
    </row>
    <row r="359" spans="2:5" x14ac:dyDescent="0.2">
      <c r="B359" s="73" t="s">
        <v>7</v>
      </c>
      <c r="C359" s="73">
        <v>4</v>
      </c>
      <c r="D359" s="73">
        <v>27</v>
      </c>
      <c r="E359" s="73">
        <v>163</v>
      </c>
    </row>
    <row r="360" spans="2:5" x14ac:dyDescent="0.2">
      <c r="B360" s="73" t="s">
        <v>7</v>
      </c>
      <c r="C360" s="73">
        <v>1</v>
      </c>
      <c r="D360" s="73">
        <v>15</v>
      </c>
      <c r="E360" s="73">
        <v>191</v>
      </c>
    </row>
    <row r="361" spans="2:5" x14ac:dyDescent="0.2">
      <c r="B361" s="73" t="s">
        <v>7</v>
      </c>
      <c r="C361" s="73">
        <v>5</v>
      </c>
      <c r="D361" s="73">
        <v>57</v>
      </c>
      <c r="E361" s="73">
        <v>221</v>
      </c>
    </row>
    <row r="362" spans="2:5" x14ac:dyDescent="0.2">
      <c r="B362" s="73" t="s">
        <v>7</v>
      </c>
      <c r="C362" s="73">
        <v>1</v>
      </c>
      <c r="D362" s="73">
        <v>38</v>
      </c>
      <c r="E362" s="73">
        <v>149</v>
      </c>
    </row>
    <row r="363" spans="2:5" x14ac:dyDescent="0.2">
      <c r="B363" s="73" t="s">
        <v>7</v>
      </c>
      <c r="C363" s="73">
        <v>1</v>
      </c>
      <c r="D363" s="73">
        <v>11</v>
      </c>
      <c r="E363" s="73">
        <v>82</v>
      </c>
    </row>
    <row r="364" spans="2:5" x14ac:dyDescent="0.2">
      <c r="B364" s="73" t="s">
        <v>7</v>
      </c>
      <c r="C364" s="73">
        <v>5</v>
      </c>
      <c r="D364" s="73">
        <v>23</v>
      </c>
      <c r="E364" s="73">
        <v>137</v>
      </c>
    </row>
    <row r="365" spans="2:5" x14ac:dyDescent="0.2">
      <c r="B365" s="73" t="s">
        <v>7</v>
      </c>
      <c r="C365" s="73">
        <v>5</v>
      </c>
      <c r="D365" s="73">
        <v>21</v>
      </c>
      <c r="E365" s="73">
        <v>113</v>
      </c>
    </row>
    <row r="366" spans="2:5" x14ac:dyDescent="0.2">
      <c r="B366" s="73" t="s">
        <v>7</v>
      </c>
      <c r="C366" s="73">
        <v>2</v>
      </c>
      <c r="D366" s="73">
        <v>21</v>
      </c>
      <c r="E366" s="73">
        <v>179</v>
      </c>
    </row>
    <row r="367" spans="2:5" x14ac:dyDescent="0.2">
      <c r="B367" s="73" t="s">
        <v>7</v>
      </c>
      <c r="C367" s="73">
        <v>17</v>
      </c>
      <c r="D367" s="73">
        <v>51</v>
      </c>
      <c r="E367" s="73">
        <v>171</v>
      </c>
    </row>
    <row r="368" spans="2:5" x14ac:dyDescent="0.2">
      <c r="B368" s="73" t="s">
        <v>7</v>
      </c>
      <c r="C368" s="73">
        <v>4</v>
      </c>
      <c r="D368" s="73">
        <v>34</v>
      </c>
      <c r="E368" s="73">
        <v>171</v>
      </c>
    </row>
    <row r="369" spans="2:5" x14ac:dyDescent="0.2">
      <c r="B369" s="73" t="s">
        <v>7</v>
      </c>
      <c r="C369" s="73">
        <v>5</v>
      </c>
      <c r="D369" s="73">
        <v>41</v>
      </c>
      <c r="E369" s="73">
        <v>193</v>
      </c>
    </row>
    <row r="370" spans="2:5" x14ac:dyDescent="0.2">
      <c r="B370" s="73" t="s">
        <v>7</v>
      </c>
      <c r="C370" s="73">
        <v>1</v>
      </c>
      <c r="D370" s="73">
        <v>27</v>
      </c>
      <c r="E370" s="73">
        <v>210</v>
      </c>
    </row>
    <row r="371" spans="2:5" x14ac:dyDescent="0.2">
      <c r="B371" s="73" t="s">
        <v>8</v>
      </c>
      <c r="C371" s="73">
        <v>4</v>
      </c>
      <c r="D371" s="73">
        <v>32</v>
      </c>
      <c r="E371" s="73">
        <v>139</v>
      </c>
    </row>
    <row r="372" spans="2:5" x14ac:dyDescent="0.2">
      <c r="B372" s="73" t="s">
        <v>8</v>
      </c>
      <c r="C372" s="73">
        <v>1</v>
      </c>
      <c r="D372" s="73">
        <v>20</v>
      </c>
      <c r="E372" s="73">
        <v>229</v>
      </c>
    </row>
    <row r="373" spans="2:5" x14ac:dyDescent="0.2">
      <c r="B373" s="73" t="s">
        <v>8</v>
      </c>
      <c r="C373" s="73">
        <v>7</v>
      </c>
      <c r="D373" s="73">
        <v>35</v>
      </c>
      <c r="E373" s="73">
        <v>113</v>
      </c>
    </row>
    <row r="374" spans="2:5" x14ac:dyDescent="0.2">
      <c r="B374" s="73" t="s">
        <v>8</v>
      </c>
      <c r="C374" s="73">
        <v>7</v>
      </c>
      <c r="D374" s="73">
        <v>34</v>
      </c>
      <c r="E374" s="73">
        <v>187</v>
      </c>
    </row>
    <row r="375" spans="2:5" x14ac:dyDescent="0.2">
      <c r="B375" s="73" t="s">
        <v>7</v>
      </c>
      <c r="C375" s="73">
        <v>2</v>
      </c>
      <c r="D375" s="73">
        <v>51</v>
      </c>
      <c r="E375" s="73">
        <v>161</v>
      </c>
    </row>
    <row r="376" spans="2:5" x14ac:dyDescent="0.2">
      <c r="B376" s="73" t="s">
        <v>7</v>
      </c>
      <c r="C376" s="73">
        <v>2</v>
      </c>
      <c r="D376" s="73">
        <v>16</v>
      </c>
      <c r="E376" s="73">
        <v>124</v>
      </c>
    </row>
    <row r="377" spans="2:5" x14ac:dyDescent="0.2">
      <c r="B377" s="73" t="s">
        <v>7</v>
      </c>
      <c r="C377" s="73">
        <v>1</v>
      </c>
      <c r="D377" s="73">
        <v>42</v>
      </c>
      <c r="E377" s="73">
        <v>138</v>
      </c>
    </row>
    <row r="378" spans="2:5" x14ac:dyDescent="0.2">
      <c r="B378" s="73" t="s">
        <v>7</v>
      </c>
      <c r="C378" s="73">
        <v>1</v>
      </c>
      <c r="D378" s="73">
        <v>20</v>
      </c>
      <c r="E378" s="73">
        <v>146</v>
      </c>
    </row>
    <row r="379" spans="2:5" x14ac:dyDescent="0.2">
      <c r="B379" s="73" t="s">
        <v>7</v>
      </c>
      <c r="C379" s="73">
        <v>6</v>
      </c>
      <c r="D379" s="73">
        <v>52</v>
      </c>
      <c r="E379" s="73">
        <v>149</v>
      </c>
    </row>
    <row r="380" spans="2:5" x14ac:dyDescent="0.2">
      <c r="B380" s="73" t="s">
        <v>7</v>
      </c>
      <c r="C380" s="73">
        <v>2</v>
      </c>
      <c r="D380" s="73">
        <v>33</v>
      </c>
      <c r="E380" s="73">
        <v>212</v>
      </c>
    </row>
    <row r="381" spans="2:5" x14ac:dyDescent="0.2">
      <c r="B381" s="73" t="s">
        <v>7</v>
      </c>
      <c r="C381" s="73">
        <v>7</v>
      </c>
      <c r="D381" s="73">
        <v>33</v>
      </c>
      <c r="E381" s="73">
        <v>97</v>
      </c>
    </row>
    <row r="382" spans="2:5" x14ac:dyDescent="0.2">
      <c r="B382" s="73" t="s">
        <v>7</v>
      </c>
      <c r="C382" s="73">
        <v>1</v>
      </c>
      <c r="D382" s="73">
        <v>35</v>
      </c>
      <c r="E382" s="73">
        <v>156</v>
      </c>
    </row>
    <row r="383" spans="2:5" x14ac:dyDescent="0.2">
      <c r="B383" s="73" t="s">
        <v>7</v>
      </c>
      <c r="C383" s="73">
        <v>2</v>
      </c>
      <c r="D383" s="73">
        <v>38</v>
      </c>
      <c r="E383" s="73">
        <v>140</v>
      </c>
    </row>
    <row r="384" spans="2:5" x14ac:dyDescent="0.2">
      <c r="B384" s="73" t="s">
        <v>7</v>
      </c>
      <c r="C384" s="73">
        <v>4</v>
      </c>
      <c r="D384" s="73">
        <v>62</v>
      </c>
      <c r="E384" s="73">
        <v>177</v>
      </c>
    </row>
    <row r="385" spans="2:5" x14ac:dyDescent="0.2">
      <c r="B385" s="73" t="s">
        <v>7</v>
      </c>
      <c r="C385" s="73">
        <v>2</v>
      </c>
      <c r="D385" s="73">
        <v>54</v>
      </c>
      <c r="E385" s="73">
        <v>197</v>
      </c>
    </row>
    <row r="386" spans="2:5" x14ac:dyDescent="0.2">
      <c r="B386" s="73" t="s">
        <v>8</v>
      </c>
      <c r="C386" s="73">
        <v>1</v>
      </c>
      <c r="D386" s="73">
        <v>23</v>
      </c>
      <c r="E386" s="73">
        <v>194</v>
      </c>
    </row>
    <row r="387" spans="2:5" x14ac:dyDescent="0.2">
      <c r="B387" s="73" t="s">
        <v>8</v>
      </c>
      <c r="C387" s="73">
        <v>3</v>
      </c>
      <c r="D387" s="73">
        <v>35</v>
      </c>
      <c r="E387" s="73">
        <v>187</v>
      </c>
    </row>
    <row r="388" spans="2:5" x14ac:dyDescent="0.2">
      <c r="B388" s="73" t="s">
        <v>7</v>
      </c>
      <c r="C388" s="73">
        <v>9</v>
      </c>
      <c r="D388" s="73">
        <v>39</v>
      </c>
      <c r="E388" s="73">
        <v>150</v>
      </c>
    </row>
    <row r="389" spans="2:5" x14ac:dyDescent="0.2">
      <c r="B389" s="73" t="s">
        <v>7</v>
      </c>
      <c r="C389" s="73">
        <v>4</v>
      </c>
      <c r="D389" s="73">
        <v>53</v>
      </c>
      <c r="E389" s="73">
        <v>232</v>
      </c>
    </row>
    <row r="390" spans="2:5" x14ac:dyDescent="0.2">
      <c r="B390" s="73" t="s">
        <v>7</v>
      </c>
      <c r="C390" s="73">
        <v>5</v>
      </c>
      <c r="D390" s="73">
        <v>42</v>
      </c>
      <c r="E390" s="73">
        <v>173</v>
      </c>
    </row>
    <row r="391" spans="2:5" x14ac:dyDescent="0.2">
      <c r="B391" s="73" t="s">
        <v>7</v>
      </c>
      <c r="C391" s="73">
        <v>1</v>
      </c>
      <c r="D391" s="73">
        <v>34</v>
      </c>
      <c r="E391" s="73">
        <v>176</v>
      </c>
    </row>
    <row r="392" spans="2:5" x14ac:dyDescent="0.2">
      <c r="B392" s="73" t="s">
        <v>7</v>
      </c>
      <c r="C392" s="73">
        <v>1</v>
      </c>
      <c r="D392" s="73">
        <v>42</v>
      </c>
      <c r="E392" s="73">
        <v>154</v>
      </c>
    </row>
    <row r="393" spans="2:5" x14ac:dyDescent="0.2">
      <c r="B393" s="73" t="s">
        <v>7</v>
      </c>
      <c r="C393" s="73">
        <v>3</v>
      </c>
      <c r="D393" s="73">
        <v>32</v>
      </c>
      <c r="E393" s="73">
        <v>154</v>
      </c>
    </row>
    <row r="394" spans="2:5" x14ac:dyDescent="0.2">
      <c r="B394" s="73" t="s">
        <v>7</v>
      </c>
      <c r="C394" s="73">
        <v>2</v>
      </c>
      <c r="D394" s="73">
        <v>36</v>
      </c>
      <c r="E394" s="73">
        <v>212</v>
      </c>
    </row>
    <row r="395" spans="2:5" x14ac:dyDescent="0.2">
      <c r="B395" s="73" t="s">
        <v>8</v>
      </c>
      <c r="C395" s="73">
        <v>3</v>
      </c>
      <c r="D395" s="73">
        <v>45</v>
      </c>
      <c r="E395" s="73">
        <v>181</v>
      </c>
    </row>
    <row r="396" spans="2:5" x14ac:dyDescent="0.2">
      <c r="B396" s="73" t="s">
        <v>8</v>
      </c>
      <c r="C396" s="73">
        <v>1</v>
      </c>
      <c r="D396" s="73">
        <v>27</v>
      </c>
      <c r="E396" s="73">
        <v>214</v>
      </c>
    </row>
    <row r="397" spans="2:5" x14ac:dyDescent="0.2">
      <c r="B397" s="73" t="s">
        <v>8</v>
      </c>
      <c r="C397" s="73">
        <v>1</v>
      </c>
      <c r="D397" s="73">
        <v>20</v>
      </c>
      <c r="E397" s="73">
        <v>143</v>
      </c>
    </row>
    <row r="398" spans="2:5" x14ac:dyDescent="0.2">
      <c r="B398" s="73" t="s">
        <v>7</v>
      </c>
      <c r="C398" s="73">
        <v>3</v>
      </c>
      <c r="D398" s="73">
        <v>32</v>
      </c>
      <c r="E398" s="73">
        <v>114</v>
      </c>
    </row>
    <row r="399" spans="2:5" x14ac:dyDescent="0.2">
      <c r="B399" s="73" t="s">
        <v>7</v>
      </c>
      <c r="C399" s="73">
        <v>9</v>
      </c>
      <c r="D399" s="73">
        <v>32</v>
      </c>
      <c r="E399" s="73">
        <v>136</v>
      </c>
    </row>
    <row r="400" spans="2:5" x14ac:dyDescent="0.2">
      <c r="B400" s="73" t="s">
        <v>7</v>
      </c>
      <c r="C400" s="73">
        <v>10</v>
      </c>
      <c r="D400" s="73">
        <v>34</v>
      </c>
      <c r="E400" s="73">
        <v>147</v>
      </c>
    </row>
    <row r="401" spans="2:5" x14ac:dyDescent="0.2">
      <c r="B401" s="73" t="s">
        <v>7</v>
      </c>
      <c r="C401" s="73">
        <v>25</v>
      </c>
      <c r="D401" s="73">
        <v>67</v>
      </c>
      <c r="E401" s="73">
        <v>150</v>
      </c>
    </row>
    <row r="402" spans="2:5" x14ac:dyDescent="0.2">
      <c r="B402" s="73" t="s">
        <v>7</v>
      </c>
      <c r="C402" s="73">
        <v>8</v>
      </c>
      <c r="D402" s="73">
        <v>32</v>
      </c>
      <c r="E402" s="73">
        <v>162</v>
      </c>
    </row>
    <row r="403" spans="2:5" x14ac:dyDescent="0.2">
      <c r="B403" s="73" t="s">
        <v>7</v>
      </c>
      <c r="C403" s="73">
        <v>1</v>
      </c>
      <c r="D403" s="73">
        <v>50</v>
      </c>
      <c r="E403" s="73">
        <v>165</v>
      </c>
    </row>
    <row r="404" spans="2:5" x14ac:dyDescent="0.2">
      <c r="B404" s="73" t="s">
        <v>7</v>
      </c>
      <c r="C404" s="73">
        <v>7</v>
      </c>
      <c r="D404" s="73">
        <v>62</v>
      </c>
      <c r="E404" s="73">
        <v>169</v>
      </c>
    </row>
    <row r="405" spans="2:5" x14ac:dyDescent="0.2">
      <c r="B405" s="73" t="s">
        <v>7</v>
      </c>
      <c r="C405" s="73">
        <v>1</v>
      </c>
      <c r="D405" s="73">
        <v>52</v>
      </c>
      <c r="E405" s="73">
        <v>192</v>
      </c>
    </row>
    <row r="406" spans="2:5" x14ac:dyDescent="0.2">
      <c r="B406" s="73" t="s">
        <v>7</v>
      </c>
      <c r="C406" s="73">
        <v>7</v>
      </c>
      <c r="D406" s="73">
        <v>29</v>
      </c>
      <c r="E406" s="73">
        <v>201</v>
      </c>
    </row>
    <row r="407" spans="2:5" x14ac:dyDescent="0.2">
      <c r="B407" s="73" t="s">
        <v>7</v>
      </c>
      <c r="C407" s="73">
        <v>1</v>
      </c>
      <c r="D407" s="73">
        <v>34</v>
      </c>
      <c r="E407" s="73">
        <v>129</v>
      </c>
    </row>
    <row r="408" spans="2:5" x14ac:dyDescent="0.2">
      <c r="B408" s="73" t="s">
        <v>8</v>
      </c>
      <c r="C408" s="73">
        <v>6</v>
      </c>
      <c r="D408" s="73">
        <v>20</v>
      </c>
      <c r="E408" s="73">
        <v>145</v>
      </c>
    </row>
    <row r="409" spans="2:5" x14ac:dyDescent="0.2">
      <c r="B409" s="73" t="s">
        <v>7</v>
      </c>
      <c r="C409" s="73">
        <v>1</v>
      </c>
      <c r="D409" s="73">
        <v>23</v>
      </c>
      <c r="E409" s="73">
        <v>204</v>
      </c>
    </row>
    <row r="410" spans="2:5" x14ac:dyDescent="0.2">
      <c r="B410" s="73" t="s">
        <v>7</v>
      </c>
      <c r="C410" s="73">
        <v>21</v>
      </c>
      <c r="D410" s="73">
        <v>62</v>
      </c>
      <c r="E410" s="73">
        <v>144</v>
      </c>
    </row>
    <row r="411" spans="2:5" x14ac:dyDescent="0.2">
      <c r="B411" s="73" t="s">
        <v>7</v>
      </c>
      <c r="C411" s="73">
        <v>1</v>
      </c>
      <c r="D411" s="73">
        <v>27</v>
      </c>
      <c r="E411" s="73">
        <v>139</v>
      </c>
    </row>
    <row r="412" spans="2:5" x14ac:dyDescent="0.2">
      <c r="B412" s="73" t="s">
        <v>7</v>
      </c>
      <c r="C412" s="73">
        <v>4</v>
      </c>
      <c r="D412" s="73">
        <v>23</v>
      </c>
      <c r="E412" s="73">
        <v>159</v>
      </c>
    </row>
    <row r="413" spans="2:5" x14ac:dyDescent="0.2">
      <c r="B413" s="73" t="s">
        <v>8</v>
      </c>
      <c r="C413" s="73">
        <v>1</v>
      </c>
      <c r="D413" s="73">
        <v>27</v>
      </c>
      <c r="E413" s="73">
        <v>177</v>
      </c>
    </row>
    <row r="414" spans="2:5" x14ac:dyDescent="0.2">
      <c r="B414" s="73" t="s">
        <v>7</v>
      </c>
      <c r="C414" s="73">
        <v>1</v>
      </c>
      <c r="D414" s="73">
        <v>15</v>
      </c>
      <c r="E414" s="73">
        <v>288</v>
      </c>
    </row>
    <row r="415" spans="2:5" x14ac:dyDescent="0.2">
      <c r="B415" s="73" t="s">
        <v>7</v>
      </c>
      <c r="C415" s="73">
        <v>4</v>
      </c>
      <c r="D415" s="73">
        <v>36</v>
      </c>
      <c r="E415" s="73">
        <v>152</v>
      </c>
    </row>
    <row r="416" spans="2:5" x14ac:dyDescent="0.2">
      <c r="B416" s="73" t="s">
        <v>7</v>
      </c>
      <c r="C416" s="73">
        <v>1</v>
      </c>
      <c r="D416" s="73">
        <v>38</v>
      </c>
      <c r="E416" s="73">
        <v>121</v>
      </c>
    </row>
    <row r="417" spans="2:5" x14ac:dyDescent="0.2">
      <c r="B417" s="73" t="s">
        <v>7</v>
      </c>
      <c r="C417" s="73">
        <v>1</v>
      </c>
      <c r="D417" s="73">
        <v>30</v>
      </c>
      <c r="E417" s="73">
        <v>124</v>
      </c>
    </row>
    <row r="418" spans="2:5" x14ac:dyDescent="0.2">
      <c r="B418" s="73" t="s">
        <v>7</v>
      </c>
      <c r="C418" s="73">
        <v>1</v>
      </c>
      <c r="D418" s="73">
        <v>16</v>
      </c>
      <c r="E418" s="73">
        <v>132</v>
      </c>
    </row>
    <row r="419" spans="2:5" x14ac:dyDescent="0.2">
      <c r="B419" s="73" t="s">
        <v>7</v>
      </c>
      <c r="C419" s="73">
        <v>2</v>
      </c>
      <c r="D419" s="73">
        <v>40</v>
      </c>
      <c r="E419" s="73">
        <v>149</v>
      </c>
    </row>
    <row r="420" spans="2:5" x14ac:dyDescent="0.2">
      <c r="B420" s="73" t="s">
        <v>8</v>
      </c>
      <c r="C420" s="73">
        <v>1</v>
      </c>
      <c r="D420" s="73">
        <v>16</v>
      </c>
      <c r="E420" s="73">
        <v>112</v>
      </c>
    </row>
    <row r="421" spans="2:5" x14ac:dyDescent="0.2">
      <c r="B421" s="73" t="s">
        <v>8</v>
      </c>
      <c r="C421" s="73">
        <v>4</v>
      </c>
      <c r="D421" s="73">
        <v>18</v>
      </c>
      <c r="E421" s="73">
        <v>138</v>
      </c>
    </row>
    <row r="422" spans="2:5" x14ac:dyDescent="0.2">
      <c r="B422" s="73" t="s">
        <v>8</v>
      </c>
      <c r="C422" s="73">
        <v>1</v>
      </c>
      <c r="D422" s="73">
        <v>18</v>
      </c>
      <c r="E422" s="73">
        <v>184</v>
      </c>
    </row>
    <row r="423" spans="2:5" x14ac:dyDescent="0.2">
      <c r="B423" s="73" t="s">
        <v>8</v>
      </c>
      <c r="C423" s="73">
        <v>1</v>
      </c>
      <c r="D423" s="73">
        <v>16</v>
      </c>
      <c r="E423" s="73">
        <v>201</v>
      </c>
    </row>
    <row r="424" spans="2:5" x14ac:dyDescent="0.2">
      <c r="B424" s="73" t="s">
        <v>7</v>
      </c>
      <c r="C424" s="73">
        <v>5</v>
      </c>
      <c r="D424" s="73">
        <v>24</v>
      </c>
      <c r="E424" s="73">
        <v>180</v>
      </c>
    </row>
    <row r="425" spans="2:5" x14ac:dyDescent="0.2">
      <c r="B425" s="73" t="s">
        <v>7</v>
      </c>
      <c r="C425" s="73">
        <v>5</v>
      </c>
      <c r="D425" s="73">
        <v>55</v>
      </c>
      <c r="E425" s="73">
        <v>186</v>
      </c>
    </row>
    <row r="426" spans="2:5" x14ac:dyDescent="0.2">
      <c r="B426" s="73" t="s">
        <v>7</v>
      </c>
      <c r="C426" s="73">
        <v>3</v>
      </c>
      <c r="D426" s="73">
        <v>44</v>
      </c>
      <c r="E426" s="73">
        <v>191</v>
      </c>
    </row>
    <row r="427" spans="2:5" x14ac:dyDescent="0.2">
      <c r="B427" s="73" t="s">
        <v>7</v>
      </c>
      <c r="C427" s="73">
        <v>4</v>
      </c>
      <c r="D427" s="73">
        <v>41</v>
      </c>
      <c r="E427" s="73">
        <v>201</v>
      </c>
    </row>
    <row r="428" spans="2:5" x14ac:dyDescent="0.2">
      <c r="B428" s="73" t="s">
        <v>7</v>
      </c>
      <c r="C428" s="73">
        <v>14</v>
      </c>
      <c r="D428" s="73">
        <v>33</v>
      </c>
      <c r="E428" s="73">
        <v>138</v>
      </c>
    </row>
    <row r="429" spans="2:5" x14ac:dyDescent="0.2">
      <c r="B429" s="73" t="s">
        <v>8</v>
      </c>
      <c r="C429" s="73">
        <v>2</v>
      </c>
      <c r="D429" s="73">
        <v>30</v>
      </c>
      <c r="E429" s="73">
        <v>156</v>
      </c>
    </row>
    <row r="430" spans="2:5" x14ac:dyDescent="0.2">
      <c r="B430" s="73" t="s">
        <v>8</v>
      </c>
      <c r="C430" s="73">
        <v>4</v>
      </c>
      <c r="D430" s="73">
        <v>34</v>
      </c>
      <c r="E430" s="73">
        <v>130</v>
      </c>
    </row>
    <row r="431" spans="2:5" x14ac:dyDescent="0.2">
      <c r="B431" s="73" t="s">
        <v>7</v>
      </c>
      <c r="C431" s="73">
        <v>28</v>
      </c>
      <c r="D431" s="73">
        <v>36</v>
      </c>
      <c r="E431" s="73">
        <v>94</v>
      </c>
    </row>
    <row r="432" spans="2:5" x14ac:dyDescent="0.2">
      <c r="B432" s="73" t="s">
        <v>7</v>
      </c>
      <c r="C432" s="73">
        <v>2</v>
      </c>
      <c r="D432" s="73">
        <v>46</v>
      </c>
      <c r="E432" s="73">
        <v>174</v>
      </c>
    </row>
    <row r="433" spans="2:5" x14ac:dyDescent="0.2">
      <c r="B433" s="73" t="s">
        <v>7</v>
      </c>
      <c r="C433" s="73">
        <v>1</v>
      </c>
      <c r="D433" s="73">
        <v>42</v>
      </c>
      <c r="E433" s="73">
        <v>187</v>
      </c>
    </row>
    <row r="434" spans="2:5" x14ac:dyDescent="0.2">
      <c r="B434" s="73" t="s">
        <v>7</v>
      </c>
      <c r="C434" s="73">
        <v>1</v>
      </c>
      <c r="D434" s="73">
        <v>27</v>
      </c>
      <c r="E434" s="73">
        <v>193</v>
      </c>
    </row>
    <row r="435" spans="2:5" x14ac:dyDescent="0.2">
      <c r="B435" s="73" t="s">
        <v>7</v>
      </c>
      <c r="C435" s="73">
        <v>9</v>
      </c>
      <c r="D435" s="73">
        <v>34</v>
      </c>
      <c r="E435" s="73">
        <v>156</v>
      </c>
    </row>
    <row r="436" spans="2:5" x14ac:dyDescent="0.2">
      <c r="B436" s="73" t="s">
        <v>7</v>
      </c>
      <c r="C436" s="73">
        <v>5</v>
      </c>
      <c r="D436" s="73">
        <v>51</v>
      </c>
      <c r="E436" s="73">
        <v>182</v>
      </c>
    </row>
    <row r="437" spans="2:5" x14ac:dyDescent="0.2">
      <c r="B437" s="73" t="s">
        <v>7</v>
      </c>
      <c r="C437" s="73">
        <v>1</v>
      </c>
      <c r="D437" s="73">
        <v>42</v>
      </c>
      <c r="E437" s="73">
        <v>287</v>
      </c>
    </row>
    <row r="438" spans="2:5" x14ac:dyDescent="0.2">
      <c r="B438" s="73" t="s">
        <v>7</v>
      </c>
      <c r="C438" s="73">
        <v>2</v>
      </c>
      <c r="D438" s="73">
        <v>49</v>
      </c>
      <c r="E438" s="73">
        <v>180</v>
      </c>
    </row>
    <row r="439" spans="2:5" x14ac:dyDescent="0.2">
      <c r="B439" s="73" t="s">
        <v>8</v>
      </c>
      <c r="C439" s="73">
        <v>2</v>
      </c>
      <c r="D439" s="73">
        <v>28</v>
      </c>
      <c r="E439" s="73">
        <v>156</v>
      </c>
    </row>
    <row r="440" spans="2:5" x14ac:dyDescent="0.2">
      <c r="B440" s="73" t="s">
        <v>8</v>
      </c>
      <c r="C440" s="73">
        <v>1</v>
      </c>
      <c r="D440" s="73">
        <v>22</v>
      </c>
      <c r="E440" s="73">
        <v>161</v>
      </c>
    </row>
    <row r="441" spans="2:5" x14ac:dyDescent="0.2">
      <c r="B441" s="73" t="s">
        <v>8</v>
      </c>
      <c r="C441" s="73">
        <v>1</v>
      </c>
      <c r="D441" s="73">
        <v>26</v>
      </c>
      <c r="E441" s="73">
        <v>220</v>
      </c>
    </row>
    <row r="442" spans="2:5" x14ac:dyDescent="0.2">
      <c r="B442" s="73" t="s">
        <v>7</v>
      </c>
      <c r="C442" s="73">
        <v>1</v>
      </c>
      <c r="D442" s="73">
        <v>16</v>
      </c>
      <c r="E442" s="73">
        <v>124</v>
      </c>
    </row>
    <row r="443" spans="2:5" x14ac:dyDescent="0.2">
      <c r="B443" s="73" t="s">
        <v>7</v>
      </c>
      <c r="C443" s="73">
        <v>1</v>
      </c>
      <c r="D443" s="73">
        <v>46</v>
      </c>
      <c r="E443" s="73">
        <v>131</v>
      </c>
    </row>
    <row r="444" spans="2:5" x14ac:dyDescent="0.2">
      <c r="B444" s="73" t="s">
        <v>7</v>
      </c>
      <c r="C444" s="73">
        <v>12</v>
      </c>
      <c r="D444" s="73">
        <v>42</v>
      </c>
      <c r="E444" s="73">
        <v>155</v>
      </c>
    </row>
    <row r="445" spans="2:5" x14ac:dyDescent="0.2">
      <c r="B445" s="73" t="s">
        <v>7</v>
      </c>
      <c r="C445" s="73">
        <v>2</v>
      </c>
      <c r="D445" s="73">
        <v>39</v>
      </c>
      <c r="E445" s="73">
        <v>159</v>
      </c>
    </row>
    <row r="446" spans="2:5" x14ac:dyDescent="0.2">
      <c r="B446" s="73" t="s">
        <v>7</v>
      </c>
      <c r="C446" s="73">
        <v>3</v>
      </c>
      <c r="D446" s="73">
        <v>33</v>
      </c>
      <c r="E446" s="73">
        <v>167</v>
      </c>
    </row>
    <row r="447" spans="2:5" x14ac:dyDescent="0.2">
      <c r="B447" s="73" t="s">
        <v>7</v>
      </c>
      <c r="C447" s="73">
        <v>6</v>
      </c>
      <c r="D447" s="73">
        <v>47</v>
      </c>
      <c r="E447" s="73">
        <v>166</v>
      </c>
    </row>
    <row r="448" spans="2:5" x14ac:dyDescent="0.2">
      <c r="B448" s="73" t="s">
        <v>7</v>
      </c>
      <c r="C448" s="73">
        <v>11</v>
      </c>
      <c r="D448" s="73">
        <v>35</v>
      </c>
      <c r="E448" s="73">
        <v>146</v>
      </c>
    </row>
    <row r="449" spans="2:5" x14ac:dyDescent="0.2">
      <c r="B449" s="73" t="s">
        <v>7</v>
      </c>
      <c r="C449" s="73">
        <v>1</v>
      </c>
      <c r="D449" s="73">
        <v>37</v>
      </c>
      <c r="E449" s="73">
        <v>104</v>
      </c>
    </row>
    <row r="450" spans="2:5" x14ac:dyDescent="0.2">
      <c r="B450" s="73" t="s">
        <v>7</v>
      </c>
      <c r="C450" s="73">
        <v>5</v>
      </c>
      <c r="D450" s="73">
        <v>49</v>
      </c>
      <c r="E450" s="73">
        <v>151</v>
      </c>
    </row>
    <row r="451" spans="2:5" x14ac:dyDescent="0.2">
      <c r="B451" s="73" t="s">
        <v>8</v>
      </c>
      <c r="C451" s="73">
        <v>1</v>
      </c>
      <c r="D451" s="73">
        <v>50</v>
      </c>
      <c r="E451" s="73">
        <v>203</v>
      </c>
    </row>
    <row r="452" spans="2:5" x14ac:dyDescent="0.2">
      <c r="B452" s="73" t="s">
        <v>7</v>
      </c>
      <c r="C452" s="73">
        <v>10</v>
      </c>
      <c r="D452" s="73">
        <v>49</v>
      </c>
      <c r="E452" s="73">
        <v>187</v>
      </c>
    </row>
    <row r="453" spans="2:5" x14ac:dyDescent="0.2">
      <c r="B453" s="73" t="s">
        <v>8</v>
      </c>
      <c r="C453" s="73">
        <v>1</v>
      </c>
      <c r="D453" s="73">
        <v>40</v>
      </c>
      <c r="E453" s="73">
        <v>191</v>
      </c>
    </row>
    <row r="454" spans="2:5" x14ac:dyDescent="0.2">
      <c r="B454" s="73" t="s">
        <v>8</v>
      </c>
      <c r="C454" s="73">
        <v>9</v>
      </c>
      <c r="D454" s="73">
        <v>32</v>
      </c>
      <c r="E454" s="73">
        <v>161</v>
      </c>
    </row>
    <row r="455" spans="2:5" x14ac:dyDescent="0.2">
      <c r="B455" s="73" t="s">
        <v>7</v>
      </c>
      <c r="C455" s="73">
        <v>2</v>
      </c>
      <c r="D455" s="73">
        <v>42</v>
      </c>
      <c r="E455" s="73">
        <v>230</v>
      </c>
    </row>
    <row r="456" spans="2:5" x14ac:dyDescent="0.2">
      <c r="B456" s="73" t="s">
        <v>8</v>
      </c>
      <c r="C456" s="73">
        <v>2</v>
      </c>
      <c r="D456" s="73">
        <v>20</v>
      </c>
      <c r="E456" s="73">
        <v>189</v>
      </c>
    </row>
    <row r="457" spans="2:5" x14ac:dyDescent="0.2">
      <c r="B457" s="73" t="s">
        <v>7</v>
      </c>
      <c r="C457" s="73">
        <v>1</v>
      </c>
      <c r="D457" s="73">
        <v>21</v>
      </c>
      <c r="E457" s="73">
        <v>150</v>
      </c>
    </row>
    <row r="458" spans="2:5" x14ac:dyDescent="0.2">
      <c r="B458" s="73" t="s">
        <v>8</v>
      </c>
      <c r="C458" s="73">
        <v>2</v>
      </c>
      <c r="D458" s="73">
        <v>15</v>
      </c>
      <c r="E458" s="73">
        <v>101</v>
      </c>
    </row>
    <row r="459" spans="2:5" x14ac:dyDescent="0.2">
      <c r="B459" s="73" t="s">
        <v>7</v>
      </c>
      <c r="C459" s="73">
        <v>1</v>
      </c>
      <c r="D459" s="73">
        <v>35</v>
      </c>
      <c r="E459" s="73">
        <v>152</v>
      </c>
    </row>
    <row r="460" spans="2:5" x14ac:dyDescent="0.2">
      <c r="B460" s="73" t="s">
        <v>7</v>
      </c>
      <c r="C460" s="73">
        <v>6</v>
      </c>
      <c r="D460" s="73">
        <v>29</v>
      </c>
      <c r="E460" s="73">
        <v>185</v>
      </c>
    </row>
    <row r="461" spans="2:5" x14ac:dyDescent="0.2">
      <c r="B461" s="73" t="s">
        <v>7</v>
      </c>
      <c r="C461" s="73">
        <v>1</v>
      </c>
      <c r="D461" s="73">
        <v>26</v>
      </c>
      <c r="E461" s="73">
        <v>245</v>
      </c>
    </row>
    <row r="462" spans="2:5" x14ac:dyDescent="0.2">
      <c r="B462" s="73" t="s">
        <v>8</v>
      </c>
      <c r="C462" s="73">
        <v>2</v>
      </c>
      <c r="D462" s="73">
        <v>34</v>
      </c>
      <c r="E462" s="73">
        <v>185</v>
      </c>
    </row>
    <row r="463" spans="2:5" x14ac:dyDescent="0.2">
      <c r="B463" s="73" t="s">
        <v>7</v>
      </c>
      <c r="C463" s="73">
        <v>3</v>
      </c>
      <c r="D463" s="73">
        <v>27</v>
      </c>
      <c r="E463" s="73">
        <v>135</v>
      </c>
    </row>
    <row r="464" spans="2:5" x14ac:dyDescent="0.2">
      <c r="B464" s="73" t="s">
        <v>7</v>
      </c>
      <c r="C464" s="73">
        <v>5</v>
      </c>
      <c r="D464" s="73">
        <v>16</v>
      </c>
      <c r="E464" s="73">
        <v>138</v>
      </c>
    </row>
    <row r="465" spans="2:5" x14ac:dyDescent="0.2">
      <c r="B465" s="73" t="s">
        <v>7</v>
      </c>
      <c r="C465" s="73">
        <v>3</v>
      </c>
      <c r="D465" s="73">
        <v>43</v>
      </c>
      <c r="E465" s="73">
        <v>155</v>
      </c>
    </row>
    <row r="466" spans="2:5" x14ac:dyDescent="0.2">
      <c r="B466" s="73" t="s">
        <v>7</v>
      </c>
      <c r="C466" s="73">
        <v>1</v>
      </c>
      <c r="D466" s="73">
        <v>34</v>
      </c>
      <c r="E466" s="73">
        <v>182</v>
      </c>
    </row>
    <row r="467" spans="2:5" x14ac:dyDescent="0.2">
      <c r="B467" s="73" t="s">
        <v>7</v>
      </c>
      <c r="C467" s="73">
        <v>1</v>
      </c>
      <c r="D467" s="73">
        <v>25</v>
      </c>
      <c r="E467" s="73">
        <v>209</v>
      </c>
    </row>
    <row r="468" spans="2:5" x14ac:dyDescent="0.2">
      <c r="B468" s="73" t="s">
        <v>8</v>
      </c>
      <c r="C468" s="73">
        <v>1</v>
      </c>
      <c r="D468" s="73">
        <v>39</v>
      </c>
      <c r="E468" s="73">
        <v>91</v>
      </c>
    </row>
    <row r="469" spans="2:5" x14ac:dyDescent="0.2">
      <c r="B469" s="73" t="s">
        <v>8</v>
      </c>
      <c r="C469" s="73">
        <v>1</v>
      </c>
      <c r="D469" s="73">
        <v>28</v>
      </c>
      <c r="E469" s="73">
        <v>162</v>
      </c>
    </row>
    <row r="470" spans="2:5" x14ac:dyDescent="0.2">
      <c r="B470" s="73" t="s">
        <v>8</v>
      </c>
      <c r="C470" s="73">
        <v>1</v>
      </c>
      <c r="D470" s="73">
        <v>31</v>
      </c>
      <c r="E470" s="73">
        <v>150</v>
      </c>
    </row>
    <row r="471" spans="2:5" x14ac:dyDescent="0.2">
      <c r="B471" s="73" t="s">
        <v>7</v>
      </c>
      <c r="C471" s="73">
        <v>8</v>
      </c>
      <c r="D471" s="73">
        <v>18</v>
      </c>
      <c r="E471" s="73">
        <v>208</v>
      </c>
    </row>
    <row r="472" spans="2:5" x14ac:dyDescent="0.2">
      <c r="B472" s="73" t="s">
        <v>7</v>
      </c>
      <c r="C472" s="73">
        <v>18</v>
      </c>
      <c r="D472" s="73">
        <v>30</v>
      </c>
      <c r="E472" s="73">
        <v>110</v>
      </c>
    </row>
    <row r="473" spans="2:5" x14ac:dyDescent="0.2">
      <c r="B473" s="73" t="s">
        <v>7</v>
      </c>
      <c r="C473" s="73">
        <v>6</v>
      </c>
      <c r="D473" s="73">
        <v>42</v>
      </c>
      <c r="E473" s="73">
        <v>138</v>
      </c>
    </row>
    <row r="474" spans="2:5" x14ac:dyDescent="0.2">
      <c r="B474" s="73" t="s">
        <v>7</v>
      </c>
      <c r="C474" s="73">
        <v>3</v>
      </c>
      <c r="D474" s="73">
        <v>31</v>
      </c>
      <c r="E474" s="73">
        <v>187</v>
      </c>
    </row>
    <row r="475" spans="2:5" x14ac:dyDescent="0.2">
      <c r="B475" s="73" t="s">
        <v>7</v>
      </c>
      <c r="C475" s="73">
        <v>2</v>
      </c>
      <c r="D475" s="73">
        <v>33</v>
      </c>
      <c r="E475" s="73">
        <v>117</v>
      </c>
    </row>
    <row r="476" spans="2:5" x14ac:dyDescent="0.2">
      <c r="B476" s="73" t="s">
        <v>7</v>
      </c>
      <c r="C476" s="73">
        <v>4</v>
      </c>
      <c r="D476" s="73">
        <v>32</v>
      </c>
      <c r="E476" s="73">
        <v>124</v>
      </c>
    </row>
    <row r="477" spans="2:5" x14ac:dyDescent="0.2">
      <c r="B477" s="73" t="s">
        <v>7</v>
      </c>
      <c r="C477" s="73">
        <v>3</v>
      </c>
      <c r="D477" s="73">
        <v>34</v>
      </c>
      <c r="E477" s="73">
        <v>130</v>
      </c>
    </row>
    <row r="478" spans="2:5" x14ac:dyDescent="0.2">
      <c r="B478" s="73" t="s">
        <v>7</v>
      </c>
      <c r="C478" s="73">
        <v>1</v>
      </c>
      <c r="D478" s="73">
        <v>38</v>
      </c>
      <c r="E478" s="73">
        <v>139</v>
      </c>
    </row>
    <row r="479" spans="2:5" x14ac:dyDescent="0.2">
      <c r="B479" s="73" t="s">
        <v>7</v>
      </c>
      <c r="C479" s="73">
        <v>4</v>
      </c>
      <c r="D479" s="73">
        <v>34</v>
      </c>
      <c r="E479" s="73">
        <v>145</v>
      </c>
    </row>
    <row r="480" spans="2:5" x14ac:dyDescent="0.2">
      <c r="B480" s="73" t="s">
        <v>7</v>
      </c>
      <c r="C480" s="73">
        <v>6</v>
      </c>
      <c r="D480" s="73">
        <v>32</v>
      </c>
      <c r="E480" s="73">
        <v>156</v>
      </c>
    </row>
    <row r="481" spans="2:5" x14ac:dyDescent="0.2">
      <c r="B481" s="73" t="s">
        <v>7</v>
      </c>
      <c r="C481" s="73">
        <v>6</v>
      </c>
      <c r="D481" s="73">
        <v>32</v>
      </c>
      <c r="E481" s="73">
        <v>164</v>
      </c>
    </row>
    <row r="482" spans="2:5" x14ac:dyDescent="0.2">
      <c r="B482" s="73" t="s">
        <v>7</v>
      </c>
      <c r="C482" s="73">
        <v>2</v>
      </c>
      <c r="D482" s="73">
        <v>23</v>
      </c>
      <c r="E482" s="73">
        <v>115</v>
      </c>
    </row>
    <row r="483" spans="2:5" x14ac:dyDescent="0.2">
      <c r="B483" s="73" t="s">
        <v>7</v>
      </c>
      <c r="C483" s="73">
        <v>1</v>
      </c>
      <c r="D483" s="73">
        <v>31</v>
      </c>
      <c r="E483" s="73">
        <v>198</v>
      </c>
    </row>
    <row r="484" spans="2:5" x14ac:dyDescent="0.2">
      <c r="B484" s="73" t="s">
        <v>7</v>
      </c>
      <c r="C484" s="73">
        <v>1</v>
      </c>
      <c r="D484" s="73">
        <v>39</v>
      </c>
      <c r="E484" s="73">
        <v>110</v>
      </c>
    </row>
    <row r="485" spans="2:5" x14ac:dyDescent="0.2">
      <c r="B485" s="73" t="s">
        <v>8</v>
      </c>
      <c r="C485" s="73">
        <v>1</v>
      </c>
      <c r="D485" s="73">
        <v>28</v>
      </c>
      <c r="E485" s="73">
        <v>177</v>
      </c>
    </row>
    <row r="486" spans="2:5" x14ac:dyDescent="0.2">
      <c r="B486" s="73" t="s">
        <v>7</v>
      </c>
      <c r="C486" s="73">
        <v>3</v>
      </c>
      <c r="D486" s="73">
        <v>37</v>
      </c>
      <c r="E486" s="73">
        <v>150</v>
      </c>
    </row>
    <row r="487" spans="2:5" x14ac:dyDescent="0.2">
      <c r="B487" s="73" t="s">
        <v>7</v>
      </c>
      <c r="C487" s="73">
        <v>10</v>
      </c>
      <c r="D487" s="73">
        <v>30</v>
      </c>
      <c r="E487" s="73">
        <v>110</v>
      </c>
    </row>
    <row r="488" spans="2:5" x14ac:dyDescent="0.2">
      <c r="B488" s="73" t="s">
        <v>7</v>
      </c>
      <c r="C488" s="73">
        <v>3</v>
      </c>
      <c r="D488" s="73">
        <v>35</v>
      </c>
      <c r="E488" s="73">
        <v>149</v>
      </c>
    </row>
    <row r="489" spans="2:5" x14ac:dyDescent="0.2">
      <c r="B489" s="73" t="s">
        <v>7</v>
      </c>
      <c r="C489" s="73">
        <v>3</v>
      </c>
      <c r="D489" s="73">
        <v>37</v>
      </c>
      <c r="E489" s="73">
        <v>229</v>
      </c>
    </row>
    <row r="490" spans="2:5" x14ac:dyDescent="0.2">
      <c r="B490" s="73" t="s">
        <v>7</v>
      </c>
      <c r="C490" s="73">
        <v>9</v>
      </c>
      <c r="D490" s="73">
        <v>22</v>
      </c>
      <c r="E490" s="73">
        <v>217</v>
      </c>
    </row>
    <row r="491" spans="2:5" x14ac:dyDescent="0.2">
      <c r="B491" s="73" t="s">
        <v>7</v>
      </c>
      <c r="C491" s="73">
        <v>3</v>
      </c>
      <c r="D491" s="73">
        <v>21</v>
      </c>
      <c r="E491" s="73">
        <v>169</v>
      </c>
    </row>
    <row r="492" spans="2:5" x14ac:dyDescent="0.2">
      <c r="B492" s="73" t="s">
        <v>8</v>
      </c>
      <c r="C492" s="73">
        <v>1</v>
      </c>
      <c r="D492" s="73">
        <v>25</v>
      </c>
      <c r="E492" s="73">
        <v>157</v>
      </c>
    </row>
    <row r="493" spans="2:5" x14ac:dyDescent="0.2">
      <c r="B493" s="73" t="s">
        <v>7</v>
      </c>
      <c r="C493" s="73">
        <v>1</v>
      </c>
      <c r="D493" s="73">
        <v>22</v>
      </c>
      <c r="E493" s="73">
        <v>110</v>
      </c>
    </row>
    <row r="494" spans="2:5" x14ac:dyDescent="0.2">
      <c r="B494" s="73" t="s">
        <v>8</v>
      </c>
      <c r="C494" s="73">
        <v>1</v>
      </c>
      <c r="D494" s="73">
        <v>11</v>
      </c>
      <c r="E494" s="73">
        <v>133</v>
      </c>
    </row>
    <row r="495" spans="2:5" x14ac:dyDescent="0.2">
      <c r="B495" s="73" t="s">
        <v>8</v>
      </c>
      <c r="C495" s="73">
        <v>1</v>
      </c>
      <c r="D495" s="73">
        <v>31</v>
      </c>
      <c r="E495" s="73">
        <v>159</v>
      </c>
    </row>
    <row r="496" spans="2:5" x14ac:dyDescent="0.2">
      <c r="B496" s="73" t="s">
        <v>8</v>
      </c>
      <c r="C496" s="73">
        <v>1</v>
      </c>
      <c r="D496" s="73">
        <v>16</v>
      </c>
      <c r="E496" s="73">
        <v>165</v>
      </c>
    </row>
    <row r="497" spans="2:5" x14ac:dyDescent="0.2">
      <c r="B497" s="73" t="s">
        <v>8</v>
      </c>
      <c r="C497" s="73">
        <v>1</v>
      </c>
      <c r="D497" s="73">
        <v>48</v>
      </c>
      <c r="E497" s="73">
        <v>263</v>
      </c>
    </row>
    <row r="498" spans="2:5" x14ac:dyDescent="0.2">
      <c r="B498" s="73" t="s">
        <v>7</v>
      </c>
      <c r="C498" s="73">
        <v>6</v>
      </c>
      <c r="D498" s="73">
        <v>60</v>
      </c>
      <c r="E498" s="73">
        <v>180</v>
      </c>
    </row>
    <row r="499" spans="2:5" x14ac:dyDescent="0.2">
      <c r="B499" s="73" t="s">
        <v>8</v>
      </c>
      <c r="C499" s="73">
        <v>2</v>
      </c>
      <c r="D499" s="73">
        <v>14</v>
      </c>
      <c r="E499" s="73">
        <v>96</v>
      </c>
    </row>
    <row r="500" spans="2:5" x14ac:dyDescent="0.2">
      <c r="B500" s="73" t="s">
        <v>7</v>
      </c>
      <c r="C500" s="73">
        <v>1</v>
      </c>
      <c r="D500" s="73">
        <v>32</v>
      </c>
      <c r="E500" s="73">
        <v>126</v>
      </c>
    </row>
    <row r="501" spans="2:5" x14ac:dyDescent="0.2">
      <c r="B501" s="73" t="s">
        <v>7</v>
      </c>
      <c r="C501" s="73">
        <v>1</v>
      </c>
      <c r="D501" s="73">
        <v>38</v>
      </c>
      <c r="E501" s="73">
        <v>142</v>
      </c>
    </row>
    <row r="502" spans="2:5" x14ac:dyDescent="0.2">
      <c r="B502" s="73" t="s">
        <v>7</v>
      </c>
      <c r="C502" s="73">
        <v>10</v>
      </c>
      <c r="D502" s="73">
        <v>39</v>
      </c>
      <c r="E502" s="73">
        <v>143</v>
      </c>
    </row>
    <row r="503" spans="2:5" x14ac:dyDescent="0.2">
      <c r="B503" s="73" t="s">
        <v>7</v>
      </c>
      <c r="C503" s="73">
        <v>8</v>
      </c>
      <c r="D503" s="73">
        <v>31</v>
      </c>
      <c r="E503" s="73">
        <v>148</v>
      </c>
    </row>
    <row r="504" spans="2:5" x14ac:dyDescent="0.2">
      <c r="B504" s="73" t="s">
        <v>7</v>
      </c>
      <c r="C504" s="73">
        <v>5</v>
      </c>
      <c r="D504" s="73">
        <v>39</v>
      </c>
      <c r="E504" s="73">
        <v>153</v>
      </c>
    </row>
    <row r="505" spans="2:5" x14ac:dyDescent="0.2">
      <c r="B505" s="73" t="s">
        <v>7</v>
      </c>
      <c r="C505" s="73">
        <v>16</v>
      </c>
      <c r="D505" s="73">
        <v>61</v>
      </c>
      <c r="E505" s="73">
        <v>156</v>
      </c>
    </row>
    <row r="506" spans="2:5" x14ac:dyDescent="0.2">
      <c r="B506" s="73" t="s">
        <v>7</v>
      </c>
      <c r="C506" s="73">
        <v>4</v>
      </c>
      <c r="D506" s="73">
        <v>31</v>
      </c>
      <c r="E506" s="73">
        <v>172</v>
      </c>
    </row>
    <row r="507" spans="2:5" x14ac:dyDescent="0.2">
      <c r="B507" s="73" t="s">
        <v>7</v>
      </c>
      <c r="C507" s="73">
        <v>3</v>
      </c>
      <c r="D507" s="73">
        <v>32</v>
      </c>
      <c r="E507" s="73">
        <v>177</v>
      </c>
    </row>
    <row r="508" spans="2:5" x14ac:dyDescent="0.2">
      <c r="B508" s="73" t="s">
        <v>7</v>
      </c>
      <c r="C508" s="73">
        <v>3</v>
      </c>
      <c r="D508" s="73">
        <v>35</v>
      </c>
      <c r="E508" s="73">
        <v>195</v>
      </c>
    </row>
    <row r="509" spans="2:5" x14ac:dyDescent="0.2">
      <c r="B509" s="73" t="s">
        <v>7</v>
      </c>
      <c r="C509" s="73">
        <v>1</v>
      </c>
      <c r="D509" s="73">
        <v>37</v>
      </c>
      <c r="E509" s="73">
        <v>236</v>
      </c>
    </row>
    <row r="510" spans="2:5" x14ac:dyDescent="0.2">
      <c r="B510" s="73" t="s">
        <v>7</v>
      </c>
      <c r="C510" s="73">
        <v>4</v>
      </c>
      <c r="D510" s="73">
        <v>35</v>
      </c>
      <c r="E510" s="73">
        <v>114</v>
      </c>
    </row>
    <row r="511" spans="2:5" x14ac:dyDescent="0.2">
      <c r="B511" s="73" t="s">
        <v>7</v>
      </c>
      <c r="C511" s="73">
        <v>9</v>
      </c>
      <c r="D511" s="73">
        <v>32</v>
      </c>
      <c r="E511" s="73">
        <v>124</v>
      </c>
    </row>
    <row r="512" spans="2:5" x14ac:dyDescent="0.2">
      <c r="B512" s="73" t="s">
        <v>7</v>
      </c>
      <c r="C512" s="73">
        <v>20</v>
      </c>
      <c r="D512" s="73">
        <v>41</v>
      </c>
      <c r="E512" s="73">
        <v>125</v>
      </c>
    </row>
    <row r="513" spans="2:5" x14ac:dyDescent="0.2">
      <c r="B513" s="73" t="s">
        <v>7</v>
      </c>
      <c r="C513" s="73">
        <v>2</v>
      </c>
      <c r="D513" s="73">
        <v>50</v>
      </c>
      <c r="E513" s="73">
        <v>111</v>
      </c>
    </row>
    <row r="514" spans="2:5" x14ac:dyDescent="0.2">
      <c r="B514" s="73" t="s">
        <v>7</v>
      </c>
      <c r="C514" s="73">
        <v>6</v>
      </c>
      <c r="D514" s="73">
        <v>31</v>
      </c>
      <c r="E514" s="73">
        <v>186</v>
      </c>
    </row>
    <row r="515" spans="2:5" x14ac:dyDescent="0.2">
      <c r="B515" s="73" t="s">
        <v>7</v>
      </c>
      <c r="C515" s="73">
        <v>4</v>
      </c>
      <c r="D515" s="73">
        <v>38</v>
      </c>
      <c r="E515" s="73">
        <v>148</v>
      </c>
    </row>
    <row r="516" spans="2:5" x14ac:dyDescent="0.2">
      <c r="B516" s="73" t="s">
        <v>7</v>
      </c>
      <c r="C516" s="73">
        <v>4</v>
      </c>
      <c r="D516" s="73">
        <v>55</v>
      </c>
      <c r="E516" s="73">
        <v>145</v>
      </c>
    </row>
    <row r="517" spans="2:5" x14ac:dyDescent="0.2">
      <c r="B517" s="73" t="s">
        <v>7</v>
      </c>
      <c r="C517" s="73">
        <v>4</v>
      </c>
      <c r="D517" s="73">
        <v>41</v>
      </c>
      <c r="E517" s="73">
        <v>145</v>
      </c>
    </row>
    <row r="518" spans="2:5" x14ac:dyDescent="0.2">
      <c r="B518" s="73" t="s">
        <v>7</v>
      </c>
      <c r="C518" s="73">
        <v>2</v>
      </c>
      <c r="D518" s="73">
        <v>44</v>
      </c>
      <c r="E518" s="73">
        <v>165</v>
      </c>
    </row>
    <row r="519" spans="2:5" x14ac:dyDescent="0.2">
      <c r="B519" s="73" t="s">
        <v>7</v>
      </c>
      <c r="C519" s="73">
        <v>2</v>
      </c>
      <c r="D519" s="73">
        <v>33</v>
      </c>
      <c r="E519" s="73">
        <v>95</v>
      </c>
    </row>
    <row r="520" spans="2:5" x14ac:dyDescent="0.2">
      <c r="B520" s="73" t="s">
        <v>7</v>
      </c>
      <c r="C520" s="73">
        <v>1</v>
      </c>
      <c r="D520" s="73">
        <v>29</v>
      </c>
      <c r="E520" s="73">
        <v>167</v>
      </c>
    </row>
    <row r="521" spans="2:5" x14ac:dyDescent="0.2">
      <c r="B521" s="73" t="s">
        <v>8</v>
      </c>
      <c r="C521" s="73">
        <v>3</v>
      </c>
      <c r="D521" s="73">
        <v>41</v>
      </c>
      <c r="E521" s="73">
        <v>155</v>
      </c>
    </row>
    <row r="522" spans="2:5" x14ac:dyDescent="0.2">
      <c r="B522" s="73" t="s">
        <v>8</v>
      </c>
      <c r="C522" s="73">
        <v>23</v>
      </c>
      <c r="D522" s="73">
        <v>34</v>
      </c>
      <c r="E522" s="73">
        <v>148</v>
      </c>
    </row>
    <row r="523" spans="2:5" x14ac:dyDescent="0.2">
      <c r="B523" s="73" t="s">
        <v>8</v>
      </c>
      <c r="C523" s="73">
        <v>24</v>
      </c>
      <c r="D523" s="73">
        <v>34</v>
      </c>
      <c r="E523" s="73">
        <v>151</v>
      </c>
    </row>
    <row r="524" spans="2:5" x14ac:dyDescent="0.2">
      <c r="B524" s="73" t="s">
        <v>8</v>
      </c>
      <c r="C524" s="73">
        <v>2</v>
      </c>
      <c r="D524" s="73">
        <v>29</v>
      </c>
      <c r="E524" s="73">
        <v>168</v>
      </c>
    </row>
    <row r="525" spans="2:5" x14ac:dyDescent="0.2">
      <c r="B525" s="73" t="s">
        <v>7</v>
      </c>
      <c r="C525" s="73">
        <v>1</v>
      </c>
      <c r="D525" s="73">
        <v>47</v>
      </c>
      <c r="E525" s="73">
        <v>174</v>
      </c>
    </row>
    <row r="526" spans="2:5" x14ac:dyDescent="0.2">
      <c r="B526" s="73" t="s">
        <v>7</v>
      </c>
      <c r="C526" s="73">
        <v>3</v>
      </c>
      <c r="D526" s="73">
        <v>37</v>
      </c>
      <c r="E526" s="73">
        <v>223</v>
      </c>
    </row>
    <row r="527" spans="2:5" x14ac:dyDescent="0.2">
      <c r="B527" s="73" t="s">
        <v>8</v>
      </c>
      <c r="C527" s="73">
        <v>4</v>
      </c>
      <c r="D527" s="73">
        <v>29</v>
      </c>
      <c r="E527" s="73">
        <v>121</v>
      </c>
    </row>
    <row r="528" spans="2:5" x14ac:dyDescent="0.2">
      <c r="B528" s="73" t="s">
        <v>8</v>
      </c>
      <c r="C528" s="73">
        <v>5</v>
      </c>
      <c r="D528" s="73">
        <v>47</v>
      </c>
      <c r="E528" s="73">
        <v>177</v>
      </c>
    </row>
    <row r="529" spans="2:5" x14ac:dyDescent="0.2">
      <c r="B529" s="73" t="s">
        <v>7</v>
      </c>
      <c r="C529" s="73">
        <v>3</v>
      </c>
      <c r="D529" s="73">
        <v>28</v>
      </c>
      <c r="E529" s="73">
        <v>146</v>
      </c>
    </row>
    <row r="530" spans="2:5" x14ac:dyDescent="0.2">
      <c r="B530" s="73" t="s">
        <v>8</v>
      </c>
      <c r="C530" s="73">
        <v>1</v>
      </c>
      <c r="D530" s="73">
        <v>23</v>
      </c>
      <c r="E530" s="73">
        <v>139</v>
      </c>
    </row>
    <row r="531" spans="2:5" x14ac:dyDescent="0.2">
      <c r="B531" s="73" t="s">
        <v>8</v>
      </c>
      <c r="C531" s="73">
        <v>9</v>
      </c>
      <c r="D531" s="73">
        <v>31</v>
      </c>
      <c r="E531" s="73">
        <v>164</v>
      </c>
    </row>
    <row r="532" spans="2:5" x14ac:dyDescent="0.2">
      <c r="B532" s="73" t="s">
        <v>7</v>
      </c>
      <c r="C532" s="73">
        <v>12</v>
      </c>
      <c r="D532" s="73">
        <v>42</v>
      </c>
      <c r="E532" s="73">
        <v>125</v>
      </c>
    </row>
    <row r="533" spans="2:5" x14ac:dyDescent="0.2">
      <c r="B533" s="73" t="s">
        <v>7</v>
      </c>
      <c r="C533" s="73">
        <v>1</v>
      </c>
      <c r="D533" s="73">
        <v>29</v>
      </c>
      <c r="E533" s="73">
        <v>165</v>
      </c>
    </row>
    <row r="534" spans="2:5" x14ac:dyDescent="0.2">
      <c r="B534" s="73" t="s">
        <v>7</v>
      </c>
      <c r="C534" s="73">
        <v>1</v>
      </c>
      <c r="D534" s="73">
        <v>31</v>
      </c>
      <c r="E534" s="73">
        <v>157</v>
      </c>
    </row>
    <row r="535" spans="2:5" x14ac:dyDescent="0.2">
      <c r="B535" s="73" t="s">
        <v>7</v>
      </c>
      <c r="C535" s="73">
        <v>7</v>
      </c>
      <c r="D535" s="73">
        <v>33</v>
      </c>
      <c r="E535" s="73">
        <v>143</v>
      </c>
    </row>
    <row r="536" spans="2:5" x14ac:dyDescent="0.2">
      <c r="B536" s="73" t="s">
        <v>8</v>
      </c>
      <c r="C536" s="73">
        <v>1</v>
      </c>
      <c r="D536" s="73">
        <v>31</v>
      </c>
      <c r="E536" s="73">
        <v>152</v>
      </c>
    </row>
    <row r="537" spans="2:5" x14ac:dyDescent="0.2">
      <c r="B537" s="73" t="s">
        <v>7</v>
      </c>
      <c r="C537" s="73">
        <v>16</v>
      </c>
      <c r="D537" s="73">
        <v>64</v>
      </c>
      <c r="E537" s="73">
        <v>156</v>
      </c>
    </row>
    <row r="538" spans="2:5" x14ac:dyDescent="0.2">
      <c r="B538" s="73" t="s">
        <v>7</v>
      </c>
      <c r="C538" s="73">
        <v>1</v>
      </c>
      <c r="D538" s="73">
        <v>19</v>
      </c>
      <c r="E538" s="73">
        <v>174</v>
      </c>
    </row>
    <row r="539" spans="2:5" x14ac:dyDescent="0.2">
      <c r="B539" s="73" t="s">
        <v>8</v>
      </c>
      <c r="C539" s="73">
        <v>7</v>
      </c>
      <c r="D539" s="73">
        <v>27</v>
      </c>
      <c r="E539" s="73">
        <v>193</v>
      </c>
    </row>
    <row r="540" spans="2:5" x14ac:dyDescent="0.2">
      <c r="B540" s="73" t="s">
        <v>7</v>
      </c>
      <c r="C540" s="73">
        <v>4</v>
      </c>
      <c r="D540" s="73">
        <v>30</v>
      </c>
      <c r="E540" s="73">
        <v>143</v>
      </c>
    </row>
    <row r="541" spans="2:5" x14ac:dyDescent="0.2">
      <c r="B541" s="73" t="s">
        <v>7</v>
      </c>
      <c r="C541" s="73">
        <v>1</v>
      </c>
      <c r="D541" s="73">
        <v>48</v>
      </c>
      <c r="E541" s="73">
        <v>181</v>
      </c>
    </row>
    <row r="542" spans="2:5" x14ac:dyDescent="0.2">
      <c r="B542" s="73" t="s">
        <v>7</v>
      </c>
      <c r="C542" s="73">
        <v>3</v>
      </c>
      <c r="D542" s="73">
        <v>55</v>
      </c>
      <c r="E542" s="73">
        <v>187</v>
      </c>
    </row>
    <row r="543" spans="2:5" x14ac:dyDescent="0.2">
      <c r="B543" s="73" t="s">
        <v>7</v>
      </c>
      <c r="C543" s="73">
        <v>1</v>
      </c>
      <c r="D543" s="73">
        <v>21</v>
      </c>
      <c r="E543" s="73">
        <v>213</v>
      </c>
    </row>
    <row r="544" spans="2:5" x14ac:dyDescent="0.2">
      <c r="B544" s="73" t="s">
        <v>7</v>
      </c>
      <c r="C544" s="73">
        <v>2</v>
      </c>
      <c r="D544" s="73">
        <v>29</v>
      </c>
      <c r="E544" s="73">
        <v>123</v>
      </c>
    </row>
    <row r="545" spans="2:5" x14ac:dyDescent="0.2">
      <c r="B545" s="73" t="s">
        <v>7</v>
      </c>
      <c r="C545" s="73">
        <v>3</v>
      </c>
      <c r="D545" s="73">
        <v>36</v>
      </c>
      <c r="E545" s="73">
        <v>145</v>
      </c>
    </row>
    <row r="546" spans="2:5" x14ac:dyDescent="0.2">
      <c r="B546" s="73" t="s">
        <v>7</v>
      </c>
      <c r="C546" s="73">
        <v>2</v>
      </c>
      <c r="D546" s="73">
        <v>12</v>
      </c>
      <c r="E546" s="73">
        <v>158</v>
      </c>
    </row>
    <row r="547" spans="2:5" x14ac:dyDescent="0.2">
      <c r="B547" s="73" t="s">
        <v>7</v>
      </c>
      <c r="C547" s="73">
        <v>2</v>
      </c>
      <c r="D547" s="73">
        <v>36</v>
      </c>
      <c r="E547" s="73">
        <v>168</v>
      </c>
    </row>
    <row r="548" spans="2:5" x14ac:dyDescent="0.2">
      <c r="B548" s="73" t="s">
        <v>7</v>
      </c>
      <c r="C548" s="73">
        <v>2</v>
      </c>
      <c r="D548" s="73">
        <v>22</v>
      </c>
      <c r="E548" s="73">
        <v>259</v>
      </c>
    </row>
    <row r="549" spans="2:5" x14ac:dyDescent="0.2">
      <c r="B549" s="73" t="s">
        <v>7</v>
      </c>
      <c r="C549" s="73">
        <v>4</v>
      </c>
      <c r="D549" s="73">
        <v>36</v>
      </c>
      <c r="E549" s="73">
        <v>158</v>
      </c>
    </row>
    <row r="550" spans="2:5" x14ac:dyDescent="0.2">
      <c r="B550" s="73" t="s">
        <v>8</v>
      </c>
      <c r="C550" s="73">
        <v>6</v>
      </c>
      <c r="D550" s="73">
        <v>16</v>
      </c>
      <c r="E550" s="73">
        <v>86</v>
      </c>
    </row>
    <row r="551" spans="2:5" x14ac:dyDescent="0.2">
      <c r="B551" s="73" t="s">
        <v>7</v>
      </c>
      <c r="C551" s="73">
        <v>9</v>
      </c>
      <c r="D551" s="73">
        <v>24</v>
      </c>
      <c r="E551" s="73">
        <v>184</v>
      </c>
    </row>
    <row r="552" spans="2:5" x14ac:dyDescent="0.2">
      <c r="B552" s="73" t="s">
        <v>8</v>
      </c>
      <c r="C552" s="73">
        <v>3</v>
      </c>
      <c r="D552" s="73">
        <v>20</v>
      </c>
      <c r="E552" s="73">
        <v>205</v>
      </c>
    </row>
    <row r="553" spans="2:5" x14ac:dyDescent="0.2">
      <c r="B553" s="73" t="s">
        <v>7</v>
      </c>
      <c r="C553" s="73">
        <v>1</v>
      </c>
      <c r="D553" s="73">
        <v>10</v>
      </c>
      <c r="E553" s="73">
        <v>133</v>
      </c>
    </row>
    <row r="554" spans="2:5" x14ac:dyDescent="0.2">
      <c r="B554" s="73" t="s">
        <v>7</v>
      </c>
      <c r="C554" s="73">
        <v>5</v>
      </c>
      <c r="D554" s="73">
        <v>37</v>
      </c>
      <c r="E554" s="73">
        <v>189</v>
      </c>
    </row>
    <row r="555" spans="2:5" x14ac:dyDescent="0.2">
      <c r="B555" s="73" t="s">
        <v>7</v>
      </c>
      <c r="C555" s="73">
        <v>1</v>
      </c>
      <c r="D555" s="73">
        <v>42</v>
      </c>
      <c r="E555" s="73">
        <v>199</v>
      </c>
    </row>
    <row r="556" spans="2:5" x14ac:dyDescent="0.2">
      <c r="B556" s="73" t="s">
        <v>7</v>
      </c>
      <c r="C556" s="73">
        <v>2</v>
      </c>
      <c r="D556" s="73">
        <v>30</v>
      </c>
      <c r="E556" s="73">
        <v>136</v>
      </c>
    </row>
    <row r="557" spans="2:5" x14ac:dyDescent="0.2">
      <c r="B557" s="73" t="s">
        <v>7</v>
      </c>
      <c r="C557" s="73">
        <v>3</v>
      </c>
      <c r="D557" s="73">
        <v>28</v>
      </c>
      <c r="E557" s="73">
        <v>200</v>
      </c>
    </row>
    <row r="558" spans="2:5" x14ac:dyDescent="0.2">
      <c r="B558" s="73" t="s">
        <v>7</v>
      </c>
      <c r="C558" s="73">
        <v>1</v>
      </c>
      <c r="D558" s="73">
        <v>31</v>
      </c>
      <c r="E558" s="73">
        <v>238</v>
      </c>
    </row>
    <row r="559" spans="2:5" x14ac:dyDescent="0.2">
      <c r="B559" s="73" t="s">
        <v>8</v>
      </c>
      <c r="C559" s="73">
        <v>1</v>
      </c>
      <c r="D559" s="73">
        <v>15</v>
      </c>
      <c r="E559" s="73">
        <v>246</v>
      </c>
    </row>
    <row r="560" spans="2:5" x14ac:dyDescent="0.2">
      <c r="B560" s="73" t="s">
        <v>7</v>
      </c>
      <c r="C560" s="73">
        <v>5</v>
      </c>
      <c r="D560" s="73">
        <v>37</v>
      </c>
      <c r="E560" s="73">
        <v>136</v>
      </c>
    </row>
    <row r="561" spans="2:5" x14ac:dyDescent="0.2">
      <c r="B561" s="73" t="s">
        <v>7</v>
      </c>
      <c r="C561" s="73">
        <v>3</v>
      </c>
      <c r="D561" s="73">
        <v>40</v>
      </c>
      <c r="E561" s="73">
        <v>139</v>
      </c>
    </row>
    <row r="562" spans="2:5" x14ac:dyDescent="0.2">
      <c r="B562" s="73" t="s">
        <v>7</v>
      </c>
      <c r="C562" s="73">
        <v>4</v>
      </c>
      <c r="D562" s="73">
        <v>41</v>
      </c>
      <c r="E562" s="73">
        <v>168</v>
      </c>
    </row>
    <row r="563" spans="2:5" x14ac:dyDescent="0.2">
      <c r="B563" s="73" t="s">
        <v>7</v>
      </c>
      <c r="C563" s="73">
        <v>2</v>
      </c>
      <c r="D563" s="73">
        <v>17</v>
      </c>
      <c r="E563" s="73">
        <v>185</v>
      </c>
    </row>
    <row r="564" spans="2:5" x14ac:dyDescent="0.2">
      <c r="B564" s="73" t="s">
        <v>7</v>
      </c>
      <c r="C564" s="73">
        <v>4</v>
      </c>
      <c r="D564" s="73">
        <v>40</v>
      </c>
      <c r="E564" s="73">
        <v>247</v>
      </c>
    </row>
    <row r="565" spans="2:5" x14ac:dyDescent="0.2">
      <c r="B565" s="73" t="s">
        <v>7</v>
      </c>
      <c r="C565" s="73">
        <v>2</v>
      </c>
      <c r="D565" s="73">
        <v>37</v>
      </c>
      <c r="E565" s="73">
        <v>135</v>
      </c>
    </row>
    <row r="566" spans="2:5" x14ac:dyDescent="0.2">
      <c r="B566" s="73" t="s">
        <v>7</v>
      </c>
      <c r="C566" s="73">
        <v>5</v>
      </c>
      <c r="D566" s="73">
        <v>45</v>
      </c>
      <c r="E566" s="73">
        <v>165</v>
      </c>
    </row>
    <row r="567" spans="2:5" x14ac:dyDescent="0.2">
      <c r="B567" s="73" t="s">
        <v>8</v>
      </c>
      <c r="C567" s="73">
        <v>1</v>
      </c>
      <c r="D567" s="73">
        <v>28</v>
      </c>
      <c r="E567" s="73">
        <v>177</v>
      </c>
    </row>
    <row r="568" spans="2:5" x14ac:dyDescent="0.2">
      <c r="B568" s="73" t="s">
        <v>8</v>
      </c>
      <c r="C568" s="73">
        <v>1</v>
      </c>
      <c r="D568" s="73">
        <v>34</v>
      </c>
      <c r="E568" s="73">
        <v>181</v>
      </c>
    </row>
    <row r="569" spans="2:5" x14ac:dyDescent="0.2">
      <c r="B569" s="73" t="s">
        <v>8</v>
      </c>
      <c r="C569" s="73">
        <v>1</v>
      </c>
      <c r="D569" s="73">
        <v>14</v>
      </c>
      <c r="E569" s="73">
        <v>246</v>
      </c>
    </row>
    <row r="570" spans="2:5" x14ac:dyDescent="0.2">
      <c r="B570" s="73" t="s">
        <v>7</v>
      </c>
      <c r="C570" s="73">
        <v>3</v>
      </c>
      <c r="D570" s="73">
        <v>49</v>
      </c>
      <c r="E570" s="73">
        <v>127</v>
      </c>
    </row>
    <row r="571" spans="2:5" x14ac:dyDescent="0.2">
      <c r="B571" s="73" t="s">
        <v>7</v>
      </c>
      <c r="C571" s="73">
        <v>7</v>
      </c>
      <c r="D571" s="73">
        <v>29</v>
      </c>
      <c r="E571" s="73">
        <v>147</v>
      </c>
    </row>
    <row r="572" spans="2:5" x14ac:dyDescent="0.2">
      <c r="B572" s="73" t="s">
        <v>7</v>
      </c>
      <c r="C572" s="73">
        <v>2</v>
      </c>
      <c r="D572" s="73">
        <v>30</v>
      </c>
      <c r="E572" s="73">
        <v>147</v>
      </c>
    </row>
    <row r="573" spans="2:5" x14ac:dyDescent="0.2">
      <c r="B573" s="73" t="s">
        <v>7</v>
      </c>
      <c r="C573" s="73">
        <v>3</v>
      </c>
      <c r="D573" s="73">
        <v>28</v>
      </c>
      <c r="E573" s="73">
        <v>167</v>
      </c>
    </row>
    <row r="574" spans="2:5" x14ac:dyDescent="0.2">
      <c r="B574" s="73" t="s">
        <v>7</v>
      </c>
      <c r="C574" s="73">
        <v>1</v>
      </c>
      <c r="D574" s="73">
        <v>33</v>
      </c>
      <c r="E574" s="73">
        <v>181</v>
      </c>
    </row>
    <row r="575" spans="2:5" x14ac:dyDescent="0.2">
      <c r="B575" s="73" t="s">
        <v>7</v>
      </c>
      <c r="C575" s="73">
        <v>1</v>
      </c>
      <c r="D575" s="73">
        <v>30</v>
      </c>
      <c r="E575" s="73">
        <v>223</v>
      </c>
    </row>
    <row r="576" spans="2:5" x14ac:dyDescent="0.2">
      <c r="B576" s="73" t="s">
        <v>7</v>
      </c>
      <c r="C576" s="73">
        <v>4</v>
      </c>
      <c r="D576" s="73">
        <v>31</v>
      </c>
      <c r="E576" s="73">
        <v>224</v>
      </c>
    </row>
    <row r="577" spans="2:5" x14ac:dyDescent="0.2">
      <c r="B577" s="73" t="s">
        <v>8</v>
      </c>
      <c r="C577" s="73">
        <v>1</v>
      </c>
      <c r="D577" s="73">
        <v>46</v>
      </c>
      <c r="E577" s="73">
        <v>177</v>
      </c>
    </row>
    <row r="578" spans="2:5" x14ac:dyDescent="0.2">
      <c r="B578" s="73" t="s">
        <v>8</v>
      </c>
      <c r="C578" s="73">
        <v>2</v>
      </c>
      <c r="D578" s="73">
        <v>25</v>
      </c>
      <c r="E578" s="73">
        <v>152</v>
      </c>
    </row>
    <row r="579" spans="2:5" x14ac:dyDescent="0.2">
      <c r="B579" s="73" t="s">
        <v>7</v>
      </c>
      <c r="C579" s="73">
        <v>1</v>
      </c>
      <c r="D579" s="73">
        <v>18</v>
      </c>
      <c r="E579" s="73">
        <v>132</v>
      </c>
    </row>
    <row r="580" spans="2:5" x14ac:dyDescent="0.2">
      <c r="B580" s="73" t="s">
        <v>8</v>
      </c>
      <c r="C580" s="73">
        <v>2</v>
      </c>
      <c r="D580" s="73">
        <v>40</v>
      </c>
      <c r="E580" s="73">
        <v>224</v>
      </c>
    </row>
    <row r="581" spans="2:5" x14ac:dyDescent="0.2">
      <c r="B581" s="73" t="s">
        <v>8</v>
      </c>
      <c r="C581" s="73">
        <v>19</v>
      </c>
      <c r="D581" s="73">
        <v>43</v>
      </c>
      <c r="E581" s="73">
        <v>138</v>
      </c>
    </row>
    <row r="582" spans="2:5" x14ac:dyDescent="0.2">
      <c r="B582" s="73" t="s">
        <v>8</v>
      </c>
      <c r="C582" s="73">
        <v>2</v>
      </c>
      <c r="D582" s="73">
        <v>48</v>
      </c>
      <c r="E582" s="73">
        <v>177</v>
      </c>
    </row>
    <row r="583" spans="2:5" x14ac:dyDescent="0.2">
      <c r="B583" s="73" t="s">
        <v>8</v>
      </c>
      <c r="C583" s="73">
        <v>1</v>
      </c>
      <c r="D583" s="73">
        <v>37</v>
      </c>
      <c r="E583" s="73">
        <v>209</v>
      </c>
    </row>
    <row r="584" spans="2:5" x14ac:dyDescent="0.2">
      <c r="B584" s="73" t="s">
        <v>8</v>
      </c>
      <c r="C584" s="73">
        <v>2</v>
      </c>
      <c r="D584" s="73">
        <v>15</v>
      </c>
      <c r="E584" s="73">
        <v>118</v>
      </c>
    </row>
    <row r="585" spans="2:5" x14ac:dyDescent="0.2">
      <c r="B585" s="73" t="s">
        <v>7</v>
      </c>
      <c r="C585" s="73">
        <v>1</v>
      </c>
      <c r="D585" s="73">
        <v>14</v>
      </c>
      <c r="E585" s="73">
        <v>117</v>
      </c>
    </row>
    <row r="586" spans="2:5" ht="13.5" thickBot="1" x14ac:dyDescent="0.25">
      <c r="B586" s="72" t="s">
        <v>7</v>
      </c>
      <c r="C586" s="72">
        <v>10</v>
      </c>
      <c r="D586" s="72">
        <v>39</v>
      </c>
      <c r="E586" s="72">
        <v>156</v>
      </c>
    </row>
  </sheetData>
  <mergeCells count="4">
    <mergeCell ref="B2:H2"/>
    <mergeCell ref="B4:H4"/>
    <mergeCell ref="G34:R34"/>
    <mergeCell ref="G56:R56"/>
  </mergeCells>
  <pageMargins left="0.7" right="0.7" top="0.75" bottom="0.75" header="0.3" footer="0.3"/>
  <pageSetup paperSize="9" orientation="portrait" r:id="rId5"/>
  <drawing r:id="rId6"/>
  <legacy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indexed="23"/>
  </sheetPr>
  <dimension ref="B1:Y7"/>
  <sheetViews>
    <sheetView zoomScaleNormal="100" workbookViewId="0"/>
  </sheetViews>
  <sheetFormatPr defaultColWidth="9.140625" defaultRowHeight="13.5" customHeight="1" x14ac:dyDescent="0.2"/>
  <cols>
    <col min="1" max="1" width="2.5703125" style="1" customWidth="1"/>
    <col min="2" max="2" width="10.7109375" style="1" customWidth="1"/>
    <col min="3" max="3" width="9.42578125" style="1" customWidth="1"/>
    <col min="4" max="4" width="21.7109375" style="1" customWidth="1"/>
    <col min="5" max="10" width="10.7109375" style="1" customWidth="1"/>
    <col min="11" max="16384" width="9.140625" style="1"/>
  </cols>
  <sheetData>
    <row r="1" spans="2:25" ht="13.5" customHeight="1" thickBot="1" x14ac:dyDescent="0.25"/>
    <row r="2" spans="2:25" ht="40.5" customHeight="1" thickBot="1" x14ac:dyDescent="0.25">
      <c r="B2" s="274" t="s">
        <v>3</v>
      </c>
      <c r="C2" s="306"/>
      <c r="D2" s="306"/>
      <c r="E2" s="306"/>
      <c r="F2" s="306"/>
      <c r="G2" s="306"/>
      <c r="H2" s="306"/>
      <c r="I2" s="306"/>
      <c r="J2" s="276"/>
      <c r="K2" s="10"/>
      <c r="L2" s="10"/>
      <c r="M2" s="10"/>
      <c r="N2" s="10"/>
      <c r="O2" s="10"/>
    </row>
    <row r="3" spans="2:25" ht="6.75" customHeight="1" thickBot="1" x14ac:dyDescent="0.25">
      <c r="V3" s="11"/>
      <c r="W3" s="11"/>
      <c r="X3" s="11"/>
      <c r="Y3" s="11"/>
    </row>
    <row r="4" spans="2:25" ht="13.5" customHeight="1" thickBot="1" x14ac:dyDescent="0.25">
      <c r="B4" s="274" t="s">
        <v>4</v>
      </c>
      <c r="C4" s="306"/>
      <c r="D4" s="306"/>
      <c r="E4" s="306"/>
      <c r="F4" s="306"/>
      <c r="G4" s="306"/>
      <c r="H4" s="306"/>
      <c r="I4" s="306"/>
      <c r="J4" s="276"/>
      <c r="K4" s="10"/>
      <c r="L4" s="10"/>
      <c r="M4" s="10"/>
      <c r="N4" s="10"/>
      <c r="O4" s="10"/>
      <c r="V4" s="7"/>
      <c r="W4" s="6"/>
      <c r="X4" s="5"/>
      <c r="Y4" s="5"/>
    </row>
    <row r="5" spans="2:25" s="8" customFormat="1" thickBot="1" x14ac:dyDescent="0.25">
      <c r="B5" s="9"/>
      <c r="C5" s="9"/>
      <c r="D5" s="9"/>
      <c r="E5" s="9"/>
      <c r="F5" s="9"/>
      <c r="G5" s="9"/>
      <c r="H5" s="9"/>
    </row>
    <row r="6" spans="2:25" ht="13.5" customHeight="1" thickBot="1" x14ac:dyDescent="0.25">
      <c r="V6" s="7"/>
      <c r="W6" s="6"/>
      <c r="X6" s="5"/>
      <c r="Y6" s="5"/>
    </row>
    <row r="7" spans="2:25" ht="13.5" customHeight="1" thickBot="1" x14ac:dyDescent="0.25">
      <c r="B7" s="4" t="s">
        <v>1</v>
      </c>
      <c r="C7" s="268">
        <f>1.082*(69880-14100)/69880-1</f>
        <v>-0.1363199771036061</v>
      </c>
      <c r="D7" s="269" t="s">
        <v>6442</v>
      </c>
    </row>
  </sheetData>
  <mergeCells count="2">
    <mergeCell ref="B2:J2"/>
    <mergeCell ref="B4:J4"/>
  </mergeCells>
  <pageMargins left="0.75" right="0.75" top="1" bottom="1" header="0.5" footer="0.5"/>
  <pageSetup scale="83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91952-379D-4EE1-94FD-716EE8074874}">
  <sheetPr>
    <tabColor theme="0" tint="-0.499984740745262"/>
  </sheetPr>
  <dimension ref="A1:Y120"/>
  <sheetViews>
    <sheetView zoomScaleNormal="100" workbookViewId="0"/>
  </sheetViews>
  <sheetFormatPr defaultColWidth="9.140625" defaultRowHeight="12.75" x14ac:dyDescent="0.2"/>
  <cols>
    <col min="1" max="1" width="2.5703125" style="30" customWidth="1"/>
    <col min="2" max="2" width="10.140625" style="30" customWidth="1"/>
    <col min="3" max="14" width="17.7109375" style="30" customWidth="1"/>
    <col min="15" max="16384" width="9.140625" style="30"/>
  </cols>
  <sheetData>
    <row r="1" spans="2:19" ht="13.5" customHeight="1" thickBot="1" x14ac:dyDescent="0.25"/>
    <row r="2" spans="2:19" ht="13.5" thickBot="1" x14ac:dyDescent="0.25">
      <c r="B2" s="328" t="s">
        <v>6411</v>
      </c>
      <c r="C2" s="329"/>
      <c r="D2" s="329"/>
      <c r="E2" s="329"/>
      <c r="F2" s="329"/>
      <c r="G2" s="330"/>
    </row>
    <row r="3" spans="2:19" ht="13.5" thickBot="1" x14ac:dyDescent="0.25"/>
    <row r="4" spans="2:19" ht="13.5" customHeight="1" x14ac:dyDescent="0.2">
      <c r="B4" s="333" t="s">
        <v>52</v>
      </c>
      <c r="C4" s="331" t="s">
        <v>6412</v>
      </c>
      <c r="D4" s="331" t="s">
        <v>678</v>
      </c>
      <c r="E4" s="335" t="s">
        <v>6413</v>
      </c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</row>
    <row r="5" spans="2:19" ht="13.5" customHeight="1" thickBot="1" x14ac:dyDescent="0.25">
      <c r="B5" s="334"/>
      <c r="C5" s="332"/>
      <c r="D5" s="332"/>
      <c r="E5" s="336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</row>
    <row r="6" spans="2:19" ht="13.5" customHeight="1" x14ac:dyDescent="0.2">
      <c r="B6" s="201">
        <v>2015</v>
      </c>
      <c r="C6" s="202">
        <v>9797755</v>
      </c>
      <c r="D6" s="202">
        <v>46137</v>
      </c>
      <c r="E6" s="202">
        <v>3152275.5</v>
      </c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0"/>
    </row>
    <row r="7" spans="2:19" ht="13.5" customHeight="1" x14ac:dyDescent="0.2">
      <c r="B7" s="204">
        <v>2016</v>
      </c>
      <c r="C7" s="205">
        <v>9759754.5</v>
      </c>
      <c r="D7" s="205">
        <v>51805</v>
      </c>
      <c r="E7" s="205">
        <v>3255031</v>
      </c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</row>
    <row r="8" spans="2:19" ht="13.5" customHeight="1" x14ac:dyDescent="0.2">
      <c r="B8" s="204">
        <v>2017</v>
      </c>
      <c r="C8" s="205">
        <v>9726756</v>
      </c>
      <c r="D8" s="205">
        <v>50572</v>
      </c>
      <c r="E8" s="205">
        <v>3392601.5</v>
      </c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</row>
    <row r="9" spans="2:19" ht="13.5" customHeight="1" x14ac:dyDescent="0.2">
      <c r="B9" s="204">
        <v>2018</v>
      </c>
      <c r="C9" s="205">
        <v>9706963.5</v>
      </c>
      <c r="D9" s="205">
        <v>50828</v>
      </c>
      <c r="E9" s="205">
        <v>3556910</v>
      </c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</row>
    <row r="10" spans="2:19" ht="13.5" customHeight="1" x14ac:dyDescent="0.2">
      <c r="B10" s="204">
        <v>2019</v>
      </c>
      <c r="C10" s="205">
        <v>9694824</v>
      </c>
      <c r="D10" s="205">
        <v>65268</v>
      </c>
      <c r="E10" s="205">
        <v>3726918</v>
      </c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</row>
    <row r="11" spans="2:19" ht="13.5" customHeight="1" x14ac:dyDescent="0.2">
      <c r="B11" s="204">
        <v>2020</v>
      </c>
      <c r="C11" s="205">
        <v>9670418.5</v>
      </c>
      <c r="D11" s="205">
        <v>67095</v>
      </c>
      <c r="E11" s="205">
        <v>3866406</v>
      </c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R11" s="200"/>
    </row>
    <row r="12" spans="2:19" ht="13.5" customHeight="1" x14ac:dyDescent="0.2">
      <c r="B12" s="204">
        <v>2021</v>
      </c>
      <c r="C12" s="205">
        <v>9630932</v>
      </c>
      <c r="D12" s="205">
        <v>72030</v>
      </c>
      <c r="E12" s="205">
        <v>3970479</v>
      </c>
      <c r="H12" s="200"/>
      <c r="I12" s="200"/>
      <c r="J12" s="200"/>
      <c r="K12" s="200"/>
      <c r="L12" s="200"/>
      <c r="M12" s="200"/>
      <c r="N12" s="200"/>
      <c r="O12" s="200"/>
      <c r="P12" s="200"/>
      <c r="Q12" s="200"/>
      <c r="R12" s="200"/>
    </row>
    <row r="13" spans="2:19" ht="13.5" customHeight="1" x14ac:dyDescent="0.2">
      <c r="B13" s="204">
        <v>2022</v>
      </c>
      <c r="C13" s="205">
        <v>9605073.5</v>
      </c>
      <c r="D13" s="205">
        <v>63967</v>
      </c>
      <c r="E13" s="205">
        <v>4057144</v>
      </c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</row>
    <row r="14" spans="2:19" ht="13.5" customHeight="1" x14ac:dyDescent="0.2">
      <c r="B14" s="204">
        <v>2023</v>
      </c>
      <c r="C14" s="205">
        <v>9592185.5</v>
      </c>
      <c r="D14" s="205">
        <v>50139</v>
      </c>
      <c r="E14" s="205">
        <v>4131390</v>
      </c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</row>
    <row r="15" spans="2:19" ht="13.5" customHeight="1" x14ac:dyDescent="0.2">
      <c r="B15" s="204">
        <v>2024</v>
      </c>
      <c r="C15" s="205">
        <v>9562064.5</v>
      </c>
      <c r="D15" s="205">
        <v>46561</v>
      </c>
      <c r="E15" s="205">
        <v>4215859</v>
      </c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</row>
    <row r="16" spans="2:19" ht="13.5" customHeight="1" thickBot="1" x14ac:dyDescent="0.25">
      <c r="B16" s="207">
        <v>2025</v>
      </c>
      <c r="C16" s="208">
        <v>9513965</v>
      </c>
      <c r="D16" s="208">
        <v>46582</v>
      </c>
      <c r="E16" s="208">
        <v>4318915</v>
      </c>
    </row>
    <row r="17" spans="1:25" ht="13.5" customHeight="1" thickBot="1" x14ac:dyDescent="0.25">
      <c r="B17" s="198"/>
      <c r="C17" s="209"/>
      <c r="D17" s="210"/>
      <c r="E17" s="210"/>
      <c r="F17" s="209"/>
      <c r="G17" s="210"/>
      <c r="H17" s="211"/>
      <c r="I17" s="210"/>
      <c r="J17" s="210"/>
      <c r="K17" s="211"/>
      <c r="L17" s="209"/>
      <c r="M17" s="212"/>
      <c r="N17" s="212"/>
    </row>
    <row r="18" spans="1:25" ht="54" customHeight="1" thickBot="1" x14ac:dyDescent="0.25">
      <c r="B18" s="328" t="s">
        <v>60</v>
      </c>
      <c r="C18" s="329"/>
      <c r="D18" s="329"/>
      <c r="E18" s="329"/>
      <c r="F18" s="329"/>
      <c r="G18" s="330"/>
    </row>
    <row r="19" spans="1:25" s="97" customFormat="1" ht="13.5" thickBot="1" x14ac:dyDescent="0.25">
      <c r="B19" s="98"/>
      <c r="C19" s="98"/>
      <c r="D19" s="98"/>
      <c r="E19" s="98"/>
      <c r="F19" s="98"/>
    </row>
    <row r="20" spans="1:25" ht="13.5" customHeight="1" thickBot="1" x14ac:dyDescent="0.25"/>
    <row r="21" spans="1:25" ht="13.5" customHeight="1" x14ac:dyDescent="0.2">
      <c r="A21" s="30" t="s">
        <v>45</v>
      </c>
      <c r="B21" s="316" t="s">
        <v>52</v>
      </c>
      <c r="C21" s="331" t="s">
        <v>6412</v>
      </c>
      <c r="D21" s="320" t="s">
        <v>679</v>
      </c>
      <c r="E21" s="320"/>
      <c r="F21" s="322" t="s">
        <v>678</v>
      </c>
      <c r="G21" s="320" t="s">
        <v>677</v>
      </c>
      <c r="H21" s="320"/>
      <c r="I21" s="322" t="s">
        <v>6413</v>
      </c>
      <c r="J21" s="320" t="s">
        <v>676</v>
      </c>
      <c r="K21" s="321"/>
      <c r="L21" s="213"/>
      <c r="M21" s="213"/>
      <c r="N21" s="213"/>
      <c r="O21" s="213"/>
      <c r="P21" s="213"/>
      <c r="Q21" s="213"/>
      <c r="R21" s="213"/>
      <c r="S21" s="213"/>
      <c r="T21" s="213"/>
      <c r="U21" s="213"/>
      <c r="V21" s="213"/>
      <c r="W21" s="213"/>
      <c r="X21" s="213"/>
      <c r="Y21" s="213"/>
    </row>
    <row r="22" spans="1:25" ht="13.5" customHeight="1" thickBot="1" x14ac:dyDescent="0.25">
      <c r="B22" s="317"/>
      <c r="C22" s="332"/>
      <c r="D22" s="214" t="s">
        <v>6414</v>
      </c>
      <c r="E22" s="214" t="s">
        <v>48</v>
      </c>
      <c r="F22" s="323"/>
      <c r="G22" s="214" t="s">
        <v>6414</v>
      </c>
      <c r="H22" s="214" t="s">
        <v>48</v>
      </c>
      <c r="I22" s="323"/>
      <c r="J22" s="214" t="s">
        <v>6414</v>
      </c>
      <c r="K22" s="215" t="s">
        <v>48</v>
      </c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</row>
    <row r="23" spans="1:25" ht="13.5" customHeight="1" x14ac:dyDescent="0.2">
      <c r="B23" s="201">
        <f>B6</f>
        <v>2015</v>
      </c>
      <c r="C23" s="216">
        <f>C6</f>
        <v>9797755</v>
      </c>
      <c r="D23" s="227">
        <f t="shared" ref="D23:D33" si="0">(C23/C$23)</f>
        <v>1</v>
      </c>
      <c r="E23" s="227"/>
      <c r="F23" s="216">
        <f>D6</f>
        <v>46137</v>
      </c>
      <c r="G23" s="227">
        <f t="shared" ref="G23:G33" si="1">F23/F$23</f>
        <v>1</v>
      </c>
      <c r="H23" s="227"/>
      <c r="I23" s="216">
        <f>E6</f>
        <v>3152275.5</v>
      </c>
      <c r="J23" s="227">
        <f t="shared" ref="J23:J33" si="2">I23/I$23</f>
        <v>1</v>
      </c>
      <c r="K23" s="229"/>
    </row>
    <row r="24" spans="1:25" ht="13.5" customHeight="1" x14ac:dyDescent="0.2">
      <c r="B24" s="204">
        <f t="shared" ref="B24:C24" si="3">B7</f>
        <v>2016</v>
      </c>
      <c r="C24" s="217">
        <f t="shared" si="3"/>
        <v>9759754.5</v>
      </c>
      <c r="D24" s="227">
        <f t="shared" si="0"/>
        <v>0.99612150946824041</v>
      </c>
      <c r="E24" s="228">
        <f t="shared" ref="E24:E33" si="4">(C24/C23)</f>
        <v>0.99612150946824041</v>
      </c>
      <c r="F24" s="216">
        <f t="shared" ref="F24:F33" si="5">D7</f>
        <v>51805</v>
      </c>
      <c r="G24" s="227">
        <f t="shared" si="1"/>
        <v>1.1228515074668921</v>
      </c>
      <c r="H24" s="228">
        <f t="shared" ref="H24:H33" si="6">F24/F23</f>
        <v>1.1228515074668921</v>
      </c>
      <c r="I24" s="217">
        <f t="shared" ref="I24:I33" si="7">E7</f>
        <v>3255031</v>
      </c>
      <c r="J24" s="227">
        <f t="shared" si="2"/>
        <v>1.0325972460211679</v>
      </c>
      <c r="K24" s="228">
        <f t="shared" ref="K24:K33" si="8">I24/I23</f>
        <v>1.0325972460211679</v>
      </c>
    </row>
    <row r="25" spans="1:25" ht="13.5" customHeight="1" x14ac:dyDescent="0.2">
      <c r="B25" s="204">
        <f t="shared" ref="B25:C25" si="9">B8</f>
        <v>2017</v>
      </c>
      <c r="C25" s="217">
        <f t="shared" si="9"/>
        <v>9726756</v>
      </c>
      <c r="D25" s="227">
        <f t="shared" si="0"/>
        <v>0.99275354405167304</v>
      </c>
      <c r="E25" s="228">
        <f t="shared" si="4"/>
        <v>0.99661892110093553</v>
      </c>
      <c r="F25" s="216">
        <f t="shared" si="5"/>
        <v>50572</v>
      </c>
      <c r="G25" s="227">
        <f t="shared" si="1"/>
        <v>1.0961267529314866</v>
      </c>
      <c r="H25" s="228">
        <f t="shared" si="6"/>
        <v>0.97619920857060127</v>
      </c>
      <c r="I25" s="217">
        <f t="shared" si="7"/>
        <v>3392601.5</v>
      </c>
      <c r="J25" s="227">
        <f t="shared" si="2"/>
        <v>1.0762388947285857</v>
      </c>
      <c r="K25" s="228">
        <f t="shared" si="8"/>
        <v>1.0422639600052963</v>
      </c>
    </row>
    <row r="26" spans="1:25" ht="13.5" customHeight="1" x14ac:dyDescent="0.2">
      <c r="B26" s="204">
        <f t="shared" ref="B26:C26" si="10">B9</f>
        <v>2018</v>
      </c>
      <c r="C26" s="217">
        <f t="shared" si="10"/>
        <v>9706963.5</v>
      </c>
      <c r="D26" s="227">
        <f t="shared" si="0"/>
        <v>0.99073343842543526</v>
      </c>
      <c r="E26" s="228">
        <f t="shared" si="4"/>
        <v>0.99796514891501342</v>
      </c>
      <c r="F26" s="216">
        <f t="shared" si="5"/>
        <v>50828</v>
      </c>
      <c r="G26" s="227">
        <f t="shared" si="1"/>
        <v>1.1016754448707111</v>
      </c>
      <c r="H26" s="228">
        <f t="shared" si="6"/>
        <v>1.0050620896939018</v>
      </c>
      <c r="I26" s="217">
        <f t="shared" si="7"/>
        <v>3556910</v>
      </c>
      <c r="J26" s="227">
        <f t="shared" si="2"/>
        <v>1.128362670077536</v>
      </c>
      <c r="K26" s="228">
        <f t="shared" si="8"/>
        <v>1.0484314176009177</v>
      </c>
    </row>
    <row r="27" spans="1:25" ht="13.5" customHeight="1" x14ac:dyDescent="0.2">
      <c r="B27" s="204">
        <f t="shared" ref="B27:C27" si="11">B10</f>
        <v>2019</v>
      </c>
      <c r="C27" s="217">
        <f t="shared" si="11"/>
        <v>9694824</v>
      </c>
      <c r="D27" s="227">
        <f t="shared" si="0"/>
        <v>0.98949443010158955</v>
      </c>
      <c r="E27" s="228">
        <f t="shared" si="4"/>
        <v>0.99874940294150694</v>
      </c>
      <c r="F27" s="216">
        <f t="shared" si="5"/>
        <v>65268</v>
      </c>
      <c r="G27" s="227">
        <f t="shared" si="1"/>
        <v>1.4146563495675921</v>
      </c>
      <c r="H27" s="228">
        <f t="shared" si="6"/>
        <v>1.2840953804989377</v>
      </c>
      <c r="I27" s="217">
        <f t="shared" si="7"/>
        <v>3726918</v>
      </c>
      <c r="J27" s="227">
        <f t="shared" si="2"/>
        <v>1.1822945043984894</v>
      </c>
      <c r="K27" s="228">
        <f t="shared" si="8"/>
        <v>1.0477965425045896</v>
      </c>
    </row>
    <row r="28" spans="1:25" ht="13.5" customHeight="1" x14ac:dyDescent="0.2">
      <c r="B28" s="204">
        <f t="shared" ref="B28:C28" si="12">B11</f>
        <v>2020</v>
      </c>
      <c r="C28" s="217">
        <f t="shared" si="12"/>
        <v>9670418.5</v>
      </c>
      <c r="D28" s="227">
        <f t="shared" si="0"/>
        <v>0.98700350233293244</v>
      </c>
      <c r="E28" s="228">
        <f t="shared" si="4"/>
        <v>0.99748262578051961</v>
      </c>
      <c r="F28" s="216">
        <f t="shared" si="5"/>
        <v>67095</v>
      </c>
      <c r="G28" s="227">
        <f t="shared" si="1"/>
        <v>1.4542558033682293</v>
      </c>
      <c r="H28" s="228">
        <f t="shared" si="6"/>
        <v>1.0279922779922781</v>
      </c>
      <c r="I28" s="217">
        <f t="shared" si="7"/>
        <v>3866406</v>
      </c>
      <c r="J28" s="227">
        <f t="shared" si="2"/>
        <v>1.2265444438469923</v>
      </c>
      <c r="K28" s="228">
        <f t="shared" si="8"/>
        <v>1.0374271717274166</v>
      </c>
    </row>
    <row r="29" spans="1:25" ht="13.5" customHeight="1" x14ac:dyDescent="0.2">
      <c r="B29" s="204">
        <f t="shared" ref="B29:C29" si="13">B12</f>
        <v>2021</v>
      </c>
      <c r="C29" s="217">
        <f t="shared" si="13"/>
        <v>9630932</v>
      </c>
      <c r="D29" s="227">
        <f t="shared" si="0"/>
        <v>0.98297334440389661</v>
      </c>
      <c r="E29" s="228">
        <f t="shared" si="4"/>
        <v>0.995916774439493</v>
      </c>
      <c r="F29" s="216">
        <f t="shared" si="5"/>
        <v>72030</v>
      </c>
      <c r="G29" s="227">
        <f t="shared" si="1"/>
        <v>1.561219845243514</v>
      </c>
      <c r="H29" s="228">
        <f t="shared" si="6"/>
        <v>1.0735524256651017</v>
      </c>
      <c r="I29" s="217">
        <f t="shared" si="7"/>
        <v>3970479</v>
      </c>
      <c r="J29" s="227">
        <f t="shared" si="2"/>
        <v>1.2595596419158162</v>
      </c>
      <c r="K29" s="228">
        <f t="shared" si="8"/>
        <v>1.0269172456281104</v>
      </c>
    </row>
    <row r="30" spans="1:25" ht="13.5" customHeight="1" x14ac:dyDescent="0.2">
      <c r="B30" s="204">
        <f t="shared" ref="B30:C30" si="14">B13</f>
        <v>2022</v>
      </c>
      <c r="C30" s="217">
        <f t="shared" si="14"/>
        <v>9605073.5</v>
      </c>
      <c r="D30" s="227">
        <f t="shared" si="0"/>
        <v>0.98033411735647602</v>
      </c>
      <c r="E30" s="228">
        <f t="shared" si="4"/>
        <v>0.99731505735893478</v>
      </c>
      <c r="F30" s="216">
        <f t="shared" si="5"/>
        <v>63967</v>
      </c>
      <c r="G30" s="227">
        <f t="shared" si="1"/>
        <v>1.3864577237358302</v>
      </c>
      <c r="H30" s="228">
        <f t="shared" si="6"/>
        <v>0.88806053033458277</v>
      </c>
      <c r="I30" s="217">
        <f t="shared" si="7"/>
        <v>4057144</v>
      </c>
      <c r="J30" s="227">
        <f t="shared" si="2"/>
        <v>1.2870524800259369</v>
      </c>
      <c r="K30" s="228">
        <f t="shared" si="8"/>
        <v>1.0218273412351506</v>
      </c>
    </row>
    <row r="31" spans="1:25" ht="13.5" customHeight="1" x14ac:dyDescent="0.2">
      <c r="B31" s="204">
        <f t="shared" ref="B31:C31" si="15">B14</f>
        <v>2023</v>
      </c>
      <c r="C31" s="217">
        <f t="shared" si="15"/>
        <v>9592185.5</v>
      </c>
      <c r="D31" s="227">
        <f t="shared" si="0"/>
        <v>0.9790187139809069</v>
      </c>
      <c r="E31" s="228">
        <f t="shared" si="4"/>
        <v>0.99865820912250181</v>
      </c>
      <c r="F31" s="216">
        <f t="shared" si="5"/>
        <v>50139</v>
      </c>
      <c r="G31" s="227">
        <f t="shared" si="1"/>
        <v>1.0867416607061577</v>
      </c>
      <c r="H31" s="228">
        <f t="shared" si="6"/>
        <v>0.78382603529945127</v>
      </c>
      <c r="I31" s="217">
        <f t="shared" si="7"/>
        <v>4131390</v>
      </c>
      <c r="J31" s="227">
        <f t="shared" si="2"/>
        <v>1.3106056244132216</v>
      </c>
      <c r="K31" s="228">
        <f t="shared" si="8"/>
        <v>1.0183000652675873</v>
      </c>
    </row>
    <row r="32" spans="1:25" ht="13.5" customHeight="1" x14ac:dyDescent="0.2">
      <c r="B32" s="204">
        <f t="shared" ref="B32:C32" si="16">B15</f>
        <v>2024</v>
      </c>
      <c r="C32" s="217">
        <f t="shared" si="16"/>
        <v>9562064.5</v>
      </c>
      <c r="D32" s="227">
        <f t="shared" si="0"/>
        <v>0.97594443829224142</v>
      </c>
      <c r="E32" s="228">
        <f t="shared" si="4"/>
        <v>0.99685983971014736</v>
      </c>
      <c r="F32" s="216">
        <f t="shared" si="5"/>
        <v>46561</v>
      </c>
      <c r="G32" s="227">
        <f t="shared" si="1"/>
        <v>1.0091900210243405</v>
      </c>
      <c r="H32" s="228">
        <f t="shared" si="6"/>
        <v>0.92863838528889686</v>
      </c>
      <c r="I32" s="217">
        <f t="shared" si="7"/>
        <v>4215859</v>
      </c>
      <c r="J32" s="227">
        <f t="shared" si="2"/>
        <v>1.3374018229053901</v>
      </c>
      <c r="K32" s="228">
        <f t="shared" si="8"/>
        <v>1.0204456611455224</v>
      </c>
    </row>
    <row r="33" spans="2:14" ht="13.5" customHeight="1" x14ac:dyDescent="0.2">
      <c r="B33" s="204">
        <f t="shared" ref="B33:C33" si="17">B16</f>
        <v>2025</v>
      </c>
      <c r="C33" s="217">
        <f t="shared" si="17"/>
        <v>9513965</v>
      </c>
      <c r="D33" s="227">
        <f t="shared" si="0"/>
        <v>0.97103520143134825</v>
      </c>
      <c r="E33" s="228">
        <f t="shared" si="4"/>
        <v>0.99496975783838315</v>
      </c>
      <c r="F33" s="216">
        <f t="shared" si="5"/>
        <v>46582</v>
      </c>
      <c r="G33" s="227">
        <f t="shared" si="1"/>
        <v>1.0096451871599801</v>
      </c>
      <c r="H33" s="228">
        <f t="shared" si="6"/>
        <v>1.0004510212409528</v>
      </c>
      <c r="I33" s="217">
        <f t="shared" si="7"/>
        <v>4318915</v>
      </c>
      <c r="J33" s="227">
        <f t="shared" si="2"/>
        <v>1.3700943968888506</v>
      </c>
      <c r="K33" s="228">
        <f t="shared" si="8"/>
        <v>1.0244448403041941</v>
      </c>
    </row>
    <row r="34" spans="2:14" ht="13.5" customHeight="1" thickBot="1" x14ac:dyDescent="0.25">
      <c r="B34" s="218"/>
      <c r="C34" s="219"/>
      <c r="D34" s="220"/>
      <c r="E34" s="210"/>
      <c r="F34" s="209"/>
      <c r="G34" s="210"/>
      <c r="H34" s="211"/>
      <c r="I34" s="210"/>
      <c r="J34" s="210"/>
      <c r="K34" s="211"/>
      <c r="L34" s="209"/>
      <c r="M34" s="212"/>
      <c r="N34" s="212"/>
    </row>
    <row r="35" spans="2:14" ht="13.5" customHeight="1" x14ac:dyDescent="0.2">
      <c r="B35" s="324" t="s">
        <v>52</v>
      </c>
      <c r="C35" s="325" t="s">
        <v>55</v>
      </c>
      <c r="D35" s="326" t="s">
        <v>54</v>
      </c>
      <c r="E35" s="213"/>
    </row>
    <row r="36" spans="2:14" ht="13.5" customHeight="1" thickBot="1" x14ac:dyDescent="0.25">
      <c r="B36" s="317"/>
      <c r="C36" s="319"/>
      <c r="D36" s="327"/>
      <c r="E36" s="213"/>
    </row>
    <row r="37" spans="2:14" ht="13.5" customHeight="1" x14ac:dyDescent="0.2">
      <c r="B37" s="221">
        <f>B6</f>
        <v>2015</v>
      </c>
      <c r="C37" s="222"/>
      <c r="D37" s="222"/>
    </row>
    <row r="38" spans="2:14" ht="13.5" customHeight="1" x14ac:dyDescent="0.2">
      <c r="B38" s="204">
        <f t="shared" ref="B38:B47" si="18">B7</f>
        <v>2016</v>
      </c>
      <c r="C38" s="230">
        <f t="shared" ref="C38:C47" si="19">D24/D23</f>
        <v>0.99612150946824041</v>
      </c>
      <c r="D38" s="230">
        <f>PRODUCT($E$24:E24)</f>
        <v>0.99612150946824041</v>
      </c>
    </row>
    <row r="39" spans="2:14" ht="13.5" customHeight="1" x14ac:dyDescent="0.2">
      <c r="B39" s="204">
        <f t="shared" si="18"/>
        <v>2017</v>
      </c>
      <c r="C39" s="230">
        <f t="shared" si="19"/>
        <v>0.99661892110093553</v>
      </c>
      <c r="D39" s="230">
        <f>PRODUCT($E$24:E25)</f>
        <v>0.99275354405167304</v>
      </c>
    </row>
    <row r="40" spans="2:14" ht="13.5" customHeight="1" x14ac:dyDescent="0.2">
      <c r="B40" s="204">
        <f t="shared" si="18"/>
        <v>2018</v>
      </c>
      <c r="C40" s="230">
        <f t="shared" si="19"/>
        <v>0.99796514891501342</v>
      </c>
      <c r="D40" s="230">
        <f>PRODUCT($E$24:E26)</f>
        <v>0.99073343842543526</v>
      </c>
    </row>
    <row r="41" spans="2:14" ht="13.5" customHeight="1" x14ac:dyDescent="0.2">
      <c r="B41" s="204">
        <f t="shared" si="18"/>
        <v>2019</v>
      </c>
      <c r="C41" s="230">
        <f t="shared" si="19"/>
        <v>0.99874940294150683</v>
      </c>
      <c r="D41" s="230">
        <f>PRODUCT($E$24:E27)</f>
        <v>0.98949443010158966</v>
      </c>
    </row>
    <row r="42" spans="2:14" ht="13.5" customHeight="1" x14ac:dyDescent="0.2">
      <c r="B42" s="204">
        <f t="shared" si="18"/>
        <v>2020</v>
      </c>
      <c r="C42" s="230">
        <f t="shared" si="19"/>
        <v>0.99748262578051972</v>
      </c>
      <c r="D42" s="230">
        <f>PRODUCT($E$24:E28)</f>
        <v>0.98700350233293244</v>
      </c>
    </row>
    <row r="43" spans="2:14" ht="13.5" customHeight="1" x14ac:dyDescent="0.2">
      <c r="B43" s="204">
        <f t="shared" si="18"/>
        <v>2021</v>
      </c>
      <c r="C43" s="230">
        <f t="shared" si="19"/>
        <v>0.99591677443949289</v>
      </c>
      <c r="D43" s="230">
        <f>PRODUCT($E$24:E29)</f>
        <v>0.98297334440389672</v>
      </c>
    </row>
    <row r="44" spans="2:14" ht="13.5" customHeight="1" x14ac:dyDescent="0.2">
      <c r="B44" s="204">
        <f t="shared" si="18"/>
        <v>2022</v>
      </c>
      <c r="C44" s="230">
        <f t="shared" si="19"/>
        <v>0.99731505735893466</v>
      </c>
      <c r="D44" s="230">
        <f>PRODUCT($E$24:E30)</f>
        <v>0.98033411735647624</v>
      </c>
    </row>
    <row r="45" spans="2:14" ht="13.5" customHeight="1" x14ac:dyDescent="0.2">
      <c r="B45" s="204">
        <f t="shared" si="18"/>
        <v>2023</v>
      </c>
      <c r="C45" s="230">
        <f t="shared" si="19"/>
        <v>0.99865820912250181</v>
      </c>
      <c r="D45" s="230">
        <f>PRODUCT($E$24:E31)</f>
        <v>0.97901871398090712</v>
      </c>
    </row>
    <row r="46" spans="2:14" ht="13.5" customHeight="1" x14ac:dyDescent="0.2">
      <c r="B46" s="204">
        <f t="shared" si="18"/>
        <v>2024</v>
      </c>
      <c r="C46" s="230">
        <f t="shared" si="19"/>
        <v>0.99685983971014736</v>
      </c>
      <c r="D46" s="230">
        <f>PRODUCT($E$24:E32)</f>
        <v>0.97594443829224164</v>
      </c>
    </row>
    <row r="47" spans="2:14" ht="13.5" customHeight="1" x14ac:dyDescent="0.2">
      <c r="B47" s="204">
        <f t="shared" si="18"/>
        <v>2025</v>
      </c>
      <c r="C47" s="230">
        <f t="shared" si="19"/>
        <v>0.99496975783838304</v>
      </c>
      <c r="D47" s="230">
        <f>PRODUCT($E$24:E33)</f>
        <v>0.97103520143134858</v>
      </c>
    </row>
    <row r="48" spans="2:14" ht="13.5" customHeight="1" thickBot="1" x14ac:dyDescent="0.25">
      <c r="B48" s="198"/>
      <c r="C48" s="209"/>
      <c r="D48" s="209"/>
      <c r="E48" s="210"/>
      <c r="F48" s="211"/>
      <c r="G48" s="210"/>
      <c r="H48" s="210"/>
      <c r="I48" s="211"/>
      <c r="J48" s="209"/>
      <c r="K48" s="212"/>
      <c r="L48" s="212"/>
    </row>
    <row r="49" spans="1:9" ht="13.5" customHeight="1" x14ac:dyDescent="0.2">
      <c r="A49" s="30" t="s">
        <v>53</v>
      </c>
      <c r="B49" s="316" t="s">
        <v>52</v>
      </c>
      <c r="C49" s="318" t="s">
        <v>675</v>
      </c>
      <c r="D49" s="320" t="s">
        <v>674</v>
      </c>
      <c r="E49" s="320"/>
      <c r="F49" s="320" t="s">
        <v>674</v>
      </c>
      <c r="G49" s="321"/>
    </row>
    <row r="50" spans="1:9" ht="13.5" customHeight="1" thickBot="1" x14ac:dyDescent="0.25">
      <c r="B50" s="317"/>
      <c r="C50" s="319"/>
      <c r="D50" s="214" t="s">
        <v>6414</v>
      </c>
      <c r="E50" s="214" t="s">
        <v>48</v>
      </c>
      <c r="F50" s="214" t="s">
        <v>6414</v>
      </c>
      <c r="G50" s="215" t="s">
        <v>48</v>
      </c>
      <c r="H50" s="223"/>
      <c r="I50" s="223"/>
    </row>
    <row r="51" spans="1:9" ht="13.5" customHeight="1" x14ac:dyDescent="0.2">
      <c r="B51" s="201">
        <f>B6</f>
        <v>2015</v>
      </c>
      <c r="C51" s="203">
        <f>F23/C23*1000</f>
        <v>4.7089358735751201</v>
      </c>
      <c r="D51" s="227">
        <f t="shared" ref="D51:D61" si="20">C51/$C$51</f>
        <v>1</v>
      </c>
      <c r="E51" s="227"/>
      <c r="F51" s="227">
        <f t="shared" ref="F51:G61" si="21">G23/D23</f>
        <v>1</v>
      </c>
      <c r="G51" s="227"/>
      <c r="H51" s="224"/>
    </row>
    <row r="52" spans="1:9" ht="13.5" customHeight="1" x14ac:dyDescent="0.2">
      <c r="B52" s="204">
        <f t="shared" ref="B52:B61" si="22">B7</f>
        <v>2016</v>
      </c>
      <c r="C52" s="206">
        <f t="shared" ref="C52:C61" si="23">F24/C24*1000</f>
        <v>5.3080228606160125</v>
      </c>
      <c r="D52" s="227">
        <f t="shared" si="20"/>
        <v>1.1272234328784889</v>
      </c>
      <c r="E52" s="228">
        <f t="shared" ref="E52:E61" si="24">C52/C51</f>
        <v>1.1272234328784889</v>
      </c>
      <c r="F52" s="227">
        <f t="shared" si="21"/>
        <v>1.1272234328784889</v>
      </c>
      <c r="G52" s="228">
        <f t="shared" si="21"/>
        <v>1.1272234328784889</v>
      </c>
      <c r="H52" s="224"/>
      <c r="I52" s="225"/>
    </row>
    <row r="53" spans="1:9" ht="13.5" customHeight="1" x14ac:dyDescent="0.2">
      <c r="B53" s="204">
        <f t="shared" si="22"/>
        <v>2017</v>
      </c>
      <c r="C53" s="206">
        <f t="shared" si="23"/>
        <v>5.1992668470351262</v>
      </c>
      <c r="D53" s="227">
        <f t="shared" si="20"/>
        <v>1.1041277661502187</v>
      </c>
      <c r="E53" s="228">
        <f t="shared" si="24"/>
        <v>0.97951101258665929</v>
      </c>
      <c r="F53" s="227">
        <f t="shared" si="21"/>
        <v>1.1041277661502189</v>
      </c>
      <c r="G53" s="228">
        <f t="shared" si="21"/>
        <v>0.97951101258665929</v>
      </c>
      <c r="H53" s="224"/>
      <c r="I53" s="225"/>
    </row>
    <row r="54" spans="1:9" ht="13.5" customHeight="1" x14ac:dyDescent="0.2">
      <c r="B54" s="204">
        <f t="shared" si="22"/>
        <v>2018</v>
      </c>
      <c r="C54" s="206">
        <f t="shared" si="23"/>
        <v>5.2362409727820651</v>
      </c>
      <c r="D54" s="227">
        <f t="shared" si="20"/>
        <v>1.1119796729800451</v>
      </c>
      <c r="E54" s="228">
        <f t="shared" si="24"/>
        <v>1.0071114114421773</v>
      </c>
      <c r="F54" s="227">
        <f t="shared" si="21"/>
        <v>1.1119796729800451</v>
      </c>
      <c r="G54" s="228">
        <f t="shared" si="21"/>
        <v>1.0071114114421773</v>
      </c>
      <c r="H54" s="224"/>
      <c r="I54" s="225"/>
    </row>
    <row r="55" spans="1:9" ht="13.5" customHeight="1" x14ac:dyDescent="0.2">
      <c r="B55" s="204">
        <f t="shared" si="22"/>
        <v>2019</v>
      </c>
      <c r="C55" s="206">
        <f t="shared" si="23"/>
        <v>6.7322521791009304</v>
      </c>
      <c r="D55" s="227">
        <f t="shared" si="20"/>
        <v>1.4296759097697518</v>
      </c>
      <c r="E55" s="228">
        <f t="shared" si="24"/>
        <v>1.2857032772355432</v>
      </c>
      <c r="F55" s="227">
        <f t="shared" si="21"/>
        <v>1.4296759097697518</v>
      </c>
      <c r="G55" s="228">
        <f t="shared" si="21"/>
        <v>1.2857032772355432</v>
      </c>
      <c r="H55" s="224"/>
      <c r="I55" s="225"/>
    </row>
    <row r="56" spans="1:9" ht="13.5" customHeight="1" x14ac:dyDescent="0.2">
      <c r="B56" s="204">
        <f t="shared" si="22"/>
        <v>2020</v>
      </c>
      <c r="C56" s="206">
        <f t="shared" si="23"/>
        <v>6.9381692219421529</v>
      </c>
      <c r="D56" s="227">
        <f t="shared" si="20"/>
        <v>1.4734049068021293</v>
      </c>
      <c r="E56" s="228">
        <f t="shared" si="24"/>
        <v>1.0305866502565746</v>
      </c>
      <c r="F56" s="227">
        <f t="shared" si="21"/>
        <v>1.4734049068021291</v>
      </c>
      <c r="G56" s="228">
        <f t="shared" si="21"/>
        <v>1.0305866502565746</v>
      </c>
      <c r="H56" s="224"/>
      <c r="I56" s="225"/>
    </row>
    <row r="57" spans="1:9" ht="13.5" customHeight="1" x14ac:dyDescent="0.2">
      <c r="B57" s="204">
        <f t="shared" si="22"/>
        <v>2021</v>
      </c>
      <c r="C57" s="206">
        <f t="shared" si="23"/>
        <v>7.479026951908704</v>
      </c>
      <c r="D57" s="227">
        <f t="shared" si="20"/>
        <v>1.5882626463185352</v>
      </c>
      <c r="E57" s="228">
        <f t="shared" si="24"/>
        <v>1.077953954806417</v>
      </c>
      <c r="F57" s="227">
        <f t="shared" si="21"/>
        <v>1.5882626463185354</v>
      </c>
      <c r="G57" s="228">
        <f t="shared" si="21"/>
        <v>1.0779539548064168</v>
      </c>
      <c r="H57" s="224"/>
      <c r="I57" s="225"/>
    </row>
    <row r="58" spans="1:9" ht="13.5" customHeight="1" x14ac:dyDescent="0.2">
      <c r="B58" s="204">
        <f t="shared" si="22"/>
        <v>2022</v>
      </c>
      <c r="C58" s="206">
        <f t="shared" si="23"/>
        <v>6.6597095795258623</v>
      </c>
      <c r="D58" s="227">
        <f t="shared" si="20"/>
        <v>1.414270603449453</v>
      </c>
      <c r="E58" s="228">
        <f t="shared" si="24"/>
        <v>0.89045134111012314</v>
      </c>
      <c r="F58" s="227">
        <f t="shared" si="21"/>
        <v>1.414270603449453</v>
      </c>
      <c r="G58" s="228">
        <f t="shared" si="21"/>
        <v>0.89045134111012303</v>
      </c>
      <c r="H58" s="224"/>
      <c r="I58" s="225"/>
    </row>
    <row r="59" spans="1:9" ht="13.5" customHeight="1" x14ac:dyDescent="0.2">
      <c r="B59" s="204">
        <f t="shared" si="22"/>
        <v>2023</v>
      </c>
      <c r="C59" s="206">
        <f t="shared" si="23"/>
        <v>5.2270673873018829</v>
      </c>
      <c r="D59" s="227">
        <f t="shared" si="20"/>
        <v>1.1100315501500739</v>
      </c>
      <c r="E59" s="228">
        <f t="shared" si="24"/>
        <v>0.78487917902180104</v>
      </c>
      <c r="F59" s="227">
        <f t="shared" si="21"/>
        <v>1.1100315501500737</v>
      </c>
      <c r="G59" s="228">
        <f t="shared" si="21"/>
        <v>0.78487917902180104</v>
      </c>
      <c r="H59" s="224"/>
      <c r="I59" s="225"/>
    </row>
    <row r="60" spans="1:9" ht="13.5" customHeight="1" x14ac:dyDescent="0.2">
      <c r="B60" s="204">
        <f t="shared" si="22"/>
        <v>2024</v>
      </c>
      <c r="C60" s="206">
        <f t="shared" si="23"/>
        <v>4.8693459451146772</v>
      </c>
      <c r="D60" s="227">
        <f t="shared" si="20"/>
        <v>1.0340650363152579</v>
      </c>
      <c r="E60" s="228">
        <f t="shared" si="24"/>
        <v>0.93156364445267748</v>
      </c>
      <c r="F60" s="227">
        <f t="shared" si="21"/>
        <v>1.0340650363152579</v>
      </c>
      <c r="G60" s="228">
        <f t="shared" si="21"/>
        <v>0.93156364445267759</v>
      </c>
      <c r="H60" s="224"/>
      <c r="I60" s="225"/>
    </row>
    <row r="61" spans="1:9" ht="13.5" customHeight="1" x14ac:dyDescent="0.2">
      <c r="B61" s="204">
        <f t="shared" si="22"/>
        <v>2025</v>
      </c>
      <c r="C61" s="206">
        <f t="shared" si="23"/>
        <v>4.8961710496097055</v>
      </c>
      <c r="D61" s="227">
        <f t="shared" si="20"/>
        <v>1.0397616746248941</v>
      </c>
      <c r="E61" s="228">
        <f t="shared" si="24"/>
        <v>1.0055089748802797</v>
      </c>
      <c r="F61" s="227">
        <f t="shared" si="21"/>
        <v>1.0397616746248941</v>
      </c>
      <c r="G61" s="228">
        <f t="shared" si="21"/>
        <v>1.0055089748802797</v>
      </c>
      <c r="H61" s="224"/>
      <c r="I61" s="225"/>
    </row>
    <row r="62" spans="1:9" ht="13.5" customHeight="1" thickBot="1" x14ac:dyDescent="0.25"/>
    <row r="63" spans="1:9" ht="13.5" customHeight="1" x14ac:dyDescent="0.2">
      <c r="B63" s="316" t="s">
        <v>52</v>
      </c>
      <c r="C63" s="318" t="s">
        <v>673</v>
      </c>
      <c r="D63" s="320" t="s">
        <v>672</v>
      </c>
      <c r="E63" s="320"/>
      <c r="F63" s="320" t="s">
        <v>672</v>
      </c>
      <c r="G63" s="321"/>
    </row>
    <row r="64" spans="1:9" ht="13.5" customHeight="1" thickBot="1" x14ac:dyDescent="0.25">
      <c r="B64" s="317"/>
      <c r="C64" s="319"/>
      <c r="D64" s="214" t="s">
        <v>6414</v>
      </c>
      <c r="E64" s="214" t="s">
        <v>48</v>
      </c>
      <c r="F64" s="214" t="s">
        <v>6414</v>
      </c>
      <c r="G64" s="215" t="s">
        <v>48</v>
      </c>
    </row>
    <row r="65" spans="2:7" ht="13.5" customHeight="1" x14ac:dyDescent="0.2">
      <c r="B65" s="201">
        <f>B6</f>
        <v>2015</v>
      </c>
      <c r="C65" s="203">
        <f>I23/C23*1000</f>
        <v>321.73446876350761</v>
      </c>
      <c r="D65" s="227">
        <f t="shared" ref="D65:D75" si="25">C65/$C$65</f>
        <v>1</v>
      </c>
      <c r="E65" s="227"/>
      <c r="F65" s="227">
        <f t="shared" ref="F65:F75" si="26">J23/D23</f>
        <v>1</v>
      </c>
      <c r="G65" s="227"/>
    </row>
    <row r="66" spans="2:7" ht="13.5" customHeight="1" x14ac:dyDescent="0.2">
      <c r="B66" s="204">
        <f t="shared" ref="B66:B75" si="27">B7</f>
        <v>2016</v>
      </c>
      <c r="C66" s="203">
        <f t="shared" ref="C66:C75" si="28">I24/C24*1000</f>
        <v>333.51566373928773</v>
      </c>
      <c r="D66" s="227">
        <f t="shared" si="25"/>
        <v>1.0366177581813278</v>
      </c>
      <c r="E66" s="228">
        <f t="shared" ref="E66:E75" si="29">C66/C65</f>
        <v>1.0366177581813278</v>
      </c>
      <c r="F66" s="227">
        <f t="shared" si="26"/>
        <v>1.0366177581813281</v>
      </c>
      <c r="G66" s="228">
        <f t="shared" ref="G66:G75" si="30">K24/E24</f>
        <v>1.0366177581813281</v>
      </c>
    </row>
    <row r="67" spans="2:7" ht="13.5" customHeight="1" x14ac:dyDescent="0.2">
      <c r="B67" s="204">
        <f t="shared" si="27"/>
        <v>2017</v>
      </c>
      <c r="C67" s="203">
        <f t="shared" si="28"/>
        <v>348.79064510305392</v>
      </c>
      <c r="D67" s="227">
        <f t="shared" si="25"/>
        <v>1.0840947395022014</v>
      </c>
      <c r="E67" s="228">
        <f t="shared" si="29"/>
        <v>1.0457998919526215</v>
      </c>
      <c r="F67" s="227">
        <f t="shared" si="26"/>
        <v>1.0840947395022014</v>
      </c>
      <c r="G67" s="228">
        <f t="shared" si="30"/>
        <v>1.0457998919526212</v>
      </c>
    </row>
    <row r="68" spans="2:7" ht="13.5" customHeight="1" x14ac:dyDescent="0.2">
      <c r="B68" s="204">
        <f t="shared" si="27"/>
        <v>2018</v>
      </c>
      <c r="C68" s="203">
        <f t="shared" si="28"/>
        <v>366.42869832569164</v>
      </c>
      <c r="D68" s="227">
        <f t="shared" si="25"/>
        <v>1.1389165100461671</v>
      </c>
      <c r="E68" s="228">
        <f t="shared" si="29"/>
        <v>1.0505691694151555</v>
      </c>
      <c r="F68" s="227">
        <f t="shared" si="26"/>
        <v>1.1389165100461671</v>
      </c>
      <c r="G68" s="228">
        <f t="shared" si="30"/>
        <v>1.0505691694151555</v>
      </c>
    </row>
    <row r="69" spans="2:7" ht="13.5" customHeight="1" x14ac:dyDescent="0.2">
      <c r="B69" s="204">
        <f t="shared" si="27"/>
        <v>2019</v>
      </c>
      <c r="C69" s="203">
        <f t="shared" si="28"/>
        <v>384.42348205599194</v>
      </c>
      <c r="D69" s="227">
        <f t="shared" si="25"/>
        <v>1.194847053638397</v>
      </c>
      <c r="E69" s="228">
        <f t="shared" si="29"/>
        <v>1.0491085545769836</v>
      </c>
      <c r="F69" s="227">
        <f t="shared" si="26"/>
        <v>1.1948470536383973</v>
      </c>
      <c r="G69" s="228">
        <f t="shared" si="30"/>
        <v>1.0491085545769836</v>
      </c>
    </row>
    <row r="70" spans="2:7" ht="13.5" customHeight="1" x14ac:dyDescent="0.2">
      <c r="B70" s="204">
        <f t="shared" si="27"/>
        <v>2020</v>
      </c>
      <c r="C70" s="203">
        <f t="shared" si="28"/>
        <v>399.81785690040198</v>
      </c>
      <c r="D70" s="227">
        <f t="shared" si="25"/>
        <v>1.2426951281812764</v>
      </c>
      <c r="E70" s="228">
        <f t="shared" si="29"/>
        <v>1.0400453550914142</v>
      </c>
      <c r="F70" s="227">
        <f t="shared" si="26"/>
        <v>1.2426951281812766</v>
      </c>
      <c r="G70" s="228">
        <f t="shared" si="30"/>
        <v>1.0400453550914142</v>
      </c>
    </row>
    <row r="71" spans="2:7" ht="13.5" customHeight="1" x14ac:dyDescent="0.2">
      <c r="B71" s="204">
        <f t="shared" si="27"/>
        <v>2021</v>
      </c>
      <c r="C71" s="203">
        <f t="shared" si="28"/>
        <v>412.26321606257835</v>
      </c>
      <c r="D71" s="227">
        <f t="shared" si="25"/>
        <v>1.2813772103654033</v>
      </c>
      <c r="E71" s="228">
        <f t="shared" si="29"/>
        <v>1.031127572086598</v>
      </c>
      <c r="F71" s="227">
        <f t="shared" si="26"/>
        <v>1.2813772103654035</v>
      </c>
      <c r="G71" s="228">
        <f t="shared" si="30"/>
        <v>1.031127572086598</v>
      </c>
    </row>
    <row r="72" spans="2:7" ht="13.5" customHeight="1" x14ac:dyDescent="0.2">
      <c r="B72" s="204">
        <f t="shared" si="27"/>
        <v>2022</v>
      </c>
      <c r="C72" s="203">
        <f t="shared" si="28"/>
        <v>422.39593481507455</v>
      </c>
      <c r="D72" s="227">
        <f t="shared" si="25"/>
        <v>1.3128712519937011</v>
      </c>
      <c r="E72" s="228">
        <f t="shared" si="29"/>
        <v>1.0245782751351702</v>
      </c>
      <c r="F72" s="227">
        <f t="shared" si="26"/>
        <v>1.3128712519937014</v>
      </c>
      <c r="G72" s="228">
        <f t="shared" si="30"/>
        <v>1.0245782751351702</v>
      </c>
    </row>
    <row r="73" spans="2:7" ht="13.5" customHeight="1" x14ac:dyDescent="0.2">
      <c r="B73" s="204">
        <f t="shared" si="27"/>
        <v>2023</v>
      </c>
      <c r="C73" s="203">
        <f t="shared" si="28"/>
        <v>430.70372231646269</v>
      </c>
      <c r="D73" s="227">
        <f t="shared" si="25"/>
        <v>1.3386931278198029</v>
      </c>
      <c r="E73" s="228">
        <f t="shared" si="29"/>
        <v>1.019668246819244</v>
      </c>
      <c r="F73" s="227">
        <f t="shared" si="26"/>
        <v>1.3386931278198033</v>
      </c>
      <c r="G73" s="228">
        <f t="shared" si="30"/>
        <v>1.019668246819244</v>
      </c>
    </row>
    <row r="74" spans="2:7" ht="13.5" customHeight="1" x14ac:dyDescent="0.2">
      <c r="B74" s="204">
        <f t="shared" si="27"/>
        <v>2024</v>
      </c>
      <c r="C74" s="203">
        <f t="shared" si="28"/>
        <v>440.89422320880601</v>
      </c>
      <c r="D74" s="227">
        <f t="shared" si="25"/>
        <v>1.3703667651876223</v>
      </c>
      <c r="E74" s="228">
        <f t="shared" si="29"/>
        <v>1.0236601179983669</v>
      </c>
      <c r="F74" s="227">
        <f t="shared" si="26"/>
        <v>1.3703667651876226</v>
      </c>
      <c r="G74" s="228">
        <f t="shared" si="30"/>
        <v>1.0236601179983666</v>
      </c>
    </row>
    <row r="75" spans="2:7" ht="13.5" customHeight="1" x14ac:dyDescent="0.2">
      <c r="B75" s="204">
        <f t="shared" si="27"/>
        <v>2025</v>
      </c>
      <c r="C75" s="203">
        <f t="shared" si="28"/>
        <v>453.95531726257138</v>
      </c>
      <c r="D75" s="227">
        <f t="shared" si="25"/>
        <v>1.4109626457097244</v>
      </c>
      <c r="E75" s="228">
        <f t="shared" si="29"/>
        <v>1.0296240988568808</v>
      </c>
      <c r="F75" s="227">
        <f t="shared" si="26"/>
        <v>1.4109626457097246</v>
      </c>
      <c r="G75" s="228">
        <f t="shared" si="30"/>
        <v>1.0296240988568808</v>
      </c>
    </row>
    <row r="76" spans="2:7" ht="13.5" thickBot="1" x14ac:dyDescent="0.25"/>
    <row r="77" spans="2:7" x14ac:dyDescent="0.2">
      <c r="B77" s="307" t="s">
        <v>6415</v>
      </c>
      <c r="C77" s="308"/>
      <c r="D77" s="308"/>
      <c r="E77" s="308"/>
      <c r="F77" s="308"/>
      <c r="G77" s="309"/>
    </row>
    <row r="78" spans="2:7" x14ac:dyDescent="0.2">
      <c r="B78" s="310"/>
      <c r="C78" s="311"/>
      <c r="D78" s="311"/>
      <c r="E78" s="311"/>
      <c r="F78" s="311"/>
      <c r="G78" s="312"/>
    </row>
    <row r="79" spans="2:7" x14ac:dyDescent="0.2">
      <c r="B79" s="310"/>
      <c r="C79" s="311"/>
      <c r="D79" s="311"/>
      <c r="E79" s="311"/>
      <c r="F79" s="311"/>
      <c r="G79" s="312"/>
    </row>
    <row r="80" spans="2:7" x14ac:dyDescent="0.2">
      <c r="B80" s="310"/>
      <c r="C80" s="311"/>
      <c r="D80" s="311"/>
      <c r="E80" s="311"/>
      <c r="F80" s="311"/>
      <c r="G80" s="312"/>
    </row>
    <row r="81" spans="2:7" x14ac:dyDescent="0.2">
      <c r="B81" s="310"/>
      <c r="C81" s="311"/>
      <c r="D81" s="311"/>
      <c r="E81" s="311"/>
      <c r="F81" s="311"/>
      <c r="G81" s="312"/>
    </row>
    <row r="82" spans="2:7" x14ac:dyDescent="0.2">
      <c r="B82" s="310"/>
      <c r="C82" s="311"/>
      <c r="D82" s="311"/>
      <c r="E82" s="311"/>
      <c r="F82" s="311"/>
      <c r="G82" s="312"/>
    </row>
    <row r="83" spans="2:7" x14ac:dyDescent="0.2">
      <c r="B83" s="310"/>
      <c r="C83" s="311"/>
      <c r="D83" s="311"/>
      <c r="E83" s="311"/>
      <c r="F83" s="311"/>
      <c r="G83" s="312"/>
    </row>
    <row r="84" spans="2:7" x14ac:dyDescent="0.2">
      <c r="B84" s="310"/>
      <c r="C84" s="311"/>
      <c r="D84" s="311"/>
      <c r="E84" s="311"/>
      <c r="F84" s="311"/>
      <c r="G84" s="312"/>
    </row>
    <row r="85" spans="2:7" x14ac:dyDescent="0.2">
      <c r="B85" s="310"/>
      <c r="C85" s="311"/>
      <c r="D85" s="311"/>
      <c r="E85" s="311"/>
      <c r="F85" s="311"/>
      <c r="G85" s="312"/>
    </row>
    <row r="86" spans="2:7" x14ac:dyDescent="0.2">
      <c r="B86" s="310"/>
      <c r="C86" s="311"/>
      <c r="D86" s="311"/>
      <c r="E86" s="311"/>
      <c r="F86" s="311"/>
      <c r="G86" s="312"/>
    </row>
    <row r="87" spans="2:7" x14ac:dyDescent="0.2">
      <c r="B87" s="310"/>
      <c r="C87" s="311"/>
      <c r="D87" s="311"/>
      <c r="E87" s="311"/>
      <c r="F87" s="311"/>
      <c r="G87" s="312"/>
    </row>
    <row r="88" spans="2:7" ht="13.5" thickBot="1" x14ac:dyDescent="0.25">
      <c r="B88" s="313"/>
      <c r="C88" s="314"/>
      <c r="D88" s="314"/>
      <c r="E88" s="314"/>
      <c r="F88" s="314"/>
      <c r="G88" s="315"/>
    </row>
    <row r="89" spans="2:7" x14ac:dyDescent="0.2">
      <c r="B89" s="198"/>
      <c r="C89" s="209"/>
    </row>
    <row r="90" spans="2:7" x14ac:dyDescent="0.2">
      <c r="B90" s="198"/>
      <c r="C90" s="209"/>
    </row>
    <row r="104" spans="2:4" x14ac:dyDescent="0.2">
      <c r="B104" s="198"/>
      <c r="C104" s="226"/>
    </row>
    <row r="111" spans="2:4" x14ac:dyDescent="0.2">
      <c r="D111" s="226"/>
    </row>
    <row r="112" spans="2:4" x14ac:dyDescent="0.2">
      <c r="D112" s="226"/>
    </row>
    <row r="113" spans="4:4" x14ac:dyDescent="0.2">
      <c r="D113" s="226"/>
    </row>
    <row r="114" spans="4:4" x14ac:dyDescent="0.2">
      <c r="D114" s="226"/>
    </row>
    <row r="115" spans="4:4" x14ac:dyDescent="0.2">
      <c r="D115" s="226"/>
    </row>
    <row r="116" spans="4:4" x14ac:dyDescent="0.2">
      <c r="D116" s="226"/>
    </row>
    <row r="117" spans="4:4" x14ac:dyDescent="0.2">
      <c r="D117" s="226"/>
    </row>
    <row r="118" spans="4:4" x14ac:dyDescent="0.2">
      <c r="D118" s="226"/>
    </row>
    <row r="119" spans="4:4" x14ac:dyDescent="0.2">
      <c r="D119" s="226"/>
    </row>
    <row r="120" spans="4:4" x14ac:dyDescent="0.2">
      <c r="D120" s="226"/>
    </row>
  </sheetData>
  <mergeCells count="25">
    <mergeCell ref="B2:G2"/>
    <mergeCell ref="B4:B5"/>
    <mergeCell ref="C4:C5"/>
    <mergeCell ref="D4:D5"/>
    <mergeCell ref="E4:E5"/>
    <mergeCell ref="B18:G18"/>
    <mergeCell ref="B21:B22"/>
    <mergeCell ref="C21:C22"/>
    <mergeCell ref="D21:E21"/>
    <mergeCell ref="F21:F22"/>
    <mergeCell ref="G21:H21"/>
    <mergeCell ref="I21:I22"/>
    <mergeCell ref="J21:K21"/>
    <mergeCell ref="B35:B36"/>
    <mergeCell ref="C35:C36"/>
    <mergeCell ref="D35:D36"/>
    <mergeCell ref="B77:G88"/>
    <mergeCell ref="B49:B50"/>
    <mergeCell ref="C49:C50"/>
    <mergeCell ref="D49:E49"/>
    <mergeCell ref="F49:G49"/>
    <mergeCell ref="B63:B64"/>
    <mergeCell ref="C63:C64"/>
    <mergeCell ref="D63:E63"/>
    <mergeCell ref="F63:G63"/>
  </mergeCells>
  <pageMargins left="0.74803149606299213" right="0.74803149606299213" top="0.98425196850393704" bottom="0.98425196850393704" header="0.51181102362204722" footer="0.51181102362204722"/>
  <pageSetup paperSize="9" scale="35" orientation="portrait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1B167-0A6E-4365-AF52-9884CE6A51BD}">
  <sheetPr>
    <tabColor theme="0" tint="-0.499984740745262"/>
  </sheetPr>
  <dimension ref="B1:O117"/>
  <sheetViews>
    <sheetView workbookViewId="0"/>
  </sheetViews>
  <sheetFormatPr defaultColWidth="9.140625" defaultRowHeight="13.5" customHeight="1" x14ac:dyDescent="0.2"/>
  <cols>
    <col min="1" max="1" width="2.5703125" style="86" customWidth="1"/>
    <col min="2" max="2" width="11.85546875" style="87" customWidth="1"/>
    <col min="3" max="4" width="14.28515625" style="86" customWidth="1"/>
    <col min="5" max="13" width="11.85546875" style="86" customWidth="1"/>
    <col min="14" max="16384" width="9.140625" style="86"/>
  </cols>
  <sheetData>
    <row r="1" spans="2:15" s="32" customFormat="1" ht="13.5" customHeight="1" thickBot="1" x14ac:dyDescent="0.25">
      <c r="B1" s="33"/>
    </row>
    <row r="2" spans="2:15" s="32" customFormat="1" thickBot="1" x14ac:dyDescent="0.25">
      <c r="B2" s="290" t="s">
        <v>728</v>
      </c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2"/>
    </row>
    <row r="3" spans="2:15" s="32" customFormat="1" ht="13.5" customHeight="1" thickBot="1" x14ac:dyDescent="0.25">
      <c r="B3" s="33"/>
      <c r="C3" s="33"/>
      <c r="D3" s="33"/>
      <c r="E3" s="33"/>
      <c r="F3" s="33"/>
    </row>
    <row r="4" spans="2:15" s="32" customFormat="1" ht="13.9" customHeight="1" thickBot="1" x14ac:dyDescent="0.25">
      <c r="B4" s="290" t="s">
        <v>122</v>
      </c>
      <c r="C4" s="291"/>
      <c r="D4" s="291"/>
      <c r="E4" s="291"/>
      <c r="F4" s="291"/>
      <c r="G4" s="291"/>
      <c r="H4" s="291"/>
      <c r="I4" s="291"/>
      <c r="J4" s="291"/>
      <c r="K4" s="291"/>
      <c r="L4" s="291"/>
      <c r="M4" s="292"/>
    </row>
    <row r="5" spans="2:15" s="66" customFormat="1" ht="13.5" customHeight="1" thickBot="1" x14ac:dyDescent="0.25">
      <c r="B5" s="61"/>
      <c r="C5" s="67"/>
    </row>
    <row r="6" spans="2:15" s="32" customFormat="1" ht="13.5" customHeight="1" thickBot="1" x14ac:dyDescent="0.25">
      <c r="B6" s="33"/>
    </row>
    <row r="7" spans="2:15" s="32" customFormat="1" ht="13.5" customHeight="1" thickBot="1" x14ac:dyDescent="0.25">
      <c r="B7" s="347" t="s">
        <v>121</v>
      </c>
      <c r="C7" s="348"/>
      <c r="D7" s="349"/>
      <c r="F7" s="347" t="s">
        <v>62</v>
      </c>
      <c r="G7" s="348"/>
      <c r="H7" s="348"/>
      <c r="I7" s="348"/>
      <c r="J7" s="348"/>
      <c r="K7" s="348"/>
      <c r="L7" s="348"/>
      <c r="M7" s="349"/>
    </row>
    <row r="8" spans="2:15" s="32" customFormat="1" ht="6.75" customHeight="1" thickBot="1" x14ac:dyDescent="0.25">
      <c r="B8" s="33"/>
      <c r="F8" s="33"/>
    </row>
    <row r="9" spans="2:15" ht="12.75" x14ac:dyDescent="0.2">
      <c r="B9" s="350" t="s">
        <v>52</v>
      </c>
      <c r="C9" s="352" t="s">
        <v>120</v>
      </c>
      <c r="D9" s="354" t="s">
        <v>119</v>
      </c>
      <c r="F9" s="350" t="s">
        <v>52</v>
      </c>
      <c r="G9" s="345" t="s">
        <v>118</v>
      </c>
      <c r="H9" s="345"/>
      <c r="I9" s="345" t="s">
        <v>117</v>
      </c>
      <c r="J9" s="345"/>
      <c r="K9" s="345" t="s">
        <v>116</v>
      </c>
      <c r="L9" s="345"/>
      <c r="M9" s="346"/>
    </row>
    <row r="10" spans="2:15" thickBot="1" x14ac:dyDescent="0.25">
      <c r="B10" s="351"/>
      <c r="C10" s="353"/>
      <c r="D10" s="355"/>
      <c r="F10" s="351" t="s">
        <v>52</v>
      </c>
      <c r="G10" s="93" t="s">
        <v>114</v>
      </c>
      <c r="H10" s="93" t="s">
        <v>113</v>
      </c>
      <c r="I10" s="93" t="s">
        <v>114</v>
      </c>
      <c r="J10" s="93" t="s">
        <v>113</v>
      </c>
      <c r="K10" s="93" t="s">
        <v>115</v>
      </c>
      <c r="L10" s="93" t="s">
        <v>114</v>
      </c>
      <c r="M10" s="92" t="s">
        <v>113</v>
      </c>
    </row>
    <row r="11" spans="2:15" ht="13.5" customHeight="1" x14ac:dyDescent="0.2">
      <c r="B11" s="51" t="s">
        <v>112</v>
      </c>
      <c r="C11" s="162">
        <v>10246</v>
      </c>
      <c r="D11" s="162">
        <v>142247</v>
      </c>
      <c r="F11" s="51" t="s">
        <v>112</v>
      </c>
      <c r="G11" s="90">
        <f>C11/C$11</f>
        <v>1</v>
      </c>
      <c r="H11" s="90"/>
      <c r="I11" s="90">
        <f>D11/D$11</f>
        <v>1</v>
      </c>
      <c r="J11" s="90"/>
      <c r="K11" s="91">
        <f>D11/C11</f>
        <v>13.883173921530354</v>
      </c>
      <c r="L11" s="90">
        <f>K11/K$11</f>
        <v>1</v>
      </c>
      <c r="M11" s="90"/>
      <c r="O11" s="163"/>
    </row>
    <row r="12" spans="2:15" ht="13.5" customHeight="1" x14ac:dyDescent="0.2">
      <c r="B12" s="164" t="s">
        <v>111</v>
      </c>
      <c r="C12" s="165">
        <v>10732</v>
      </c>
      <c r="D12" s="165">
        <v>154051</v>
      </c>
      <c r="F12" s="164" t="s">
        <v>111</v>
      </c>
      <c r="G12" s="90">
        <f t="shared" ref="G12:G44" si="0">C12/C$11</f>
        <v>1.0474331446418115</v>
      </c>
      <c r="H12" s="90">
        <f>C12/C11</f>
        <v>1.0474331446418115</v>
      </c>
      <c r="I12" s="90">
        <f t="shared" ref="I12:I44" si="1">D12/D$11</f>
        <v>1.0829824179068803</v>
      </c>
      <c r="J12" s="90">
        <f>D12/D11</f>
        <v>1.0829824179068803</v>
      </c>
      <c r="K12" s="91">
        <f t="shared" ref="K12:K44" si="2">D12/C12</f>
        <v>14.354360790160268</v>
      </c>
      <c r="L12" s="90">
        <f t="shared" ref="L12:L44" si="3">K12/K$11</f>
        <v>1.0339394198540715</v>
      </c>
      <c r="M12" s="90">
        <f>K12/K11</f>
        <v>1.0339394198540715</v>
      </c>
      <c r="O12" s="163"/>
    </row>
    <row r="13" spans="2:15" ht="13.5" customHeight="1" x14ac:dyDescent="0.2">
      <c r="B13" s="164" t="s">
        <v>110</v>
      </c>
      <c r="C13" s="165">
        <v>11290</v>
      </c>
      <c r="D13" s="165">
        <v>165314</v>
      </c>
      <c r="F13" s="164" t="s">
        <v>110</v>
      </c>
      <c r="G13" s="90">
        <f t="shared" si="0"/>
        <v>1.1018934218231504</v>
      </c>
      <c r="H13" s="90">
        <f t="shared" ref="H13:H44" si="4">C13/C12</f>
        <v>1.0519940365262765</v>
      </c>
      <c r="I13" s="90">
        <f t="shared" si="1"/>
        <v>1.1621615921601158</v>
      </c>
      <c r="J13" s="90">
        <f t="shared" ref="J13:J44" si="5">D13/D12</f>
        <v>1.0731121511707162</v>
      </c>
      <c r="K13" s="91">
        <f t="shared" si="2"/>
        <v>14.642515500442871</v>
      </c>
      <c r="L13" s="90">
        <f t="shared" si="3"/>
        <v>1.0546950994926969</v>
      </c>
      <c r="M13" s="90">
        <f t="shared" ref="M13:M44" si="6">K13/K12</f>
        <v>1.0200743672598873</v>
      </c>
      <c r="O13" s="163"/>
    </row>
    <row r="14" spans="2:15" ht="13.5" customHeight="1" x14ac:dyDescent="0.2">
      <c r="B14" s="164" t="s">
        <v>109</v>
      </c>
      <c r="C14" s="165">
        <v>11959</v>
      </c>
      <c r="D14" s="165">
        <v>172751</v>
      </c>
      <c r="F14" s="164" t="s">
        <v>109</v>
      </c>
      <c r="G14" s="90">
        <f t="shared" si="0"/>
        <v>1.167187195002928</v>
      </c>
      <c r="H14" s="90">
        <f t="shared" si="4"/>
        <v>1.0592559787422497</v>
      </c>
      <c r="I14" s="90">
        <f t="shared" si="1"/>
        <v>1.2144438898535646</v>
      </c>
      <c r="J14" s="90">
        <f t="shared" si="5"/>
        <v>1.0449871154288204</v>
      </c>
      <c r="K14" s="91">
        <f t="shared" si="2"/>
        <v>14.44527134375784</v>
      </c>
      <c r="L14" s="90">
        <f t="shared" si="3"/>
        <v>1.0404876741733944</v>
      </c>
      <c r="M14" s="90">
        <f t="shared" si="6"/>
        <v>0.98652935305555489</v>
      </c>
      <c r="O14" s="163"/>
    </row>
    <row r="15" spans="2:15" ht="13.5" customHeight="1" x14ac:dyDescent="0.2">
      <c r="B15" s="164" t="s">
        <v>108</v>
      </c>
      <c r="C15" s="165">
        <v>12578</v>
      </c>
      <c r="D15" s="165">
        <v>182448</v>
      </c>
      <c r="F15" s="164" t="s">
        <v>108</v>
      </c>
      <c r="G15" s="90">
        <f t="shared" si="0"/>
        <v>1.2276010150302556</v>
      </c>
      <c r="H15" s="90">
        <f t="shared" si="4"/>
        <v>1.0517601806171084</v>
      </c>
      <c r="I15" s="90">
        <f t="shared" si="1"/>
        <v>1.2826140445844201</v>
      </c>
      <c r="J15" s="90">
        <f t="shared" si="5"/>
        <v>1.0561328154395633</v>
      </c>
      <c r="K15" s="91">
        <f t="shared" si="2"/>
        <v>14.50532676101129</v>
      </c>
      <c r="L15" s="90">
        <f t="shared" si="3"/>
        <v>1.0448134441733159</v>
      </c>
      <c r="M15" s="90">
        <f t="shared" si="6"/>
        <v>1.0041574447322099</v>
      </c>
      <c r="O15" s="163"/>
    </row>
    <row r="16" spans="2:15" ht="13.5" customHeight="1" x14ac:dyDescent="0.2">
      <c r="B16" s="164" t="s">
        <v>107</v>
      </c>
      <c r="C16" s="165">
        <v>12912</v>
      </c>
      <c r="D16" s="165">
        <v>186671</v>
      </c>
      <c r="F16" s="164" t="s">
        <v>107</v>
      </c>
      <c r="G16" s="90">
        <f t="shared" si="0"/>
        <v>1.2601991020886198</v>
      </c>
      <c r="H16" s="90">
        <f t="shared" si="4"/>
        <v>1.026554301160757</v>
      </c>
      <c r="I16" s="90">
        <f t="shared" si="1"/>
        <v>1.3123018411636098</v>
      </c>
      <c r="J16" s="90">
        <f t="shared" si="5"/>
        <v>1.0231463211435587</v>
      </c>
      <c r="K16" s="91">
        <f t="shared" si="2"/>
        <v>14.457171623296158</v>
      </c>
      <c r="L16" s="90">
        <f t="shared" si="3"/>
        <v>1.0413448470076165</v>
      </c>
      <c r="M16" s="90">
        <f t="shared" si="6"/>
        <v>0.99668017559972744</v>
      </c>
      <c r="O16" s="163"/>
    </row>
    <row r="17" spans="2:15" ht="13.5" customHeight="1" x14ac:dyDescent="0.2">
      <c r="B17" s="164" t="s">
        <v>106</v>
      </c>
      <c r="C17" s="165">
        <v>13133</v>
      </c>
      <c r="D17" s="165">
        <v>189963</v>
      </c>
      <c r="F17" s="164" t="s">
        <v>106</v>
      </c>
      <c r="G17" s="90">
        <f t="shared" si="0"/>
        <v>1.2817684950224477</v>
      </c>
      <c r="H17" s="90">
        <f t="shared" si="4"/>
        <v>1.0171158612143743</v>
      </c>
      <c r="I17" s="90">
        <f t="shared" si="1"/>
        <v>1.3354446842464165</v>
      </c>
      <c r="J17" s="90">
        <f t="shared" si="5"/>
        <v>1.0176353048947078</v>
      </c>
      <c r="K17" s="91">
        <f t="shared" si="2"/>
        <v>14.464554937942587</v>
      </c>
      <c r="L17" s="90">
        <f t="shared" si="3"/>
        <v>1.0418766644931685</v>
      </c>
      <c r="M17" s="90">
        <f t="shared" si="6"/>
        <v>1.0005107025660906</v>
      </c>
      <c r="O17" s="163"/>
    </row>
    <row r="18" spans="2:15" ht="13.5" customHeight="1" x14ac:dyDescent="0.2">
      <c r="B18" s="164" t="s">
        <v>105</v>
      </c>
      <c r="C18" s="165">
        <v>13669</v>
      </c>
      <c r="D18" s="165">
        <v>194841</v>
      </c>
      <c r="F18" s="164" t="s">
        <v>105</v>
      </c>
      <c r="G18" s="90">
        <f t="shared" si="0"/>
        <v>1.3340815928167089</v>
      </c>
      <c r="H18" s="90">
        <f t="shared" si="4"/>
        <v>1.0408132186096093</v>
      </c>
      <c r="I18" s="90">
        <f t="shared" si="1"/>
        <v>1.3697371473563591</v>
      </c>
      <c r="J18" s="90">
        <f t="shared" si="5"/>
        <v>1.0256786847965129</v>
      </c>
      <c r="K18" s="91">
        <f t="shared" si="2"/>
        <v>14.254224888433683</v>
      </c>
      <c r="L18" s="90">
        <f t="shared" si="3"/>
        <v>1.0267266670431821</v>
      </c>
      <c r="M18" s="90">
        <f t="shared" si="6"/>
        <v>0.98545893389659855</v>
      </c>
      <c r="O18" s="163"/>
    </row>
    <row r="19" spans="2:15" ht="13.5" customHeight="1" x14ac:dyDescent="0.2">
      <c r="B19" s="164" t="s">
        <v>104</v>
      </c>
      <c r="C19" s="165">
        <v>14021</v>
      </c>
      <c r="D19" s="165">
        <v>201802</v>
      </c>
      <c r="F19" s="164" t="s">
        <v>104</v>
      </c>
      <c r="G19" s="90">
        <f t="shared" si="0"/>
        <v>1.368436463009955</v>
      </c>
      <c r="H19" s="90">
        <f t="shared" si="4"/>
        <v>1.0257517009291097</v>
      </c>
      <c r="I19" s="90">
        <f t="shared" si="1"/>
        <v>1.4186731530366194</v>
      </c>
      <c r="J19" s="90">
        <f t="shared" si="5"/>
        <v>1.0357265667903572</v>
      </c>
      <c r="K19" s="91">
        <f t="shared" si="2"/>
        <v>14.392839312459882</v>
      </c>
      <c r="L19" s="90">
        <f t="shared" si="3"/>
        <v>1.0367110139086515</v>
      </c>
      <c r="M19" s="90">
        <f t="shared" si="6"/>
        <v>1.0097244448653728</v>
      </c>
      <c r="O19" s="163"/>
    </row>
    <row r="20" spans="2:15" ht="13.5" customHeight="1" x14ac:dyDescent="0.2">
      <c r="B20" s="164" t="s">
        <v>103</v>
      </c>
      <c r="C20" s="166">
        <v>14415</v>
      </c>
      <c r="D20" s="166">
        <v>208570</v>
      </c>
      <c r="F20" s="164" t="s">
        <v>103</v>
      </c>
      <c r="G20" s="90">
        <f t="shared" si="0"/>
        <v>1.406890493851259</v>
      </c>
      <c r="H20" s="90">
        <f t="shared" si="4"/>
        <v>1.0281007060837315</v>
      </c>
      <c r="I20" s="90">
        <f t="shared" si="1"/>
        <v>1.4662523638459861</v>
      </c>
      <c r="J20" s="90">
        <f t="shared" si="5"/>
        <v>1.0335378242039226</v>
      </c>
      <c r="K20" s="91">
        <f t="shared" si="2"/>
        <v>14.468955948664586</v>
      </c>
      <c r="L20" s="90">
        <f t="shared" si="3"/>
        <v>1.0421936677048891</v>
      </c>
      <c r="M20" s="90">
        <f t="shared" si="6"/>
        <v>1.0052885073300868</v>
      </c>
      <c r="O20" s="163"/>
    </row>
    <row r="21" spans="2:15" ht="13.5" customHeight="1" x14ac:dyDescent="0.2">
      <c r="B21" s="164" t="s">
        <v>102</v>
      </c>
      <c r="C21" s="166">
        <v>15550</v>
      </c>
      <c r="D21" s="166">
        <v>215500</v>
      </c>
      <c r="F21" s="164" t="s">
        <v>102</v>
      </c>
      <c r="G21" s="90">
        <f t="shared" si="0"/>
        <v>1.517665430411868</v>
      </c>
      <c r="H21" s="90">
        <f t="shared" si="4"/>
        <v>1.0787374262920568</v>
      </c>
      <c r="I21" s="90">
        <f t="shared" si="1"/>
        <v>1.5149704387438752</v>
      </c>
      <c r="J21" s="90">
        <f t="shared" si="5"/>
        <v>1.0332262549743492</v>
      </c>
      <c r="K21" s="91">
        <f t="shared" si="2"/>
        <v>13.858520900321544</v>
      </c>
      <c r="L21" s="90">
        <f t="shared" si="3"/>
        <v>0.99822425179226648</v>
      </c>
      <c r="M21" s="90">
        <f t="shared" si="6"/>
        <v>0.9578107051739706</v>
      </c>
      <c r="O21" s="163"/>
    </row>
    <row r="22" spans="2:15" ht="13.5" customHeight="1" x14ac:dyDescent="0.2">
      <c r="B22" s="167" t="s">
        <v>101</v>
      </c>
      <c r="C22" s="166">
        <v>16845</v>
      </c>
      <c r="D22" s="166">
        <v>223474</v>
      </c>
      <c r="F22" s="167" t="s">
        <v>101</v>
      </c>
      <c r="G22" s="90">
        <f t="shared" si="0"/>
        <v>1.6440562170603161</v>
      </c>
      <c r="H22" s="90">
        <f t="shared" si="4"/>
        <v>1.0832797427652734</v>
      </c>
      <c r="I22" s="90">
        <f t="shared" si="1"/>
        <v>1.5710278599900174</v>
      </c>
      <c r="J22" s="90">
        <f t="shared" si="5"/>
        <v>1.0370023201856149</v>
      </c>
      <c r="K22" s="91">
        <f t="shared" si="2"/>
        <v>13.266488572276639</v>
      </c>
      <c r="L22" s="90">
        <f t="shared" si="3"/>
        <v>0.9555803771717255</v>
      </c>
      <c r="M22" s="90">
        <f t="shared" si="6"/>
        <v>0.95728026588817505</v>
      </c>
      <c r="O22" s="163"/>
    </row>
    <row r="23" spans="2:15" ht="13.5" customHeight="1" x14ac:dyDescent="0.2">
      <c r="B23" s="167" t="s">
        <v>100</v>
      </c>
      <c r="C23" s="166">
        <v>17128</v>
      </c>
      <c r="D23" s="166">
        <v>232399</v>
      </c>
      <c r="F23" s="167" t="s">
        <v>100</v>
      </c>
      <c r="G23" s="90">
        <f t="shared" si="0"/>
        <v>1.6716767519031817</v>
      </c>
      <c r="H23" s="90">
        <f t="shared" si="4"/>
        <v>1.0168002374591867</v>
      </c>
      <c r="I23" s="90">
        <f t="shared" si="1"/>
        <v>1.6337708352372986</v>
      </c>
      <c r="J23" s="90">
        <f t="shared" si="5"/>
        <v>1.0399375318829036</v>
      </c>
      <c r="K23" s="91">
        <f t="shared" si="2"/>
        <v>13.568367585240543</v>
      </c>
      <c r="L23" s="90">
        <f t="shared" si="3"/>
        <v>0.97732461337233545</v>
      </c>
      <c r="M23" s="90">
        <f t="shared" si="6"/>
        <v>1.0227550049373839</v>
      </c>
      <c r="O23" s="163"/>
    </row>
    <row r="24" spans="2:15" ht="13.5" customHeight="1" x14ac:dyDescent="0.2">
      <c r="B24" s="167" t="s">
        <v>99</v>
      </c>
      <c r="C24" s="166">
        <v>17675</v>
      </c>
      <c r="D24" s="166">
        <v>239086</v>
      </c>
      <c r="F24" s="167" t="s">
        <v>99</v>
      </c>
      <c r="G24" s="90">
        <f t="shared" si="0"/>
        <v>1.7250634393909818</v>
      </c>
      <c r="H24" s="90">
        <f t="shared" si="4"/>
        <v>1.0319360112097151</v>
      </c>
      <c r="I24" s="90">
        <f t="shared" si="1"/>
        <v>1.6807806140024042</v>
      </c>
      <c r="J24" s="90">
        <f t="shared" si="5"/>
        <v>1.0287737899044316</v>
      </c>
      <c r="K24" s="91">
        <f t="shared" si="2"/>
        <v>13.526789250353607</v>
      </c>
      <c r="L24" s="90">
        <f t="shared" si="3"/>
        <v>0.9743297409374051</v>
      </c>
      <c r="M24" s="90">
        <f t="shared" si="6"/>
        <v>0.99693564206410767</v>
      </c>
      <c r="O24" s="163"/>
    </row>
    <row r="25" spans="2:15" ht="13.5" customHeight="1" x14ac:dyDescent="0.2">
      <c r="B25" s="167" t="s">
        <v>98</v>
      </c>
      <c r="C25" s="166">
        <v>17816</v>
      </c>
      <c r="D25" s="166">
        <v>238850</v>
      </c>
      <c r="F25" s="167" t="s">
        <v>98</v>
      </c>
      <c r="G25" s="90">
        <f t="shared" si="0"/>
        <v>1.7388249072808901</v>
      </c>
      <c r="H25" s="90">
        <f t="shared" si="4"/>
        <v>1.0079773691654881</v>
      </c>
      <c r="I25" s="90">
        <f t="shared" si="1"/>
        <v>1.6791215280462857</v>
      </c>
      <c r="J25" s="90">
        <f t="shared" si="5"/>
        <v>0.99901290748935534</v>
      </c>
      <c r="K25" s="91">
        <f t="shared" si="2"/>
        <v>13.40648854961832</v>
      </c>
      <c r="L25" s="90">
        <f t="shared" si="3"/>
        <v>0.96566452494175137</v>
      </c>
      <c r="M25" s="90">
        <f t="shared" si="6"/>
        <v>0.9911064851748066</v>
      </c>
      <c r="O25" s="163"/>
    </row>
    <row r="26" spans="2:15" ht="13.5" customHeight="1" x14ac:dyDescent="0.2">
      <c r="B26" s="167" t="s">
        <v>97</v>
      </c>
      <c r="C26" s="166">
        <v>18213</v>
      </c>
      <c r="D26" s="166">
        <v>243878</v>
      </c>
      <c r="F26" s="167" t="s">
        <v>97</v>
      </c>
      <c r="G26" s="90">
        <f t="shared" si="0"/>
        <v>1.7775717353113409</v>
      </c>
      <c r="H26" s="90">
        <f t="shared" si="4"/>
        <v>1.0222833408172429</v>
      </c>
      <c r="I26" s="90">
        <f t="shared" si="1"/>
        <v>1.7144684949418969</v>
      </c>
      <c r="J26" s="90">
        <f t="shared" si="5"/>
        <v>1.0210508687460749</v>
      </c>
      <c r="K26" s="91">
        <f t="shared" si="2"/>
        <v>13.390325591610388</v>
      </c>
      <c r="L26" s="90">
        <f t="shared" si="3"/>
        <v>0.9645003129179528</v>
      </c>
      <c r="M26" s="90">
        <f t="shared" si="6"/>
        <v>0.99879439288310945</v>
      </c>
      <c r="O26" s="163"/>
    </row>
    <row r="27" spans="2:15" ht="13.5" customHeight="1" x14ac:dyDescent="0.2">
      <c r="B27" s="167" t="s">
        <v>96</v>
      </c>
      <c r="C27" s="166">
        <v>19284</v>
      </c>
      <c r="D27" s="166">
        <v>246267</v>
      </c>
      <c r="F27" s="167" t="s">
        <v>96</v>
      </c>
      <c r="G27" s="90">
        <f t="shared" si="0"/>
        <v>1.8821003318368144</v>
      </c>
      <c r="H27" s="90">
        <f t="shared" si="4"/>
        <v>1.0588041508812387</v>
      </c>
      <c r="I27" s="90">
        <f t="shared" si="1"/>
        <v>1.7312632252349787</v>
      </c>
      <c r="J27" s="90">
        <f t="shared" si="5"/>
        <v>1.0097958815473311</v>
      </c>
      <c r="K27" s="91">
        <f t="shared" si="2"/>
        <v>12.770535158680772</v>
      </c>
      <c r="L27" s="90">
        <f t="shared" si="3"/>
        <v>0.91985703203472258</v>
      </c>
      <c r="M27" s="90">
        <f t="shared" si="6"/>
        <v>0.95371356516394634</v>
      </c>
      <c r="O27" s="163"/>
    </row>
    <row r="28" spans="2:15" ht="13.5" customHeight="1" x14ac:dyDescent="0.2">
      <c r="B28" s="167" t="s">
        <v>95</v>
      </c>
      <c r="C28" s="166">
        <v>18687</v>
      </c>
      <c r="D28" s="166">
        <v>243152</v>
      </c>
      <c r="F28" s="167" t="s">
        <v>95</v>
      </c>
      <c r="G28" s="90">
        <f t="shared" si="0"/>
        <v>1.8238336911965645</v>
      </c>
      <c r="H28" s="90">
        <f t="shared" si="4"/>
        <v>0.96904169259489736</v>
      </c>
      <c r="I28" s="90">
        <f t="shared" si="1"/>
        <v>1.7093646966192608</v>
      </c>
      <c r="J28" s="90">
        <f t="shared" si="5"/>
        <v>0.98735112702879391</v>
      </c>
      <c r="K28" s="91">
        <f t="shared" si="2"/>
        <v>13.011826403382031</v>
      </c>
      <c r="L28" s="90">
        <f t="shared" si="3"/>
        <v>0.93723715318461753</v>
      </c>
      <c r="M28" s="90">
        <f t="shared" si="6"/>
        <v>1.0188943722172239</v>
      </c>
      <c r="O28" s="163"/>
    </row>
    <row r="29" spans="2:15" ht="13.5" customHeight="1" x14ac:dyDescent="0.2">
      <c r="B29" s="167" t="s">
        <v>94</v>
      </c>
      <c r="C29" s="166">
        <v>18436</v>
      </c>
      <c r="D29" s="166">
        <v>242777</v>
      </c>
      <c r="F29" s="167" t="s">
        <v>94</v>
      </c>
      <c r="G29" s="90">
        <f t="shared" si="0"/>
        <v>1.7993363263712667</v>
      </c>
      <c r="H29" s="90">
        <f t="shared" si="4"/>
        <v>0.98656820249371224</v>
      </c>
      <c r="I29" s="90">
        <f t="shared" si="1"/>
        <v>1.7067284371550895</v>
      </c>
      <c r="J29" s="90">
        <f t="shared" si="5"/>
        <v>0.9984577548200303</v>
      </c>
      <c r="K29" s="91">
        <f t="shared" si="2"/>
        <v>13.168637448470385</v>
      </c>
      <c r="L29" s="90">
        <f t="shared" si="3"/>
        <v>0.94853219608868766</v>
      </c>
      <c r="M29" s="90">
        <f t="shared" si="6"/>
        <v>1.0120514246214962</v>
      </c>
      <c r="O29" s="163"/>
    </row>
    <row r="30" spans="2:15" ht="13.5" customHeight="1" x14ac:dyDescent="0.2">
      <c r="B30" s="167" t="s">
        <v>93</v>
      </c>
      <c r="C30" s="166">
        <v>18363</v>
      </c>
      <c r="D30" s="166">
        <v>239992</v>
      </c>
      <c r="F30" s="167" t="s">
        <v>93</v>
      </c>
      <c r="G30" s="90">
        <f t="shared" si="0"/>
        <v>1.7922115947686903</v>
      </c>
      <c r="H30" s="90">
        <f t="shared" si="4"/>
        <v>0.99604035582555872</v>
      </c>
      <c r="I30" s="90">
        <f t="shared" si="1"/>
        <v>1.6871498168678425</v>
      </c>
      <c r="J30" s="90">
        <f t="shared" si="5"/>
        <v>0.988528567368408</v>
      </c>
      <c r="K30" s="91">
        <f t="shared" si="2"/>
        <v>13.069324184501443</v>
      </c>
      <c r="L30" s="90">
        <f t="shared" si="3"/>
        <v>0.94137869757816883</v>
      </c>
      <c r="M30" s="90">
        <f t="shared" si="6"/>
        <v>0.99245834928954801</v>
      </c>
      <c r="O30" s="163"/>
    </row>
    <row r="31" spans="2:15" ht="13.5" customHeight="1" x14ac:dyDescent="0.2">
      <c r="B31" s="167" t="s">
        <v>92</v>
      </c>
      <c r="C31" s="166">
        <v>18292</v>
      </c>
      <c r="D31" s="166">
        <v>241872</v>
      </c>
      <c r="F31" s="167" t="s">
        <v>92</v>
      </c>
      <c r="G31" s="90">
        <f t="shared" si="0"/>
        <v>1.7852820612922116</v>
      </c>
      <c r="H31" s="90">
        <f t="shared" si="4"/>
        <v>0.99613352937973099</v>
      </c>
      <c r="I31" s="90">
        <f t="shared" si="1"/>
        <v>1.7003662643148889</v>
      </c>
      <c r="J31" s="90">
        <f t="shared" si="5"/>
        <v>1.0078335944531485</v>
      </c>
      <c r="K31" s="91">
        <f t="shared" si="2"/>
        <v>13.22282965230702</v>
      </c>
      <c r="L31" s="90">
        <f t="shared" si="3"/>
        <v>0.95243564094524114</v>
      </c>
      <c r="M31" s="90">
        <f t="shared" si="6"/>
        <v>1.0117454786214282</v>
      </c>
      <c r="O31" s="163"/>
    </row>
    <row r="32" spans="2:15" ht="13.5" customHeight="1" x14ac:dyDescent="0.2">
      <c r="B32" s="167" t="s">
        <v>91</v>
      </c>
      <c r="C32" s="166">
        <v>18186</v>
      </c>
      <c r="D32" s="166">
        <v>236707</v>
      </c>
      <c r="F32" s="167" t="s">
        <v>91</v>
      </c>
      <c r="G32" s="90">
        <f t="shared" si="0"/>
        <v>1.7749365606090182</v>
      </c>
      <c r="H32" s="90">
        <f t="shared" si="4"/>
        <v>0.99420511699103431</v>
      </c>
      <c r="I32" s="90">
        <f t="shared" si="1"/>
        <v>1.6640561839617005</v>
      </c>
      <c r="J32" s="90">
        <f t="shared" si="5"/>
        <v>0.97864572997287824</v>
      </c>
      <c r="K32" s="91">
        <f t="shared" si="2"/>
        <v>13.015891344990653</v>
      </c>
      <c r="L32" s="90">
        <f t="shared" si="3"/>
        <v>0.93752994945956136</v>
      </c>
      <c r="M32" s="90">
        <f t="shared" si="6"/>
        <v>0.98434992261431253</v>
      </c>
      <c r="O32" s="163"/>
    </row>
    <row r="33" spans="2:15" ht="13.5" customHeight="1" x14ac:dyDescent="0.2">
      <c r="B33" s="167" t="s">
        <v>90</v>
      </c>
      <c r="C33" s="166">
        <v>17851</v>
      </c>
      <c r="D33" s="166">
        <v>228315</v>
      </c>
      <c r="F33" s="167" t="s">
        <v>90</v>
      </c>
      <c r="G33" s="90">
        <f t="shared" si="0"/>
        <v>1.742240874487605</v>
      </c>
      <c r="H33" s="90">
        <f t="shared" si="4"/>
        <v>0.9815792367755416</v>
      </c>
      <c r="I33" s="90">
        <f t="shared" si="1"/>
        <v>1.6050602121661617</v>
      </c>
      <c r="J33" s="90">
        <f t="shared" si="5"/>
        <v>0.96454688707980751</v>
      </c>
      <c r="K33" s="91">
        <f t="shared" si="2"/>
        <v>12.790039773682146</v>
      </c>
      <c r="L33" s="90">
        <f t="shared" si="3"/>
        <v>0.92126194240403847</v>
      </c>
      <c r="M33" s="90">
        <f t="shared" si="6"/>
        <v>0.98264801346890251</v>
      </c>
      <c r="O33" s="163"/>
    </row>
    <row r="34" spans="2:15" ht="13.5" customHeight="1" x14ac:dyDescent="0.2">
      <c r="B34" s="167" t="s">
        <v>89</v>
      </c>
      <c r="C34" s="166">
        <v>17680</v>
      </c>
      <c r="D34" s="166">
        <v>220472</v>
      </c>
      <c r="F34" s="167" t="s">
        <v>89</v>
      </c>
      <c r="G34" s="90">
        <f t="shared" si="0"/>
        <v>1.7255514347062268</v>
      </c>
      <c r="H34" s="90">
        <f t="shared" si="4"/>
        <v>0.99042070472242449</v>
      </c>
      <c r="I34" s="90">
        <f t="shared" si="1"/>
        <v>1.5499237242261699</v>
      </c>
      <c r="J34" s="90">
        <f t="shared" si="5"/>
        <v>0.96564833672776651</v>
      </c>
      <c r="K34" s="91">
        <f t="shared" si="2"/>
        <v>12.470135746606335</v>
      </c>
      <c r="L34" s="90">
        <f t="shared" si="3"/>
        <v>0.89821937095143312</v>
      </c>
      <c r="M34" s="90">
        <f t="shared" si="6"/>
        <v>0.97498803500720366</v>
      </c>
      <c r="O34" s="163"/>
    </row>
    <row r="35" spans="2:15" ht="13.5" customHeight="1" x14ac:dyDescent="0.2">
      <c r="B35" s="167" t="s">
        <v>88</v>
      </c>
      <c r="C35" s="166">
        <v>17884</v>
      </c>
      <c r="D35" s="166">
        <v>216368</v>
      </c>
      <c r="F35" s="167" t="s">
        <v>88</v>
      </c>
      <c r="G35" s="90">
        <f t="shared" si="0"/>
        <v>1.7454616435682218</v>
      </c>
      <c r="H35" s="90">
        <f t="shared" si="4"/>
        <v>1.0115384615384615</v>
      </c>
      <c r="I35" s="90">
        <f t="shared" si="1"/>
        <v>1.5210725006502774</v>
      </c>
      <c r="J35" s="90">
        <f t="shared" si="5"/>
        <v>0.98138539134221126</v>
      </c>
      <c r="K35" s="91">
        <f t="shared" si="2"/>
        <v>12.098411988369492</v>
      </c>
      <c r="L35" s="90">
        <f t="shared" si="3"/>
        <v>0.87144424299165402</v>
      </c>
      <c r="M35" s="90">
        <f t="shared" si="6"/>
        <v>0.97019088117480956</v>
      </c>
      <c r="O35" s="163"/>
    </row>
    <row r="36" spans="2:15" ht="13.5" customHeight="1" x14ac:dyDescent="0.2">
      <c r="B36" s="167" t="s">
        <v>87</v>
      </c>
      <c r="C36" s="166">
        <v>17937</v>
      </c>
      <c r="D36" s="166">
        <v>213069</v>
      </c>
      <c r="F36" s="167" t="s">
        <v>87</v>
      </c>
      <c r="G36" s="90">
        <f t="shared" si="0"/>
        <v>1.7506343939098186</v>
      </c>
      <c r="H36" s="90">
        <f t="shared" si="4"/>
        <v>1.0029635428315813</v>
      </c>
      <c r="I36" s="90">
        <f t="shared" si="1"/>
        <v>1.4978804473908061</v>
      </c>
      <c r="J36" s="90">
        <f t="shared" si="5"/>
        <v>0.98475282851438295</v>
      </c>
      <c r="K36" s="91">
        <f t="shared" si="2"/>
        <v>11.878742264592741</v>
      </c>
      <c r="L36" s="90">
        <f t="shared" si="3"/>
        <v>0.85562151217963978</v>
      </c>
      <c r="M36" s="90">
        <f t="shared" si="6"/>
        <v>0.98184309445008777</v>
      </c>
      <c r="O36" s="163"/>
    </row>
    <row r="37" spans="2:15" ht="13.5" customHeight="1" x14ac:dyDescent="0.2">
      <c r="B37" s="167" t="s">
        <v>86</v>
      </c>
      <c r="C37" s="166">
        <v>18260</v>
      </c>
      <c r="D37" s="166">
        <v>214464</v>
      </c>
      <c r="F37" s="167" t="s">
        <v>86</v>
      </c>
      <c r="G37" s="90">
        <f t="shared" si="0"/>
        <v>1.7821588912746438</v>
      </c>
      <c r="H37" s="90">
        <f t="shared" si="4"/>
        <v>1.0180074705915148</v>
      </c>
      <c r="I37" s="90">
        <f t="shared" si="1"/>
        <v>1.507687332597524</v>
      </c>
      <c r="J37" s="90">
        <f t="shared" si="5"/>
        <v>1.0065471748588486</v>
      </c>
      <c r="K37" s="91">
        <f t="shared" si="2"/>
        <v>11.745016429353779</v>
      </c>
      <c r="L37" s="90">
        <f t="shared" si="3"/>
        <v>0.8459892885977125</v>
      </c>
      <c r="M37" s="90">
        <f t="shared" si="6"/>
        <v>0.98874242472306495</v>
      </c>
      <c r="O37" s="163"/>
    </row>
    <row r="38" spans="2:15" ht="13.5" customHeight="1" x14ac:dyDescent="0.2">
      <c r="B38" s="167" t="s">
        <v>85</v>
      </c>
      <c r="C38" s="166">
        <v>18259</v>
      </c>
      <c r="D38" s="166">
        <v>216062</v>
      </c>
      <c r="F38" s="167" t="s">
        <v>85</v>
      </c>
      <c r="G38" s="90">
        <f t="shared" si="0"/>
        <v>1.7820612922115948</v>
      </c>
      <c r="H38" s="90">
        <f t="shared" si="4"/>
        <v>0.99994523548740422</v>
      </c>
      <c r="I38" s="90">
        <f t="shared" si="1"/>
        <v>1.5189213129275134</v>
      </c>
      <c r="J38" s="90">
        <f t="shared" si="5"/>
        <v>1.0074511339898538</v>
      </c>
      <c r="K38" s="91">
        <f t="shared" si="2"/>
        <v>11.833178158716249</v>
      </c>
      <c r="L38" s="90">
        <f t="shared" si="3"/>
        <v>0.8523395461008435</v>
      </c>
      <c r="M38" s="90">
        <f t="shared" si="6"/>
        <v>1.0075063095818353</v>
      </c>
      <c r="O38" s="163"/>
    </row>
    <row r="39" spans="2:15" ht="13.5" customHeight="1" x14ac:dyDescent="0.2">
      <c r="B39" s="167" t="s">
        <v>84</v>
      </c>
      <c r="C39" s="166">
        <v>18564</v>
      </c>
      <c r="D39" s="166">
        <v>215645</v>
      </c>
      <c r="F39" s="167" t="s">
        <v>84</v>
      </c>
      <c r="G39" s="90">
        <f t="shared" si="0"/>
        <v>1.8118290064415381</v>
      </c>
      <c r="H39" s="90">
        <f t="shared" si="4"/>
        <v>1.0167040911331398</v>
      </c>
      <c r="I39" s="90">
        <f t="shared" si="1"/>
        <v>1.5159897924033547</v>
      </c>
      <c r="J39" s="90">
        <f t="shared" si="5"/>
        <v>0.99806999842637767</v>
      </c>
      <c r="K39" s="91">
        <f t="shared" si="2"/>
        <v>11.616300366300367</v>
      </c>
      <c r="L39" s="90">
        <f t="shared" si="3"/>
        <v>0.83671791709571064</v>
      </c>
      <c r="M39" s="90">
        <f t="shared" si="6"/>
        <v>0.98167205889179221</v>
      </c>
      <c r="O39" s="163"/>
    </row>
    <row r="40" spans="2:15" ht="13.5" customHeight="1" x14ac:dyDescent="0.2">
      <c r="B40" s="167" t="s">
        <v>83</v>
      </c>
      <c r="C40" s="166">
        <v>18513</v>
      </c>
      <c r="D40" s="166">
        <v>217155</v>
      </c>
      <c r="F40" s="167" t="s">
        <v>83</v>
      </c>
      <c r="G40" s="90">
        <f t="shared" si="0"/>
        <v>1.8068514542260394</v>
      </c>
      <c r="H40" s="90">
        <f t="shared" si="4"/>
        <v>0.99725274725274726</v>
      </c>
      <c r="I40" s="90">
        <f t="shared" si="1"/>
        <v>1.5266051305124186</v>
      </c>
      <c r="J40" s="90">
        <f t="shared" si="5"/>
        <v>1.0070022490667532</v>
      </c>
      <c r="K40" s="91">
        <f t="shared" si="2"/>
        <v>11.729865499918976</v>
      </c>
      <c r="L40" s="90">
        <f t="shared" si="3"/>
        <v>0.84489797262627564</v>
      </c>
      <c r="M40" s="90">
        <f t="shared" si="6"/>
        <v>1.009776359945725</v>
      </c>
      <c r="O40" s="163"/>
    </row>
    <row r="41" spans="2:15" ht="13.5" customHeight="1" x14ac:dyDescent="0.2">
      <c r="B41" s="167" t="s">
        <v>82</v>
      </c>
      <c r="C41" s="166">
        <v>18574</v>
      </c>
      <c r="D41" s="166">
        <v>221750</v>
      </c>
      <c r="F41" s="167" t="s">
        <v>82</v>
      </c>
      <c r="G41" s="90">
        <f t="shared" si="0"/>
        <v>1.8128049970720281</v>
      </c>
      <c r="H41" s="90">
        <f t="shared" si="4"/>
        <v>1.0032949819046075</v>
      </c>
      <c r="I41" s="90">
        <f t="shared" si="1"/>
        <v>1.5589080964800663</v>
      </c>
      <c r="J41" s="90">
        <f t="shared" si="5"/>
        <v>1.0211600009210011</v>
      </c>
      <c r="K41" s="91">
        <f t="shared" si="2"/>
        <v>11.938731560245504</v>
      </c>
      <c r="L41" s="90">
        <f t="shared" si="3"/>
        <v>0.85994251946456113</v>
      </c>
      <c r="M41" s="90">
        <f t="shared" si="6"/>
        <v>1.0178063474238448</v>
      </c>
      <c r="O41" s="163"/>
    </row>
    <row r="42" spans="2:15" ht="13.5" customHeight="1" x14ac:dyDescent="0.2">
      <c r="B42" s="167" t="s">
        <v>81</v>
      </c>
      <c r="C42" s="166">
        <v>18627</v>
      </c>
      <c r="D42" s="166">
        <v>225508</v>
      </c>
      <c r="F42" s="167" t="s">
        <v>81</v>
      </c>
      <c r="G42" s="90">
        <f t="shared" si="0"/>
        <v>1.8179777474136247</v>
      </c>
      <c r="H42" s="90">
        <f t="shared" si="4"/>
        <v>1.0028534510606224</v>
      </c>
      <c r="I42" s="90">
        <f t="shared" si="1"/>
        <v>1.5853269313236835</v>
      </c>
      <c r="J42" s="90">
        <f t="shared" si="5"/>
        <v>1.0169470124013529</v>
      </c>
      <c r="K42" s="91">
        <f t="shared" si="2"/>
        <v>12.106512052397058</v>
      </c>
      <c r="L42" s="90">
        <f t="shared" si="3"/>
        <v>0.87202768767608629</v>
      </c>
      <c r="M42" s="90">
        <f t="shared" si="6"/>
        <v>1.0140534604790212</v>
      </c>
      <c r="O42" s="163"/>
    </row>
    <row r="43" spans="2:15" ht="13.5" customHeight="1" x14ac:dyDescent="0.2">
      <c r="B43" s="167" t="s">
        <v>80</v>
      </c>
      <c r="C43" s="166">
        <v>18721</v>
      </c>
      <c r="D43" s="166">
        <v>227210</v>
      </c>
      <c r="F43" s="167" t="s">
        <v>80</v>
      </c>
      <c r="G43" s="90">
        <f t="shared" si="0"/>
        <v>1.8271520593402304</v>
      </c>
      <c r="H43" s="90">
        <f t="shared" si="4"/>
        <v>1.0050464379663928</v>
      </c>
      <c r="I43" s="90">
        <f t="shared" si="1"/>
        <v>1.5972920342784032</v>
      </c>
      <c r="J43" s="90">
        <f t="shared" si="5"/>
        <v>1.0075474040832255</v>
      </c>
      <c r="K43" s="168">
        <f t="shared" si="2"/>
        <v>12.136638000106831</v>
      </c>
      <c r="L43" s="90">
        <f t="shared" si="3"/>
        <v>0.87419764880169415</v>
      </c>
      <c r="M43" s="90">
        <f t="shared" si="6"/>
        <v>1.0024884085176133</v>
      </c>
      <c r="O43" s="163"/>
    </row>
    <row r="44" spans="2:15" ht="13.5" customHeight="1" x14ac:dyDescent="0.2">
      <c r="B44" s="167" t="s">
        <v>79</v>
      </c>
      <c r="C44" s="166">
        <v>18620</v>
      </c>
      <c r="D44" s="166">
        <v>226588</v>
      </c>
      <c r="F44" s="167" t="s">
        <v>79</v>
      </c>
      <c r="G44" s="90">
        <f t="shared" si="0"/>
        <v>1.8172945539722818</v>
      </c>
      <c r="H44" s="90">
        <f t="shared" si="4"/>
        <v>0.99460498904973027</v>
      </c>
      <c r="I44" s="90">
        <f t="shared" si="1"/>
        <v>1.5929193585804973</v>
      </c>
      <c r="J44" s="90">
        <f t="shared" si="5"/>
        <v>0.99726244443466394</v>
      </c>
      <c r="K44" s="168">
        <f t="shared" si="2"/>
        <v>12.169065520945221</v>
      </c>
      <c r="L44" s="90">
        <f t="shared" si="3"/>
        <v>0.8765333914079364</v>
      </c>
      <c r="M44" s="90">
        <f t="shared" si="6"/>
        <v>1.0026718701536705</v>
      </c>
      <c r="O44" s="163"/>
    </row>
    <row r="45" spans="2:15" ht="13.5" customHeight="1" x14ac:dyDescent="0.2">
      <c r="B45" s="167" t="s">
        <v>729</v>
      </c>
      <c r="C45" s="166">
        <v>18827</v>
      </c>
      <c r="D45" s="166">
        <v>226204</v>
      </c>
      <c r="F45" s="167" t="s">
        <v>729</v>
      </c>
      <c r="G45" s="90">
        <f t="shared" ref="G45" si="7">C45/C$11</f>
        <v>1.8374975600234238</v>
      </c>
      <c r="H45" s="90">
        <f t="shared" ref="H45" si="8">C45/C44</f>
        <v>1.0111170784103114</v>
      </c>
      <c r="I45" s="90">
        <f t="shared" ref="I45" si="9">D45/D$11</f>
        <v>1.5902198288891858</v>
      </c>
      <c r="J45" s="90">
        <f t="shared" ref="J45" si="10">D45/D44</f>
        <v>0.99830529419033665</v>
      </c>
      <c r="K45" s="168">
        <f t="shared" ref="K45" si="11">D45/C45</f>
        <v>12.014872257927445</v>
      </c>
      <c r="L45" s="90">
        <f t="shared" ref="L45" si="12">K45/K$11</f>
        <v>0.86542690640030795</v>
      </c>
      <c r="M45" s="90">
        <f t="shared" ref="M45" si="13">K45/K44</f>
        <v>0.98732907939788961</v>
      </c>
      <c r="O45" s="163"/>
    </row>
    <row r="46" spans="2:15" ht="13.5" customHeight="1" thickBot="1" x14ac:dyDescent="0.25">
      <c r="B46" s="46" t="s">
        <v>6416</v>
      </c>
      <c r="C46" s="169">
        <v>18860</v>
      </c>
      <c r="D46" s="169">
        <v>222799</v>
      </c>
      <c r="F46" s="46" t="s">
        <v>6416</v>
      </c>
      <c r="G46" s="88">
        <f t="shared" ref="G46" si="14">C46/C$11</f>
        <v>1.8407183291040405</v>
      </c>
      <c r="H46" s="88">
        <f t="shared" ref="H46" si="15">C46/C45</f>
        <v>1.0017528018271631</v>
      </c>
      <c r="I46" s="88">
        <f t="shared" ref="I46" si="16">D46/D$11</f>
        <v>1.5662825929545088</v>
      </c>
      <c r="J46" s="88">
        <f t="shared" ref="J46" si="17">D46/D45</f>
        <v>0.9849472157875192</v>
      </c>
      <c r="K46" s="89">
        <f t="shared" ref="K46" si="18">D46/C46</f>
        <v>11.813308589607635</v>
      </c>
      <c r="L46" s="88">
        <f t="shared" ref="L46" si="19">K46/K$11</f>
        <v>0.85090834821908246</v>
      </c>
      <c r="M46" s="88">
        <f t="shared" ref="M46" si="20">K46/K45</f>
        <v>0.9832238192805739</v>
      </c>
      <c r="O46" s="163"/>
    </row>
    <row r="106" spans="2:6" ht="13.5" customHeight="1" thickBot="1" x14ac:dyDescent="0.25"/>
    <row r="107" spans="2:6" ht="13.5" customHeight="1" x14ac:dyDescent="0.2">
      <c r="B107" s="337" t="s">
        <v>6438</v>
      </c>
      <c r="C107" s="338"/>
      <c r="D107" s="338"/>
      <c r="E107" s="338"/>
      <c r="F107" s="339"/>
    </row>
    <row r="108" spans="2:6" ht="13.5" customHeight="1" x14ac:dyDescent="0.2">
      <c r="B108" s="340"/>
      <c r="C108" s="311"/>
      <c r="D108" s="311"/>
      <c r="E108" s="311"/>
      <c r="F108" s="341"/>
    </row>
    <row r="109" spans="2:6" ht="13.5" customHeight="1" x14ac:dyDescent="0.2">
      <c r="B109" s="340"/>
      <c r="C109" s="311"/>
      <c r="D109" s="311"/>
      <c r="E109" s="311"/>
      <c r="F109" s="341"/>
    </row>
    <row r="110" spans="2:6" ht="13.5" customHeight="1" x14ac:dyDescent="0.2">
      <c r="B110" s="340"/>
      <c r="C110" s="311"/>
      <c r="D110" s="311"/>
      <c r="E110" s="311"/>
      <c r="F110" s="341"/>
    </row>
    <row r="111" spans="2:6" ht="13.5" customHeight="1" x14ac:dyDescent="0.2">
      <c r="B111" s="340"/>
      <c r="C111" s="311"/>
      <c r="D111" s="311"/>
      <c r="E111" s="311"/>
      <c r="F111" s="341"/>
    </row>
    <row r="112" spans="2:6" ht="13.5" customHeight="1" x14ac:dyDescent="0.2">
      <c r="B112" s="340"/>
      <c r="C112" s="311"/>
      <c r="D112" s="311"/>
      <c r="E112" s="311"/>
      <c r="F112" s="341"/>
    </row>
    <row r="113" spans="2:6" ht="13.5" customHeight="1" x14ac:dyDescent="0.2">
      <c r="B113" s="340"/>
      <c r="C113" s="311"/>
      <c r="D113" s="311"/>
      <c r="E113" s="311"/>
      <c r="F113" s="341"/>
    </row>
    <row r="114" spans="2:6" ht="13.5" customHeight="1" thickBot="1" x14ac:dyDescent="0.25">
      <c r="B114" s="342"/>
      <c r="C114" s="343"/>
      <c r="D114" s="343"/>
      <c r="E114" s="343"/>
      <c r="F114" s="344"/>
    </row>
    <row r="116" spans="2:6" ht="13.5" customHeight="1" x14ac:dyDescent="0.2">
      <c r="B116" s="86"/>
    </row>
    <row r="117" spans="2:6" ht="13.5" customHeight="1" x14ac:dyDescent="0.2">
      <c r="B117" s="86"/>
    </row>
  </sheetData>
  <mergeCells count="12">
    <mergeCell ref="B107:F114"/>
    <mergeCell ref="K9:M9"/>
    <mergeCell ref="B2:M2"/>
    <mergeCell ref="B4:M4"/>
    <mergeCell ref="B7:D7"/>
    <mergeCell ref="F7:M7"/>
    <mergeCell ref="B9:B10"/>
    <mergeCell ref="C9:C10"/>
    <mergeCell ref="D9:D10"/>
    <mergeCell ref="F9:F10"/>
    <mergeCell ref="G9:H9"/>
    <mergeCell ref="I9:J9"/>
  </mergeCells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</sheetPr>
  <dimension ref="B1:L849"/>
  <sheetViews>
    <sheetView workbookViewId="0"/>
  </sheetViews>
  <sheetFormatPr defaultColWidth="8.85546875" defaultRowHeight="12.75" x14ac:dyDescent="0.2"/>
  <cols>
    <col min="1" max="1" width="3" style="14" customWidth="1"/>
    <col min="2" max="2" width="7.5703125" style="14" customWidth="1"/>
    <col min="3" max="3" width="8.7109375" style="23" customWidth="1"/>
    <col min="4" max="4" width="25.5703125" style="237" bestFit="1" customWidth="1"/>
    <col min="5" max="5" width="15.28515625" style="237" customWidth="1"/>
    <col min="6" max="6" width="9.5703125" style="14" bestFit="1" customWidth="1"/>
    <col min="7" max="7" width="13" style="14" customWidth="1"/>
    <col min="8" max="8" width="9.7109375" style="14" customWidth="1"/>
    <col min="9" max="9" width="9.85546875" style="14" customWidth="1"/>
    <col min="10" max="16384" width="8.85546875" style="14"/>
  </cols>
  <sheetData>
    <row r="1" spans="2:9" s="15" customFormat="1" ht="13.5" customHeight="1" thickBot="1" x14ac:dyDescent="0.25">
      <c r="C1" s="20"/>
      <c r="D1" s="233"/>
      <c r="E1" s="233"/>
    </row>
    <row r="2" spans="2:9" s="15" customFormat="1" ht="189.6" customHeight="1" thickBot="1" x14ac:dyDescent="0.25">
      <c r="B2" s="356" t="s">
        <v>6443</v>
      </c>
      <c r="C2" s="357"/>
      <c r="D2" s="357"/>
      <c r="E2" s="357"/>
      <c r="F2" s="357"/>
      <c r="G2" s="357"/>
      <c r="H2" s="357"/>
      <c r="I2" s="358"/>
    </row>
    <row r="3" spans="2:9" s="17" customFormat="1" ht="13.5" thickBot="1" x14ac:dyDescent="0.25">
      <c r="C3" s="21"/>
      <c r="D3" s="16"/>
      <c r="E3" s="16"/>
      <c r="F3" s="16"/>
      <c r="G3" s="16"/>
      <c r="H3" s="16"/>
      <c r="I3" s="16"/>
    </row>
    <row r="4" spans="2:9" s="15" customFormat="1" ht="13.5" thickBot="1" x14ac:dyDescent="0.25">
      <c r="C4" s="20"/>
      <c r="D4" s="233"/>
      <c r="E4" s="233"/>
    </row>
    <row r="5" spans="2:9" ht="13.5" thickBot="1" x14ac:dyDescent="0.25">
      <c r="B5" s="270" t="s">
        <v>52</v>
      </c>
      <c r="C5" s="271" t="s">
        <v>5</v>
      </c>
      <c r="D5" s="271" t="s">
        <v>23</v>
      </c>
      <c r="E5" s="272" t="s">
        <v>22</v>
      </c>
      <c r="F5" s="272" t="s">
        <v>6422</v>
      </c>
      <c r="G5" s="272" t="s">
        <v>24</v>
      </c>
      <c r="H5" s="272" t="s">
        <v>25</v>
      </c>
      <c r="I5" s="272" t="s">
        <v>26</v>
      </c>
    </row>
    <row r="6" spans="2:9" x14ac:dyDescent="0.2">
      <c r="B6" s="22">
        <v>2019</v>
      </c>
      <c r="C6" s="22" t="s">
        <v>8</v>
      </c>
      <c r="D6" s="238" t="s">
        <v>6420</v>
      </c>
      <c r="E6" s="234" t="s">
        <v>19</v>
      </c>
      <c r="F6" s="19">
        <v>5</v>
      </c>
      <c r="G6" s="19">
        <v>9</v>
      </c>
      <c r="H6" s="19">
        <v>466</v>
      </c>
      <c r="I6" s="19">
        <v>50</v>
      </c>
    </row>
    <row r="7" spans="2:9" x14ac:dyDescent="0.2">
      <c r="B7" s="22">
        <v>2019</v>
      </c>
      <c r="C7" s="22" t="s">
        <v>8</v>
      </c>
      <c r="D7" s="238" t="s">
        <v>6420</v>
      </c>
      <c r="E7" s="234" t="s">
        <v>19</v>
      </c>
      <c r="F7" s="19">
        <v>3</v>
      </c>
      <c r="G7" s="19">
        <v>6</v>
      </c>
      <c r="H7" s="19">
        <v>420</v>
      </c>
      <c r="I7" s="19">
        <v>10</v>
      </c>
    </row>
    <row r="8" spans="2:9" x14ac:dyDescent="0.2">
      <c r="B8" s="22">
        <v>2019</v>
      </c>
      <c r="C8" s="22" t="s">
        <v>8</v>
      </c>
      <c r="D8" s="238" t="s">
        <v>6420</v>
      </c>
      <c r="E8" s="234" t="s">
        <v>19</v>
      </c>
      <c r="F8" s="19">
        <v>5</v>
      </c>
      <c r="G8" s="19">
        <v>6</v>
      </c>
      <c r="H8" s="19">
        <v>433</v>
      </c>
      <c r="I8" s="19">
        <v>35</v>
      </c>
    </row>
    <row r="9" spans="2:9" x14ac:dyDescent="0.2">
      <c r="B9" s="22">
        <v>2019</v>
      </c>
      <c r="C9" s="22" t="s">
        <v>7</v>
      </c>
      <c r="D9" s="238" t="s">
        <v>6420</v>
      </c>
      <c r="E9" s="234" t="s">
        <v>21</v>
      </c>
      <c r="F9" s="19">
        <v>5</v>
      </c>
      <c r="G9" s="19">
        <v>6</v>
      </c>
      <c r="H9" s="19">
        <v>460</v>
      </c>
      <c r="I9" s="19">
        <v>70</v>
      </c>
    </row>
    <row r="10" spans="2:9" x14ac:dyDescent="0.2">
      <c r="B10" s="22">
        <v>2019</v>
      </c>
      <c r="C10" s="22" t="s">
        <v>8</v>
      </c>
      <c r="D10" s="238" t="s">
        <v>6420</v>
      </c>
      <c r="E10" s="234" t="s">
        <v>19</v>
      </c>
      <c r="F10" s="19">
        <v>2</v>
      </c>
      <c r="G10" s="19">
        <v>7</v>
      </c>
      <c r="H10" s="19">
        <v>396</v>
      </c>
      <c r="I10" s="19">
        <v>20</v>
      </c>
    </row>
    <row r="11" spans="2:9" x14ac:dyDescent="0.2">
      <c r="B11" s="22">
        <v>2019</v>
      </c>
      <c r="C11" s="22" t="s">
        <v>8</v>
      </c>
      <c r="D11" s="238" t="s">
        <v>6420</v>
      </c>
      <c r="E11" s="234" t="s">
        <v>20</v>
      </c>
      <c r="F11" s="19">
        <v>3</v>
      </c>
      <c r="G11" s="19">
        <v>7</v>
      </c>
      <c r="H11" s="19">
        <v>422</v>
      </c>
      <c r="I11" s="19">
        <v>50</v>
      </c>
    </row>
    <row r="12" spans="2:9" x14ac:dyDescent="0.2">
      <c r="B12" s="22">
        <v>2019</v>
      </c>
      <c r="C12" s="22" t="s">
        <v>8</v>
      </c>
      <c r="D12" s="238" t="s">
        <v>6420</v>
      </c>
      <c r="E12" s="234" t="s">
        <v>19</v>
      </c>
      <c r="F12" s="19">
        <v>4</v>
      </c>
      <c r="G12" s="19">
        <v>6</v>
      </c>
      <c r="H12" s="19">
        <v>428</v>
      </c>
      <c r="I12" s="19">
        <v>40</v>
      </c>
    </row>
    <row r="13" spans="2:9" x14ac:dyDescent="0.2">
      <c r="B13" s="22">
        <v>2019</v>
      </c>
      <c r="C13" s="22" t="s">
        <v>8</v>
      </c>
      <c r="D13" s="238" t="s">
        <v>6420</v>
      </c>
      <c r="E13" s="234" t="s">
        <v>19</v>
      </c>
      <c r="F13" s="19">
        <v>2</v>
      </c>
      <c r="G13" s="19">
        <v>7</v>
      </c>
      <c r="H13" s="19">
        <v>466</v>
      </c>
      <c r="I13" s="19">
        <v>30</v>
      </c>
    </row>
    <row r="14" spans="2:9" x14ac:dyDescent="0.2">
      <c r="B14" s="22">
        <v>2019</v>
      </c>
      <c r="C14" s="22" t="s">
        <v>7</v>
      </c>
      <c r="D14" s="238" t="s">
        <v>6420</v>
      </c>
      <c r="E14" s="234" t="s">
        <v>19</v>
      </c>
      <c r="F14" s="19">
        <v>2</v>
      </c>
      <c r="G14" s="19">
        <v>7</v>
      </c>
      <c r="H14" s="19">
        <v>418</v>
      </c>
      <c r="I14" s="19">
        <v>50</v>
      </c>
    </row>
    <row r="15" spans="2:9" x14ac:dyDescent="0.2">
      <c r="B15" s="22">
        <v>2019</v>
      </c>
      <c r="C15" s="22" t="s">
        <v>8</v>
      </c>
      <c r="D15" s="238" t="s">
        <v>6420</v>
      </c>
      <c r="E15" s="234" t="s">
        <v>19</v>
      </c>
      <c r="F15" s="19">
        <v>2</v>
      </c>
      <c r="G15" s="19">
        <v>4</v>
      </c>
      <c r="H15" s="19">
        <v>410</v>
      </c>
      <c r="I15" s="19">
        <v>20</v>
      </c>
    </row>
    <row r="16" spans="2:9" x14ac:dyDescent="0.2">
      <c r="B16" s="22">
        <v>2019</v>
      </c>
      <c r="C16" s="22" t="s">
        <v>8</v>
      </c>
      <c r="D16" s="238" t="s">
        <v>6420</v>
      </c>
      <c r="E16" s="234" t="s">
        <v>19</v>
      </c>
      <c r="F16" s="19">
        <v>3</v>
      </c>
      <c r="G16" s="19">
        <v>7</v>
      </c>
      <c r="H16" s="19">
        <v>404</v>
      </c>
      <c r="I16" s="19">
        <v>20</v>
      </c>
    </row>
    <row r="17" spans="2:9" x14ac:dyDescent="0.2">
      <c r="B17" s="22">
        <v>2019</v>
      </c>
      <c r="C17" s="22" t="s">
        <v>8</v>
      </c>
      <c r="D17" s="238" t="s">
        <v>6420</v>
      </c>
      <c r="E17" s="234" t="s">
        <v>19</v>
      </c>
      <c r="F17" s="19">
        <v>3</v>
      </c>
      <c r="G17" s="19">
        <v>7</v>
      </c>
      <c r="H17" s="19">
        <v>430</v>
      </c>
      <c r="I17" s="19">
        <v>50</v>
      </c>
    </row>
    <row r="18" spans="2:9" x14ac:dyDescent="0.2">
      <c r="B18" s="22">
        <v>2019</v>
      </c>
      <c r="C18" s="22" t="s">
        <v>7</v>
      </c>
      <c r="D18" s="238" t="s">
        <v>6420</v>
      </c>
      <c r="E18" s="234" t="s">
        <v>21</v>
      </c>
      <c r="F18" s="19">
        <v>4</v>
      </c>
      <c r="G18" s="19">
        <v>5</v>
      </c>
      <c r="H18" s="19">
        <v>402</v>
      </c>
      <c r="I18" s="19">
        <v>40</v>
      </c>
    </row>
    <row r="19" spans="2:9" x14ac:dyDescent="0.2">
      <c r="B19" s="22">
        <v>2019</v>
      </c>
      <c r="C19" s="22" t="s">
        <v>7</v>
      </c>
      <c r="D19" s="238" t="s">
        <v>6420</v>
      </c>
      <c r="E19" s="234" t="s">
        <v>19</v>
      </c>
      <c r="F19" s="19">
        <v>3</v>
      </c>
      <c r="G19" s="19">
        <v>6</v>
      </c>
      <c r="H19" s="19">
        <v>431</v>
      </c>
      <c r="I19" s="19">
        <v>20</v>
      </c>
    </row>
    <row r="20" spans="2:9" x14ac:dyDescent="0.2">
      <c r="B20" s="22">
        <v>2019</v>
      </c>
      <c r="C20" s="22" t="s">
        <v>8</v>
      </c>
      <c r="D20" s="238" t="s">
        <v>6420</v>
      </c>
      <c r="E20" s="234" t="s">
        <v>19</v>
      </c>
      <c r="F20" s="19">
        <v>4</v>
      </c>
      <c r="G20" s="19">
        <v>6</v>
      </c>
      <c r="H20" s="19">
        <v>380</v>
      </c>
      <c r="I20" s="19">
        <v>30</v>
      </c>
    </row>
    <row r="21" spans="2:9" x14ac:dyDescent="0.2">
      <c r="B21" s="22">
        <v>2019</v>
      </c>
      <c r="C21" s="22" t="s">
        <v>8</v>
      </c>
      <c r="D21" s="238" t="s">
        <v>6420</v>
      </c>
      <c r="E21" s="234" t="s">
        <v>19</v>
      </c>
      <c r="F21" s="19">
        <v>3</v>
      </c>
      <c r="G21" s="19">
        <v>3</v>
      </c>
      <c r="H21" s="19">
        <v>408</v>
      </c>
      <c r="I21" s="19">
        <v>45</v>
      </c>
    </row>
    <row r="22" spans="2:9" x14ac:dyDescent="0.2">
      <c r="B22" s="22">
        <v>2019</v>
      </c>
      <c r="C22" s="22" t="s">
        <v>8</v>
      </c>
      <c r="D22" s="238" t="s">
        <v>6420</v>
      </c>
      <c r="E22" s="234" t="s">
        <v>21</v>
      </c>
      <c r="F22" s="19">
        <v>4</v>
      </c>
      <c r="G22" s="19">
        <v>8</v>
      </c>
      <c r="H22" s="19">
        <v>417</v>
      </c>
      <c r="I22" s="19">
        <v>50</v>
      </c>
    </row>
    <row r="23" spans="2:9" x14ac:dyDescent="0.2">
      <c r="B23" s="22">
        <v>2019</v>
      </c>
      <c r="C23" s="22" t="s">
        <v>7</v>
      </c>
      <c r="D23" s="238" t="s">
        <v>6420</v>
      </c>
      <c r="E23" s="234" t="s">
        <v>19</v>
      </c>
      <c r="F23" s="19">
        <v>3</v>
      </c>
      <c r="G23" s="19">
        <v>6</v>
      </c>
      <c r="H23" s="19">
        <v>398</v>
      </c>
      <c r="I23" s="19">
        <v>45</v>
      </c>
    </row>
    <row r="24" spans="2:9" x14ac:dyDescent="0.2">
      <c r="B24" s="22">
        <v>2019</v>
      </c>
      <c r="C24" s="22" t="s">
        <v>7</v>
      </c>
      <c r="D24" s="238" t="s">
        <v>6420</v>
      </c>
      <c r="E24" s="234" t="s">
        <v>21</v>
      </c>
      <c r="F24" s="19">
        <v>5</v>
      </c>
      <c r="G24" s="19">
        <v>9</v>
      </c>
      <c r="H24" s="19">
        <v>428</v>
      </c>
      <c r="I24" s="19">
        <v>40</v>
      </c>
    </row>
    <row r="25" spans="2:9" x14ac:dyDescent="0.2">
      <c r="B25" s="22">
        <v>2019</v>
      </c>
      <c r="C25" s="22" t="s">
        <v>8</v>
      </c>
      <c r="D25" s="238" t="s">
        <v>6420</v>
      </c>
      <c r="E25" s="234" t="s">
        <v>19</v>
      </c>
      <c r="F25" s="19">
        <v>3</v>
      </c>
      <c r="G25" s="19">
        <v>4</v>
      </c>
      <c r="H25" s="19">
        <v>412</v>
      </c>
      <c r="I25" s="19">
        <v>30</v>
      </c>
    </row>
    <row r="26" spans="2:9" x14ac:dyDescent="0.2">
      <c r="B26" s="22">
        <v>2019</v>
      </c>
      <c r="C26" s="22" t="s">
        <v>8</v>
      </c>
      <c r="D26" s="238" t="s">
        <v>6420</v>
      </c>
      <c r="E26" s="234" t="s">
        <v>20</v>
      </c>
      <c r="F26" s="19">
        <v>2</v>
      </c>
      <c r="G26" s="19">
        <v>8</v>
      </c>
      <c r="H26" s="19">
        <v>408</v>
      </c>
      <c r="I26" s="19">
        <v>40</v>
      </c>
    </row>
    <row r="27" spans="2:9" x14ac:dyDescent="0.2">
      <c r="B27" s="22">
        <v>2019</v>
      </c>
      <c r="C27" s="22" t="s">
        <v>8</v>
      </c>
      <c r="D27" s="238" t="s">
        <v>6420</v>
      </c>
      <c r="E27" s="234" t="s">
        <v>20</v>
      </c>
      <c r="F27" s="19">
        <v>2</v>
      </c>
      <c r="G27" s="19">
        <v>9</v>
      </c>
      <c r="H27" s="19">
        <v>465</v>
      </c>
      <c r="I27" s="19">
        <v>17</v>
      </c>
    </row>
    <row r="28" spans="2:9" x14ac:dyDescent="0.2">
      <c r="B28" s="22">
        <v>2019</v>
      </c>
      <c r="C28" s="22" t="s">
        <v>7</v>
      </c>
      <c r="D28" s="238" t="s">
        <v>6420</v>
      </c>
      <c r="E28" s="234" t="s">
        <v>19</v>
      </c>
      <c r="F28" s="19">
        <v>3</v>
      </c>
      <c r="G28" s="19">
        <v>6</v>
      </c>
      <c r="H28" s="19">
        <v>442</v>
      </c>
      <c r="I28" s="19">
        <v>10</v>
      </c>
    </row>
    <row r="29" spans="2:9" x14ac:dyDescent="0.2">
      <c r="B29" s="22">
        <v>2019</v>
      </c>
      <c r="C29" s="22" t="s">
        <v>8</v>
      </c>
      <c r="D29" s="238" t="s">
        <v>6420</v>
      </c>
      <c r="E29" s="234" t="s">
        <v>20</v>
      </c>
      <c r="F29" s="19">
        <v>4</v>
      </c>
      <c r="G29" s="19">
        <v>6</v>
      </c>
      <c r="H29" s="19">
        <v>436</v>
      </c>
      <c r="I29" s="19">
        <v>70</v>
      </c>
    </row>
    <row r="30" spans="2:9" x14ac:dyDescent="0.2">
      <c r="B30" s="22">
        <v>2019</v>
      </c>
      <c r="C30" s="22" t="s">
        <v>8</v>
      </c>
      <c r="D30" s="238" t="s">
        <v>6420</v>
      </c>
      <c r="E30" s="234" t="s">
        <v>21</v>
      </c>
      <c r="F30" s="19">
        <v>5</v>
      </c>
      <c r="G30" s="19">
        <v>7</v>
      </c>
      <c r="H30" s="19">
        <v>448</v>
      </c>
      <c r="I30" s="19">
        <v>25</v>
      </c>
    </row>
    <row r="31" spans="2:9" x14ac:dyDescent="0.2">
      <c r="B31" s="22">
        <v>2019</v>
      </c>
      <c r="C31" s="22" t="s">
        <v>8</v>
      </c>
      <c r="D31" s="238" t="s">
        <v>6420</v>
      </c>
      <c r="E31" s="234" t="s">
        <v>19</v>
      </c>
      <c r="F31" s="19">
        <v>5</v>
      </c>
      <c r="G31" s="19">
        <v>9</v>
      </c>
      <c r="H31" s="19">
        <v>455</v>
      </c>
      <c r="I31" s="19">
        <v>47.5</v>
      </c>
    </row>
    <row r="32" spans="2:9" x14ac:dyDescent="0.2">
      <c r="B32" s="22">
        <v>2019</v>
      </c>
      <c r="C32" s="22" t="s">
        <v>8</v>
      </c>
      <c r="D32" s="238" t="s">
        <v>6420</v>
      </c>
      <c r="E32" s="234" t="s">
        <v>19</v>
      </c>
      <c r="F32" s="19">
        <v>3</v>
      </c>
      <c r="G32" s="19">
        <v>5</v>
      </c>
      <c r="H32" s="19">
        <v>470</v>
      </c>
      <c r="I32" s="19">
        <v>45</v>
      </c>
    </row>
    <row r="33" spans="2:12" x14ac:dyDescent="0.2">
      <c r="B33" s="22">
        <v>2019</v>
      </c>
      <c r="C33" s="22" t="s">
        <v>8</v>
      </c>
      <c r="D33" s="238" t="s">
        <v>6420</v>
      </c>
      <c r="E33" s="234" t="s">
        <v>19</v>
      </c>
      <c r="F33" s="19">
        <v>3</v>
      </c>
      <c r="G33" s="19">
        <v>9</v>
      </c>
      <c r="H33" s="19">
        <v>390</v>
      </c>
      <c r="I33" s="19">
        <v>75</v>
      </c>
    </row>
    <row r="34" spans="2:12" x14ac:dyDescent="0.2">
      <c r="B34" s="22">
        <v>2019</v>
      </c>
      <c r="C34" s="22" t="s">
        <v>8</v>
      </c>
      <c r="D34" s="238" t="s">
        <v>6420</v>
      </c>
      <c r="E34" s="234" t="s">
        <v>21</v>
      </c>
      <c r="F34" s="19">
        <v>5</v>
      </c>
      <c r="G34" s="19">
        <v>5</v>
      </c>
      <c r="H34" s="19">
        <v>438</v>
      </c>
      <c r="I34" s="19">
        <v>25</v>
      </c>
    </row>
    <row r="35" spans="2:12" x14ac:dyDescent="0.2">
      <c r="B35" s="22">
        <v>2019</v>
      </c>
      <c r="C35" s="22" t="s">
        <v>8</v>
      </c>
      <c r="D35" s="238" t="s">
        <v>6420</v>
      </c>
      <c r="E35" s="234" t="s">
        <v>19</v>
      </c>
      <c r="F35" s="19">
        <v>2</v>
      </c>
      <c r="G35" s="19">
        <v>7</v>
      </c>
      <c r="H35" s="19">
        <v>460</v>
      </c>
      <c r="I35" s="19">
        <v>27.5</v>
      </c>
    </row>
    <row r="36" spans="2:12" x14ac:dyDescent="0.2">
      <c r="B36" s="22">
        <v>2019</v>
      </c>
      <c r="C36" s="22" t="s">
        <v>7</v>
      </c>
      <c r="D36" s="238" t="s">
        <v>6420</v>
      </c>
      <c r="E36" s="234" t="s">
        <v>19</v>
      </c>
      <c r="F36" s="19">
        <v>3</v>
      </c>
      <c r="G36" s="19">
        <v>8</v>
      </c>
      <c r="H36" s="19">
        <v>395</v>
      </c>
      <c r="I36" s="19">
        <v>42.5</v>
      </c>
    </row>
    <row r="37" spans="2:12" x14ac:dyDescent="0.2">
      <c r="B37" s="22">
        <v>2019</v>
      </c>
      <c r="C37" s="22" t="s">
        <v>8</v>
      </c>
      <c r="D37" s="238" t="s">
        <v>6420</v>
      </c>
      <c r="E37" s="234" t="s">
        <v>19</v>
      </c>
      <c r="F37" s="19">
        <v>3</v>
      </c>
      <c r="G37" s="19">
        <v>3</v>
      </c>
      <c r="H37" s="19">
        <v>470</v>
      </c>
      <c r="I37" s="19">
        <v>40</v>
      </c>
    </row>
    <row r="38" spans="2:12" x14ac:dyDescent="0.2">
      <c r="B38" s="22">
        <v>2019</v>
      </c>
      <c r="C38" s="22" t="s">
        <v>8</v>
      </c>
      <c r="D38" s="238" t="s">
        <v>6420</v>
      </c>
      <c r="E38" s="234" t="s">
        <v>19</v>
      </c>
      <c r="F38" s="19">
        <v>4</v>
      </c>
      <c r="G38" s="19">
        <v>8</v>
      </c>
      <c r="H38" s="19">
        <v>445</v>
      </c>
      <c r="I38" s="19">
        <v>60</v>
      </c>
      <c r="K38" s="18"/>
      <c r="L38" s="18"/>
    </row>
    <row r="39" spans="2:12" x14ac:dyDescent="0.2">
      <c r="B39" s="22">
        <v>2019</v>
      </c>
      <c r="C39" s="22" t="s">
        <v>8</v>
      </c>
      <c r="D39" s="238" t="s">
        <v>6420</v>
      </c>
      <c r="E39" s="234" t="s">
        <v>19</v>
      </c>
      <c r="F39" s="19">
        <v>2</v>
      </c>
      <c r="G39" s="19">
        <v>6</v>
      </c>
      <c r="H39" s="19">
        <v>432</v>
      </c>
      <c r="I39" s="19">
        <v>120</v>
      </c>
      <c r="K39" s="18"/>
      <c r="L39" s="18"/>
    </row>
    <row r="40" spans="2:12" x14ac:dyDescent="0.2">
      <c r="B40" s="22">
        <v>2019</v>
      </c>
      <c r="C40" s="22" t="s">
        <v>8</v>
      </c>
      <c r="D40" s="238" t="s">
        <v>6420</v>
      </c>
      <c r="E40" s="234" t="s">
        <v>19</v>
      </c>
      <c r="F40" s="19">
        <v>3</v>
      </c>
      <c r="G40" s="19">
        <v>7</v>
      </c>
      <c r="H40" s="19">
        <v>418</v>
      </c>
      <c r="I40" s="19">
        <v>25</v>
      </c>
      <c r="K40" s="18"/>
      <c r="L40" s="18"/>
    </row>
    <row r="41" spans="2:12" x14ac:dyDescent="0.2">
      <c r="B41" s="22">
        <v>2019</v>
      </c>
      <c r="C41" s="22" t="s">
        <v>8</v>
      </c>
      <c r="D41" s="238" t="s">
        <v>6420</v>
      </c>
      <c r="E41" s="234" t="s">
        <v>19</v>
      </c>
      <c r="F41" s="19">
        <v>4</v>
      </c>
      <c r="G41" s="19">
        <v>9</v>
      </c>
      <c r="H41" s="19">
        <v>439</v>
      </c>
      <c r="I41" s="19">
        <v>10</v>
      </c>
      <c r="K41" s="18"/>
      <c r="L41" s="18"/>
    </row>
    <row r="42" spans="2:12" x14ac:dyDescent="0.2">
      <c r="B42" s="22">
        <v>2019</v>
      </c>
      <c r="C42" s="22" t="s">
        <v>8</v>
      </c>
      <c r="D42" s="238" t="s">
        <v>6420</v>
      </c>
      <c r="E42" s="234" t="s">
        <v>19</v>
      </c>
      <c r="F42" s="19">
        <v>3</v>
      </c>
      <c r="G42" s="19">
        <v>5</v>
      </c>
      <c r="H42" s="19">
        <v>455</v>
      </c>
      <c r="I42" s="19">
        <v>25</v>
      </c>
      <c r="K42" s="18"/>
      <c r="L42" s="18"/>
    </row>
    <row r="43" spans="2:12" x14ac:dyDescent="0.2">
      <c r="B43" s="22">
        <v>2019</v>
      </c>
      <c r="C43" s="22" t="s">
        <v>8</v>
      </c>
      <c r="D43" s="238" t="s">
        <v>6420</v>
      </c>
      <c r="E43" s="234" t="s">
        <v>19</v>
      </c>
      <c r="F43" s="19">
        <v>5</v>
      </c>
      <c r="G43" s="19">
        <v>8</v>
      </c>
      <c r="H43" s="19">
        <v>458</v>
      </c>
      <c r="I43" s="19">
        <v>40</v>
      </c>
      <c r="K43" s="18"/>
      <c r="L43" s="18"/>
    </row>
    <row r="44" spans="2:12" x14ac:dyDescent="0.2">
      <c r="B44" s="22">
        <v>2019</v>
      </c>
      <c r="C44" s="22" t="s">
        <v>8</v>
      </c>
      <c r="D44" s="238" t="s">
        <v>6420</v>
      </c>
      <c r="E44" s="234" t="s">
        <v>21</v>
      </c>
      <c r="F44" s="19">
        <v>4</v>
      </c>
      <c r="G44" s="19">
        <v>5</v>
      </c>
      <c r="H44" s="19">
        <v>448</v>
      </c>
      <c r="I44" s="19">
        <v>50</v>
      </c>
      <c r="K44" s="18"/>
      <c r="L44" s="18"/>
    </row>
    <row r="45" spans="2:12" x14ac:dyDescent="0.2">
      <c r="B45" s="22">
        <v>2019</v>
      </c>
      <c r="C45" s="22" t="s">
        <v>8</v>
      </c>
      <c r="D45" s="238" t="s">
        <v>6420</v>
      </c>
      <c r="E45" s="234" t="s">
        <v>19</v>
      </c>
      <c r="F45" s="19">
        <v>2</v>
      </c>
      <c r="G45" s="19">
        <v>7</v>
      </c>
      <c r="H45" s="19">
        <v>439</v>
      </c>
      <c r="I45" s="19">
        <v>60</v>
      </c>
      <c r="K45" s="18"/>
      <c r="L45" s="18"/>
    </row>
    <row r="46" spans="2:12" x14ac:dyDescent="0.2">
      <c r="B46" s="22">
        <v>2019</v>
      </c>
      <c r="C46" s="22" t="s">
        <v>7</v>
      </c>
      <c r="D46" s="238" t="s">
        <v>6420</v>
      </c>
      <c r="E46" s="234" t="s">
        <v>21</v>
      </c>
      <c r="F46" s="19">
        <v>5</v>
      </c>
      <c r="G46" s="19">
        <v>10</v>
      </c>
      <c r="H46" s="19">
        <v>440</v>
      </c>
      <c r="I46" s="19">
        <v>40</v>
      </c>
      <c r="K46" s="18"/>
      <c r="L46" s="18"/>
    </row>
    <row r="47" spans="2:12" x14ac:dyDescent="0.2">
      <c r="B47" s="22">
        <v>2019</v>
      </c>
      <c r="C47" s="22" t="s">
        <v>7</v>
      </c>
      <c r="D47" s="238" t="s">
        <v>6420</v>
      </c>
      <c r="E47" s="234" t="s">
        <v>19</v>
      </c>
      <c r="F47" s="19">
        <v>3</v>
      </c>
      <c r="G47" s="19">
        <v>6</v>
      </c>
      <c r="H47" s="19">
        <v>400</v>
      </c>
      <c r="I47" s="19">
        <v>30</v>
      </c>
      <c r="K47" s="18"/>
      <c r="L47" s="18"/>
    </row>
    <row r="48" spans="2:12" x14ac:dyDescent="0.2">
      <c r="B48" s="22">
        <v>2019</v>
      </c>
      <c r="C48" s="22" t="s">
        <v>8</v>
      </c>
      <c r="D48" s="238" t="s">
        <v>6420</v>
      </c>
      <c r="E48" s="234" t="s">
        <v>20</v>
      </c>
      <c r="F48" s="19">
        <v>4</v>
      </c>
      <c r="G48" s="19">
        <v>4</v>
      </c>
      <c r="H48" s="19">
        <v>454</v>
      </c>
      <c r="I48" s="19">
        <v>20</v>
      </c>
      <c r="K48" s="18"/>
      <c r="L48" s="18"/>
    </row>
    <row r="49" spans="2:12" x14ac:dyDescent="0.2">
      <c r="B49" s="22">
        <v>2019</v>
      </c>
      <c r="C49" s="22" t="s">
        <v>8</v>
      </c>
      <c r="D49" s="238" t="s">
        <v>6420</v>
      </c>
      <c r="E49" s="234" t="s">
        <v>21</v>
      </c>
      <c r="F49" s="19">
        <v>5</v>
      </c>
      <c r="G49" s="19">
        <v>5</v>
      </c>
      <c r="H49" s="19">
        <v>396</v>
      </c>
      <c r="I49" s="19">
        <v>50</v>
      </c>
      <c r="K49" s="18"/>
      <c r="L49" s="18"/>
    </row>
    <row r="50" spans="2:12" x14ac:dyDescent="0.2">
      <c r="B50" s="22">
        <v>2019</v>
      </c>
      <c r="C50" s="22" t="s">
        <v>8</v>
      </c>
      <c r="D50" s="238" t="s">
        <v>6420</v>
      </c>
      <c r="E50" s="234" t="s">
        <v>19</v>
      </c>
      <c r="F50" s="19">
        <v>3</v>
      </c>
      <c r="G50" s="19">
        <v>5</v>
      </c>
      <c r="H50" s="19">
        <v>452</v>
      </c>
      <c r="I50" s="19">
        <v>60</v>
      </c>
      <c r="K50" s="18"/>
      <c r="L50" s="18"/>
    </row>
    <row r="51" spans="2:12" x14ac:dyDescent="0.2">
      <c r="B51" s="22">
        <v>2019</v>
      </c>
      <c r="C51" s="22" t="s">
        <v>8</v>
      </c>
      <c r="D51" s="238" t="s">
        <v>6420</v>
      </c>
      <c r="E51" s="234" t="s">
        <v>21</v>
      </c>
      <c r="F51" s="19">
        <v>4</v>
      </c>
      <c r="G51" s="19">
        <v>9</v>
      </c>
      <c r="H51" s="19">
        <v>430</v>
      </c>
      <c r="I51" s="19">
        <v>30</v>
      </c>
      <c r="K51" s="18"/>
      <c r="L51" s="18"/>
    </row>
    <row r="52" spans="2:12" x14ac:dyDescent="0.2">
      <c r="B52" s="22">
        <v>2019</v>
      </c>
      <c r="C52" s="22" t="s">
        <v>8</v>
      </c>
      <c r="D52" s="238" t="s">
        <v>6420</v>
      </c>
      <c r="E52" s="234" t="s">
        <v>19</v>
      </c>
      <c r="F52" s="19">
        <v>3</v>
      </c>
      <c r="G52" s="19">
        <v>5</v>
      </c>
      <c r="H52" s="19">
        <v>409</v>
      </c>
      <c r="I52" s="19">
        <v>45</v>
      </c>
      <c r="K52" s="18"/>
      <c r="L52" s="18"/>
    </row>
    <row r="53" spans="2:12" x14ac:dyDescent="0.2">
      <c r="B53" s="22">
        <v>2019</v>
      </c>
      <c r="C53" s="22" t="s">
        <v>8</v>
      </c>
      <c r="D53" s="238" t="s">
        <v>6420</v>
      </c>
      <c r="E53" s="234" t="s">
        <v>19</v>
      </c>
      <c r="F53" s="19">
        <v>4</v>
      </c>
      <c r="G53" s="19">
        <v>6</v>
      </c>
      <c r="H53" s="19">
        <v>426</v>
      </c>
      <c r="I53" s="19">
        <v>20</v>
      </c>
      <c r="K53" s="18"/>
      <c r="L53" s="18"/>
    </row>
    <row r="54" spans="2:12" x14ac:dyDescent="0.2">
      <c r="B54" s="22">
        <v>2019</v>
      </c>
      <c r="C54" s="22" t="s">
        <v>8</v>
      </c>
      <c r="D54" s="238" t="s">
        <v>6420</v>
      </c>
      <c r="E54" s="234" t="s">
        <v>21</v>
      </c>
      <c r="F54" s="19">
        <v>5</v>
      </c>
      <c r="G54" s="19">
        <v>9</v>
      </c>
      <c r="H54" s="19">
        <v>391</v>
      </c>
      <c r="I54" s="19">
        <v>80</v>
      </c>
      <c r="K54" s="18"/>
      <c r="L54" s="18"/>
    </row>
    <row r="55" spans="2:12" x14ac:dyDescent="0.2">
      <c r="B55" s="22">
        <v>2019</v>
      </c>
      <c r="C55" s="22" t="s">
        <v>8</v>
      </c>
      <c r="D55" s="238" t="s">
        <v>6420</v>
      </c>
      <c r="E55" s="234" t="s">
        <v>19</v>
      </c>
      <c r="F55" s="19">
        <v>4</v>
      </c>
      <c r="G55" s="19">
        <v>5</v>
      </c>
      <c r="H55" s="19">
        <v>454</v>
      </c>
      <c r="I55" s="19">
        <v>20</v>
      </c>
      <c r="K55" s="18"/>
      <c r="L55" s="18"/>
    </row>
    <row r="56" spans="2:12" x14ac:dyDescent="0.2">
      <c r="B56" s="22">
        <v>2019</v>
      </c>
      <c r="C56" s="22" t="s">
        <v>8</v>
      </c>
      <c r="D56" s="238" t="s">
        <v>6420</v>
      </c>
      <c r="E56" s="234" t="s">
        <v>20</v>
      </c>
      <c r="F56" s="19">
        <v>2</v>
      </c>
      <c r="G56" s="19">
        <v>7</v>
      </c>
      <c r="H56" s="19">
        <v>390</v>
      </c>
      <c r="I56" s="19">
        <v>20</v>
      </c>
      <c r="K56" s="18"/>
      <c r="L56" s="18"/>
    </row>
    <row r="57" spans="2:12" x14ac:dyDescent="0.2">
      <c r="B57" s="22">
        <v>2019</v>
      </c>
      <c r="C57" s="22" t="s">
        <v>8</v>
      </c>
      <c r="D57" s="238" t="s">
        <v>6420</v>
      </c>
      <c r="E57" s="234" t="s">
        <v>19</v>
      </c>
      <c r="F57" s="19">
        <v>4</v>
      </c>
      <c r="G57" s="19">
        <v>7</v>
      </c>
      <c r="H57" s="19">
        <v>448</v>
      </c>
      <c r="I57" s="19">
        <v>90</v>
      </c>
      <c r="K57" s="18"/>
      <c r="L57" s="18"/>
    </row>
    <row r="58" spans="2:12" x14ac:dyDescent="0.2">
      <c r="B58" s="22">
        <v>2019</v>
      </c>
      <c r="C58" s="22" t="s">
        <v>8</v>
      </c>
      <c r="D58" s="238" t="s">
        <v>6420</v>
      </c>
      <c r="E58" s="234" t="s">
        <v>19</v>
      </c>
      <c r="F58" s="19">
        <v>5</v>
      </c>
      <c r="G58" s="19">
        <v>4</v>
      </c>
      <c r="H58" s="19">
        <v>391</v>
      </c>
      <c r="I58" s="19">
        <v>50</v>
      </c>
      <c r="K58" s="18"/>
      <c r="L58" s="18"/>
    </row>
    <row r="59" spans="2:12" x14ac:dyDescent="0.2">
      <c r="B59" s="22">
        <v>2019</v>
      </c>
      <c r="C59" s="22" t="s">
        <v>8</v>
      </c>
      <c r="D59" s="238" t="s">
        <v>6420</v>
      </c>
      <c r="E59" s="234" t="s">
        <v>20</v>
      </c>
      <c r="F59" s="19">
        <v>5</v>
      </c>
      <c r="G59" s="19">
        <v>6</v>
      </c>
      <c r="H59" s="19">
        <v>455</v>
      </c>
      <c r="I59" s="19">
        <v>60</v>
      </c>
      <c r="K59" s="18"/>
      <c r="L59" s="18"/>
    </row>
    <row r="60" spans="2:12" x14ac:dyDescent="0.2">
      <c r="B60" s="22">
        <v>2019</v>
      </c>
      <c r="C60" s="22" t="s">
        <v>8</v>
      </c>
      <c r="D60" s="238" t="s">
        <v>6420</v>
      </c>
      <c r="E60" s="234" t="s">
        <v>19</v>
      </c>
      <c r="F60" s="19">
        <v>3</v>
      </c>
      <c r="G60" s="19">
        <v>5</v>
      </c>
      <c r="H60" s="19">
        <v>406</v>
      </c>
      <c r="I60" s="19">
        <v>40</v>
      </c>
      <c r="K60" s="18"/>
      <c r="L60" s="18"/>
    </row>
    <row r="61" spans="2:12" x14ac:dyDescent="0.2">
      <c r="B61" s="22">
        <v>2019</v>
      </c>
      <c r="C61" s="22" t="s">
        <v>8</v>
      </c>
      <c r="D61" s="238" t="s">
        <v>6420</v>
      </c>
      <c r="E61" s="234" t="s">
        <v>21</v>
      </c>
      <c r="F61" s="19">
        <v>4</v>
      </c>
      <c r="G61" s="19">
        <v>6</v>
      </c>
      <c r="H61" s="19">
        <v>418</v>
      </c>
      <c r="I61" s="19">
        <v>50</v>
      </c>
      <c r="K61" s="18"/>
      <c r="L61" s="18"/>
    </row>
    <row r="62" spans="2:12" x14ac:dyDescent="0.2">
      <c r="B62" s="22">
        <v>2019</v>
      </c>
      <c r="C62" s="22" t="s">
        <v>8</v>
      </c>
      <c r="D62" s="238" t="s">
        <v>6420</v>
      </c>
      <c r="E62" s="234" t="s">
        <v>19</v>
      </c>
      <c r="F62" s="19">
        <v>2</v>
      </c>
      <c r="G62" s="19">
        <v>9</v>
      </c>
      <c r="H62" s="19">
        <v>442</v>
      </c>
      <c r="I62" s="19">
        <v>30</v>
      </c>
      <c r="K62" s="18"/>
      <c r="L62" s="18"/>
    </row>
    <row r="63" spans="2:12" x14ac:dyDescent="0.2">
      <c r="B63" s="22">
        <v>2019</v>
      </c>
      <c r="C63" s="22" t="s">
        <v>7</v>
      </c>
      <c r="D63" s="238" t="s">
        <v>6420</v>
      </c>
      <c r="E63" s="234" t="s">
        <v>19</v>
      </c>
      <c r="F63" s="19">
        <v>4</v>
      </c>
      <c r="G63" s="19">
        <v>2</v>
      </c>
      <c r="H63" s="19">
        <v>472</v>
      </c>
      <c r="I63" s="19">
        <v>52.5</v>
      </c>
      <c r="K63" s="18"/>
      <c r="L63" s="18"/>
    </row>
    <row r="64" spans="2:12" x14ac:dyDescent="0.2">
      <c r="B64" s="22">
        <v>2019</v>
      </c>
      <c r="C64" s="22" t="s">
        <v>8</v>
      </c>
      <c r="D64" s="238" t="s">
        <v>6420</v>
      </c>
      <c r="E64" s="234" t="s">
        <v>19</v>
      </c>
      <c r="F64" s="19">
        <v>4</v>
      </c>
      <c r="G64" s="19">
        <v>5</v>
      </c>
      <c r="H64" s="19">
        <v>478</v>
      </c>
      <c r="I64" s="19">
        <v>35</v>
      </c>
      <c r="K64" s="18"/>
      <c r="L64" s="18"/>
    </row>
    <row r="65" spans="2:12" x14ac:dyDescent="0.2">
      <c r="B65" s="41">
        <v>2019</v>
      </c>
      <c r="C65" s="41" t="s">
        <v>8</v>
      </c>
      <c r="D65" s="235" t="s">
        <v>6420</v>
      </c>
      <c r="E65" s="235" t="s">
        <v>21</v>
      </c>
      <c r="F65" s="42">
        <v>5</v>
      </c>
      <c r="G65" s="42">
        <v>6</v>
      </c>
      <c r="H65" s="42">
        <v>469</v>
      </c>
      <c r="I65" s="42">
        <v>50</v>
      </c>
      <c r="K65" s="18"/>
      <c r="L65" s="18"/>
    </row>
    <row r="66" spans="2:12" x14ac:dyDescent="0.2">
      <c r="B66" s="41">
        <v>2019</v>
      </c>
      <c r="C66" s="41" t="s">
        <v>7</v>
      </c>
      <c r="D66" s="235" t="s">
        <v>6420</v>
      </c>
      <c r="E66" s="235" t="s">
        <v>20</v>
      </c>
      <c r="F66" s="42">
        <v>5</v>
      </c>
      <c r="G66" s="42">
        <v>7</v>
      </c>
      <c r="H66" s="42">
        <v>456</v>
      </c>
      <c r="I66" s="42">
        <v>60</v>
      </c>
      <c r="K66" s="18"/>
      <c r="L66" s="18"/>
    </row>
    <row r="67" spans="2:12" x14ac:dyDescent="0.2">
      <c r="B67" s="41">
        <v>2019</v>
      </c>
      <c r="C67" s="41" t="s">
        <v>7</v>
      </c>
      <c r="D67" s="235" t="s">
        <v>6420</v>
      </c>
      <c r="E67" s="235" t="s">
        <v>20</v>
      </c>
      <c r="F67" s="42">
        <v>5</v>
      </c>
      <c r="G67" s="42">
        <v>6</v>
      </c>
      <c r="H67" s="42">
        <v>470</v>
      </c>
      <c r="I67" s="42">
        <v>23</v>
      </c>
      <c r="K67" s="18"/>
      <c r="L67" s="18"/>
    </row>
    <row r="68" spans="2:12" x14ac:dyDescent="0.2">
      <c r="B68" s="41">
        <v>2019</v>
      </c>
      <c r="C68" s="41" t="s">
        <v>7</v>
      </c>
      <c r="D68" s="235" t="s">
        <v>6420</v>
      </c>
      <c r="E68" s="235" t="s">
        <v>20</v>
      </c>
      <c r="F68" s="42">
        <v>3</v>
      </c>
      <c r="G68" s="42">
        <v>6</v>
      </c>
      <c r="H68" s="42">
        <v>402</v>
      </c>
      <c r="I68" s="42">
        <v>40</v>
      </c>
      <c r="K68" s="18"/>
      <c r="L68" s="18"/>
    </row>
    <row r="69" spans="2:12" x14ac:dyDescent="0.2">
      <c r="B69" s="41">
        <v>2019</v>
      </c>
      <c r="C69" s="41" t="s">
        <v>8</v>
      </c>
      <c r="D69" s="235" t="s">
        <v>6420</v>
      </c>
      <c r="E69" s="235" t="s">
        <v>21</v>
      </c>
      <c r="F69" s="42">
        <v>5</v>
      </c>
      <c r="G69" s="42">
        <v>7</v>
      </c>
      <c r="H69" s="42">
        <v>455</v>
      </c>
      <c r="I69" s="42">
        <v>90</v>
      </c>
      <c r="K69" s="18"/>
      <c r="L69" s="18"/>
    </row>
    <row r="70" spans="2:12" x14ac:dyDescent="0.2">
      <c r="B70" s="41">
        <v>2019</v>
      </c>
      <c r="C70" s="41" t="s">
        <v>8</v>
      </c>
      <c r="D70" s="235" t="s">
        <v>6420</v>
      </c>
      <c r="E70" s="235" t="s">
        <v>20</v>
      </c>
      <c r="F70" s="42">
        <v>2</v>
      </c>
      <c r="G70" s="42">
        <v>7</v>
      </c>
      <c r="H70" s="42">
        <v>415</v>
      </c>
      <c r="I70" s="42">
        <v>20</v>
      </c>
      <c r="K70" s="18"/>
      <c r="L70" s="18"/>
    </row>
    <row r="71" spans="2:12" x14ac:dyDescent="0.2">
      <c r="B71" s="41">
        <v>2019</v>
      </c>
      <c r="C71" s="41" t="s">
        <v>7</v>
      </c>
      <c r="D71" s="235" t="s">
        <v>6420</v>
      </c>
      <c r="E71" s="235" t="s">
        <v>21</v>
      </c>
      <c r="F71" s="42">
        <v>5</v>
      </c>
      <c r="G71" s="42">
        <v>7</v>
      </c>
      <c r="H71" s="42">
        <v>430</v>
      </c>
      <c r="I71" s="42">
        <v>22.5</v>
      </c>
      <c r="K71" s="18"/>
      <c r="L71" s="18"/>
    </row>
    <row r="72" spans="2:12" x14ac:dyDescent="0.2">
      <c r="B72" s="41">
        <v>2019</v>
      </c>
      <c r="C72" s="41" t="s">
        <v>8</v>
      </c>
      <c r="D72" s="235" t="s">
        <v>6421</v>
      </c>
      <c r="E72" s="235" t="s">
        <v>20</v>
      </c>
      <c r="F72" s="42">
        <v>5</v>
      </c>
      <c r="G72" s="42">
        <v>9</v>
      </c>
      <c r="H72" s="42">
        <v>421</v>
      </c>
      <c r="I72" s="42">
        <v>50</v>
      </c>
      <c r="K72" s="18"/>
      <c r="L72" s="18"/>
    </row>
    <row r="73" spans="2:12" x14ac:dyDescent="0.2">
      <c r="B73" s="231">
        <v>2019</v>
      </c>
      <c r="C73" s="231" t="s">
        <v>7</v>
      </c>
      <c r="D73" s="236" t="s">
        <v>6421</v>
      </c>
      <c r="E73" s="236" t="s">
        <v>21</v>
      </c>
      <c r="F73" s="232">
        <v>5</v>
      </c>
      <c r="G73" s="232">
        <v>11</v>
      </c>
      <c r="H73" s="232">
        <v>465</v>
      </c>
      <c r="I73" s="232">
        <v>35</v>
      </c>
      <c r="K73" s="18"/>
      <c r="L73" s="18"/>
    </row>
    <row r="74" spans="2:12" x14ac:dyDescent="0.2">
      <c r="B74" s="231">
        <v>2019</v>
      </c>
      <c r="C74" s="231" t="s">
        <v>7</v>
      </c>
      <c r="D74" s="236" t="s">
        <v>6418</v>
      </c>
      <c r="E74" s="236" t="s">
        <v>21</v>
      </c>
      <c r="F74" s="232">
        <v>4</v>
      </c>
      <c r="G74" s="232">
        <v>3</v>
      </c>
      <c r="H74" s="232">
        <v>428</v>
      </c>
      <c r="I74" s="232">
        <v>50</v>
      </c>
      <c r="K74" s="18"/>
      <c r="L74" s="18"/>
    </row>
    <row r="75" spans="2:12" x14ac:dyDescent="0.2">
      <c r="B75" s="231">
        <v>2019</v>
      </c>
      <c r="C75" s="231" t="s">
        <v>8</v>
      </c>
      <c r="D75" s="236" t="s">
        <v>6418</v>
      </c>
      <c r="E75" s="236" t="s">
        <v>19</v>
      </c>
      <c r="F75" s="232">
        <v>5</v>
      </c>
      <c r="G75" s="232">
        <v>6</v>
      </c>
      <c r="H75" s="232">
        <v>473</v>
      </c>
      <c r="I75" s="232">
        <v>20</v>
      </c>
      <c r="K75" s="18"/>
      <c r="L75" s="18"/>
    </row>
    <row r="76" spans="2:12" x14ac:dyDescent="0.2">
      <c r="B76" s="231">
        <v>2019</v>
      </c>
      <c r="C76" s="231" t="s">
        <v>7</v>
      </c>
      <c r="D76" s="236" t="s">
        <v>6418</v>
      </c>
      <c r="E76" s="236" t="s">
        <v>20</v>
      </c>
      <c r="F76" s="232">
        <v>5</v>
      </c>
      <c r="G76" s="232">
        <v>7</v>
      </c>
      <c r="H76" s="232">
        <v>492</v>
      </c>
      <c r="I76" s="232">
        <v>20</v>
      </c>
      <c r="K76" s="18"/>
      <c r="L76" s="18"/>
    </row>
    <row r="77" spans="2:12" x14ac:dyDescent="0.2">
      <c r="B77" s="231">
        <v>2019</v>
      </c>
      <c r="C77" s="231" t="s">
        <v>8</v>
      </c>
      <c r="D77" s="236" t="s">
        <v>6418</v>
      </c>
      <c r="E77" s="236" t="s">
        <v>19</v>
      </c>
      <c r="F77" s="232">
        <v>4</v>
      </c>
      <c r="G77" s="232">
        <v>7</v>
      </c>
      <c r="H77" s="232">
        <v>412</v>
      </c>
      <c r="I77" s="232">
        <v>50</v>
      </c>
      <c r="K77" s="18"/>
      <c r="L77" s="18"/>
    </row>
    <row r="78" spans="2:12" x14ac:dyDescent="0.2">
      <c r="B78" s="231">
        <v>2019</v>
      </c>
      <c r="C78" s="231" t="s">
        <v>8</v>
      </c>
      <c r="D78" s="236" t="s">
        <v>6418</v>
      </c>
      <c r="E78" s="236" t="s">
        <v>21</v>
      </c>
      <c r="F78" s="232">
        <v>5</v>
      </c>
      <c r="G78" s="232">
        <v>4</v>
      </c>
      <c r="H78" s="232">
        <v>414</v>
      </c>
      <c r="I78" s="232">
        <v>45</v>
      </c>
      <c r="K78" s="18"/>
      <c r="L78" s="18"/>
    </row>
    <row r="79" spans="2:12" x14ac:dyDescent="0.2">
      <c r="B79" s="231">
        <v>2019</v>
      </c>
      <c r="C79" s="231" t="s">
        <v>8</v>
      </c>
      <c r="D79" s="236" t="s">
        <v>6418</v>
      </c>
      <c r="E79" s="236" t="s">
        <v>21</v>
      </c>
      <c r="F79" s="232">
        <v>5</v>
      </c>
      <c r="G79" s="232">
        <v>7</v>
      </c>
      <c r="H79" s="232">
        <v>430</v>
      </c>
      <c r="I79" s="232">
        <v>120</v>
      </c>
      <c r="K79" s="18"/>
      <c r="L79" s="18"/>
    </row>
    <row r="80" spans="2:12" x14ac:dyDescent="0.2">
      <c r="B80" s="231">
        <v>2019</v>
      </c>
      <c r="C80" s="231" t="s">
        <v>8</v>
      </c>
      <c r="D80" s="236" t="s">
        <v>6418</v>
      </c>
      <c r="E80" s="236" t="s">
        <v>19</v>
      </c>
      <c r="F80" s="232">
        <v>5</v>
      </c>
      <c r="G80" s="232">
        <v>7</v>
      </c>
      <c r="H80" s="232">
        <v>482</v>
      </c>
      <c r="I80" s="232">
        <v>15</v>
      </c>
      <c r="K80" s="18"/>
      <c r="L80" s="18"/>
    </row>
    <row r="81" spans="2:12" x14ac:dyDescent="0.2">
      <c r="B81" s="231">
        <v>2019</v>
      </c>
      <c r="C81" s="231" t="s">
        <v>7</v>
      </c>
      <c r="D81" s="236" t="s">
        <v>6418</v>
      </c>
      <c r="E81" s="236" t="s">
        <v>21</v>
      </c>
      <c r="F81" s="232">
        <v>4</v>
      </c>
      <c r="G81" s="232">
        <v>5</v>
      </c>
      <c r="H81" s="232">
        <v>462</v>
      </c>
      <c r="I81" s="232">
        <v>45</v>
      </c>
      <c r="K81" s="18"/>
      <c r="L81" s="18"/>
    </row>
    <row r="82" spans="2:12" x14ac:dyDescent="0.2">
      <c r="B82" s="231">
        <v>2019</v>
      </c>
      <c r="C82" s="231" t="s">
        <v>7</v>
      </c>
      <c r="D82" s="236" t="s">
        <v>6418</v>
      </c>
      <c r="E82" s="236" t="s">
        <v>19</v>
      </c>
      <c r="F82" s="232">
        <v>3</v>
      </c>
      <c r="G82" s="232">
        <v>10</v>
      </c>
      <c r="H82" s="232">
        <v>420</v>
      </c>
      <c r="I82" s="232">
        <v>35</v>
      </c>
      <c r="K82" s="18"/>
      <c r="L82" s="18"/>
    </row>
    <row r="83" spans="2:12" x14ac:dyDescent="0.2">
      <c r="B83" s="231">
        <v>2019</v>
      </c>
      <c r="C83" s="231" t="s">
        <v>7</v>
      </c>
      <c r="D83" s="236" t="s">
        <v>6418</v>
      </c>
      <c r="E83" s="236" t="s">
        <v>19</v>
      </c>
      <c r="F83" s="232">
        <v>2</v>
      </c>
      <c r="G83" s="232">
        <v>6</v>
      </c>
      <c r="H83" s="232">
        <v>436</v>
      </c>
      <c r="I83" s="232">
        <v>40</v>
      </c>
      <c r="K83" s="18"/>
      <c r="L83" s="18"/>
    </row>
    <row r="84" spans="2:12" x14ac:dyDescent="0.2">
      <c r="B84" s="231">
        <v>2019</v>
      </c>
      <c r="C84" s="231" t="s">
        <v>7</v>
      </c>
      <c r="D84" s="236" t="s">
        <v>6418</v>
      </c>
      <c r="E84" s="236" t="s">
        <v>19</v>
      </c>
      <c r="F84" s="232">
        <v>4</v>
      </c>
      <c r="G84" s="232">
        <v>9</v>
      </c>
      <c r="H84" s="232">
        <v>420</v>
      </c>
      <c r="I84" s="232">
        <v>15</v>
      </c>
      <c r="K84" s="18"/>
      <c r="L84" s="18"/>
    </row>
    <row r="85" spans="2:12" x14ac:dyDescent="0.2">
      <c r="B85" s="231">
        <v>2019</v>
      </c>
      <c r="C85" s="231" t="s">
        <v>8</v>
      </c>
      <c r="D85" s="236" t="s">
        <v>6418</v>
      </c>
      <c r="E85" s="236" t="s">
        <v>19</v>
      </c>
      <c r="F85" s="232">
        <v>4</v>
      </c>
      <c r="G85" s="232">
        <v>4</v>
      </c>
      <c r="H85" s="232">
        <v>478</v>
      </c>
      <c r="I85" s="232">
        <v>25</v>
      </c>
      <c r="K85" s="18"/>
      <c r="L85" s="18"/>
    </row>
    <row r="86" spans="2:12" x14ac:dyDescent="0.2">
      <c r="B86" s="231">
        <v>2019</v>
      </c>
      <c r="C86" s="231" t="s">
        <v>7</v>
      </c>
      <c r="D86" s="236" t="s">
        <v>6418</v>
      </c>
      <c r="E86" s="236" t="s">
        <v>20</v>
      </c>
      <c r="F86" s="232">
        <v>5</v>
      </c>
      <c r="G86" s="232">
        <v>3</v>
      </c>
      <c r="H86" s="232">
        <v>468</v>
      </c>
      <c r="I86" s="232">
        <v>15</v>
      </c>
      <c r="K86" s="18"/>
      <c r="L86" s="18"/>
    </row>
    <row r="87" spans="2:12" x14ac:dyDescent="0.2">
      <c r="B87" s="231">
        <v>2019</v>
      </c>
      <c r="C87" s="231" t="s">
        <v>7</v>
      </c>
      <c r="D87" s="236" t="s">
        <v>6418</v>
      </c>
      <c r="E87" s="236" t="s">
        <v>20</v>
      </c>
      <c r="F87" s="232">
        <v>2</v>
      </c>
      <c r="G87" s="232">
        <v>7</v>
      </c>
      <c r="H87" s="232">
        <v>470</v>
      </c>
      <c r="I87" s="232">
        <v>3</v>
      </c>
      <c r="K87" s="18"/>
      <c r="L87" s="18"/>
    </row>
    <row r="88" spans="2:12" x14ac:dyDescent="0.2">
      <c r="B88" s="231">
        <v>2019</v>
      </c>
      <c r="C88" s="231" t="s">
        <v>8</v>
      </c>
      <c r="D88" s="236" t="s">
        <v>6418</v>
      </c>
      <c r="E88" s="236" t="s">
        <v>19</v>
      </c>
      <c r="F88" s="232">
        <v>3</v>
      </c>
      <c r="G88" s="232">
        <v>8</v>
      </c>
      <c r="H88" s="232">
        <v>465</v>
      </c>
      <c r="I88" s="232">
        <v>20</v>
      </c>
      <c r="K88" s="18"/>
      <c r="L88" s="18"/>
    </row>
    <row r="89" spans="2:12" x14ac:dyDescent="0.2">
      <c r="B89" s="231">
        <v>2019</v>
      </c>
      <c r="C89" s="231" t="s">
        <v>8</v>
      </c>
      <c r="D89" s="236" t="s">
        <v>6418</v>
      </c>
      <c r="E89" s="236" t="s">
        <v>20</v>
      </c>
      <c r="F89" s="232">
        <v>5</v>
      </c>
      <c r="G89" s="232">
        <v>7</v>
      </c>
      <c r="H89" s="232">
        <v>478</v>
      </c>
      <c r="I89" s="232">
        <v>40</v>
      </c>
      <c r="K89" s="18"/>
      <c r="L89" s="18"/>
    </row>
    <row r="90" spans="2:12" x14ac:dyDescent="0.2">
      <c r="B90" s="231">
        <v>2019</v>
      </c>
      <c r="C90" s="231" t="s">
        <v>8</v>
      </c>
      <c r="D90" s="236" t="s">
        <v>6418</v>
      </c>
      <c r="E90" s="236" t="s">
        <v>19</v>
      </c>
      <c r="F90" s="232">
        <v>2</v>
      </c>
      <c r="G90" s="232">
        <v>7</v>
      </c>
      <c r="H90" s="232">
        <v>420</v>
      </c>
      <c r="I90" s="232">
        <v>42.5</v>
      </c>
      <c r="K90" s="18"/>
      <c r="L90" s="18"/>
    </row>
    <row r="91" spans="2:12" x14ac:dyDescent="0.2">
      <c r="B91" s="231">
        <v>2019</v>
      </c>
      <c r="C91" s="231" t="s">
        <v>7</v>
      </c>
      <c r="D91" s="236" t="s">
        <v>6418</v>
      </c>
      <c r="E91" s="236" t="s">
        <v>20</v>
      </c>
      <c r="F91" s="232">
        <v>5</v>
      </c>
      <c r="G91" s="232">
        <v>5</v>
      </c>
      <c r="H91" s="232">
        <v>460</v>
      </c>
      <c r="I91" s="232">
        <v>20</v>
      </c>
      <c r="K91" s="18"/>
      <c r="L91" s="18"/>
    </row>
    <row r="92" spans="2:12" x14ac:dyDescent="0.2">
      <c r="B92" s="231">
        <v>2019</v>
      </c>
      <c r="C92" s="231" t="s">
        <v>7</v>
      </c>
      <c r="D92" s="236" t="s">
        <v>6418</v>
      </c>
      <c r="E92" s="236" t="s">
        <v>21</v>
      </c>
      <c r="F92" s="232">
        <v>5</v>
      </c>
      <c r="G92" s="232">
        <v>9</v>
      </c>
      <c r="H92" s="232">
        <v>467</v>
      </c>
      <c r="I92" s="232">
        <v>15</v>
      </c>
      <c r="K92" s="18"/>
      <c r="L92" s="18"/>
    </row>
    <row r="93" spans="2:12" x14ac:dyDescent="0.2">
      <c r="B93" s="231">
        <v>2019</v>
      </c>
      <c r="C93" s="231" t="s">
        <v>8</v>
      </c>
      <c r="D93" s="236" t="s">
        <v>6418</v>
      </c>
      <c r="E93" s="236" t="s">
        <v>21</v>
      </c>
      <c r="F93" s="232">
        <v>5</v>
      </c>
      <c r="G93" s="232">
        <v>7</v>
      </c>
      <c r="H93" s="232">
        <v>440</v>
      </c>
      <c r="I93" s="232">
        <v>30</v>
      </c>
      <c r="K93" s="18"/>
      <c r="L93" s="18"/>
    </row>
    <row r="94" spans="2:12" x14ac:dyDescent="0.2">
      <c r="B94" s="231">
        <v>2019</v>
      </c>
      <c r="C94" s="231" t="s">
        <v>8</v>
      </c>
      <c r="D94" s="236" t="s">
        <v>6418</v>
      </c>
      <c r="E94" s="236" t="s">
        <v>20</v>
      </c>
      <c r="F94" s="232">
        <v>2</v>
      </c>
      <c r="G94" s="232">
        <v>7</v>
      </c>
      <c r="H94" s="232">
        <v>420</v>
      </c>
      <c r="I94" s="232">
        <v>45</v>
      </c>
      <c r="K94" s="18"/>
      <c r="L94" s="18"/>
    </row>
    <row r="95" spans="2:12" x14ac:dyDescent="0.2">
      <c r="B95" s="231">
        <v>2019</v>
      </c>
      <c r="C95" s="231" t="s">
        <v>8</v>
      </c>
      <c r="D95" s="236" t="s">
        <v>6418</v>
      </c>
      <c r="E95" s="236" t="s">
        <v>19</v>
      </c>
      <c r="F95" s="232">
        <v>4</v>
      </c>
      <c r="G95" s="232">
        <v>5</v>
      </c>
      <c r="H95" s="232">
        <v>438</v>
      </c>
      <c r="I95" s="232">
        <v>60</v>
      </c>
      <c r="K95" s="18"/>
      <c r="L95" s="18"/>
    </row>
    <row r="96" spans="2:12" x14ac:dyDescent="0.2">
      <c r="B96" s="231">
        <v>2019</v>
      </c>
      <c r="C96" s="231" t="s">
        <v>8</v>
      </c>
      <c r="D96" s="236" t="s">
        <v>6418</v>
      </c>
      <c r="E96" s="236" t="s">
        <v>19</v>
      </c>
      <c r="F96" s="232">
        <v>3</v>
      </c>
      <c r="G96" s="232">
        <v>9</v>
      </c>
      <c r="H96" s="232">
        <v>470</v>
      </c>
      <c r="I96" s="232">
        <v>15</v>
      </c>
      <c r="K96" s="18"/>
      <c r="L96" s="18"/>
    </row>
    <row r="97" spans="2:12" x14ac:dyDescent="0.2">
      <c r="B97" s="231">
        <v>2019</v>
      </c>
      <c r="C97" s="231" t="s">
        <v>8</v>
      </c>
      <c r="D97" s="236" t="s">
        <v>6418</v>
      </c>
      <c r="E97" s="236" t="s">
        <v>19</v>
      </c>
      <c r="F97" s="232">
        <v>3</v>
      </c>
      <c r="G97" s="232">
        <v>8</v>
      </c>
      <c r="H97" s="232">
        <v>452</v>
      </c>
      <c r="I97" s="232">
        <v>20</v>
      </c>
      <c r="K97" s="18"/>
      <c r="L97" s="18"/>
    </row>
    <row r="98" spans="2:12" x14ac:dyDescent="0.2">
      <c r="B98" s="231">
        <v>2019</v>
      </c>
      <c r="C98" s="231" t="s">
        <v>7</v>
      </c>
      <c r="D98" s="236" t="s">
        <v>6418</v>
      </c>
      <c r="E98" s="236" t="s">
        <v>21</v>
      </c>
      <c r="F98" s="232">
        <v>5</v>
      </c>
      <c r="G98" s="232">
        <v>3</v>
      </c>
      <c r="H98" s="232">
        <v>488</v>
      </c>
      <c r="I98" s="232">
        <v>30</v>
      </c>
      <c r="K98" s="18"/>
      <c r="L98" s="18"/>
    </row>
    <row r="99" spans="2:12" x14ac:dyDescent="0.2">
      <c r="B99" s="231">
        <v>2019</v>
      </c>
      <c r="C99" s="231" t="s">
        <v>8</v>
      </c>
      <c r="D99" s="236" t="s">
        <v>6418</v>
      </c>
      <c r="E99" s="236" t="s">
        <v>19</v>
      </c>
      <c r="F99" s="232">
        <v>4</v>
      </c>
      <c r="G99" s="232">
        <v>6</v>
      </c>
      <c r="H99" s="232">
        <v>472</v>
      </c>
      <c r="I99" s="232">
        <v>20</v>
      </c>
      <c r="K99" s="18"/>
      <c r="L99" s="18"/>
    </row>
    <row r="100" spans="2:12" x14ac:dyDescent="0.2">
      <c r="B100" s="231">
        <v>2019</v>
      </c>
      <c r="C100" s="231" t="s">
        <v>8</v>
      </c>
      <c r="D100" s="236" t="s">
        <v>6418</v>
      </c>
      <c r="E100" s="236" t="s">
        <v>20</v>
      </c>
      <c r="F100" s="232">
        <v>5</v>
      </c>
      <c r="G100" s="232">
        <v>8</v>
      </c>
      <c r="H100" s="232">
        <v>456</v>
      </c>
      <c r="I100" s="232">
        <v>17.5</v>
      </c>
      <c r="K100" s="18"/>
      <c r="L100" s="18"/>
    </row>
    <row r="101" spans="2:12" x14ac:dyDescent="0.2">
      <c r="B101" s="231">
        <v>2019</v>
      </c>
      <c r="C101" s="231" t="s">
        <v>7</v>
      </c>
      <c r="D101" s="236" t="s">
        <v>6418</v>
      </c>
      <c r="E101" s="236" t="s">
        <v>21</v>
      </c>
      <c r="F101" s="232">
        <v>4</v>
      </c>
      <c r="G101" s="232">
        <v>3</v>
      </c>
      <c r="H101" s="232">
        <v>458</v>
      </c>
      <c r="I101" s="232">
        <v>45</v>
      </c>
      <c r="K101" s="18"/>
      <c r="L101" s="18"/>
    </row>
    <row r="102" spans="2:12" x14ac:dyDescent="0.2">
      <c r="B102" s="231">
        <v>2019</v>
      </c>
      <c r="C102" s="231" t="s">
        <v>8</v>
      </c>
      <c r="D102" s="236" t="s">
        <v>6418</v>
      </c>
      <c r="E102" s="236" t="s">
        <v>19</v>
      </c>
      <c r="F102" s="232">
        <v>5</v>
      </c>
      <c r="G102" s="232">
        <v>4</v>
      </c>
      <c r="H102" s="232">
        <v>456</v>
      </c>
      <c r="I102" s="232">
        <v>38</v>
      </c>
      <c r="K102" s="18"/>
      <c r="L102" s="18"/>
    </row>
    <row r="103" spans="2:12" x14ac:dyDescent="0.2">
      <c r="B103" s="231">
        <v>2019</v>
      </c>
      <c r="C103" s="231" t="s">
        <v>7</v>
      </c>
      <c r="D103" s="236" t="s">
        <v>6418</v>
      </c>
      <c r="E103" s="236" t="s">
        <v>21</v>
      </c>
      <c r="F103" s="232">
        <v>5</v>
      </c>
      <c r="G103" s="232">
        <v>7</v>
      </c>
      <c r="H103" s="232">
        <v>464</v>
      </c>
      <c r="I103" s="232">
        <v>80</v>
      </c>
      <c r="K103" s="18"/>
      <c r="L103" s="18"/>
    </row>
    <row r="104" spans="2:12" x14ac:dyDescent="0.2">
      <c r="B104" s="231">
        <v>2019</v>
      </c>
      <c r="C104" s="231" t="s">
        <v>8</v>
      </c>
      <c r="D104" s="236" t="s">
        <v>6418</v>
      </c>
      <c r="E104" s="236" t="s">
        <v>19</v>
      </c>
      <c r="F104" s="232">
        <v>4</v>
      </c>
      <c r="G104" s="232">
        <v>6</v>
      </c>
      <c r="H104" s="232">
        <v>462</v>
      </c>
      <c r="I104" s="232">
        <v>40</v>
      </c>
      <c r="K104" s="18"/>
      <c r="L104" s="18"/>
    </row>
    <row r="105" spans="2:12" x14ac:dyDescent="0.2">
      <c r="B105" s="231">
        <v>2019</v>
      </c>
      <c r="C105" s="231" t="s">
        <v>8</v>
      </c>
      <c r="D105" s="236" t="s">
        <v>6418</v>
      </c>
      <c r="E105" s="236" t="s">
        <v>20</v>
      </c>
      <c r="F105" s="232">
        <v>4</v>
      </c>
      <c r="G105" s="232">
        <v>6</v>
      </c>
      <c r="H105" s="232">
        <v>456</v>
      </c>
      <c r="I105" s="232">
        <v>75</v>
      </c>
      <c r="K105" s="18"/>
      <c r="L105" s="18"/>
    </row>
    <row r="106" spans="2:12" x14ac:dyDescent="0.2">
      <c r="B106" s="231">
        <v>2019</v>
      </c>
      <c r="C106" s="231" t="s">
        <v>7</v>
      </c>
      <c r="D106" s="236" t="s">
        <v>6418</v>
      </c>
      <c r="E106" s="236" t="s">
        <v>19</v>
      </c>
      <c r="F106" s="232">
        <v>5</v>
      </c>
      <c r="G106" s="232">
        <v>3</v>
      </c>
      <c r="H106" s="232">
        <v>469</v>
      </c>
      <c r="I106" s="232">
        <v>30</v>
      </c>
      <c r="K106" s="18"/>
      <c r="L106" s="18"/>
    </row>
    <row r="107" spans="2:12" x14ac:dyDescent="0.2">
      <c r="B107" s="231">
        <v>2019</v>
      </c>
      <c r="C107" s="231" t="s">
        <v>7</v>
      </c>
      <c r="D107" s="236" t="s">
        <v>6418</v>
      </c>
      <c r="E107" s="236" t="s">
        <v>21</v>
      </c>
      <c r="F107" s="232">
        <v>5</v>
      </c>
      <c r="G107" s="232">
        <v>7</v>
      </c>
      <c r="H107" s="232">
        <v>459</v>
      </c>
      <c r="I107" s="232">
        <v>35</v>
      </c>
      <c r="K107" s="18"/>
      <c r="L107" s="18"/>
    </row>
    <row r="108" spans="2:12" x14ac:dyDescent="0.2">
      <c r="B108" s="231">
        <v>2019</v>
      </c>
      <c r="C108" s="231" t="s">
        <v>8</v>
      </c>
      <c r="D108" s="236" t="s">
        <v>6418</v>
      </c>
      <c r="E108" s="236" t="s">
        <v>19</v>
      </c>
      <c r="F108" s="232">
        <v>3</v>
      </c>
      <c r="G108" s="232">
        <v>8</v>
      </c>
      <c r="H108" s="232">
        <v>430</v>
      </c>
      <c r="I108" s="232">
        <v>60</v>
      </c>
      <c r="K108" s="18"/>
      <c r="L108" s="18"/>
    </row>
    <row r="109" spans="2:12" x14ac:dyDescent="0.2">
      <c r="B109" s="231">
        <v>2019</v>
      </c>
      <c r="C109" s="231" t="s">
        <v>8</v>
      </c>
      <c r="D109" s="236" t="s">
        <v>6418</v>
      </c>
      <c r="E109" s="236" t="s">
        <v>19</v>
      </c>
      <c r="F109" s="232">
        <v>5</v>
      </c>
      <c r="G109" s="232">
        <v>8</v>
      </c>
      <c r="H109" s="232">
        <v>440</v>
      </c>
      <c r="I109" s="232">
        <v>30</v>
      </c>
      <c r="K109" s="18"/>
      <c r="L109" s="18"/>
    </row>
    <row r="110" spans="2:12" x14ac:dyDescent="0.2">
      <c r="B110" s="231">
        <v>2019</v>
      </c>
      <c r="C110" s="231" t="s">
        <v>8</v>
      </c>
      <c r="D110" s="236" t="s">
        <v>6418</v>
      </c>
      <c r="E110" s="236" t="s">
        <v>19</v>
      </c>
      <c r="F110" s="232">
        <v>4</v>
      </c>
      <c r="G110" s="232">
        <v>6</v>
      </c>
      <c r="H110" s="232">
        <v>444</v>
      </c>
      <c r="I110" s="232">
        <v>30</v>
      </c>
      <c r="K110" s="18"/>
      <c r="L110" s="18"/>
    </row>
    <row r="111" spans="2:12" x14ac:dyDescent="0.2">
      <c r="B111" s="231">
        <v>2019</v>
      </c>
      <c r="C111" s="231" t="s">
        <v>8</v>
      </c>
      <c r="D111" s="236" t="s">
        <v>6418</v>
      </c>
      <c r="E111" s="236" t="s">
        <v>19</v>
      </c>
      <c r="F111" s="232">
        <v>4</v>
      </c>
      <c r="G111" s="232">
        <v>8</v>
      </c>
      <c r="H111" s="232">
        <v>428</v>
      </c>
      <c r="I111" s="232">
        <v>40</v>
      </c>
      <c r="K111" s="18"/>
      <c r="L111" s="18"/>
    </row>
    <row r="112" spans="2:12" x14ac:dyDescent="0.2">
      <c r="B112" s="231">
        <v>2019</v>
      </c>
      <c r="C112" s="231" t="s">
        <v>8</v>
      </c>
      <c r="D112" s="236" t="s">
        <v>6418</v>
      </c>
      <c r="E112" s="236" t="s">
        <v>19</v>
      </c>
      <c r="F112" s="232">
        <v>4</v>
      </c>
      <c r="G112" s="232">
        <v>6</v>
      </c>
      <c r="H112" s="232">
        <v>426</v>
      </c>
      <c r="I112" s="232">
        <v>45</v>
      </c>
      <c r="K112" s="18"/>
      <c r="L112" s="18"/>
    </row>
    <row r="113" spans="2:12" x14ac:dyDescent="0.2">
      <c r="B113" s="231">
        <v>2019</v>
      </c>
      <c r="C113" s="231" t="s">
        <v>7</v>
      </c>
      <c r="D113" s="236" t="s">
        <v>6418</v>
      </c>
      <c r="E113" s="236" t="s">
        <v>21</v>
      </c>
      <c r="F113" s="232">
        <v>3</v>
      </c>
      <c r="G113" s="232">
        <v>6</v>
      </c>
      <c r="H113" s="232">
        <v>429</v>
      </c>
      <c r="I113" s="232">
        <v>20</v>
      </c>
      <c r="K113" s="18"/>
      <c r="L113" s="18"/>
    </row>
    <row r="114" spans="2:12" x14ac:dyDescent="0.2">
      <c r="B114" s="231">
        <v>2019</v>
      </c>
      <c r="C114" s="231" t="s">
        <v>8</v>
      </c>
      <c r="D114" s="236" t="s">
        <v>6418</v>
      </c>
      <c r="E114" s="236" t="s">
        <v>20</v>
      </c>
      <c r="F114" s="232">
        <v>5</v>
      </c>
      <c r="G114" s="232">
        <v>8</v>
      </c>
      <c r="H114" s="232">
        <v>442</v>
      </c>
      <c r="I114" s="232">
        <v>25</v>
      </c>
      <c r="K114" s="18"/>
      <c r="L114" s="18"/>
    </row>
    <row r="115" spans="2:12" x14ac:dyDescent="0.2">
      <c r="B115" s="231">
        <v>2019</v>
      </c>
      <c r="C115" s="231" t="s">
        <v>7</v>
      </c>
      <c r="D115" s="236" t="s">
        <v>6418</v>
      </c>
      <c r="E115" s="236" t="s">
        <v>19</v>
      </c>
      <c r="F115" s="232">
        <v>5</v>
      </c>
      <c r="G115" s="232">
        <v>3</v>
      </c>
      <c r="H115" s="232">
        <v>472</v>
      </c>
      <c r="I115" s="232">
        <v>15</v>
      </c>
      <c r="K115" s="18"/>
      <c r="L115" s="18"/>
    </row>
    <row r="116" spans="2:12" x14ac:dyDescent="0.2">
      <c r="B116" s="231">
        <v>2019</v>
      </c>
      <c r="C116" s="231" t="s">
        <v>8</v>
      </c>
      <c r="D116" s="236" t="s">
        <v>6418</v>
      </c>
      <c r="E116" s="236" t="s">
        <v>19</v>
      </c>
      <c r="F116" s="232">
        <v>4</v>
      </c>
      <c r="G116" s="232">
        <v>6</v>
      </c>
      <c r="H116" s="232">
        <v>417</v>
      </c>
      <c r="I116" s="232">
        <v>25</v>
      </c>
      <c r="K116" s="18"/>
      <c r="L116" s="18"/>
    </row>
    <row r="117" spans="2:12" x14ac:dyDescent="0.2">
      <c r="B117" s="231">
        <v>2019</v>
      </c>
      <c r="C117" s="231" t="s">
        <v>7</v>
      </c>
      <c r="D117" s="236" t="s">
        <v>6418</v>
      </c>
      <c r="E117" s="236" t="s">
        <v>19</v>
      </c>
      <c r="F117" s="232">
        <v>4</v>
      </c>
      <c r="G117" s="232">
        <v>4</v>
      </c>
      <c r="H117" s="232">
        <v>486</v>
      </c>
      <c r="I117" s="232">
        <v>45</v>
      </c>
      <c r="K117" s="18"/>
      <c r="L117" s="18"/>
    </row>
    <row r="118" spans="2:12" x14ac:dyDescent="0.2">
      <c r="B118" s="231">
        <v>2019</v>
      </c>
      <c r="C118" s="231" t="s">
        <v>8</v>
      </c>
      <c r="D118" s="236" t="s">
        <v>6418</v>
      </c>
      <c r="E118" s="236" t="s">
        <v>19</v>
      </c>
      <c r="F118" s="232">
        <v>3</v>
      </c>
      <c r="G118" s="232">
        <v>8</v>
      </c>
      <c r="H118" s="232">
        <v>423</v>
      </c>
      <c r="I118" s="232">
        <v>60</v>
      </c>
      <c r="K118" s="18"/>
      <c r="L118" s="18"/>
    </row>
    <row r="119" spans="2:12" x14ac:dyDescent="0.2">
      <c r="B119" s="231">
        <v>2019</v>
      </c>
      <c r="C119" s="231" t="s">
        <v>7</v>
      </c>
      <c r="D119" s="236" t="s">
        <v>6418</v>
      </c>
      <c r="E119" s="236" t="s">
        <v>19</v>
      </c>
      <c r="F119" s="232">
        <v>4</v>
      </c>
      <c r="G119" s="232">
        <v>9</v>
      </c>
      <c r="H119" s="232">
        <v>464</v>
      </c>
      <c r="I119" s="232">
        <v>8</v>
      </c>
      <c r="K119" s="18"/>
      <c r="L119" s="18"/>
    </row>
    <row r="120" spans="2:12" x14ac:dyDescent="0.2">
      <c r="B120" s="231">
        <v>2019</v>
      </c>
      <c r="C120" s="231" t="s">
        <v>7</v>
      </c>
      <c r="D120" s="236" t="s">
        <v>6418</v>
      </c>
      <c r="E120" s="236" t="s">
        <v>21</v>
      </c>
      <c r="F120" s="232">
        <v>5</v>
      </c>
      <c r="G120" s="232">
        <v>3</v>
      </c>
      <c r="H120" s="232">
        <v>476</v>
      </c>
      <c r="I120" s="232">
        <v>40</v>
      </c>
      <c r="K120" s="18"/>
      <c r="L120" s="18"/>
    </row>
    <row r="121" spans="2:12" x14ac:dyDescent="0.2">
      <c r="B121" s="231">
        <v>2019</v>
      </c>
      <c r="C121" s="231" t="s">
        <v>7</v>
      </c>
      <c r="D121" s="236" t="s">
        <v>6418</v>
      </c>
      <c r="E121" s="236" t="s">
        <v>21</v>
      </c>
      <c r="F121" s="232">
        <v>2</v>
      </c>
      <c r="G121" s="232">
        <v>5</v>
      </c>
      <c r="H121" s="232">
        <v>417</v>
      </c>
      <c r="I121" s="232">
        <v>12</v>
      </c>
      <c r="K121" s="18"/>
      <c r="L121" s="18"/>
    </row>
    <row r="122" spans="2:12" x14ac:dyDescent="0.2">
      <c r="B122" s="231">
        <v>2019</v>
      </c>
      <c r="C122" s="231" t="s">
        <v>8</v>
      </c>
      <c r="D122" s="236" t="s">
        <v>6418</v>
      </c>
      <c r="E122" s="236" t="s">
        <v>19</v>
      </c>
      <c r="F122" s="232">
        <v>2</v>
      </c>
      <c r="G122" s="232">
        <v>10</v>
      </c>
      <c r="H122" s="232">
        <v>470</v>
      </c>
      <c r="I122" s="232">
        <v>20</v>
      </c>
      <c r="K122" s="18"/>
      <c r="L122" s="18"/>
    </row>
    <row r="123" spans="2:12" x14ac:dyDescent="0.2">
      <c r="B123" s="231">
        <v>2019</v>
      </c>
      <c r="C123" s="231" t="s">
        <v>7</v>
      </c>
      <c r="D123" s="236" t="s">
        <v>6418</v>
      </c>
      <c r="E123" s="236" t="s">
        <v>20</v>
      </c>
      <c r="F123" s="232">
        <v>2</v>
      </c>
      <c r="G123" s="232">
        <v>8</v>
      </c>
      <c r="H123" s="232">
        <v>431</v>
      </c>
      <c r="I123" s="232">
        <v>25</v>
      </c>
      <c r="K123" s="18"/>
      <c r="L123" s="18"/>
    </row>
    <row r="124" spans="2:12" x14ac:dyDescent="0.2">
      <c r="B124" s="231">
        <v>2019</v>
      </c>
      <c r="C124" s="231" t="s">
        <v>7</v>
      </c>
      <c r="D124" s="236" t="s">
        <v>6418</v>
      </c>
      <c r="E124" s="236" t="s">
        <v>19</v>
      </c>
      <c r="F124" s="232">
        <v>3</v>
      </c>
      <c r="G124" s="232">
        <v>8</v>
      </c>
      <c r="H124" s="232">
        <v>435</v>
      </c>
      <c r="I124" s="232">
        <v>30</v>
      </c>
      <c r="K124" s="18"/>
      <c r="L124" s="18"/>
    </row>
    <row r="125" spans="2:12" x14ac:dyDescent="0.2">
      <c r="B125" s="231">
        <v>2019</v>
      </c>
      <c r="C125" s="231" t="s">
        <v>8</v>
      </c>
      <c r="D125" s="236" t="s">
        <v>6418</v>
      </c>
      <c r="E125" s="236" t="s">
        <v>21</v>
      </c>
      <c r="F125" s="232">
        <v>5</v>
      </c>
      <c r="G125" s="232">
        <v>4</v>
      </c>
      <c r="H125" s="232">
        <v>471</v>
      </c>
      <c r="I125" s="232">
        <v>30</v>
      </c>
      <c r="K125" s="18"/>
      <c r="L125" s="18"/>
    </row>
    <row r="126" spans="2:12" x14ac:dyDescent="0.2">
      <c r="B126" s="231">
        <v>2019</v>
      </c>
      <c r="C126" s="231" t="s">
        <v>7</v>
      </c>
      <c r="D126" s="236" t="s">
        <v>6418</v>
      </c>
      <c r="E126" s="236" t="s">
        <v>21</v>
      </c>
      <c r="F126" s="232">
        <v>4</v>
      </c>
      <c r="G126" s="232">
        <v>8</v>
      </c>
      <c r="H126" s="232">
        <v>464</v>
      </c>
      <c r="I126" s="232">
        <v>5</v>
      </c>
      <c r="K126" s="18"/>
      <c r="L126" s="18"/>
    </row>
    <row r="127" spans="2:12" x14ac:dyDescent="0.2">
      <c r="B127" s="231">
        <v>2019</v>
      </c>
      <c r="C127" s="231" t="s">
        <v>8</v>
      </c>
      <c r="D127" s="236" t="s">
        <v>6418</v>
      </c>
      <c r="E127" s="236" t="s">
        <v>19</v>
      </c>
      <c r="F127" s="232">
        <v>4</v>
      </c>
      <c r="G127" s="232">
        <v>4</v>
      </c>
      <c r="H127" s="232">
        <v>420</v>
      </c>
      <c r="I127" s="232">
        <v>30</v>
      </c>
      <c r="K127" s="18"/>
      <c r="L127" s="18"/>
    </row>
    <row r="128" spans="2:12" x14ac:dyDescent="0.2">
      <c r="B128" s="231">
        <v>2019</v>
      </c>
      <c r="C128" s="231" t="s">
        <v>8</v>
      </c>
      <c r="D128" s="236" t="s">
        <v>6418</v>
      </c>
      <c r="E128" s="236" t="s">
        <v>19</v>
      </c>
      <c r="F128" s="232">
        <v>5</v>
      </c>
      <c r="G128" s="232">
        <v>7</v>
      </c>
      <c r="H128" s="232">
        <v>430</v>
      </c>
      <c r="I128" s="232">
        <v>45</v>
      </c>
      <c r="K128" s="18"/>
      <c r="L128" s="18"/>
    </row>
    <row r="129" spans="2:12" x14ac:dyDescent="0.2">
      <c r="B129" s="231">
        <v>2019</v>
      </c>
      <c r="C129" s="231" t="s">
        <v>8</v>
      </c>
      <c r="D129" s="236" t="s">
        <v>6418</v>
      </c>
      <c r="E129" s="236" t="s">
        <v>21</v>
      </c>
      <c r="F129" s="232">
        <v>5</v>
      </c>
      <c r="G129" s="232">
        <v>6</v>
      </c>
      <c r="H129" s="232">
        <v>430</v>
      </c>
      <c r="I129" s="232">
        <v>40</v>
      </c>
      <c r="K129" s="18"/>
      <c r="L129" s="18"/>
    </row>
    <row r="130" spans="2:12" x14ac:dyDescent="0.2">
      <c r="B130" s="231">
        <v>2019</v>
      </c>
      <c r="C130" s="231" t="s">
        <v>7</v>
      </c>
      <c r="D130" s="236" t="s">
        <v>6418</v>
      </c>
      <c r="E130" s="236" t="s">
        <v>19</v>
      </c>
      <c r="F130" s="232">
        <v>2</v>
      </c>
      <c r="G130" s="232">
        <v>9</v>
      </c>
      <c r="H130" s="232">
        <v>435</v>
      </c>
      <c r="I130" s="232">
        <v>60</v>
      </c>
      <c r="K130" s="18"/>
      <c r="L130" s="18"/>
    </row>
    <row r="131" spans="2:12" x14ac:dyDescent="0.2">
      <c r="B131" s="231">
        <v>2019</v>
      </c>
      <c r="C131" s="231" t="s">
        <v>8</v>
      </c>
      <c r="D131" s="236" t="s">
        <v>6418</v>
      </c>
      <c r="E131" s="236" t="s">
        <v>19</v>
      </c>
      <c r="F131" s="232">
        <v>3</v>
      </c>
      <c r="G131" s="232">
        <v>4</v>
      </c>
      <c r="H131" s="232">
        <v>458</v>
      </c>
      <c r="I131" s="232">
        <v>30</v>
      </c>
      <c r="K131" s="18"/>
      <c r="L131" s="18"/>
    </row>
    <row r="132" spans="2:12" x14ac:dyDescent="0.2">
      <c r="B132" s="231">
        <v>2019</v>
      </c>
      <c r="C132" s="231" t="s">
        <v>8</v>
      </c>
      <c r="D132" s="236" t="s">
        <v>6418</v>
      </c>
      <c r="E132" s="236" t="s">
        <v>20</v>
      </c>
      <c r="F132" s="232">
        <v>4</v>
      </c>
      <c r="G132" s="232">
        <v>7</v>
      </c>
      <c r="H132" s="232">
        <v>466</v>
      </c>
      <c r="I132" s="232">
        <v>40</v>
      </c>
      <c r="K132" s="18"/>
      <c r="L132" s="18"/>
    </row>
    <row r="133" spans="2:12" x14ac:dyDescent="0.2">
      <c r="B133" s="231">
        <v>2019</v>
      </c>
      <c r="C133" s="231" t="s">
        <v>7</v>
      </c>
      <c r="D133" s="236" t="s">
        <v>6418</v>
      </c>
      <c r="E133" s="236" t="s">
        <v>19</v>
      </c>
      <c r="F133" s="232">
        <v>5</v>
      </c>
      <c r="G133" s="232">
        <v>6</v>
      </c>
      <c r="H133" s="232">
        <v>464</v>
      </c>
      <c r="I133" s="232">
        <v>40</v>
      </c>
      <c r="K133" s="18"/>
      <c r="L133" s="18"/>
    </row>
    <row r="134" spans="2:12" x14ac:dyDescent="0.2">
      <c r="B134" s="231">
        <v>2019</v>
      </c>
      <c r="C134" s="231" t="s">
        <v>8</v>
      </c>
      <c r="D134" s="236" t="s">
        <v>6418</v>
      </c>
      <c r="E134" s="236" t="s">
        <v>19</v>
      </c>
      <c r="F134" s="232">
        <v>4</v>
      </c>
      <c r="G134" s="232">
        <v>6</v>
      </c>
      <c r="H134" s="232">
        <v>464</v>
      </c>
      <c r="I134" s="232">
        <v>50</v>
      </c>
      <c r="K134" s="18"/>
      <c r="L134" s="18"/>
    </row>
    <row r="135" spans="2:12" x14ac:dyDescent="0.2">
      <c r="B135" s="231">
        <v>2019</v>
      </c>
      <c r="C135" s="231" t="s">
        <v>7</v>
      </c>
      <c r="D135" s="236" t="s">
        <v>6418</v>
      </c>
      <c r="E135" s="236" t="s">
        <v>20</v>
      </c>
      <c r="F135" s="232">
        <v>4</v>
      </c>
      <c r="G135" s="232">
        <v>8</v>
      </c>
      <c r="H135" s="232">
        <v>452</v>
      </c>
      <c r="I135" s="232">
        <v>66</v>
      </c>
      <c r="K135" s="18"/>
      <c r="L135" s="18"/>
    </row>
    <row r="136" spans="2:12" x14ac:dyDescent="0.2">
      <c r="B136" s="231">
        <v>2019</v>
      </c>
      <c r="C136" s="231" t="s">
        <v>7</v>
      </c>
      <c r="D136" s="236" t="s">
        <v>6418</v>
      </c>
      <c r="E136" s="236" t="s">
        <v>21</v>
      </c>
      <c r="F136" s="232">
        <v>4</v>
      </c>
      <c r="G136" s="232">
        <v>10</v>
      </c>
      <c r="H136" s="232">
        <v>454</v>
      </c>
      <c r="I136" s="232">
        <v>50</v>
      </c>
      <c r="K136" s="18"/>
      <c r="L136" s="18"/>
    </row>
    <row r="137" spans="2:12" x14ac:dyDescent="0.2">
      <c r="B137" s="231">
        <v>2019</v>
      </c>
      <c r="C137" s="231" t="s">
        <v>8</v>
      </c>
      <c r="D137" s="236" t="s">
        <v>6418</v>
      </c>
      <c r="E137" s="236" t="s">
        <v>19</v>
      </c>
      <c r="F137" s="232">
        <v>4</v>
      </c>
      <c r="G137" s="232">
        <v>6</v>
      </c>
      <c r="H137" s="232">
        <v>465</v>
      </c>
      <c r="I137" s="232">
        <v>60</v>
      </c>
      <c r="K137" s="18"/>
      <c r="L137" s="18"/>
    </row>
    <row r="138" spans="2:12" x14ac:dyDescent="0.2">
      <c r="B138" s="231">
        <v>2019</v>
      </c>
      <c r="C138" s="231" t="s">
        <v>8</v>
      </c>
      <c r="D138" s="236" t="s">
        <v>6418</v>
      </c>
      <c r="E138" s="236" t="s">
        <v>19</v>
      </c>
      <c r="F138" s="232">
        <v>5</v>
      </c>
      <c r="G138" s="232">
        <v>7</v>
      </c>
      <c r="H138" s="232">
        <v>469</v>
      </c>
      <c r="I138" s="232">
        <v>40</v>
      </c>
      <c r="K138" s="18"/>
      <c r="L138" s="18"/>
    </row>
    <row r="139" spans="2:12" x14ac:dyDescent="0.2">
      <c r="B139" s="231">
        <v>2019</v>
      </c>
      <c r="C139" s="231" t="s">
        <v>7</v>
      </c>
      <c r="D139" s="236" t="s">
        <v>6418</v>
      </c>
      <c r="E139" s="236" t="s">
        <v>21</v>
      </c>
      <c r="F139" s="232">
        <v>4</v>
      </c>
      <c r="G139" s="232">
        <v>8</v>
      </c>
      <c r="H139" s="232">
        <v>433</v>
      </c>
      <c r="I139" s="232">
        <v>20</v>
      </c>
      <c r="K139" s="18"/>
      <c r="L139" s="18"/>
    </row>
    <row r="140" spans="2:12" x14ac:dyDescent="0.2">
      <c r="B140" s="231">
        <v>2019</v>
      </c>
      <c r="C140" s="231" t="s">
        <v>7</v>
      </c>
      <c r="D140" s="236" t="s">
        <v>6418</v>
      </c>
      <c r="E140" s="236" t="s">
        <v>19</v>
      </c>
      <c r="F140" s="232">
        <v>3</v>
      </c>
      <c r="G140" s="232">
        <v>6</v>
      </c>
      <c r="H140" s="232">
        <v>464</v>
      </c>
      <c r="I140" s="232">
        <v>25</v>
      </c>
      <c r="K140" s="18"/>
      <c r="L140" s="18"/>
    </row>
    <row r="141" spans="2:12" x14ac:dyDescent="0.2">
      <c r="B141" s="231">
        <v>2019</v>
      </c>
      <c r="C141" s="231" t="s">
        <v>8</v>
      </c>
      <c r="D141" s="236" t="s">
        <v>6418</v>
      </c>
      <c r="E141" s="236" t="s">
        <v>19</v>
      </c>
      <c r="F141" s="232">
        <v>5</v>
      </c>
      <c r="G141" s="232">
        <v>6</v>
      </c>
      <c r="H141" s="232">
        <v>466</v>
      </c>
      <c r="I141" s="232">
        <v>28</v>
      </c>
      <c r="K141" s="18"/>
      <c r="L141" s="18"/>
    </row>
    <row r="142" spans="2:12" x14ac:dyDescent="0.2">
      <c r="B142" s="231">
        <v>2019</v>
      </c>
      <c r="C142" s="231" t="s">
        <v>8</v>
      </c>
      <c r="D142" s="236" t="s">
        <v>6418</v>
      </c>
      <c r="E142" s="236" t="s">
        <v>19</v>
      </c>
      <c r="F142" s="232">
        <v>4</v>
      </c>
      <c r="G142" s="232">
        <v>6</v>
      </c>
      <c r="H142" s="232">
        <v>473</v>
      </c>
      <c r="I142" s="232">
        <v>40</v>
      </c>
      <c r="K142" s="18"/>
      <c r="L142" s="18"/>
    </row>
    <row r="143" spans="2:12" x14ac:dyDescent="0.2">
      <c r="B143" s="231">
        <v>2019</v>
      </c>
      <c r="C143" s="231" t="s">
        <v>7</v>
      </c>
      <c r="D143" s="236" t="s">
        <v>6418</v>
      </c>
      <c r="E143" s="236" t="s">
        <v>21</v>
      </c>
      <c r="F143" s="232">
        <v>5</v>
      </c>
      <c r="G143" s="232">
        <v>4</v>
      </c>
      <c r="H143" s="232">
        <v>462</v>
      </c>
      <c r="I143" s="232">
        <v>24</v>
      </c>
      <c r="K143" s="18"/>
      <c r="L143" s="18"/>
    </row>
    <row r="144" spans="2:12" x14ac:dyDescent="0.2">
      <c r="B144" s="231">
        <v>2019</v>
      </c>
      <c r="C144" s="231" t="s">
        <v>8</v>
      </c>
      <c r="D144" s="236" t="s">
        <v>6418</v>
      </c>
      <c r="E144" s="236" t="s">
        <v>21</v>
      </c>
      <c r="F144" s="232">
        <v>5</v>
      </c>
      <c r="G144" s="232">
        <v>6</v>
      </c>
      <c r="H144" s="232">
        <v>457</v>
      </c>
      <c r="I144" s="232">
        <v>80</v>
      </c>
      <c r="K144" s="18"/>
      <c r="L144" s="18"/>
    </row>
    <row r="145" spans="2:12" x14ac:dyDescent="0.2">
      <c r="B145" s="231">
        <v>2019</v>
      </c>
      <c r="C145" s="231" t="s">
        <v>8</v>
      </c>
      <c r="D145" s="236" t="s">
        <v>6418</v>
      </c>
      <c r="E145" s="236" t="s">
        <v>21</v>
      </c>
      <c r="F145" s="232">
        <v>5</v>
      </c>
      <c r="G145" s="232">
        <v>7</v>
      </c>
      <c r="H145" s="232">
        <v>475</v>
      </c>
      <c r="I145" s="232">
        <v>40</v>
      </c>
      <c r="K145" s="18"/>
      <c r="L145" s="18"/>
    </row>
    <row r="146" spans="2:12" x14ac:dyDescent="0.2">
      <c r="B146" s="231">
        <v>2019</v>
      </c>
      <c r="C146" s="231" t="s">
        <v>8</v>
      </c>
      <c r="D146" s="236" t="s">
        <v>6418</v>
      </c>
      <c r="E146" s="236" t="s">
        <v>19</v>
      </c>
      <c r="F146" s="232">
        <v>4</v>
      </c>
      <c r="G146" s="232">
        <v>6</v>
      </c>
      <c r="H146" s="232">
        <v>425</v>
      </c>
      <c r="I146" s="232">
        <v>25</v>
      </c>
      <c r="K146" s="18"/>
      <c r="L146" s="18"/>
    </row>
    <row r="147" spans="2:12" x14ac:dyDescent="0.2">
      <c r="B147" s="231">
        <v>2019</v>
      </c>
      <c r="C147" s="231" t="s">
        <v>8</v>
      </c>
      <c r="D147" s="236" t="s">
        <v>6418</v>
      </c>
      <c r="E147" s="236" t="s">
        <v>19</v>
      </c>
      <c r="F147" s="232">
        <v>3</v>
      </c>
      <c r="G147" s="232">
        <v>5</v>
      </c>
      <c r="H147" s="232">
        <v>476</v>
      </c>
      <c r="I147" s="232">
        <v>40</v>
      </c>
      <c r="K147" s="18"/>
      <c r="L147" s="18"/>
    </row>
    <row r="148" spans="2:12" x14ac:dyDescent="0.2">
      <c r="B148" s="231">
        <v>2019</v>
      </c>
      <c r="C148" s="231" t="s">
        <v>7</v>
      </c>
      <c r="D148" s="236" t="s">
        <v>6418</v>
      </c>
      <c r="E148" s="236" t="s">
        <v>21</v>
      </c>
      <c r="F148" s="232">
        <v>4</v>
      </c>
      <c r="G148" s="232">
        <v>6</v>
      </c>
      <c r="H148" s="232">
        <v>415</v>
      </c>
      <c r="I148" s="232">
        <v>50</v>
      </c>
      <c r="K148" s="18"/>
      <c r="L148" s="18"/>
    </row>
    <row r="149" spans="2:12" x14ac:dyDescent="0.2">
      <c r="B149" s="231">
        <v>2019</v>
      </c>
      <c r="C149" s="231" t="s">
        <v>7</v>
      </c>
      <c r="D149" s="236" t="s">
        <v>6418</v>
      </c>
      <c r="E149" s="236" t="s">
        <v>19</v>
      </c>
      <c r="F149" s="232">
        <v>3</v>
      </c>
      <c r="G149" s="232">
        <v>5</v>
      </c>
      <c r="H149" s="232">
        <v>465</v>
      </c>
      <c r="I149" s="232">
        <v>35</v>
      </c>
      <c r="K149" s="18"/>
      <c r="L149" s="18"/>
    </row>
    <row r="150" spans="2:12" x14ac:dyDescent="0.2">
      <c r="B150" s="231">
        <v>2019</v>
      </c>
      <c r="C150" s="231" t="s">
        <v>8</v>
      </c>
      <c r="D150" s="236" t="s">
        <v>6418</v>
      </c>
      <c r="E150" s="236" t="s">
        <v>20</v>
      </c>
      <c r="F150" s="232">
        <v>4</v>
      </c>
      <c r="G150" s="232">
        <v>6</v>
      </c>
      <c r="H150" s="232">
        <v>477</v>
      </c>
      <c r="I150" s="232">
        <v>43</v>
      </c>
      <c r="K150" s="18"/>
      <c r="L150" s="18"/>
    </row>
    <row r="151" spans="2:12" x14ac:dyDescent="0.2">
      <c r="B151" s="231">
        <v>2019</v>
      </c>
      <c r="C151" s="231" t="s">
        <v>7</v>
      </c>
      <c r="D151" s="236" t="s">
        <v>6418</v>
      </c>
      <c r="E151" s="236" t="s">
        <v>19</v>
      </c>
      <c r="F151" s="232">
        <v>2</v>
      </c>
      <c r="G151" s="232">
        <v>8</v>
      </c>
      <c r="H151" s="232">
        <v>350</v>
      </c>
      <c r="I151" s="232">
        <v>15</v>
      </c>
      <c r="K151" s="18"/>
      <c r="L151" s="18"/>
    </row>
    <row r="152" spans="2:12" x14ac:dyDescent="0.2">
      <c r="B152" s="231">
        <v>2019</v>
      </c>
      <c r="C152" s="231" t="s">
        <v>7</v>
      </c>
      <c r="D152" s="236" t="s">
        <v>6418</v>
      </c>
      <c r="E152" s="236" t="s">
        <v>21</v>
      </c>
      <c r="F152" s="232">
        <v>5</v>
      </c>
      <c r="G152" s="232">
        <v>7</v>
      </c>
      <c r="H152" s="232">
        <v>477</v>
      </c>
      <c r="I152" s="232">
        <v>90</v>
      </c>
      <c r="K152" s="18"/>
      <c r="L152" s="18"/>
    </row>
    <row r="153" spans="2:12" x14ac:dyDescent="0.2">
      <c r="B153" s="231">
        <v>2019</v>
      </c>
      <c r="C153" s="231" t="s">
        <v>8</v>
      </c>
      <c r="D153" s="236" t="s">
        <v>6418</v>
      </c>
      <c r="E153" s="236" t="s">
        <v>21</v>
      </c>
      <c r="F153" s="232">
        <v>4</v>
      </c>
      <c r="G153" s="232">
        <v>7</v>
      </c>
      <c r="H153" s="232">
        <v>430</v>
      </c>
      <c r="I153" s="232">
        <v>70</v>
      </c>
      <c r="K153" s="18"/>
      <c r="L153" s="18"/>
    </row>
    <row r="154" spans="2:12" x14ac:dyDescent="0.2">
      <c r="B154" s="231">
        <v>2019</v>
      </c>
      <c r="C154" s="231" t="s">
        <v>8</v>
      </c>
      <c r="D154" s="236" t="s">
        <v>6418</v>
      </c>
      <c r="E154" s="236" t="s">
        <v>21</v>
      </c>
      <c r="F154" s="232">
        <v>3</v>
      </c>
      <c r="G154" s="232">
        <v>7</v>
      </c>
      <c r="H154" s="232">
        <v>465</v>
      </c>
      <c r="I154" s="232">
        <v>70</v>
      </c>
      <c r="K154" s="18"/>
      <c r="L154" s="18"/>
    </row>
    <row r="155" spans="2:12" x14ac:dyDescent="0.2">
      <c r="B155" s="231">
        <v>2019</v>
      </c>
      <c r="C155" s="231" t="s">
        <v>8</v>
      </c>
      <c r="D155" s="236" t="s">
        <v>6418</v>
      </c>
      <c r="E155" s="236" t="s">
        <v>19</v>
      </c>
      <c r="F155" s="232">
        <v>2</v>
      </c>
      <c r="G155" s="232">
        <v>6</v>
      </c>
      <c r="H155" s="232">
        <v>465</v>
      </c>
      <c r="I155" s="232">
        <v>25</v>
      </c>
      <c r="K155" s="18"/>
      <c r="L155" s="18"/>
    </row>
    <row r="156" spans="2:12" x14ac:dyDescent="0.2">
      <c r="B156" s="231">
        <v>2019</v>
      </c>
      <c r="C156" s="231" t="s">
        <v>7</v>
      </c>
      <c r="D156" s="236" t="s">
        <v>6418</v>
      </c>
      <c r="E156" s="236" t="s">
        <v>20</v>
      </c>
      <c r="F156" s="232">
        <v>5</v>
      </c>
      <c r="G156" s="232">
        <v>3</v>
      </c>
      <c r="H156" s="232">
        <v>480</v>
      </c>
      <c r="I156" s="232">
        <v>25</v>
      </c>
      <c r="K156" s="18"/>
      <c r="L156" s="18"/>
    </row>
    <row r="157" spans="2:12" x14ac:dyDescent="0.2">
      <c r="B157" s="231">
        <v>2019</v>
      </c>
      <c r="C157" s="231" t="s">
        <v>8</v>
      </c>
      <c r="D157" s="236" t="s">
        <v>6418</v>
      </c>
      <c r="E157" s="236" t="s">
        <v>19</v>
      </c>
      <c r="F157" s="232">
        <v>4</v>
      </c>
      <c r="G157" s="232">
        <v>5</v>
      </c>
      <c r="H157" s="232">
        <v>462</v>
      </c>
      <c r="I157" s="232">
        <v>10</v>
      </c>
      <c r="K157" s="18"/>
      <c r="L157" s="18"/>
    </row>
    <row r="158" spans="2:12" x14ac:dyDescent="0.2">
      <c r="B158" s="231">
        <v>2019</v>
      </c>
      <c r="C158" s="231" t="s">
        <v>7</v>
      </c>
      <c r="D158" s="236" t="s">
        <v>6418</v>
      </c>
      <c r="E158" s="236" t="s">
        <v>19</v>
      </c>
      <c r="F158" s="232">
        <v>3</v>
      </c>
      <c r="G158" s="232">
        <v>5</v>
      </c>
      <c r="H158" s="232">
        <v>432</v>
      </c>
      <c r="I158" s="232">
        <v>50</v>
      </c>
      <c r="K158" s="18"/>
      <c r="L158" s="18"/>
    </row>
    <row r="159" spans="2:12" x14ac:dyDescent="0.2">
      <c r="B159" s="231">
        <v>2019</v>
      </c>
      <c r="C159" s="231" t="s">
        <v>8</v>
      </c>
      <c r="D159" s="236" t="s">
        <v>6418</v>
      </c>
      <c r="E159" s="236" t="s">
        <v>19</v>
      </c>
      <c r="F159" s="232">
        <v>3</v>
      </c>
      <c r="G159" s="232">
        <v>7</v>
      </c>
      <c r="H159" s="232">
        <v>465</v>
      </c>
      <c r="I159" s="232">
        <v>45</v>
      </c>
      <c r="K159" s="18"/>
      <c r="L159" s="18"/>
    </row>
    <row r="160" spans="2:12" x14ac:dyDescent="0.2">
      <c r="B160" s="231">
        <v>2019</v>
      </c>
      <c r="C160" s="231" t="s">
        <v>8</v>
      </c>
      <c r="D160" s="236" t="s">
        <v>6418</v>
      </c>
      <c r="E160" s="236" t="s">
        <v>21</v>
      </c>
      <c r="F160" s="232">
        <v>5</v>
      </c>
      <c r="G160" s="232">
        <v>4</v>
      </c>
      <c r="H160" s="232">
        <v>479</v>
      </c>
      <c r="I160" s="232">
        <v>12</v>
      </c>
      <c r="K160" s="18"/>
      <c r="L160" s="18"/>
    </row>
    <row r="161" spans="2:12" x14ac:dyDescent="0.2">
      <c r="B161" s="231">
        <v>2019</v>
      </c>
      <c r="C161" s="231" t="s">
        <v>7</v>
      </c>
      <c r="D161" s="236" t="s">
        <v>6418</v>
      </c>
      <c r="E161" s="236" t="s">
        <v>19</v>
      </c>
      <c r="F161" s="232">
        <v>4</v>
      </c>
      <c r="G161" s="232">
        <v>11</v>
      </c>
      <c r="H161" s="232">
        <v>429</v>
      </c>
      <c r="I161" s="232">
        <v>25</v>
      </c>
      <c r="K161" s="18"/>
      <c r="L161" s="18"/>
    </row>
    <row r="162" spans="2:12" x14ac:dyDescent="0.2">
      <c r="B162" s="231">
        <v>2019</v>
      </c>
      <c r="C162" s="231" t="s">
        <v>8</v>
      </c>
      <c r="D162" s="236" t="s">
        <v>6418</v>
      </c>
      <c r="E162" s="236" t="s">
        <v>19</v>
      </c>
      <c r="F162" s="232">
        <v>4</v>
      </c>
      <c r="G162" s="232">
        <v>10</v>
      </c>
      <c r="H162" s="232">
        <v>450</v>
      </c>
      <c r="I162" s="232">
        <v>15</v>
      </c>
      <c r="K162" s="18"/>
      <c r="L162" s="18"/>
    </row>
    <row r="163" spans="2:12" x14ac:dyDescent="0.2">
      <c r="B163" s="231">
        <v>2019</v>
      </c>
      <c r="C163" s="231" t="s">
        <v>8</v>
      </c>
      <c r="D163" s="236" t="s">
        <v>6418</v>
      </c>
      <c r="E163" s="236" t="s">
        <v>19</v>
      </c>
      <c r="F163" s="232">
        <v>3</v>
      </c>
      <c r="G163" s="232">
        <v>5</v>
      </c>
      <c r="H163" s="232">
        <v>440</v>
      </c>
      <c r="I163" s="232">
        <v>5</v>
      </c>
      <c r="K163" s="18"/>
      <c r="L163" s="18"/>
    </row>
    <row r="164" spans="2:12" x14ac:dyDescent="0.2">
      <c r="B164" s="231">
        <v>2019</v>
      </c>
      <c r="C164" s="231" t="s">
        <v>8</v>
      </c>
      <c r="D164" s="236" t="s">
        <v>6418</v>
      </c>
      <c r="E164" s="236" t="s">
        <v>19</v>
      </c>
      <c r="F164" s="232">
        <v>5</v>
      </c>
      <c r="G164" s="232">
        <v>8</v>
      </c>
      <c r="H164" s="232">
        <v>467</v>
      </c>
      <c r="I164" s="232">
        <v>15</v>
      </c>
      <c r="K164" s="18"/>
      <c r="L164" s="18"/>
    </row>
    <row r="165" spans="2:12" x14ac:dyDescent="0.2">
      <c r="B165" s="231">
        <v>2019</v>
      </c>
      <c r="C165" s="231" t="s">
        <v>8</v>
      </c>
      <c r="D165" s="236" t="s">
        <v>6418</v>
      </c>
      <c r="E165" s="236" t="s">
        <v>21</v>
      </c>
      <c r="F165" s="232">
        <v>5</v>
      </c>
      <c r="G165" s="232">
        <v>5</v>
      </c>
      <c r="H165" s="232">
        <v>480</v>
      </c>
      <c r="I165" s="232">
        <v>70</v>
      </c>
      <c r="K165" s="18"/>
      <c r="L165" s="18"/>
    </row>
    <row r="166" spans="2:12" x14ac:dyDescent="0.2">
      <c r="B166" s="231">
        <v>2019</v>
      </c>
      <c r="C166" s="231" t="s">
        <v>8</v>
      </c>
      <c r="D166" s="236" t="s">
        <v>6418</v>
      </c>
      <c r="E166" s="236" t="s">
        <v>19</v>
      </c>
      <c r="F166" s="232">
        <v>5</v>
      </c>
      <c r="G166" s="232">
        <v>1</v>
      </c>
      <c r="H166" s="232">
        <v>492</v>
      </c>
      <c r="I166" s="232">
        <v>50</v>
      </c>
      <c r="K166" s="18"/>
      <c r="L166" s="18"/>
    </row>
    <row r="167" spans="2:12" x14ac:dyDescent="0.2">
      <c r="B167" s="231">
        <v>2019</v>
      </c>
      <c r="C167" s="231" t="s">
        <v>8</v>
      </c>
      <c r="D167" s="236" t="s">
        <v>6418</v>
      </c>
      <c r="E167" s="236" t="s">
        <v>19</v>
      </c>
      <c r="F167" s="232">
        <v>5</v>
      </c>
      <c r="G167" s="232">
        <v>5</v>
      </c>
      <c r="H167" s="232">
        <v>438</v>
      </c>
      <c r="I167" s="232">
        <v>50</v>
      </c>
      <c r="K167" s="18"/>
      <c r="L167" s="18"/>
    </row>
    <row r="168" spans="2:12" x14ac:dyDescent="0.2">
      <c r="B168" s="231">
        <v>2019</v>
      </c>
      <c r="C168" s="231" t="s">
        <v>7</v>
      </c>
      <c r="D168" s="236" t="s">
        <v>6418</v>
      </c>
      <c r="E168" s="236" t="s">
        <v>21</v>
      </c>
      <c r="F168" s="232">
        <v>5</v>
      </c>
      <c r="G168" s="232">
        <v>5</v>
      </c>
      <c r="H168" s="232">
        <v>478</v>
      </c>
      <c r="I168" s="232">
        <v>25</v>
      </c>
      <c r="K168" s="18"/>
      <c r="L168" s="18"/>
    </row>
    <row r="169" spans="2:12" x14ac:dyDescent="0.2">
      <c r="B169" s="231">
        <v>2019</v>
      </c>
      <c r="C169" s="231" t="s">
        <v>8</v>
      </c>
      <c r="D169" s="236" t="s">
        <v>6418</v>
      </c>
      <c r="E169" s="236" t="s">
        <v>19</v>
      </c>
      <c r="F169" s="232">
        <v>5</v>
      </c>
      <c r="G169" s="232">
        <v>6</v>
      </c>
      <c r="H169" s="232">
        <v>475</v>
      </c>
      <c r="I169" s="232">
        <v>30</v>
      </c>
      <c r="K169" s="18"/>
      <c r="L169" s="18"/>
    </row>
    <row r="170" spans="2:12" x14ac:dyDescent="0.2">
      <c r="B170" s="231">
        <v>2019</v>
      </c>
      <c r="C170" s="231" t="s">
        <v>7</v>
      </c>
      <c r="D170" s="236" t="s">
        <v>6418</v>
      </c>
      <c r="E170" s="236" t="s">
        <v>19</v>
      </c>
      <c r="F170" s="232">
        <v>3</v>
      </c>
      <c r="G170" s="232">
        <v>9</v>
      </c>
      <c r="H170" s="232">
        <v>476</v>
      </c>
      <c r="I170" s="232">
        <v>35</v>
      </c>
      <c r="K170" s="18"/>
      <c r="L170" s="18"/>
    </row>
    <row r="171" spans="2:12" x14ac:dyDescent="0.2">
      <c r="B171" s="231">
        <v>2019</v>
      </c>
      <c r="C171" s="231" t="s">
        <v>7</v>
      </c>
      <c r="D171" s="236" t="s">
        <v>6418</v>
      </c>
      <c r="E171" s="236" t="s">
        <v>21</v>
      </c>
      <c r="F171" s="232">
        <v>5</v>
      </c>
      <c r="G171" s="232">
        <v>8</v>
      </c>
      <c r="H171" s="232">
        <v>422</v>
      </c>
      <c r="I171" s="232">
        <v>40</v>
      </c>
      <c r="K171" s="18"/>
      <c r="L171" s="18"/>
    </row>
    <row r="172" spans="2:12" x14ac:dyDescent="0.2">
      <c r="B172" s="231">
        <v>2019</v>
      </c>
      <c r="C172" s="231" t="s">
        <v>8</v>
      </c>
      <c r="D172" s="236" t="s">
        <v>6418</v>
      </c>
      <c r="E172" s="236" t="s">
        <v>21</v>
      </c>
      <c r="F172" s="232">
        <v>4</v>
      </c>
      <c r="G172" s="232">
        <v>9</v>
      </c>
      <c r="H172" s="232">
        <v>456</v>
      </c>
      <c r="I172" s="232">
        <v>90</v>
      </c>
      <c r="K172" s="18"/>
      <c r="L172" s="18"/>
    </row>
    <row r="173" spans="2:12" x14ac:dyDescent="0.2">
      <c r="B173" s="231">
        <v>2019</v>
      </c>
      <c r="C173" s="231" t="s">
        <v>8</v>
      </c>
      <c r="D173" s="236" t="s">
        <v>6418</v>
      </c>
      <c r="E173" s="236" t="s">
        <v>20</v>
      </c>
      <c r="F173" s="232">
        <v>3</v>
      </c>
      <c r="G173" s="232">
        <v>6</v>
      </c>
      <c r="H173" s="232">
        <v>414</v>
      </c>
      <c r="I173" s="232">
        <v>60</v>
      </c>
      <c r="K173" s="18"/>
      <c r="L173" s="18"/>
    </row>
    <row r="174" spans="2:12" x14ac:dyDescent="0.2">
      <c r="B174" s="231">
        <v>2019</v>
      </c>
      <c r="C174" s="231" t="s">
        <v>8</v>
      </c>
      <c r="D174" s="236" t="s">
        <v>6418</v>
      </c>
      <c r="E174" s="236" t="s">
        <v>21</v>
      </c>
      <c r="F174" s="232">
        <v>5</v>
      </c>
      <c r="G174" s="232">
        <v>8</v>
      </c>
      <c r="H174" s="232">
        <v>481</v>
      </c>
      <c r="I174" s="232">
        <v>10</v>
      </c>
      <c r="K174" s="18"/>
      <c r="L174" s="18"/>
    </row>
    <row r="175" spans="2:12" x14ac:dyDescent="0.2">
      <c r="B175" s="231">
        <v>2019</v>
      </c>
      <c r="C175" s="231" t="s">
        <v>8</v>
      </c>
      <c r="D175" s="236" t="s">
        <v>6418</v>
      </c>
      <c r="E175" s="236" t="s">
        <v>21</v>
      </c>
      <c r="F175" s="232">
        <v>4</v>
      </c>
      <c r="G175" s="232">
        <v>9</v>
      </c>
      <c r="H175" s="232">
        <v>458</v>
      </c>
      <c r="I175" s="232">
        <v>30</v>
      </c>
      <c r="K175" s="18"/>
      <c r="L175" s="18"/>
    </row>
    <row r="176" spans="2:12" x14ac:dyDescent="0.2">
      <c r="B176" s="231">
        <v>2019</v>
      </c>
      <c r="C176" s="231" t="s">
        <v>8</v>
      </c>
      <c r="D176" s="236" t="s">
        <v>6418</v>
      </c>
      <c r="E176" s="236" t="s">
        <v>19</v>
      </c>
      <c r="F176" s="232">
        <v>5</v>
      </c>
      <c r="G176" s="232">
        <v>9</v>
      </c>
      <c r="H176" s="232">
        <v>435</v>
      </c>
      <c r="I176" s="232">
        <v>45</v>
      </c>
      <c r="K176" s="18"/>
      <c r="L176" s="18"/>
    </row>
    <row r="177" spans="2:12" x14ac:dyDescent="0.2">
      <c r="B177" s="231">
        <v>2019</v>
      </c>
      <c r="C177" s="231" t="s">
        <v>7</v>
      </c>
      <c r="D177" s="236" t="s">
        <v>6418</v>
      </c>
      <c r="E177" s="236" t="s">
        <v>19</v>
      </c>
      <c r="F177" s="232">
        <v>5</v>
      </c>
      <c r="G177" s="232">
        <v>4</v>
      </c>
      <c r="H177" s="232">
        <v>472</v>
      </c>
      <c r="I177" s="232">
        <v>79</v>
      </c>
      <c r="K177" s="18"/>
      <c r="L177" s="18"/>
    </row>
    <row r="178" spans="2:12" x14ac:dyDescent="0.2">
      <c r="B178" s="231">
        <v>2019</v>
      </c>
      <c r="C178" s="231" t="s">
        <v>8</v>
      </c>
      <c r="D178" s="236" t="s">
        <v>6418</v>
      </c>
      <c r="E178" s="236" t="s">
        <v>19</v>
      </c>
      <c r="F178" s="232">
        <v>3</v>
      </c>
      <c r="G178" s="232">
        <v>7</v>
      </c>
      <c r="H178" s="232">
        <v>467</v>
      </c>
      <c r="I178" s="232">
        <v>25</v>
      </c>
      <c r="K178" s="18"/>
      <c r="L178" s="18"/>
    </row>
    <row r="179" spans="2:12" x14ac:dyDescent="0.2">
      <c r="B179" s="231">
        <v>2019</v>
      </c>
      <c r="C179" s="231" t="s">
        <v>8</v>
      </c>
      <c r="D179" s="236" t="s">
        <v>6418</v>
      </c>
      <c r="E179" s="236" t="s">
        <v>19</v>
      </c>
      <c r="F179" s="232">
        <v>3</v>
      </c>
      <c r="G179" s="232">
        <v>8</v>
      </c>
      <c r="H179" s="232">
        <v>340</v>
      </c>
      <c r="I179" s="232">
        <v>50</v>
      </c>
      <c r="K179" s="18"/>
      <c r="L179" s="18"/>
    </row>
    <row r="180" spans="2:12" x14ac:dyDescent="0.2">
      <c r="B180" s="231">
        <v>2019</v>
      </c>
      <c r="C180" s="231" t="s">
        <v>7</v>
      </c>
      <c r="D180" s="236" t="s">
        <v>6418</v>
      </c>
      <c r="E180" s="236" t="s">
        <v>19</v>
      </c>
      <c r="F180" s="232">
        <v>3</v>
      </c>
      <c r="G180" s="232">
        <v>6</v>
      </c>
      <c r="H180" s="232">
        <v>460</v>
      </c>
      <c r="I180" s="232">
        <v>50</v>
      </c>
      <c r="K180" s="18"/>
      <c r="L180" s="18"/>
    </row>
    <row r="181" spans="2:12" x14ac:dyDescent="0.2">
      <c r="B181" s="231">
        <v>2019</v>
      </c>
      <c r="C181" s="231" t="s">
        <v>8</v>
      </c>
      <c r="D181" s="236" t="s">
        <v>6418</v>
      </c>
      <c r="E181" s="236" t="s">
        <v>19</v>
      </c>
      <c r="F181" s="232">
        <v>3</v>
      </c>
      <c r="G181" s="232">
        <v>7</v>
      </c>
      <c r="H181" s="232">
        <v>464</v>
      </c>
      <c r="I181" s="232">
        <v>50</v>
      </c>
      <c r="K181" s="18"/>
      <c r="L181" s="18"/>
    </row>
    <row r="182" spans="2:12" x14ac:dyDescent="0.2">
      <c r="B182" s="231">
        <v>2019</v>
      </c>
      <c r="C182" s="231" t="s">
        <v>8</v>
      </c>
      <c r="D182" s="236" t="s">
        <v>6418</v>
      </c>
      <c r="E182" s="236" t="s">
        <v>21</v>
      </c>
      <c r="F182" s="232">
        <v>5</v>
      </c>
      <c r="G182" s="232">
        <v>6</v>
      </c>
      <c r="H182" s="232">
        <v>475</v>
      </c>
      <c r="I182" s="232">
        <v>40</v>
      </c>
      <c r="K182" s="18"/>
      <c r="L182" s="18"/>
    </row>
    <row r="183" spans="2:12" x14ac:dyDescent="0.2">
      <c r="B183" s="231">
        <v>2019</v>
      </c>
      <c r="C183" s="231" t="s">
        <v>7</v>
      </c>
      <c r="D183" s="236" t="s">
        <v>6418</v>
      </c>
      <c r="E183" s="236" t="s">
        <v>20</v>
      </c>
      <c r="F183" s="232">
        <v>5</v>
      </c>
      <c r="G183" s="232">
        <v>8</v>
      </c>
      <c r="H183" s="232">
        <v>500</v>
      </c>
      <c r="I183" s="232">
        <v>50</v>
      </c>
      <c r="K183" s="18"/>
      <c r="L183" s="18"/>
    </row>
    <row r="184" spans="2:12" x14ac:dyDescent="0.2">
      <c r="B184" s="231">
        <v>2019</v>
      </c>
      <c r="C184" s="231" t="s">
        <v>8</v>
      </c>
      <c r="D184" s="236" t="s">
        <v>6418</v>
      </c>
      <c r="E184" s="236" t="s">
        <v>19</v>
      </c>
      <c r="F184" s="232">
        <v>5</v>
      </c>
      <c r="G184" s="232">
        <v>7</v>
      </c>
      <c r="H184" s="232">
        <v>412</v>
      </c>
      <c r="I184" s="232">
        <v>40</v>
      </c>
      <c r="K184" s="18"/>
      <c r="L184" s="18"/>
    </row>
    <row r="185" spans="2:12" x14ac:dyDescent="0.2">
      <c r="B185" s="231">
        <v>2019</v>
      </c>
      <c r="C185" s="231" t="s">
        <v>7</v>
      </c>
      <c r="D185" s="236" t="s">
        <v>6418</v>
      </c>
      <c r="E185" s="236" t="s">
        <v>21</v>
      </c>
      <c r="F185" s="232">
        <v>5</v>
      </c>
      <c r="G185" s="232">
        <v>9</v>
      </c>
      <c r="H185" s="232">
        <v>481</v>
      </c>
      <c r="I185" s="232">
        <v>40</v>
      </c>
      <c r="K185" s="18"/>
      <c r="L185" s="18"/>
    </row>
    <row r="186" spans="2:12" x14ac:dyDescent="0.2">
      <c r="B186" s="231">
        <v>2019</v>
      </c>
      <c r="C186" s="231" t="s">
        <v>7</v>
      </c>
      <c r="D186" s="236" t="s">
        <v>6418</v>
      </c>
      <c r="E186" s="236" t="s">
        <v>19</v>
      </c>
      <c r="F186" s="232">
        <v>2</v>
      </c>
      <c r="G186" s="232">
        <v>5</v>
      </c>
      <c r="H186" s="232">
        <v>448</v>
      </c>
      <c r="I186" s="232">
        <v>50</v>
      </c>
      <c r="K186" s="18"/>
      <c r="L186" s="18"/>
    </row>
    <row r="187" spans="2:12" x14ac:dyDescent="0.2">
      <c r="B187" s="231">
        <v>2019</v>
      </c>
      <c r="C187" s="231" t="s">
        <v>8</v>
      </c>
      <c r="D187" s="236" t="s">
        <v>6418</v>
      </c>
      <c r="E187" s="236" t="s">
        <v>20</v>
      </c>
      <c r="F187" s="232">
        <v>3</v>
      </c>
      <c r="G187" s="232">
        <v>10</v>
      </c>
      <c r="H187" s="232">
        <v>434</v>
      </c>
      <c r="I187" s="232">
        <v>20</v>
      </c>
      <c r="K187" s="18"/>
      <c r="L187" s="18"/>
    </row>
    <row r="188" spans="2:12" x14ac:dyDescent="0.2">
      <c r="B188" s="231">
        <v>2019</v>
      </c>
      <c r="C188" s="231" t="s">
        <v>8</v>
      </c>
      <c r="D188" s="236" t="s">
        <v>6418</v>
      </c>
      <c r="E188" s="236" t="s">
        <v>19</v>
      </c>
      <c r="F188" s="232">
        <v>2</v>
      </c>
      <c r="G188" s="232">
        <v>6</v>
      </c>
      <c r="H188" s="232">
        <v>456</v>
      </c>
      <c r="I188" s="232">
        <v>15</v>
      </c>
      <c r="K188" s="18"/>
      <c r="L188" s="18"/>
    </row>
    <row r="189" spans="2:12" x14ac:dyDescent="0.2">
      <c r="B189" s="231">
        <v>2019</v>
      </c>
      <c r="C189" s="231" t="s">
        <v>8</v>
      </c>
      <c r="D189" s="236" t="s">
        <v>6418</v>
      </c>
      <c r="E189" s="236" t="s">
        <v>19</v>
      </c>
      <c r="F189" s="232">
        <v>3</v>
      </c>
      <c r="G189" s="232">
        <v>5</v>
      </c>
      <c r="H189" s="232">
        <v>422</v>
      </c>
      <c r="I189" s="232">
        <v>40</v>
      </c>
      <c r="K189" s="18"/>
      <c r="L189" s="18"/>
    </row>
    <row r="190" spans="2:12" x14ac:dyDescent="0.2">
      <c r="B190" s="231">
        <v>2019</v>
      </c>
      <c r="C190" s="231" t="s">
        <v>8</v>
      </c>
      <c r="D190" s="236" t="s">
        <v>6418</v>
      </c>
      <c r="E190" s="236" t="s">
        <v>19</v>
      </c>
      <c r="F190" s="232">
        <v>4</v>
      </c>
      <c r="G190" s="232">
        <v>6</v>
      </c>
      <c r="H190" s="232">
        <v>460</v>
      </c>
      <c r="I190" s="232">
        <v>25</v>
      </c>
      <c r="K190" s="18"/>
      <c r="L190" s="18"/>
    </row>
    <row r="191" spans="2:12" x14ac:dyDescent="0.2">
      <c r="B191" s="231">
        <v>2019</v>
      </c>
      <c r="C191" s="231" t="s">
        <v>7</v>
      </c>
      <c r="D191" s="236" t="s">
        <v>6418</v>
      </c>
      <c r="E191" s="236" t="s">
        <v>19</v>
      </c>
      <c r="F191" s="232">
        <v>2</v>
      </c>
      <c r="G191" s="232">
        <v>5</v>
      </c>
      <c r="H191" s="232">
        <v>456</v>
      </c>
      <c r="I191" s="232">
        <v>40</v>
      </c>
      <c r="K191" s="18"/>
      <c r="L191" s="18"/>
    </row>
    <row r="192" spans="2:12" x14ac:dyDescent="0.2">
      <c r="B192" s="231">
        <v>2019</v>
      </c>
      <c r="C192" s="231" t="s">
        <v>8</v>
      </c>
      <c r="D192" s="236" t="s">
        <v>6418</v>
      </c>
      <c r="E192" s="236" t="s">
        <v>19</v>
      </c>
      <c r="F192" s="232">
        <v>4</v>
      </c>
      <c r="G192" s="232">
        <v>8</v>
      </c>
      <c r="H192" s="232">
        <v>474</v>
      </c>
      <c r="I192" s="232">
        <v>40</v>
      </c>
      <c r="K192" s="18"/>
      <c r="L192" s="18"/>
    </row>
    <row r="193" spans="2:12" x14ac:dyDescent="0.2">
      <c r="B193" s="231">
        <v>2019</v>
      </c>
      <c r="C193" s="231" t="s">
        <v>8</v>
      </c>
      <c r="D193" s="236" t="s">
        <v>6418</v>
      </c>
      <c r="E193" s="236" t="s">
        <v>19</v>
      </c>
      <c r="F193" s="232">
        <v>5</v>
      </c>
      <c r="G193" s="232">
        <v>6</v>
      </c>
      <c r="H193" s="232">
        <v>435</v>
      </c>
      <c r="I193" s="232">
        <v>40</v>
      </c>
      <c r="K193" s="18"/>
      <c r="L193" s="18"/>
    </row>
    <row r="194" spans="2:12" x14ac:dyDescent="0.2">
      <c r="B194" s="231">
        <v>2019</v>
      </c>
      <c r="C194" s="231" t="s">
        <v>8</v>
      </c>
      <c r="D194" s="236" t="s">
        <v>6418</v>
      </c>
      <c r="E194" s="236" t="s">
        <v>19</v>
      </c>
      <c r="F194" s="232">
        <v>3</v>
      </c>
      <c r="G194" s="232">
        <v>4</v>
      </c>
      <c r="H194" s="232">
        <v>433</v>
      </c>
      <c r="I194" s="232">
        <v>30</v>
      </c>
      <c r="K194" s="18"/>
      <c r="L194" s="18"/>
    </row>
    <row r="195" spans="2:12" x14ac:dyDescent="0.2">
      <c r="B195" s="231">
        <v>2019</v>
      </c>
      <c r="C195" s="231" t="s">
        <v>7</v>
      </c>
      <c r="D195" s="236" t="s">
        <v>6418</v>
      </c>
      <c r="E195" s="236" t="s">
        <v>21</v>
      </c>
      <c r="F195" s="232">
        <v>5</v>
      </c>
      <c r="G195" s="232">
        <v>9</v>
      </c>
      <c r="H195" s="232">
        <v>465</v>
      </c>
      <c r="I195" s="232">
        <v>40</v>
      </c>
      <c r="K195" s="18"/>
      <c r="L195" s="18"/>
    </row>
    <row r="196" spans="2:12" x14ac:dyDescent="0.2">
      <c r="B196" s="231">
        <v>2019</v>
      </c>
      <c r="C196" s="231" t="s">
        <v>8</v>
      </c>
      <c r="D196" s="236" t="s">
        <v>6418</v>
      </c>
      <c r="E196" s="236" t="s">
        <v>19</v>
      </c>
      <c r="F196" s="232">
        <v>4</v>
      </c>
      <c r="G196" s="232">
        <v>7</v>
      </c>
      <c r="H196" s="232">
        <v>450</v>
      </c>
      <c r="I196" s="232">
        <v>60</v>
      </c>
      <c r="K196" s="18"/>
      <c r="L196" s="18"/>
    </row>
    <row r="197" spans="2:12" x14ac:dyDescent="0.2">
      <c r="B197" s="231">
        <v>2019</v>
      </c>
      <c r="C197" s="231" t="s">
        <v>8</v>
      </c>
      <c r="D197" s="236" t="s">
        <v>6418</v>
      </c>
      <c r="E197" s="236" t="s">
        <v>20</v>
      </c>
      <c r="F197" s="232">
        <v>2</v>
      </c>
      <c r="G197" s="232">
        <v>6</v>
      </c>
      <c r="H197" s="232">
        <v>464</v>
      </c>
      <c r="I197" s="232">
        <v>30</v>
      </c>
      <c r="K197" s="18"/>
      <c r="L197" s="18"/>
    </row>
    <row r="198" spans="2:12" x14ac:dyDescent="0.2">
      <c r="B198" s="231">
        <v>2019</v>
      </c>
      <c r="C198" s="231" t="s">
        <v>7</v>
      </c>
      <c r="D198" s="236" t="s">
        <v>6418</v>
      </c>
      <c r="E198" s="236" t="s">
        <v>21</v>
      </c>
      <c r="F198" s="232">
        <v>2</v>
      </c>
      <c r="G198" s="232">
        <v>7</v>
      </c>
      <c r="H198" s="232">
        <v>425</v>
      </c>
      <c r="I198" s="232">
        <v>37.5</v>
      </c>
      <c r="K198" s="18"/>
      <c r="L198" s="18"/>
    </row>
    <row r="199" spans="2:12" x14ac:dyDescent="0.2">
      <c r="B199" s="231">
        <v>2019</v>
      </c>
      <c r="C199" s="231" t="s">
        <v>8</v>
      </c>
      <c r="D199" s="236" t="s">
        <v>6418</v>
      </c>
      <c r="E199" s="236" t="s">
        <v>20</v>
      </c>
      <c r="F199" s="232">
        <v>5</v>
      </c>
      <c r="G199" s="232">
        <v>2</v>
      </c>
      <c r="H199" s="232">
        <v>476</v>
      </c>
      <c r="I199" s="232">
        <v>25</v>
      </c>
      <c r="K199" s="18"/>
      <c r="L199" s="18"/>
    </row>
    <row r="200" spans="2:12" x14ac:dyDescent="0.2">
      <c r="B200" s="231">
        <v>2019</v>
      </c>
      <c r="C200" s="231" t="s">
        <v>8</v>
      </c>
      <c r="D200" s="236" t="s">
        <v>6418</v>
      </c>
      <c r="E200" s="236" t="s">
        <v>19</v>
      </c>
      <c r="F200" s="232">
        <v>2</v>
      </c>
      <c r="G200" s="232">
        <v>7</v>
      </c>
      <c r="H200" s="232">
        <v>428</v>
      </c>
      <c r="I200" s="232">
        <v>15</v>
      </c>
      <c r="K200" s="18"/>
      <c r="L200" s="18"/>
    </row>
    <row r="201" spans="2:12" x14ac:dyDescent="0.2">
      <c r="B201" s="231">
        <v>2019</v>
      </c>
      <c r="C201" s="231" t="s">
        <v>7</v>
      </c>
      <c r="D201" s="236" t="s">
        <v>6418</v>
      </c>
      <c r="E201" s="236" t="s">
        <v>20</v>
      </c>
      <c r="F201" s="232">
        <v>5</v>
      </c>
      <c r="G201" s="232">
        <v>9</v>
      </c>
      <c r="H201" s="232">
        <v>432</v>
      </c>
      <c r="I201" s="232">
        <v>50</v>
      </c>
      <c r="K201" s="18"/>
      <c r="L201" s="18"/>
    </row>
    <row r="202" spans="2:12" x14ac:dyDescent="0.2">
      <c r="B202" s="231">
        <v>2019</v>
      </c>
      <c r="C202" s="231" t="s">
        <v>8</v>
      </c>
      <c r="D202" s="236" t="s">
        <v>6418</v>
      </c>
      <c r="E202" s="236" t="s">
        <v>19</v>
      </c>
      <c r="F202" s="232">
        <v>4</v>
      </c>
      <c r="G202" s="232">
        <v>5</v>
      </c>
      <c r="H202" s="232">
        <v>464</v>
      </c>
      <c r="I202" s="232">
        <v>7</v>
      </c>
      <c r="K202" s="18"/>
      <c r="L202" s="18"/>
    </row>
    <row r="203" spans="2:12" x14ac:dyDescent="0.2">
      <c r="B203" s="231">
        <v>2019</v>
      </c>
      <c r="C203" s="231" t="s">
        <v>8</v>
      </c>
      <c r="D203" s="236" t="s">
        <v>6420</v>
      </c>
      <c r="E203" s="236" t="s">
        <v>19</v>
      </c>
      <c r="F203" s="232">
        <v>4</v>
      </c>
      <c r="G203" s="232">
        <v>5</v>
      </c>
      <c r="H203" s="232">
        <v>458</v>
      </c>
      <c r="I203" s="232">
        <v>50</v>
      </c>
      <c r="K203" s="18"/>
      <c r="L203" s="18"/>
    </row>
    <row r="204" spans="2:12" x14ac:dyDescent="0.2">
      <c r="B204" s="231">
        <v>2019</v>
      </c>
      <c r="C204" s="231" t="s">
        <v>7</v>
      </c>
      <c r="D204" s="236" t="s">
        <v>6420</v>
      </c>
      <c r="E204" s="236" t="s">
        <v>19</v>
      </c>
      <c r="F204" s="232">
        <v>3</v>
      </c>
      <c r="G204" s="232">
        <v>4</v>
      </c>
      <c r="H204" s="232">
        <v>400</v>
      </c>
      <c r="I204" s="232">
        <v>15</v>
      </c>
      <c r="K204" s="18"/>
      <c r="L204" s="18"/>
    </row>
    <row r="205" spans="2:12" x14ac:dyDescent="0.2">
      <c r="B205" s="231">
        <v>2019</v>
      </c>
      <c r="C205" s="231" t="s">
        <v>8</v>
      </c>
      <c r="D205" s="236" t="s">
        <v>6420</v>
      </c>
      <c r="E205" s="236" t="s">
        <v>19</v>
      </c>
      <c r="F205" s="232">
        <v>2</v>
      </c>
      <c r="G205" s="232">
        <v>7</v>
      </c>
      <c r="H205" s="232">
        <v>400</v>
      </c>
      <c r="I205" s="232">
        <v>30</v>
      </c>
      <c r="K205" s="18"/>
      <c r="L205" s="18"/>
    </row>
    <row r="206" spans="2:12" x14ac:dyDescent="0.2">
      <c r="B206" s="231">
        <v>2019</v>
      </c>
      <c r="C206" s="231" t="s">
        <v>8</v>
      </c>
      <c r="D206" s="236" t="s">
        <v>6420</v>
      </c>
      <c r="E206" s="236" t="s">
        <v>20</v>
      </c>
      <c r="F206" s="232">
        <v>3</v>
      </c>
      <c r="G206" s="232">
        <v>7</v>
      </c>
      <c r="H206" s="232">
        <v>452</v>
      </c>
      <c r="I206" s="232">
        <v>80</v>
      </c>
      <c r="K206" s="18"/>
      <c r="L206" s="18"/>
    </row>
    <row r="207" spans="2:12" x14ac:dyDescent="0.2">
      <c r="B207" s="231">
        <v>2019</v>
      </c>
      <c r="C207" s="231" t="s">
        <v>8</v>
      </c>
      <c r="D207" s="236" t="s">
        <v>6420</v>
      </c>
      <c r="E207" s="236" t="s">
        <v>20</v>
      </c>
      <c r="F207" s="232">
        <v>3</v>
      </c>
      <c r="G207" s="232">
        <v>3</v>
      </c>
      <c r="H207" s="232">
        <v>415</v>
      </c>
      <c r="I207" s="232">
        <v>90</v>
      </c>
      <c r="K207" s="18"/>
      <c r="L207" s="18"/>
    </row>
    <row r="208" spans="2:12" x14ac:dyDescent="0.2">
      <c r="B208" s="231">
        <v>2019</v>
      </c>
      <c r="C208" s="231" t="s">
        <v>8</v>
      </c>
      <c r="D208" s="236" t="s">
        <v>6420</v>
      </c>
      <c r="E208" s="236" t="s">
        <v>19</v>
      </c>
      <c r="F208" s="232">
        <v>2</v>
      </c>
      <c r="G208" s="232">
        <v>7</v>
      </c>
      <c r="H208" s="232">
        <v>410</v>
      </c>
      <c r="I208" s="232">
        <v>30</v>
      </c>
      <c r="K208" s="18"/>
      <c r="L208" s="18"/>
    </row>
    <row r="209" spans="2:12" x14ac:dyDescent="0.2">
      <c r="B209" s="231">
        <v>2019</v>
      </c>
      <c r="C209" s="231" t="s">
        <v>8</v>
      </c>
      <c r="D209" s="236" t="s">
        <v>6420</v>
      </c>
      <c r="E209" s="236" t="s">
        <v>19</v>
      </c>
      <c r="F209" s="232">
        <v>4</v>
      </c>
      <c r="G209" s="232">
        <v>6</v>
      </c>
      <c r="H209" s="232">
        <v>430</v>
      </c>
      <c r="I209" s="232">
        <v>20</v>
      </c>
      <c r="K209" s="18"/>
      <c r="L209" s="18"/>
    </row>
    <row r="210" spans="2:12" x14ac:dyDescent="0.2">
      <c r="B210" s="231">
        <v>2019</v>
      </c>
      <c r="C210" s="231" t="s">
        <v>8</v>
      </c>
      <c r="D210" s="236" t="s">
        <v>6420</v>
      </c>
      <c r="E210" s="236" t="s">
        <v>19</v>
      </c>
      <c r="F210" s="232">
        <v>3</v>
      </c>
      <c r="G210" s="232">
        <v>6</v>
      </c>
      <c r="H210" s="232">
        <v>418</v>
      </c>
      <c r="I210" s="232">
        <v>20</v>
      </c>
      <c r="K210" s="18"/>
      <c r="L210" s="18"/>
    </row>
    <row r="211" spans="2:12" x14ac:dyDescent="0.2">
      <c r="B211" s="231">
        <v>2019</v>
      </c>
      <c r="C211" s="231" t="s">
        <v>7</v>
      </c>
      <c r="D211" s="236" t="s">
        <v>6420</v>
      </c>
      <c r="E211" s="236" t="s">
        <v>19</v>
      </c>
      <c r="F211" s="232">
        <v>2</v>
      </c>
      <c r="G211" s="232">
        <v>10</v>
      </c>
      <c r="H211" s="232">
        <v>378</v>
      </c>
      <c r="I211" s="232">
        <v>50</v>
      </c>
      <c r="K211" s="18"/>
      <c r="L211" s="18"/>
    </row>
    <row r="212" spans="2:12" x14ac:dyDescent="0.2">
      <c r="B212" s="231">
        <v>2019</v>
      </c>
      <c r="C212" s="231" t="s">
        <v>8</v>
      </c>
      <c r="D212" s="236" t="s">
        <v>6420</v>
      </c>
      <c r="E212" s="236" t="s">
        <v>21</v>
      </c>
      <c r="F212" s="232">
        <v>2</v>
      </c>
      <c r="G212" s="232">
        <v>6</v>
      </c>
      <c r="H212" s="232">
        <v>410</v>
      </c>
      <c r="I212" s="232">
        <v>45</v>
      </c>
      <c r="K212" s="18"/>
      <c r="L212" s="18"/>
    </row>
    <row r="213" spans="2:12" x14ac:dyDescent="0.2">
      <c r="B213" s="231">
        <v>2019</v>
      </c>
      <c r="C213" s="231" t="s">
        <v>8</v>
      </c>
      <c r="D213" s="236" t="s">
        <v>6420</v>
      </c>
      <c r="E213" s="236" t="s">
        <v>20</v>
      </c>
      <c r="F213" s="232">
        <v>2</v>
      </c>
      <c r="G213" s="232">
        <v>3</v>
      </c>
      <c r="H213" s="232">
        <v>405</v>
      </c>
      <c r="I213" s="232">
        <v>15</v>
      </c>
      <c r="K213" s="18"/>
      <c r="L213" s="18"/>
    </row>
    <row r="214" spans="2:12" x14ac:dyDescent="0.2">
      <c r="B214" s="231">
        <v>2019</v>
      </c>
      <c r="C214" s="231" t="s">
        <v>8</v>
      </c>
      <c r="D214" s="236" t="s">
        <v>6420</v>
      </c>
      <c r="E214" s="236" t="s">
        <v>19</v>
      </c>
      <c r="F214" s="232">
        <v>4</v>
      </c>
      <c r="G214" s="232">
        <v>4</v>
      </c>
      <c r="H214" s="232">
        <v>468</v>
      </c>
      <c r="I214" s="232">
        <v>60</v>
      </c>
      <c r="K214" s="18"/>
      <c r="L214" s="18"/>
    </row>
    <row r="215" spans="2:12" x14ac:dyDescent="0.2">
      <c r="B215" s="231">
        <v>2019</v>
      </c>
      <c r="C215" s="231" t="s">
        <v>8</v>
      </c>
      <c r="D215" s="236" t="s">
        <v>6420</v>
      </c>
      <c r="E215" s="236" t="s">
        <v>19</v>
      </c>
      <c r="F215" s="232">
        <v>5</v>
      </c>
      <c r="G215" s="232">
        <v>5</v>
      </c>
      <c r="H215" s="232">
        <v>477</v>
      </c>
      <c r="I215" s="232">
        <v>30</v>
      </c>
      <c r="K215" s="18"/>
      <c r="L215" s="18"/>
    </row>
    <row r="216" spans="2:12" x14ac:dyDescent="0.2">
      <c r="B216" s="231">
        <v>2019</v>
      </c>
      <c r="C216" s="231" t="s">
        <v>8</v>
      </c>
      <c r="D216" s="236" t="s">
        <v>6420</v>
      </c>
      <c r="E216" s="236" t="s">
        <v>19</v>
      </c>
      <c r="F216" s="232">
        <v>4</v>
      </c>
      <c r="G216" s="232">
        <v>9</v>
      </c>
      <c r="H216" s="232">
        <v>500</v>
      </c>
      <c r="I216" s="232">
        <v>30</v>
      </c>
      <c r="K216" s="18"/>
      <c r="L216" s="18"/>
    </row>
    <row r="217" spans="2:12" x14ac:dyDescent="0.2">
      <c r="B217" s="231">
        <v>2019</v>
      </c>
      <c r="C217" s="231" t="s">
        <v>8</v>
      </c>
      <c r="D217" s="236" t="s">
        <v>6420</v>
      </c>
      <c r="E217" s="236" t="s">
        <v>19</v>
      </c>
      <c r="F217" s="232">
        <v>2</v>
      </c>
      <c r="G217" s="232">
        <v>8</v>
      </c>
      <c r="H217" s="232">
        <v>412</v>
      </c>
      <c r="I217" s="232">
        <v>30</v>
      </c>
      <c r="K217" s="18"/>
      <c r="L217" s="18"/>
    </row>
    <row r="218" spans="2:12" x14ac:dyDescent="0.2">
      <c r="B218" s="231">
        <v>2019</v>
      </c>
      <c r="C218" s="231" t="s">
        <v>7</v>
      </c>
      <c r="D218" s="236" t="s">
        <v>6420</v>
      </c>
      <c r="E218" s="236" t="s">
        <v>19</v>
      </c>
      <c r="F218" s="232">
        <v>2</v>
      </c>
      <c r="G218" s="232">
        <v>9</v>
      </c>
      <c r="H218" s="232">
        <v>369</v>
      </c>
      <c r="I218" s="232">
        <v>35</v>
      </c>
      <c r="K218" s="18"/>
      <c r="L218" s="18"/>
    </row>
    <row r="219" spans="2:12" x14ac:dyDescent="0.2">
      <c r="B219" s="231">
        <v>2019</v>
      </c>
      <c r="C219" s="231" t="s">
        <v>8</v>
      </c>
      <c r="D219" s="236" t="s">
        <v>6420</v>
      </c>
      <c r="E219" s="236" t="s">
        <v>20</v>
      </c>
      <c r="F219" s="232">
        <v>5</v>
      </c>
      <c r="G219" s="232">
        <v>7</v>
      </c>
      <c r="H219" s="232">
        <v>412</v>
      </c>
      <c r="I219" s="232">
        <v>35</v>
      </c>
      <c r="K219" s="18"/>
      <c r="L219" s="18"/>
    </row>
    <row r="220" spans="2:12" x14ac:dyDescent="0.2">
      <c r="B220" s="231">
        <v>2019</v>
      </c>
      <c r="C220" s="231" t="s">
        <v>7</v>
      </c>
      <c r="D220" s="236" t="s">
        <v>6420</v>
      </c>
      <c r="E220" s="236" t="s">
        <v>19</v>
      </c>
      <c r="F220" s="232">
        <v>5</v>
      </c>
      <c r="G220" s="232">
        <v>5</v>
      </c>
      <c r="H220" s="232">
        <v>450</v>
      </c>
      <c r="I220" s="232">
        <v>90</v>
      </c>
      <c r="K220" s="18"/>
      <c r="L220" s="18"/>
    </row>
    <row r="221" spans="2:12" x14ac:dyDescent="0.2">
      <c r="B221" s="231">
        <v>2019</v>
      </c>
      <c r="C221" s="231" t="s">
        <v>8</v>
      </c>
      <c r="D221" s="236" t="s">
        <v>6420</v>
      </c>
      <c r="E221" s="236" t="s">
        <v>19</v>
      </c>
      <c r="F221" s="232">
        <v>3</v>
      </c>
      <c r="G221" s="232">
        <v>5</v>
      </c>
      <c r="H221" s="232">
        <v>409</v>
      </c>
      <c r="I221" s="232">
        <v>20</v>
      </c>
      <c r="K221" s="18"/>
      <c r="L221" s="18"/>
    </row>
    <row r="222" spans="2:12" x14ac:dyDescent="0.2">
      <c r="B222" s="231">
        <v>2019</v>
      </c>
      <c r="C222" s="231" t="s">
        <v>8</v>
      </c>
      <c r="D222" s="236" t="s">
        <v>6420</v>
      </c>
      <c r="E222" s="236" t="s">
        <v>19</v>
      </c>
      <c r="F222" s="232">
        <v>5</v>
      </c>
      <c r="G222" s="232">
        <v>9</v>
      </c>
      <c r="H222" s="232">
        <v>464</v>
      </c>
      <c r="I222" s="232">
        <v>35</v>
      </c>
      <c r="K222" s="18"/>
      <c r="L222" s="18"/>
    </row>
    <row r="223" spans="2:12" x14ac:dyDescent="0.2">
      <c r="B223" s="231">
        <v>2019</v>
      </c>
      <c r="C223" s="231" t="s">
        <v>8</v>
      </c>
      <c r="D223" s="236" t="s">
        <v>6420</v>
      </c>
      <c r="E223" s="236" t="s">
        <v>19</v>
      </c>
      <c r="F223" s="232">
        <v>2</v>
      </c>
      <c r="G223" s="232">
        <v>9</v>
      </c>
      <c r="H223" s="232">
        <v>420</v>
      </c>
      <c r="I223" s="232">
        <v>15</v>
      </c>
      <c r="K223" s="18"/>
      <c r="L223" s="18"/>
    </row>
    <row r="224" spans="2:12" x14ac:dyDescent="0.2">
      <c r="B224" s="231">
        <v>2019</v>
      </c>
      <c r="C224" s="231" t="s">
        <v>7</v>
      </c>
      <c r="D224" s="236" t="s">
        <v>6420</v>
      </c>
      <c r="E224" s="236" t="s">
        <v>21</v>
      </c>
      <c r="F224" s="232">
        <v>4</v>
      </c>
      <c r="G224" s="232">
        <v>8</v>
      </c>
      <c r="H224" s="232">
        <v>456</v>
      </c>
      <c r="I224" s="232">
        <v>29</v>
      </c>
      <c r="K224" s="18"/>
      <c r="L224" s="18"/>
    </row>
    <row r="225" spans="2:12" x14ac:dyDescent="0.2">
      <c r="B225" s="231">
        <v>2019</v>
      </c>
      <c r="C225" s="231" t="s">
        <v>8</v>
      </c>
      <c r="D225" s="236" t="s">
        <v>6420</v>
      </c>
      <c r="E225" s="236" t="s">
        <v>19</v>
      </c>
      <c r="F225" s="232">
        <v>2</v>
      </c>
      <c r="G225" s="232">
        <v>8</v>
      </c>
      <c r="H225" s="232">
        <v>390</v>
      </c>
      <c r="I225" s="232">
        <v>3</v>
      </c>
      <c r="K225" s="18"/>
      <c r="L225" s="18"/>
    </row>
    <row r="226" spans="2:12" x14ac:dyDescent="0.2">
      <c r="B226" s="231">
        <v>2019</v>
      </c>
      <c r="C226" s="231" t="s">
        <v>8</v>
      </c>
      <c r="D226" s="236" t="s">
        <v>6420</v>
      </c>
      <c r="E226" s="236" t="s">
        <v>20</v>
      </c>
      <c r="F226" s="232">
        <v>2</v>
      </c>
      <c r="G226" s="232">
        <v>7</v>
      </c>
      <c r="H226" s="232">
        <v>427</v>
      </c>
      <c r="I226" s="232">
        <v>90</v>
      </c>
      <c r="K226" s="18"/>
      <c r="L226" s="18"/>
    </row>
    <row r="227" spans="2:12" x14ac:dyDescent="0.2">
      <c r="B227" s="231">
        <v>2019</v>
      </c>
      <c r="C227" s="231" t="s">
        <v>7</v>
      </c>
      <c r="D227" s="236" t="s">
        <v>6420</v>
      </c>
      <c r="E227" s="236" t="s">
        <v>21</v>
      </c>
      <c r="F227" s="232">
        <v>5</v>
      </c>
      <c r="G227" s="232">
        <v>5</v>
      </c>
      <c r="H227" s="232">
        <v>477</v>
      </c>
      <c r="I227" s="232">
        <v>45</v>
      </c>
      <c r="K227" s="18"/>
      <c r="L227" s="18"/>
    </row>
    <row r="228" spans="2:12" x14ac:dyDescent="0.2">
      <c r="B228" s="231">
        <v>2019</v>
      </c>
      <c r="C228" s="231" t="s">
        <v>8</v>
      </c>
      <c r="D228" s="236" t="s">
        <v>6420</v>
      </c>
      <c r="E228" s="236" t="s">
        <v>19</v>
      </c>
      <c r="F228" s="232">
        <v>4</v>
      </c>
      <c r="G228" s="232">
        <v>4</v>
      </c>
      <c r="H228" s="232">
        <v>478</v>
      </c>
      <c r="I228" s="232">
        <v>10</v>
      </c>
      <c r="K228" s="18"/>
      <c r="L228" s="18"/>
    </row>
    <row r="229" spans="2:12" x14ac:dyDescent="0.2">
      <c r="B229" s="231">
        <v>2019</v>
      </c>
      <c r="C229" s="231" t="s">
        <v>8</v>
      </c>
      <c r="D229" s="236" t="s">
        <v>6420</v>
      </c>
      <c r="E229" s="236" t="s">
        <v>19</v>
      </c>
      <c r="F229" s="232">
        <v>5</v>
      </c>
      <c r="G229" s="232">
        <v>7</v>
      </c>
      <c r="H229" s="232">
        <v>443</v>
      </c>
      <c r="I229" s="232">
        <v>25</v>
      </c>
      <c r="K229" s="18"/>
      <c r="L229" s="18"/>
    </row>
    <row r="230" spans="2:12" x14ac:dyDescent="0.2">
      <c r="B230" s="231">
        <v>2019</v>
      </c>
      <c r="C230" s="231" t="s">
        <v>8</v>
      </c>
      <c r="D230" s="236" t="s">
        <v>6420</v>
      </c>
      <c r="E230" s="236" t="s">
        <v>19</v>
      </c>
      <c r="F230" s="232">
        <v>2</v>
      </c>
      <c r="G230" s="232">
        <v>5</v>
      </c>
      <c r="H230" s="232">
        <v>415</v>
      </c>
      <c r="I230" s="232">
        <v>30</v>
      </c>
      <c r="K230" s="18"/>
      <c r="L230" s="18"/>
    </row>
    <row r="231" spans="2:12" x14ac:dyDescent="0.2">
      <c r="B231" s="231">
        <v>2019</v>
      </c>
      <c r="C231" s="231" t="s">
        <v>7</v>
      </c>
      <c r="D231" s="236" t="s">
        <v>6420</v>
      </c>
      <c r="E231" s="236" t="s">
        <v>21</v>
      </c>
      <c r="F231" s="232">
        <v>5</v>
      </c>
      <c r="G231" s="232">
        <v>7</v>
      </c>
      <c r="H231" s="232">
        <v>456</v>
      </c>
      <c r="I231" s="232">
        <v>30</v>
      </c>
      <c r="K231" s="18"/>
      <c r="L231" s="18"/>
    </row>
    <row r="232" spans="2:12" x14ac:dyDescent="0.2">
      <c r="B232" s="231">
        <v>2019</v>
      </c>
      <c r="C232" s="231" t="s">
        <v>8</v>
      </c>
      <c r="D232" s="236" t="s">
        <v>6420</v>
      </c>
      <c r="E232" s="236" t="s">
        <v>19</v>
      </c>
      <c r="F232" s="232">
        <v>2</v>
      </c>
      <c r="G232" s="232">
        <v>7</v>
      </c>
      <c r="H232" s="232">
        <v>446</v>
      </c>
      <c r="I232" s="232">
        <v>20</v>
      </c>
      <c r="K232" s="18"/>
      <c r="L232" s="18"/>
    </row>
    <row r="233" spans="2:12" x14ac:dyDescent="0.2">
      <c r="B233" s="231">
        <v>2019</v>
      </c>
      <c r="C233" s="231" t="s">
        <v>8</v>
      </c>
      <c r="D233" s="236" t="s">
        <v>6420</v>
      </c>
      <c r="E233" s="236" t="s">
        <v>21</v>
      </c>
      <c r="F233" s="232">
        <v>3</v>
      </c>
      <c r="G233" s="232">
        <v>9</v>
      </c>
      <c r="H233" s="232">
        <v>441</v>
      </c>
      <c r="I233" s="232">
        <v>50</v>
      </c>
      <c r="K233" s="18"/>
      <c r="L233" s="18"/>
    </row>
    <row r="234" spans="2:12" x14ac:dyDescent="0.2">
      <c r="B234" s="231">
        <v>2019</v>
      </c>
      <c r="C234" s="231" t="s">
        <v>7</v>
      </c>
      <c r="D234" s="236" t="s">
        <v>6420</v>
      </c>
      <c r="E234" s="236" t="s">
        <v>19</v>
      </c>
      <c r="F234" s="232">
        <v>4</v>
      </c>
      <c r="G234" s="232">
        <v>9</v>
      </c>
      <c r="H234" s="232">
        <v>441</v>
      </c>
      <c r="I234" s="232">
        <v>40</v>
      </c>
      <c r="K234" s="18"/>
      <c r="L234" s="18"/>
    </row>
    <row r="235" spans="2:12" x14ac:dyDescent="0.2">
      <c r="B235" s="231">
        <v>2019</v>
      </c>
      <c r="C235" s="231" t="s">
        <v>8</v>
      </c>
      <c r="D235" s="236" t="s">
        <v>6420</v>
      </c>
      <c r="E235" s="236" t="s">
        <v>19</v>
      </c>
      <c r="F235" s="232">
        <v>3</v>
      </c>
      <c r="G235" s="232">
        <v>7</v>
      </c>
      <c r="H235" s="232">
        <v>421</v>
      </c>
      <c r="I235" s="232">
        <v>40</v>
      </c>
      <c r="K235" s="18"/>
      <c r="L235" s="18"/>
    </row>
    <row r="236" spans="2:12" x14ac:dyDescent="0.2">
      <c r="B236" s="231">
        <v>2019</v>
      </c>
      <c r="C236" s="231" t="s">
        <v>8</v>
      </c>
      <c r="D236" s="236" t="s">
        <v>6420</v>
      </c>
      <c r="E236" s="236" t="s">
        <v>19</v>
      </c>
      <c r="F236" s="232">
        <v>2</v>
      </c>
      <c r="G236" s="232">
        <v>6</v>
      </c>
      <c r="H236" s="232">
        <v>416</v>
      </c>
      <c r="I236" s="232">
        <v>26</v>
      </c>
      <c r="K236" s="18"/>
      <c r="L236" s="18"/>
    </row>
    <row r="237" spans="2:12" x14ac:dyDescent="0.2">
      <c r="B237" s="231">
        <v>2019</v>
      </c>
      <c r="C237" s="231" t="s">
        <v>7</v>
      </c>
      <c r="D237" s="236" t="s">
        <v>6420</v>
      </c>
      <c r="E237" s="236" t="s">
        <v>19</v>
      </c>
      <c r="F237" s="232">
        <v>3</v>
      </c>
      <c r="G237" s="232">
        <v>8</v>
      </c>
      <c r="H237" s="232">
        <v>421</v>
      </c>
      <c r="I237" s="232">
        <v>10</v>
      </c>
      <c r="K237" s="18"/>
      <c r="L237" s="18"/>
    </row>
    <row r="238" spans="2:12" x14ac:dyDescent="0.2">
      <c r="B238" s="231">
        <v>2019</v>
      </c>
      <c r="C238" s="231" t="s">
        <v>8</v>
      </c>
      <c r="D238" s="236" t="s">
        <v>6420</v>
      </c>
      <c r="E238" s="236" t="s">
        <v>21</v>
      </c>
      <c r="F238" s="232">
        <v>4</v>
      </c>
      <c r="G238" s="232">
        <v>4</v>
      </c>
      <c r="H238" s="232">
        <v>450</v>
      </c>
      <c r="I238" s="232">
        <v>20</v>
      </c>
      <c r="K238" s="18"/>
      <c r="L238" s="18"/>
    </row>
    <row r="239" spans="2:12" x14ac:dyDescent="0.2">
      <c r="B239" s="231">
        <v>2019</v>
      </c>
      <c r="C239" s="231" t="s">
        <v>8</v>
      </c>
      <c r="D239" s="236" t="s">
        <v>6420</v>
      </c>
      <c r="E239" s="236" t="s">
        <v>21</v>
      </c>
      <c r="F239" s="232">
        <v>3</v>
      </c>
      <c r="G239" s="232">
        <v>6</v>
      </c>
      <c r="H239" s="232">
        <v>425</v>
      </c>
      <c r="I239" s="232">
        <v>50</v>
      </c>
      <c r="K239" s="18"/>
      <c r="L239" s="18"/>
    </row>
    <row r="240" spans="2:12" x14ac:dyDescent="0.2">
      <c r="B240" s="231">
        <v>2019</v>
      </c>
      <c r="C240" s="231" t="s">
        <v>8</v>
      </c>
      <c r="D240" s="236" t="s">
        <v>6417</v>
      </c>
      <c r="E240" s="236" t="s">
        <v>21</v>
      </c>
      <c r="F240" s="232">
        <v>5</v>
      </c>
      <c r="G240" s="232">
        <v>10</v>
      </c>
      <c r="H240" s="232">
        <v>443</v>
      </c>
      <c r="I240" s="232">
        <v>30</v>
      </c>
      <c r="K240" s="18"/>
      <c r="L240" s="18"/>
    </row>
    <row r="241" spans="2:12" x14ac:dyDescent="0.2">
      <c r="B241" s="231">
        <v>2019</v>
      </c>
      <c r="C241" s="231" t="s">
        <v>7</v>
      </c>
      <c r="D241" s="236" t="s">
        <v>6417</v>
      </c>
      <c r="E241" s="236" t="s">
        <v>21</v>
      </c>
      <c r="F241" s="232">
        <v>4</v>
      </c>
      <c r="G241" s="232">
        <v>5</v>
      </c>
      <c r="H241" s="232">
        <v>432</v>
      </c>
      <c r="I241" s="232">
        <v>15</v>
      </c>
      <c r="K241" s="18"/>
      <c r="L241" s="18"/>
    </row>
    <row r="242" spans="2:12" x14ac:dyDescent="0.2">
      <c r="B242" s="231">
        <v>2019</v>
      </c>
      <c r="C242" s="231" t="s">
        <v>7</v>
      </c>
      <c r="D242" s="236" t="s">
        <v>6417</v>
      </c>
      <c r="E242" s="236" t="s">
        <v>21</v>
      </c>
      <c r="F242" s="232">
        <v>5</v>
      </c>
      <c r="G242" s="232">
        <v>5</v>
      </c>
      <c r="H242" s="232">
        <v>452</v>
      </c>
      <c r="I242" s="232">
        <v>20</v>
      </c>
      <c r="K242" s="18"/>
      <c r="L242" s="18"/>
    </row>
    <row r="243" spans="2:12" x14ac:dyDescent="0.2">
      <c r="B243" s="231">
        <v>2019</v>
      </c>
      <c r="C243" s="231" t="s">
        <v>8</v>
      </c>
      <c r="D243" s="236" t="s">
        <v>6417</v>
      </c>
      <c r="E243" s="236" t="s">
        <v>19</v>
      </c>
      <c r="F243" s="232">
        <v>3</v>
      </c>
      <c r="G243" s="232">
        <v>7</v>
      </c>
      <c r="H243" s="232">
        <v>409</v>
      </c>
      <c r="I243" s="232">
        <v>15</v>
      </c>
      <c r="K243" s="18"/>
      <c r="L243" s="18"/>
    </row>
    <row r="244" spans="2:12" x14ac:dyDescent="0.2">
      <c r="B244" s="231">
        <v>2019</v>
      </c>
      <c r="C244" s="231" t="s">
        <v>7</v>
      </c>
      <c r="D244" s="236" t="s">
        <v>6417</v>
      </c>
      <c r="E244" s="236" t="s">
        <v>21</v>
      </c>
      <c r="F244" s="232">
        <v>4</v>
      </c>
      <c r="G244" s="232">
        <v>7</v>
      </c>
      <c r="H244" s="232">
        <v>414</v>
      </c>
      <c r="I244" s="232">
        <v>65</v>
      </c>
      <c r="K244" s="18"/>
      <c r="L244" s="18"/>
    </row>
    <row r="245" spans="2:12" x14ac:dyDescent="0.2">
      <c r="B245" s="231">
        <v>2019</v>
      </c>
      <c r="C245" s="231" t="s">
        <v>7</v>
      </c>
      <c r="D245" s="236" t="s">
        <v>6417</v>
      </c>
      <c r="E245" s="236" t="s">
        <v>19</v>
      </c>
      <c r="F245" s="232">
        <v>5</v>
      </c>
      <c r="G245" s="232">
        <v>6</v>
      </c>
      <c r="H245" s="232">
        <v>458</v>
      </c>
      <c r="I245" s="232">
        <v>60</v>
      </c>
      <c r="K245" s="18"/>
      <c r="L245" s="18"/>
    </row>
    <row r="246" spans="2:12" x14ac:dyDescent="0.2">
      <c r="B246" s="231">
        <v>2019</v>
      </c>
      <c r="C246" s="231" t="s">
        <v>7</v>
      </c>
      <c r="D246" s="236" t="s">
        <v>6417</v>
      </c>
      <c r="E246" s="236" t="s">
        <v>20</v>
      </c>
      <c r="F246" s="232">
        <v>2</v>
      </c>
      <c r="G246" s="232">
        <v>6</v>
      </c>
      <c r="H246" s="232">
        <v>461</v>
      </c>
      <c r="I246" s="232">
        <v>25</v>
      </c>
      <c r="K246" s="18"/>
      <c r="L246" s="18"/>
    </row>
    <row r="247" spans="2:12" x14ac:dyDescent="0.2">
      <c r="B247" s="231">
        <v>2019</v>
      </c>
      <c r="C247" s="231" t="s">
        <v>8</v>
      </c>
      <c r="D247" s="236" t="s">
        <v>6417</v>
      </c>
      <c r="E247" s="236" t="s">
        <v>19</v>
      </c>
      <c r="F247" s="232">
        <v>4</v>
      </c>
      <c r="G247" s="232">
        <v>3</v>
      </c>
      <c r="H247" s="232">
        <v>264</v>
      </c>
      <c r="I247" s="232">
        <v>25</v>
      </c>
      <c r="K247" s="18"/>
      <c r="L247" s="18"/>
    </row>
    <row r="248" spans="2:12" x14ac:dyDescent="0.2">
      <c r="B248" s="231">
        <v>2019</v>
      </c>
      <c r="C248" s="231" t="s">
        <v>7</v>
      </c>
      <c r="D248" s="236" t="s">
        <v>6417</v>
      </c>
      <c r="E248" s="236" t="s">
        <v>21</v>
      </c>
      <c r="F248" s="232">
        <v>5</v>
      </c>
      <c r="G248" s="232">
        <v>10</v>
      </c>
      <c r="H248" s="232">
        <v>450</v>
      </c>
      <c r="I248" s="232">
        <v>50</v>
      </c>
      <c r="K248" s="18"/>
      <c r="L248" s="18"/>
    </row>
    <row r="249" spans="2:12" x14ac:dyDescent="0.2">
      <c r="B249" s="231">
        <v>2019</v>
      </c>
      <c r="C249" s="231" t="s">
        <v>7</v>
      </c>
      <c r="D249" s="236" t="s">
        <v>6417</v>
      </c>
      <c r="E249" s="236" t="s">
        <v>21</v>
      </c>
      <c r="F249" s="232">
        <v>4</v>
      </c>
      <c r="G249" s="232">
        <v>4</v>
      </c>
      <c r="H249" s="232">
        <v>428</v>
      </c>
      <c r="I249" s="232">
        <v>20</v>
      </c>
      <c r="K249" s="18"/>
      <c r="L249" s="18"/>
    </row>
    <row r="250" spans="2:12" x14ac:dyDescent="0.2">
      <c r="B250" s="231">
        <v>2019</v>
      </c>
      <c r="C250" s="231" t="s">
        <v>7</v>
      </c>
      <c r="D250" s="236" t="s">
        <v>6417</v>
      </c>
      <c r="E250" s="236" t="s">
        <v>21</v>
      </c>
      <c r="F250" s="232">
        <v>4</v>
      </c>
      <c r="G250" s="232">
        <v>10</v>
      </c>
      <c r="H250" s="232">
        <v>439</v>
      </c>
      <c r="I250" s="232">
        <v>15</v>
      </c>
      <c r="K250" s="18"/>
      <c r="L250" s="18"/>
    </row>
    <row r="251" spans="2:12" x14ac:dyDescent="0.2">
      <c r="B251" s="231">
        <v>2019</v>
      </c>
      <c r="C251" s="231" t="s">
        <v>7</v>
      </c>
      <c r="D251" s="236" t="s">
        <v>6417</v>
      </c>
      <c r="E251" s="236" t="s">
        <v>21</v>
      </c>
      <c r="F251" s="232">
        <v>3</v>
      </c>
      <c r="G251" s="232">
        <v>7</v>
      </c>
      <c r="H251" s="232">
        <v>407</v>
      </c>
      <c r="I251" s="232">
        <v>37.5</v>
      </c>
      <c r="K251" s="18"/>
      <c r="L251" s="18"/>
    </row>
    <row r="252" spans="2:12" x14ac:dyDescent="0.2">
      <c r="B252" s="231">
        <v>2019</v>
      </c>
      <c r="C252" s="231" t="s">
        <v>7</v>
      </c>
      <c r="D252" s="236" t="s">
        <v>6417</v>
      </c>
      <c r="E252" s="236" t="s">
        <v>21</v>
      </c>
      <c r="F252" s="232">
        <v>5</v>
      </c>
      <c r="G252" s="232">
        <v>8</v>
      </c>
      <c r="H252" s="232">
        <v>409</v>
      </c>
      <c r="I252" s="232">
        <v>25</v>
      </c>
      <c r="K252" s="18"/>
      <c r="L252" s="18"/>
    </row>
    <row r="253" spans="2:12" x14ac:dyDescent="0.2">
      <c r="B253" s="231">
        <v>2019</v>
      </c>
      <c r="C253" s="231" t="s">
        <v>8</v>
      </c>
      <c r="D253" s="236" t="s">
        <v>6417</v>
      </c>
      <c r="E253" s="236" t="s">
        <v>21</v>
      </c>
      <c r="F253" s="232">
        <v>5</v>
      </c>
      <c r="G253" s="232">
        <v>2</v>
      </c>
      <c r="H253" s="232">
        <v>475</v>
      </c>
      <c r="I253" s="232">
        <v>50</v>
      </c>
      <c r="K253" s="18"/>
      <c r="L253" s="18"/>
    </row>
    <row r="254" spans="2:12" x14ac:dyDescent="0.2">
      <c r="B254" s="231">
        <v>2019</v>
      </c>
      <c r="C254" s="231" t="s">
        <v>7</v>
      </c>
      <c r="D254" s="236" t="s">
        <v>6417</v>
      </c>
      <c r="E254" s="236" t="s">
        <v>19</v>
      </c>
      <c r="F254" s="232">
        <v>5</v>
      </c>
      <c r="G254" s="232">
        <v>1</v>
      </c>
      <c r="H254" s="232">
        <v>423</v>
      </c>
      <c r="I254" s="232">
        <v>40</v>
      </c>
      <c r="K254" s="18"/>
      <c r="L254" s="18"/>
    </row>
    <row r="255" spans="2:12" x14ac:dyDescent="0.2">
      <c r="B255" s="231">
        <v>2019</v>
      </c>
      <c r="C255" s="231" t="s">
        <v>8</v>
      </c>
      <c r="D255" s="236" t="s">
        <v>6417</v>
      </c>
      <c r="E255" s="236" t="s">
        <v>21</v>
      </c>
      <c r="F255" s="232">
        <v>4</v>
      </c>
      <c r="G255" s="232">
        <v>5</v>
      </c>
      <c r="H255" s="232">
        <v>410</v>
      </c>
      <c r="I255" s="232">
        <v>40</v>
      </c>
      <c r="K255" s="18"/>
      <c r="L255" s="18"/>
    </row>
    <row r="256" spans="2:12" x14ac:dyDescent="0.2">
      <c r="B256" s="231">
        <v>2019</v>
      </c>
      <c r="C256" s="231" t="s">
        <v>7</v>
      </c>
      <c r="D256" s="236" t="s">
        <v>6417</v>
      </c>
      <c r="E256" s="236" t="s">
        <v>21</v>
      </c>
      <c r="F256" s="232">
        <v>5</v>
      </c>
      <c r="G256" s="232">
        <v>6</v>
      </c>
      <c r="H256" s="232">
        <v>458</v>
      </c>
      <c r="I256" s="232">
        <v>20</v>
      </c>
      <c r="K256" s="18"/>
      <c r="L256" s="18"/>
    </row>
    <row r="257" spans="2:12" x14ac:dyDescent="0.2">
      <c r="B257" s="231">
        <v>2019</v>
      </c>
      <c r="C257" s="231" t="s">
        <v>7</v>
      </c>
      <c r="D257" s="236" t="s">
        <v>6417</v>
      </c>
      <c r="E257" s="236" t="s">
        <v>21</v>
      </c>
      <c r="F257" s="232">
        <v>4</v>
      </c>
      <c r="G257" s="232">
        <v>6</v>
      </c>
      <c r="H257" s="232">
        <v>423</v>
      </c>
      <c r="I257" s="232">
        <v>45</v>
      </c>
      <c r="K257" s="18"/>
      <c r="L257" s="18"/>
    </row>
    <row r="258" spans="2:12" x14ac:dyDescent="0.2">
      <c r="B258" s="231">
        <v>2019</v>
      </c>
      <c r="C258" s="231" t="s">
        <v>7</v>
      </c>
      <c r="D258" s="236" t="s">
        <v>6417</v>
      </c>
      <c r="E258" s="236" t="s">
        <v>21</v>
      </c>
      <c r="F258" s="232">
        <v>5</v>
      </c>
      <c r="G258" s="232">
        <v>3</v>
      </c>
      <c r="H258" s="232">
        <v>425</v>
      </c>
      <c r="I258" s="232">
        <v>55</v>
      </c>
      <c r="K258" s="18"/>
      <c r="L258" s="18"/>
    </row>
    <row r="259" spans="2:12" x14ac:dyDescent="0.2">
      <c r="B259" s="231">
        <v>2019</v>
      </c>
      <c r="C259" s="231" t="s">
        <v>7</v>
      </c>
      <c r="D259" s="236" t="s">
        <v>6417</v>
      </c>
      <c r="E259" s="236" t="s">
        <v>21</v>
      </c>
      <c r="F259" s="232">
        <v>4</v>
      </c>
      <c r="G259" s="232">
        <v>2</v>
      </c>
      <c r="H259" s="232">
        <v>430</v>
      </c>
      <c r="I259" s="232">
        <v>50</v>
      </c>
      <c r="K259" s="18"/>
      <c r="L259" s="18"/>
    </row>
    <row r="260" spans="2:12" x14ac:dyDescent="0.2">
      <c r="B260" s="231">
        <v>2019</v>
      </c>
      <c r="C260" s="231" t="s">
        <v>8</v>
      </c>
      <c r="D260" s="236" t="s">
        <v>6417</v>
      </c>
      <c r="E260" s="236" t="s">
        <v>21</v>
      </c>
      <c r="F260" s="232">
        <v>4</v>
      </c>
      <c r="G260" s="232">
        <v>6</v>
      </c>
      <c r="H260" s="232">
        <v>412</v>
      </c>
      <c r="I260" s="232">
        <v>60</v>
      </c>
      <c r="K260" s="18"/>
      <c r="L260" s="18"/>
    </row>
    <row r="261" spans="2:12" x14ac:dyDescent="0.2">
      <c r="B261" s="231">
        <v>2019</v>
      </c>
      <c r="C261" s="231" t="s">
        <v>7</v>
      </c>
      <c r="D261" s="236" t="s">
        <v>6417</v>
      </c>
      <c r="E261" s="236" t="s">
        <v>21</v>
      </c>
      <c r="F261" s="232">
        <v>4</v>
      </c>
      <c r="G261" s="232">
        <v>4</v>
      </c>
      <c r="H261" s="232">
        <v>432</v>
      </c>
      <c r="I261" s="232">
        <v>90</v>
      </c>
      <c r="K261" s="18"/>
      <c r="L261" s="18"/>
    </row>
    <row r="262" spans="2:12" x14ac:dyDescent="0.2">
      <c r="B262" s="231">
        <v>2019</v>
      </c>
      <c r="C262" s="231" t="s">
        <v>7</v>
      </c>
      <c r="D262" s="236" t="s">
        <v>6417</v>
      </c>
      <c r="E262" s="236" t="s">
        <v>20</v>
      </c>
      <c r="F262" s="232">
        <v>5</v>
      </c>
      <c r="G262" s="232">
        <v>5</v>
      </c>
      <c r="H262" s="232">
        <v>436</v>
      </c>
      <c r="I262" s="232">
        <v>90</v>
      </c>
      <c r="K262" s="18"/>
      <c r="L262" s="18"/>
    </row>
    <row r="263" spans="2:12" x14ac:dyDescent="0.2">
      <c r="B263" s="231">
        <v>2019</v>
      </c>
      <c r="C263" s="231" t="s">
        <v>7</v>
      </c>
      <c r="D263" s="236" t="s">
        <v>6417</v>
      </c>
      <c r="E263" s="236" t="s">
        <v>21</v>
      </c>
      <c r="F263" s="232">
        <v>4</v>
      </c>
      <c r="G263" s="232">
        <v>6</v>
      </c>
      <c r="H263" s="232">
        <v>432</v>
      </c>
      <c r="I263" s="232">
        <v>72</v>
      </c>
      <c r="K263" s="18"/>
      <c r="L263" s="18"/>
    </row>
    <row r="264" spans="2:12" x14ac:dyDescent="0.2">
      <c r="B264" s="231">
        <v>2019</v>
      </c>
      <c r="C264" s="231" t="s">
        <v>8</v>
      </c>
      <c r="D264" s="236" t="s">
        <v>6417</v>
      </c>
      <c r="E264" s="236" t="s">
        <v>21</v>
      </c>
      <c r="F264" s="232">
        <v>5</v>
      </c>
      <c r="G264" s="232">
        <v>6</v>
      </c>
      <c r="H264" s="232">
        <v>424</v>
      </c>
      <c r="I264" s="232">
        <v>20</v>
      </c>
      <c r="K264" s="18"/>
      <c r="L264" s="18"/>
    </row>
    <row r="265" spans="2:12" x14ac:dyDescent="0.2">
      <c r="B265" s="231">
        <v>2019</v>
      </c>
      <c r="C265" s="231" t="s">
        <v>7</v>
      </c>
      <c r="D265" s="236" t="s">
        <v>6417</v>
      </c>
      <c r="E265" s="236" t="s">
        <v>21</v>
      </c>
      <c r="F265" s="232">
        <v>5</v>
      </c>
      <c r="G265" s="232">
        <v>9</v>
      </c>
      <c r="H265" s="232">
        <v>436</v>
      </c>
      <c r="I265" s="232">
        <v>45</v>
      </c>
      <c r="K265" s="18"/>
      <c r="L265" s="18"/>
    </row>
    <row r="266" spans="2:12" x14ac:dyDescent="0.2">
      <c r="B266" s="231">
        <v>2019</v>
      </c>
      <c r="C266" s="231" t="s">
        <v>7</v>
      </c>
      <c r="D266" s="236" t="s">
        <v>6417</v>
      </c>
      <c r="E266" s="236" t="s">
        <v>19</v>
      </c>
      <c r="F266" s="232">
        <v>3</v>
      </c>
      <c r="G266" s="232">
        <v>8</v>
      </c>
      <c r="H266" s="232">
        <v>430</v>
      </c>
      <c r="I266" s="232">
        <v>90</v>
      </c>
      <c r="K266" s="18"/>
      <c r="L266" s="18"/>
    </row>
    <row r="267" spans="2:12" x14ac:dyDescent="0.2">
      <c r="B267" s="231">
        <v>2019</v>
      </c>
      <c r="C267" s="231" t="s">
        <v>8</v>
      </c>
      <c r="D267" s="236" t="s">
        <v>6417</v>
      </c>
      <c r="E267" s="236" t="s">
        <v>21</v>
      </c>
      <c r="F267" s="232">
        <v>3</v>
      </c>
      <c r="G267" s="232">
        <v>5</v>
      </c>
      <c r="H267" s="232">
        <v>462</v>
      </c>
      <c r="I267" s="232">
        <v>40</v>
      </c>
      <c r="K267" s="18"/>
      <c r="L267" s="18"/>
    </row>
    <row r="268" spans="2:12" x14ac:dyDescent="0.2">
      <c r="B268" s="231">
        <v>2019</v>
      </c>
      <c r="C268" s="231" t="s">
        <v>8</v>
      </c>
      <c r="D268" s="236" t="s">
        <v>6417</v>
      </c>
      <c r="E268" s="236" t="s">
        <v>21</v>
      </c>
      <c r="F268" s="232">
        <v>5</v>
      </c>
      <c r="G268" s="232">
        <v>5</v>
      </c>
      <c r="H268" s="232">
        <v>435</v>
      </c>
      <c r="I268" s="232">
        <v>25</v>
      </c>
      <c r="K268" s="18"/>
      <c r="L268" s="18"/>
    </row>
    <row r="269" spans="2:12" x14ac:dyDescent="0.2">
      <c r="B269" s="231">
        <v>2019</v>
      </c>
      <c r="C269" s="231" t="s">
        <v>8</v>
      </c>
      <c r="D269" s="236" t="s">
        <v>6417</v>
      </c>
      <c r="E269" s="236" t="s">
        <v>21</v>
      </c>
      <c r="F269" s="232">
        <v>5</v>
      </c>
      <c r="G269" s="232">
        <v>2</v>
      </c>
      <c r="H269" s="232">
        <v>462</v>
      </c>
      <c r="I269" s="232">
        <v>70</v>
      </c>
      <c r="K269" s="18"/>
      <c r="L269" s="18"/>
    </row>
    <row r="270" spans="2:12" x14ac:dyDescent="0.2">
      <c r="B270" s="231">
        <v>2019</v>
      </c>
      <c r="C270" s="231" t="s">
        <v>7</v>
      </c>
      <c r="D270" s="236" t="s">
        <v>6417</v>
      </c>
      <c r="E270" s="236" t="s">
        <v>21</v>
      </c>
      <c r="F270" s="232">
        <v>5</v>
      </c>
      <c r="G270" s="232">
        <v>8</v>
      </c>
      <c r="H270" s="232">
        <v>454</v>
      </c>
      <c r="I270" s="232">
        <v>35</v>
      </c>
      <c r="K270" s="18"/>
      <c r="L270" s="18"/>
    </row>
    <row r="271" spans="2:12" x14ac:dyDescent="0.2">
      <c r="B271" s="231">
        <v>2019</v>
      </c>
      <c r="C271" s="231" t="s">
        <v>7</v>
      </c>
      <c r="D271" s="236" t="s">
        <v>6417</v>
      </c>
      <c r="E271" s="236" t="s">
        <v>20</v>
      </c>
      <c r="F271" s="232">
        <v>5</v>
      </c>
      <c r="G271" s="232">
        <v>10</v>
      </c>
      <c r="H271" s="232">
        <v>435</v>
      </c>
      <c r="I271" s="232">
        <v>20</v>
      </c>
      <c r="K271" s="18"/>
      <c r="L271" s="18"/>
    </row>
    <row r="272" spans="2:12" x14ac:dyDescent="0.2">
      <c r="B272" s="231">
        <v>2019</v>
      </c>
      <c r="C272" s="231" t="s">
        <v>8</v>
      </c>
      <c r="D272" s="236" t="s">
        <v>6417</v>
      </c>
      <c r="E272" s="236" t="s">
        <v>21</v>
      </c>
      <c r="F272" s="232">
        <v>5</v>
      </c>
      <c r="G272" s="232">
        <v>3</v>
      </c>
      <c r="H272" s="232">
        <v>427</v>
      </c>
      <c r="I272" s="232">
        <v>28</v>
      </c>
      <c r="K272" s="18"/>
      <c r="L272" s="18"/>
    </row>
    <row r="273" spans="2:12" x14ac:dyDescent="0.2">
      <c r="B273" s="231">
        <v>2019</v>
      </c>
      <c r="C273" s="231" t="s">
        <v>7</v>
      </c>
      <c r="D273" s="236" t="s">
        <v>6417</v>
      </c>
      <c r="E273" s="236" t="s">
        <v>21</v>
      </c>
      <c r="F273" s="232">
        <v>4</v>
      </c>
      <c r="G273" s="232">
        <v>9</v>
      </c>
      <c r="H273" s="232">
        <v>434</v>
      </c>
      <c r="I273" s="232">
        <v>20</v>
      </c>
      <c r="K273" s="18"/>
      <c r="L273" s="18"/>
    </row>
    <row r="274" spans="2:12" x14ac:dyDescent="0.2">
      <c r="B274" s="231">
        <v>2019</v>
      </c>
      <c r="C274" s="231" t="s">
        <v>7</v>
      </c>
      <c r="D274" s="236" t="s">
        <v>6417</v>
      </c>
      <c r="E274" s="236" t="s">
        <v>21</v>
      </c>
      <c r="F274" s="232">
        <v>5</v>
      </c>
      <c r="G274" s="232">
        <v>7</v>
      </c>
      <c r="H274" s="232">
        <v>437</v>
      </c>
      <c r="I274" s="232">
        <v>5</v>
      </c>
      <c r="K274" s="18"/>
      <c r="L274" s="18"/>
    </row>
    <row r="275" spans="2:12" x14ac:dyDescent="0.2">
      <c r="B275" s="231">
        <v>2019</v>
      </c>
      <c r="C275" s="231" t="s">
        <v>7</v>
      </c>
      <c r="D275" s="236" t="s">
        <v>6417</v>
      </c>
      <c r="E275" s="236" t="s">
        <v>21</v>
      </c>
      <c r="F275" s="232">
        <v>4</v>
      </c>
      <c r="G275" s="232">
        <v>9</v>
      </c>
      <c r="H275" s="232">
        <v>410</v>
      </c>
      <c r="I275" s="232">
        <v>53</v>
      </c>
      <c r="K275" s="18"/>
      <c r="L275" s="18"/>
    </row>
    <row r="276" spans="2:12" x14ac:dyDescent="0.2">
      <c r="B276" s="231">
        <v>2019</v>
      </c>
      <c r="C276" s="231" t="s">
        <v>7</v>
      </c>
      <c r="D276" s="236" t="s">
        <v>6417</v>
      </c>
      <c r="E276" s="236" t="s">
        <v>21</v>
      </c>
      <c r="F276" s="232">
        <v>4</v>
      </c>
      <c r="G276" s="232">
        <v>6</v>
      </c>
      <c r="H276" s="232">
        <v>416</v>
      </c>
      <c r="I276" s="232">
        <v>22</v>
      </c>
      <c r="K276" s="18"/>
      <c r="L276" s="18"/>
    </row>
    <row r="277" spans="2:12" x14ac:dyDescent="0.2">
      <c r="B277" s="231">
        <v>2019</v>
      </c>
      <c r="C277" s="231" t="s">
        <v>7</v>
      </c>
      <c r="D277" s="236" t="s">
        <v>6417</v>
      </c>
      <c r="E277" s="236" t="s">
        <v>20</v>
      </c>
      <c r="F277" s="232">
        <v>5</v>
      </c>
      <c r="G277" s="232">
        <v>4</v>
      </c>
      <c r="H277" s="232">
        <v>441</v>
      </c>
      <c r="I277" s="232">
        <v>30</v>
      </c>
      <c r="K277" s="18"/>
      <c r="L277" s="18"/>
    </row>
    <row r="278" spans="2:12" x14ac:dyDescent="0.2">
      <c r="B278" s="231">
        <v>2019</v>
      </c>
      <c r="C278" s="231" t="s">
        <v>7</v>
      </c>
      <c r="D278" s="236" t="s">
        <v>6417</v>
      </c>
      <c r="E278" s="236" t="s">
        <v>19</v>
      </c>
      <c r="F278" s="232">
        <v>5</v>
      </c>
      <c r="G278" s="232">
        <v>9</v>
      </c>
      <c r="H278" s="232">
        <v>460</v>
      </c>
      <c r="I278" s="232">
        <v>50</v>
      </c>
      <c r="K278" s="18"/>
      <c r="L278" s="18"/>
    </row>
    <row r="279" spans="2:12" x14ac:dyDescent="0.2">
      <c r="B279" s="231">
        <v>2019</v>
      </c>
      <c r="C279" s="231" t="s">
        <v>7</v>
      </c>
      <c r="D279" s="236" t="s">
        <v>6417</v>
      </c>
      <c r="E279" s="236" t="s">
        <v>21</v>
      </c>
      <c r="F279" s="232">
        <v>5</v>
      </c>
      <c r="G279" s="232">
        <v>8</v>
      </c>
      <c r="H279" s="232">
        <v>454</v>
      </c>
      <c r="I279" s="232">
        <v>62</v>
      </c>
      <c r="K279" s="18"/>
      <c r="L279" s="18"/>
    </row>
    <row r="280" spans="2:12" x14ac:dyDescent="0.2">
      <c r="B280" s="231">
        <v>2019</v>
      </c>
      <c r="C280" s="231" t="s">
        <v>7</v>
      </c>
      <c r="D280" s="236" t="s">
        <v>6417</v>
      </c>
      <c r="E280" s="236" t="s">
        <v>19</v>
      </c>
      <c r="F280" s="232">
        <v>5</v>
      </c>
      <c r="G280" s="232">
        <v>2</v>
      </c>
      <c r="H280" s="232">
        <v>433</v>
      </c>
      <c r="I280" s="232">
        <v>25</v>
      </c>
      <c r="K280" s="18"/>
      <c r="L280" s="18"/>
    </row>
    <row r="281" spans="2:12" x14ac:dyDescent="0.2">
      <c r="B281" s="231">
        <v>2019</v>
      </c>
      <c r="C281" s="231" t="s">
        <v>8</v>
      </c>
      <c r="D281" s="236" t="s">
        <v>6417</v>
      </c>
      <c r="E281" s="236" t="s">
        <v>21</v>
      </c>
      <c r="F281" s="232">
        <v>4</v>
      </c>
      <c r="G281" s="232">
        <v>9</v>
      </c>
      <c r="H281" s="232">
        <v>406</v>
      </c>
      <c r="I281" s="232">
        <v>50</v>
      </c>
      <c r="K281" s="18"/>
      <c r="L281" s="18"/>
    </row>
    <row r="282" spans="2:12" x14ac:dyDescent="0.2">
      <c r="B282" s="231">
        <v>2019</v>
      </c>
      <c r="C282" s="231" t="s">
        <v>7</v>
      </c>
      <c r="D282" s="236" t="s">
        <v>6417</v>
      </c>
      <c r="E282" s="236" t="s">
        <v>21</v>
      </c>
      <c r="F282" s="232">
        <v>4</v>
      </c>
      <c r="G282" s="232">
        <v>10</v>
      </c>
      <c r="H282" s="232">
        <v>465</v>
      </c>
      <c r="I282" s="232">
        <v>50</v>
      </c>
      <c r="K282" s="18"/>
      <c r="L282" s="18"/>
    </row>
    <row r="283" spans="2:12" x14ac:dyDescent="0.2">
      <c r="B283" s="231">
        <v>2019</v>
      </c>
      <c r="C283" s="231" t="s">
        <v>7</v>
      </c>
      <c r="D283" s="236" t="s">
        <v>6417</v>
      </c>
      <c r="E283" s="236" t="s">
        <v>21</v>
      </c>
      <c r="F283" s="232">
        <v>4</v>
      </c>
      <c r="G283" s="232">
        <v>8</v>
      </c>
      <c r="H283" s="232">
        <v>449</v>
      </c>
      <c r="I283" s="232">
        <v>20</v>
      </c>
      <c r="K283" s="18"/>
      <c r="L283" s="18"/>
    </row>
    <row r="284" spans="2:12" x14ac:dyDescent="0.2">
      <c r="B284" s="231">
        <v>2019</v>
      </c>
      <c r="C284" s="231" t="s">
        <v>7</v>
      </c>
      <c r="D284" s="236" t="s">
        <v>6417</v>
      </c>
      <c r="E284" s="236" t="s">
        <v>19</v>
      </c>
      <c r="F284" s="232">
        <v>4</v>
      </c>
      <c r="G284" s="232">
        <v>6</v>
      </c>
      <c r="H284" s="232">
        <v>457</v>
      </c>
      <c r="I284" s="232">
        <v>25</v>
      </c>
      <c r="K284" s="18"/>
      <c r="L284" s="18"/>
    </row>
    <row r="285" spans="2:12" x14ac:dyDescent="0.2">
      <c r="B285" s="231">
        <v>2019</v>
      </c>
      <c r="C285" s="231" t="s">
        <v>7</v>
      </c>
      <c r="D285" s="236" t="s">
        <v>6417</v>
      </c>
      <c r="E285" s="236" t="s">
        <v>19</v>
      </c>
      <c r="F285" s="232">
        <v>4</v>
      </c>
      <c r="G285" s="232">
        <v>4</v>
      </c>
      <c r="H285" s="232">
        <v>418</v>
      </c>
      <c r="I285" s="232">
        <v>45</v>
      </c>
      <c r="K285" s="18"/>
      <c r="L285" s="18"/>
    </row>
    <row r="286" spans="2:12" x14ac:dyDescent="0.2">
      <c r="B286" s="231">
        <v>2019</v>
      </c>
      <c r="C286" s="231" t="s">
        <v>7</v>
      </c>
      <c r="D286" s="236" t="s">
        <v>6417</v>
      </c>
      <c r="E286" s="236" t="s">
        <v>19</v>
      </c>
      <c r="F286" s="232">
        <v>4</v>
      </c>
      <c r="G286" s="232">
        <v>7</v>
      </c>
      <c r="H286" s="232">
        <v>434</v>
      </c>
      <c r="I286" s="232">
        <v>40</v>
      </c>
      <c r="K286" s="18"/>
      <c r="L286" s="18"/>
    </row>
    <row r="287" spans="2:12" x14ac:dyDescent="0.2">
      <c r="B287" s="231">
        <v>2019</v>
      </c>
      <c r="C287" s="231" t="s">
        <v>8</v>
      </c>
      <c r="D287" s="236" t="s">
        <v>6417</v>
      </c>
      <c r="E287" s="236" t="s">
        <v>19</v>
      </c>
      <c r="F287" s="232">
        <v>2</v>
      </c>
      <c r="G287" s="232">
        <v>5</v>
      </c>
      <c r="H287" s="232">
        <v>438</v>
      </c>
      <c r="I287" s="232">
        <v>45</v>
      </c>
      <c r="K287" s="18"/>
      <c r="L287" s="18"/>
    </row>
    <row r="288" spans="2:12" x14ac:dyDescent="0.2">
      <c r="B288" s="231">
        <v>2019</v>
      </c>
      <c r="C288" s="231" t="s">
        <v>7</v>
      </c>
      <c r="D288" s="236" t="s">
        <v>6417</v>
      </c>
      <c r="E288" s="236" t="s">
        <v>21</v>
      </c>
      <c r="F288" s="232">
        <v>5</v>
      </c>
      <c r="G288" s="232">
        <v>7</v>
      </c>
      <c r="H288" s="232">
        <v>424</v>
      </c>
      <c r="I288" s="232">
        <v>40</v>
      </c>
      <c r="K288" s="18"/>
      <c r="L288" s="18"/>
    </row>
    <row r="289" spans="2:12" x14ac:dyDescent="0.2">
      <c r="B289" s="231">
        <v>2019</v>
      </c>
      <c r="C289" s="231" t="s">
        <v>8</v>
      </c>
      <c r="D289" s="236" t="s">
        <v>6417</v>
      </c>
      <c r="E289" s="236" t="s">
        <v>19</v>
      </c>
      <c r="F289" s="232">
        <v>4</v>
      </c>
      <c r="G289" s="232">
        <v>3</v>
      </c>
      <c r="H289" s="232">
        <v>415</v>
      </c>
      <c r="I289" s="232">
        <v>60</v>
      </c>
      <c r="K289" s="18"/>
      <c r="L289" s="18"/>
    </row>
    <row r="290" spans="2:12" x14ac:dyDescent="0.2">
      <c r="B290" s="231">
        <v>2019</v>
      </c>
      <c r="C290" s="231" t="s">
        <v>8</v>
      </c>
      <c r="D290" s="236" t="s">
        <v>6417</v>
      </c>
      <c r="E290" s="236" t="s">
        <v>21</v>
      </c>
      <c r="F290" s="232">
        <v>4</v>
      </c>
      <c r="G290" s="232">
        <v>2</v>
      </c>
      <c r="H290" s="232">
        <v>410</v>
      </c>
      <c r="I290" s="232">
        <v>35</v>
      </c>
      <c r="K290" s="18"/>
      <c r="L290" s="18"/>
    </row>
    <row r="291" spans="2:12" x14ac:dyDescent="0.2">
      <c r="B291" s="231">
        <v>2019</v>
      </c>
      <c r="C291" s="231" t="s">
        <v>7</v>
      </c>
      <c r="D291" s="236" t="s">
        <v>6417</v>
      </c>
      <c r="E291" s="236" t="s">
        <v>21</v>
      </c>
      <c r="F291" s="232">
        <v>4</v>
      </c>
      <c r="G291" s="232">
        <v>4</v>
      </c>
      <c r="H291" s="232">
        <v>464</v>
      </c>
      <c r="I291" s="232">
        <v>67</v>
      </c>
      <c r="K291" s="18"/>
      <c r="L291" s="18"/>
    </row>
    <row r="292" spans="2:12" x14ac:dyDescent="0.2">
      <c r="B292" s="231">
        <v>2019</v>
      </c>
      <c r="C292" s="231" t="s">
        <v>7</v>
      </c>
      <c r="D292" s="236" t="s">
        <v>6417</v>
      </c>
      <c r="E292" s="236" t="s">
        <v>21</v>
      </c>
      <c r="F292" s="232">
        <v>4</v>
      </c>
      <c r="G292" s="232">
        <v>6</v>
      </c>
      <c r="H292" s="232">
        <v>426</v>
      </c>
      <c r="I292" s="232">
        <v>20</v>
      </c>
      <c r="K292" s="18"/>
      <c r="L292" s="18"/>
    </row>
    <row r="293" spans="2:12" x14ac:dyDescent="0.2">
      <c r="B293" s="231">
        <v>2019</v>
      </c>
      <c r="C293" s="231" t="s">
        <v>7</v>
      </c>
      <c r="D293" s="236" t="s">
        <v>6417</v>
      </c>
      <c r="E293" s="236" t="s">
        <v>20</v>
      </c>
      <c r="F293" s="232">
        <v>4</v>
      </c>
      <c r="G293" s="232">
        <v>7</v>
      </c>
      <c r="H293" s="232">
        <v>448</v>
      </c>
      <c r="I293" s="232">
        <v>50</v>
      </c>
      <c r="K293" s="18"/>
      <c r="L293" s="18"/>
    </row>
    <row r="294" spans="2:12" x14ac:dyDescent="0.2">
      <c r="B294" s="231">
        <v>2019</v>
      </c>
      <c r="C294" s="231" t="s">
        <v>8</v>
      </c>
      <c r="D294" s="236" t="s">
        <v>6417</v>
      </c>
      <c r="E294" s="236" t="s">
        <v>19</v>
      </c>
      <c r="F294" s="232">
        <v>5</v>
      </c>
      <c r="G294" s="232">
        <v>4</v>
      </c>
      <c r="H294" s="232">
        <v>460</v>
      </c>
      <c r="I294" s="232">
        <v>50</v>
      </c>
      <c r="K294" s="18"/>
      <c r="L294" s="18"/>
    </row>
    <row r="295" spans="2:12" x14ac:dyDescent="0.2">
      <c r="B295" s="231">
        <v>2019</v>
      </c>
      <c r="C295" s="231" t="s">
        <v>7</v>
      </c>
      <c r="D295" s="236" t="s">
        <v>6417</v>
      </c>
      <c r="E295" s="236" t="s">
        <v>21</v>
      </c>
      <c r="F295" s="232">
        <v>4</v>
      </c>
      <c r="G295" s="232">
        <v>7</v>
      </c>
      <c r="H295" s="232">
        <v>453</v>
      </c>
      <c r="I295" s="232">
        <v>45</v>
      </c>
      <c r="K295" s="18"/>
      <c r="L295" s="18"/>
    </row>
    <row r="296" spans="2:12" x14ac:dyDescent="0.2">
      <c r="B296" s="231">
        <v>2019</v>
      </c>
      <c r="C296" s="231" t="s">
        <v>7</v>
      </c>
      <c r="D296" s="236" t="s">
        <v>6417</v>
      </c>
      <c r="E296" s="236" t="s">
        <v>19</v>
      </c>
      <c r="F296" s="232">
        <v>4</v>
      </c>
      <c r="G296" s="232">
        <v>7</v>
      </c>
      <c r="H296" s="232">
        <v>408</v>
      </c>
      <c r="I296" s="232">
        <v>45</v>
      </c>
      <c r="K296" s="18"/>
      <c r="L296" s="18"/>
    </row>
    <row r="297" spans="2:12" x14ac:dyDescent="0.2">
      <c r="B297" s="231">
        <v>2019</v>
      </c>
      <c r="C297" s="231" t="s">
        <v>8</v>
      </c>
      <c r="D297" s="236" t="s">
        <v>6417</v>
      </c>
      <c r="E297" s="236" t="s">
        <v>21</v>
      </c>
      <c r="F297" s="232">
        <v>4</v>
      </c>
      <c r="G297" s="232">
        <v>6</v>
      </c>
      <c r="H297" s="232">
        <v>412</v>
      </c>
      <c r="I297" s="232">
        <v>50</v>
      </c>
      <c r="K297" s="18"/>
      <c r="L297" s="18"/>
    </row>
    <row r="298" spans="2:12" x14ac:dyDescent="0.2">
      <c r="B298" s="231">
        <v>2019</v>
      </c>
      <c r="C298" s="231" t="s">
        <v>7</v>
      </c>
      <c r="D298" s="236" t="s">
        <v>6417</v>
      </c>
      <c r="E298" s="236" t="s">
        <v>19</v>
      </c>
      <c r="F298" s="232">
        <v>4</v>
      </c>
      <c r="G298" s="232">
        <v>3</v>
      </c>
      <c r="H298" s="232">
        <v>408</v>
      </c>
      <c r="I298" s="232">
        <v>20</v>
      </c>
      <c r="K298" s="18"/>
      <c r="L298" s="18"/>
    </row>
    <row r="299" spans="2:12" x14ac:dyDescent="0.2">
      <c r="B299" s="231">
        <v>2019</v>
      </c>
      <c r="C299" s="231" t="s">
        <v>8</v>
      </c>
      <c r="D299" s="236" t="s">
        <v>6417</v>
      </c>
      <c r="E299" s="236" t="s">
        <v>19</v>
      </c>
      <c r="F299" s="232">
        <v>4</v>
      </c>
      <c r="G299" s="232">
        <v>7</v>
      </c>
      <c r="H299" s="232">
        <v>466</v>
      </c>
      <c r="I299" s="232">
        <v>90</v>
      </c>
      <c r="K299" s="18"/>
      <c r="L299" s="18"/>
    </row>
    <row r="300" spans="2:12" x14ac:dyDescent="0.2">
      <c r="B300" s="231">
        <v>2019</v>
      </c>
      <c r="C300" s="231" t="s">
        <v>8</v>
      </c>
      <c r="D300" s="236" t="s">
        <v>6417</v>
      </c>
      <c r="E300" s="236" t="s">
        <v>19</v>
      </c>
      <c r="F300" s="232">
        <v>3</v>
      </c>
      <c r="G300" s="232">
        <v>7</v>
      </c>
      <c r="H300" s="232">
        <v>450</v>
      </c>
      <c r="I300" s="232">
        <v>35</v>
      </c>
      <c r="K300" s="18"/>
      <c r="L300" s="18"/>
    </row>
    <row r="301" spans="2:12" x14ac:dyDescent="0.2">
      <c r="B301" s="231">
        <v>2019</v>
      </c>
      <c r="C301" s="231" t="s">
        <v>7</v>
      </c>
      <c r="D301" s="236" t="s">
        <v>6417</v>
      </c>
      <c r="E301" s="236" t="s">
        <v>21</v>
      </c>
      <c r="F301" s="232">
        <v>4</v>
      </c>
      <c r="G301" s="232">
        <v>4</v>
      </c>
      <c r="H301" s="232">
        <v>442</v>
      </c>
      <c r="I301" s="232">
        <v>45</v>
      </c>
      <c r="K301" s="18"/>
      <c r="L301" s="18"/>
    </row>
    <row r="302" spans="2:12" x14ac:dyDescent="0.2">
      <c r="B302" s="231">
        <v>2019</v>
      </c>
      <c r="C302" s="231" t="s">
        <v>7</v>
      </c>
      <c r="D302" s="236" t="s">
        <v>6417</v>
      </c>
      <c r="E302" s="236" t="s">
        <v>21</v>
      </c>
      <c r="F302" s="232">
        <v>5</v>
      </c>
      <c r="G302" s="232">
        <v>5</v>
      </c>
      <c r="H302" s="232">
        <v>458</v>
      </c>
      <c r="I302" s="232">
        <v>35</v>
      </c>
      <c r="K302" s="18"/>
      <c r="L302" s="18"/>
    </row>
    <row r="303" spans="2:12" x14ac:dyDescent="0.2">
      <c r="B303" s="231">
        <v>2019</v>
      </c>
      <c r="C303" s="231" t="s">
        <v>8</v>
      </c>
      <c r="D303" s="236" t="s">
        <v>6417</v>
      </c>
      <c r="E303" s="236" t="s">
        <v>21</v>
      </c>
      <c r="F303" s="232">
        <v>4</v>
      </c>
      <c r="G303" s="232">
        <v>7</v>
      </c>
      <c r="H303" s="232">
        <v>411</v>
      </c>
      <c r="I303" s="232">
        <v>35</v>
      </c>
      <c r="K303" s="18"/>
      <c r="L303" s="18"/>
    </row>
    <row r="304" spans="2:12" x14ac:dyDescent="0.2">
      <c r="B304" s="231">
        <v>2019</v>
      </c>
      <c r="C304" s="231" t="s">
        <v>7</v>
      </c>
      <c r="D304" s="236" t="s">
        <v>6417</v>
      </c>
      <c r="E304" s="236" t="s">
        <v>21</v>
      </c>
      <c r="F304" s="232">
        <v>4</v>
      </c>
      <c r="G304" s="232">
        <v>7</v>
      </c>
      <c r="H304" s="232">
        <v>415</v>
      </c>
      <c r="I304" s="232">
        <v>15</v>
      </c>
      <c r="K304" s="18"/>
      <c r="L304" s="18"/>
    </row>
    <row r="305" spans="2:12" x14ac:dyDescent="0.2">
      <c r="B305" s="231">
        <v>2019</v>
      </c>
      <c r="C305" s="231" t="s">
        <v>7</v>
      </c>
      <c r="D305" s="236" t="s">
        <v>6417</v>
      </c>
      <c r="E305" s="236" t="s">
        <v>20</v>
      </c>
      <c r="F305" s="232">
        <v>2</v>
      </c>
      <c r="G305" s="232">
        <v>8</v>
      </c>
      <c r="H305" s="232">
        <v>438</v>
      </c>
      <c r="I305" s="232">
        <v>70</v>
      </c>
      <c r="K305" s="18"/>
      <c r="L305" s="18"/>
    </row>
    <row r="306" spans="2:12" x14ac:dyDescent="0.2">
      <c r="B306" s="231">
        <v>2019</v>
      </c>
      <c r="C306" s="231" t="s">
        <v>7</v>
      </c>
      <c r="D306" s="236" t="s">
        <v>6417</v>
      </c>
      <c r="E306" s="236" t="s">
        <v>21</v>
      </c>
      <c r="F306" s="232">
        <v>4</v>
      </c>
      <c r="G306" s="232">
        <v>7</v>
      </c>
      <c r="H306" s="232">
        <v>426</v>
      </c>
      <c r="I306" s="232">
        <v>40</v>
      </c>
      <c r="K306" s="18"/>
      <c r="L306" s="18"/>
    </row>
    <row r="307" spans="2:12" x14ac:dyDescent="0.2">
      <c r="B307" s="231">
        <v>2019</v>
      </c>
      <c r="C307" s="231" t="s">
        <v>7</v>
      </c>
      <c r="D307" s="236" t="s">
        <v>6417</v>
      </c>
      <c r="E307" s="236" t="s">
        <v>21</v>
      </c>
      <c r="F307" s="232">
        <v>4</v>
      </c>
      <c r="G307" s="232">
        <v>4</v>
      </c>
      <c r="H307" s="232">
        <v>421</v>
      </c>
      <c r="I307" s="232">
        <v>25</v>
      </c>
      <c r="K307" s="18"/>
      <c r="L307" s="18"/>
    </row>
    <row r="308" spans="2:12" x14ac:dyDescent="0.2">
      <c r="B308" s="231">
        <v>2019</v>
      </c>
      <c r="C308" s="231" t="s">
        <v>8</v>
      </c>
      <c r="D308" s="236" t="s">
        <v>6417</v>
      </c>
      <c r="E308" s="236" t="s">
        <v>19</v>
      </c>
      <c r="F308" s="232">
        <v>3</v>
      </c>
      <c r="G308" s="232">
        <v>3</v>
      </c>
      <c r="H308" s="232">
        <v>408</v>
      </c>
      <c r="I308" s="232">
        <v>15</v>
      </c>
      <c r="K308" s="18"/>
      <c r="L308" s="18"/>
    </row>
    <row r="309" spans="2:12" x14ac:dyDescent="0.2">
      <c r="B309" s="231">
        <v>2019</v>
      </c>
      <c r="C309" s="231" t="s">
        <v>7</v>
      </c>
      <c r="D309" s="236" t="s">
        <v>6417</v>
      </c>
      <c r="E309" s="236" t="s">
        <v>19</v>
      </c>
      <c r="F309" s="232">
        <v>4</v>
      </c>
      <c r="G309" s="232">
        <v>3</v>
      </c>
      <c r="H309" s="232">
        <v>408</v>
      </c>
      <c r="I309" s="232">
        <v>90</v>
      </c>
      <c r="K309" s="18"/>
      <c r="L309" s="18"/>
    </row>
    <row r="310" spans="2:12" x14ac:dyDescent="0.2">
      <c r="B310" s="231">
        <v>2019</v>
      </c>
      <c r="C310" s="231" t="s">
        <v>7</v>
      </c>
      <c r="D310" s="236" t="s">
        <v>6417</v>
      </c>
      <c r="E310" s="236" t="s">
        <v>20</v>
      </c>
      <c r="F310" s="232">
        <v>4</v>
      </c>
      <c r="G310" s="232">
        <v>7</v>
      </c>
      <c r="H310" s="232">
        <v>448</v>
      </c>
      <c r="I310" s="232">
        <v>40</v>
      </c>
      <c r="K310" s="18"/>
      <c r="L310" s="18"/>
    </row>
    <row r="311" spans="2:12" x14ac:dyDescent="0.2">
      <c r="B311" s="231">
        <v>2019</v>
      </c>
      <c r="C311" s="231" t="s">
        <v>8</v>
      </c>
      <c r="D311" s="236" t="s">
        <v>6417</v>
      </c>
      <c r="E311" s="236" t="s">
        <v>19</v>
      </c>
      <c r="F311" s="232">
        <v>5</v>
      </c>
      <c r="G311" s="232">
        <v>6</v>
      </c>
      <c r="H311" s="232">
        <v>455</v>
      </c>
      <c r="I311" s="232">
        <v>58</v>
      </c>
      <c r="K311" s="18"/>
      <c r="L311" s="18"/>
    </row>
    <row r="312" spans="2:12" x14ac:dyDescent="0.2">
      <c r="B312" s="231">
        <v>2019</v>
      </c>
      <c r="C312" s="231" t="s">
        <v>8</v>
      </c>
      <c r="D312" s="236" t="s">
        <v>6417</v>
      </c>
      <c r="E312" s="236" t="s">
        <v>19</v>
      </c>
      <c r="F312" s="232">
        <v>4</v>
      </c>
      <c r="G312" s="232">
        <v>6</v>
      </c>
      <c r="H312" s="232">
        <v>442</v>
      </c>
      <c r="I312" s="232">
        <v>60</v>
      </c>
      <c r="K312" s="18"/>
      <c r="L312" s="18"/>
    </row>
    <row r="313" spans="2:12" x14ac:dyDescent="0.2">
      <c r="B313" s="231">
        <v>2019</v>
      </c>
      <c r="C313" s="231" t="s">
        <v>7</v>
      </c>
      <c r="D313" s="236" t="s">
        <v>6417</v>
      </c>
      <c r="E313" s="236" t="s">
        <v>21</v>
      </c>
      <c r="F313" s="232">
        <v>4</v>
      </c>
      <c r="G313" s="232">
        <v>8</v>
      </c>
      <c r="H313" s="232">
        <v>410</v>
      </c>
      <c r="I313" s="232">
        <v>5</v>
      </c>
      <c r="K313" s="18"/>
      <c r="L313" s="18"/>
    </row>
    <row r="314" spans="2:12" x14ac:dyDescent="0.2">
      <c r="B314" s="231">
        <v>2019</v>
      </c>
      <c r="C314" s="231" t="s">
        <v>7</v>
      </c>
      <c r="D314" s="236" t="s">
        <v>6417</v>
      </c>
      <c r="E314" s="236" t="s">
        <v>19</v>
      </c>
      <c r="F314" s="232">
        <v>2</v>
      </c>
      <c r="G314" s="232">
        <v>8</v>
      </c>
      <c r="H314" s="232">
        <v>457</v>
      </c>
      <c r="I314" s="232">
        <v>30</v>
      </c>
      <c r="K314" s="18"/>
      <c r="L314" s="18"/>
    </row>
    <row r="315" spans="2:12" x14ac:dyDescent="0.2">
      <c r="B315" s="231">
        <v>2019</v>
      </c>
      <c r="C315" s="231" t="s">
        <v>8</v>
      </c>
      <c r="D315" s="236" t="s">
        <v>6417</v>
      </c>
      <c r="E315" s="236" t="s">
        <v>21</v>
      </c>
      <c r="F315" s="232">
        <v>4</v>
      </c>
      <c r="G315" s="232">
        <v>6</v>
      </c>
      <c r="H315" s="232">
        <v>416</v>
      </c>
      <c r="I315" s="232">
        <v>30</v>
      </c>
      <c r="K315" s="18"/>
      <c r="L315" s="18"/>
    </row>
    <row r="316" spans="2:12" x14ac:dyDescent="0.2">
      <c r="B316" s="231">
        <v>2019</v>
      </c>
      <c r="C316" s="231" t="s">
        <v>7</v>
      </c>
      <c r="D316" s="236" t="s">
        <v>6417</v>
      </c>
      <c r="E316" s="236" t="s">
        <v>21</v>
      </c>
      <c r="F316" s="232">
        <v>4</v>
      </c>
      <c r="G316" s="232">
        <v>4</v>
      </c>
      <c r="H316" s="232">
        <v>416</v>
      </c>
      <c r="I316" s="232">
        <v>20</v>
      </c>
      <c r="K316" s="18"/>
      <c r="L316" s="18"/>
    </row>
    <row r="317" spans="2:12" x14ac:dyDescent="0.2">
      <c r="B317" s="231">
        <v>2019</v>
      </c>
      <c r="C317" s="231" t="s">
        <v>7</v>
      </c>
      <c r="D317" s="236" t="s">
        <v>6417</v>
      </c>
      <c r="E317" s="236" t="s">
        <v>21</v>
      </c>
      <c r="F317" s="232">
        <v>4</v>
      </c>
      <c r="G317" s="232">
        <v>8</v>
      </c>
      <c r="H317" s="232">
        <v>432</v>
      </c>
      <c r="I317" s="232">
        <v>40</v>
      </c>
      <c r="K317" s="18"/>
      <c r="L317" s="18"/>
    </row>
    <row r="318" spans="2:12" x14ac:dyDescent="0.2">
      <c r="B318" s="231">
        <v>2019</v>
      </c>
      <c r="C318" s="231" t="s">
        <v>8</v>
      </c>
      <c r="D318" s="236" t="s">
        <v>6417</v>
      </c>
      <c r="E318" s="236" t="s">
        <v>21</v>
      </c>
      <c r="F318" s="232">
        <v>4</v>
      </c>
      <c r="G318" s="232">
        <v>4</v>
      </c>
      <c r="H318" s="232">
        <v>426</v>
      </c>
      <c r="I318" s="232">
        <v>40</v>
      </c>
      <c r="K318" s="18"/>
      <c r="L318" s="18"/>
    </row>
    <row r="319" spans="2:12" x14ac:dyDescent="0.2">
      <c r="B319" s="231">
        <v>2019</v>
      </c>
      <c r="C319" s="231" t="s">
        <v>7</v>
      </c>
      <c r="D319" s="236" t="s">
        <v>6417</v>
      </c>
      <c r="E319" s="236" t="s">
        <v>21</v>
      </c>
      <c r="F319" s="232">
        <v>5</v>
      </c>
      <c r="G319" s="232">
        <v>9</v>
      </c>
      <c r="H319" s="232">
        <v>440</v>
      </c>
      <c r="I319" s="232">
        <v>40</v>
      </c>
      <c r="K319" s="18"/>
      <c r="L319" s="18"/>
    </row>
    <row r="320" spans="2:12" x14ac:dyDescent="0.2">
      <c r="B320" s="231">
        <v>2019</v>
      </c>
      <c r="C320" s="231" t="s">
        <v>7</v>
      </c>
      <c r="D320" s="236" t="s">
        <v>6417</v>
      </c>
      <c r="E320" s="236" t="s">
        <v>21</v>
      </c>
      <c r="F320" s="232">
        <v>5</v>
      </c>
      <c r="G320" s="232">
        <v>8</v>
      </c>
      <c r="H320" s="232">
        <v>473</v>
      </c>
      <c r="I320" s="232">
        <v>30</v>
      </c>
      <c r="K320" s="18"/>
      <c r="L320" s="18"/>
    </row>
    <row r="321" spans="2:12" x14ac:dyDescent="0.2">
      <c r="B321" s="231">
        <v>2019</v>
      </c>
      <c r="C321" s="231" t="s">
        <v>7</v>
      </c>
      <c r="D321" s="236" t="s">
        <v>6417</v>
      </c>
      <c r="E321" s="236" t="s">
        <v>21</v>
      </c>
      <c r="F321" s="232">
        <v>4</v>
      </c>
      <c r="G321" s="232">
        <v>6</v>
      </c>
      <c r="H321" s="232">
        <v>410</v>
      </c>
      <c r="I321" s="232">
        <v>25</v>
      </c>
      <c r="K321" s="18"/>
      <c r="L321" s="18"/>
    </row>
    <row r="322" spans="2:12" x14ac:dyDescent="0.2">
      <c r="B322" s="231">
        <v>2019</v>
      </c>
      <c r="C322" s="231" t="s">
        <v>7</v>
      </c>
      <c r="D322" s="236" t="s">
        <v>6417</v>
      </c>
      <c r="E322" s="236" t="s">
        <v>20</v>
      </c>
      <c r="F322" s="232">
        <v>5</v>
      </c>
      <c r="G322" s="232">
        <v>8</v>
      </c>
      <c r="H322" s="232">
        <v>444</v>
      </c>
      <c r="I322" s="232">
        <v>30</v>
      </c>
      <c r="K322" s="18"/>
      <c r="L322" s="18"/>
    </row>
    <row r="323" spans="2:12" x14ac:dyDescent="0.2">
      <c r="B323" s="231">
        <v>2019</v>
      </c>
      <c r="C323" s="231" t="s">
        <v>7</v>
      </c>
      <c r="D323" s="236" t="s">
        <v>6417</v>
      </c>
      <c r="E323" s="236" t="s">
        <v>19</v>
      </c>
      <c r="F323" s="232">
        <v>5</v>
      </c>
      <c r="G323" s="232">
        <v>6</v>
      </c>
      <c r="H323" s="232">
        <v>428</v>
      </c>
      <c r="I323" s="232">
        <v>40</v>
      </c>
      <c r="K323" s="18"/>
      <c r="L323" s="18"/>
    </row>
    <row r="324" spans="2:12" x14ac:dyDescent="0.2">
      <c r="B324" s="231">
        <v>2019</v>
      </c>
      <c r="C324" s="231" t="s">
        <v>7</v>
      </c>
      <c r="D324" s="236" t="s">
        <v>6417</v>
      </c>
      <c r="E324" s="236" t="s">
        <v>20</v>
      </c>
      <c r="F324" s="232">
        <v>4</v>
      </c>
      <c r="G324" s="232">
        <v>7</v>
      </c>
      <c r="H324" s="232">
        <v>245</v>
      </c>
      <c r="I324" s="232">
        <v>40</v>
      </c>
      <c r="K324" s="18"/>
      <c r="L324" s="18"/>
    </row>
    <row r="325" spans="2:12" x14ac:dyDescent="0.2">
      <c r="B325" s="231">
        <v>2019</v>
      </c>
      <c r="C325" s="231" t="s">
        <v>8</v>
      </c>
      <c r="D325" s="236" t="s">
        <v>6417</v>
      </c>
      <c r="E325" s="236" t="s">
        <v>21</v>
      </c>
      <c r="F325" s="232">
        <v>4</v>
      </c>
      <c r="G325" s="232">
        <v>4</v>
      </c>
      <c r="H325" s="232">
        <v>425</v>
      </c>
      <c r="I325" s="232">
        <v>20</v>
      </c>
      <c r="K325" s="18"/>
      <c r="L325" s="18"/>
    </row>
    <row r="326" spans="2:12" x14ac:dyDescent="0.2">
      <c r="B326" s="231">
        <v>2019</v>
      </c>
      <c r="C326" s="231" t="s">
        <v>7</v>
      </c>
      <c r="D326" s="236" t="s">
        <v>6417</v>
      </c>
      <c r="E326" s="236" t="s">
        <v>21</v>
      </c>
      <c r="F326" s="232">
        <v>4</v>
      </c>
      <c r="G326" s="232">
        <v>7</v>
      </c>
      <c r="H326" s="232">
        <v>432</v>
      </c>
      <c r="I326" s="232">
        <v>35</v>
      </c>
      <c r="K326" s="18"/>
      <c r="L326" s="18"/>
    </row>
    <row r="327" spans="2:12" x14ac:dyDescent="0.2">
      <c r="B327" s="231">
        <v>2019</v>
      </c>
      <c r="C327" s="231" t="s">
        <v>7</v>
      </c>
      <c r="D327" s="236" t="s">
        <v>6417</v>
      </c>
      <c r="E327" s="236" t="s">
        <v>21</v>
      </c>
      <c r="F327" s="232">
        <v>4</v>
      </c>
      <c r="G327" s="232">
        <v>5</v>
      </c>
      <c r="H327" s="232">
        <v>432</v>
      </c>
      <c r="I327" s="232">
        <v>85</v>
      </c>
      <c r="K327" s="18"/>
      <c r="L327" s="18"/>
    </row>
    <row r="328" spans="2:12" x14ac:dyDescent="0.2">
      <c r="B328" s="231">
        <v>2019</v>
      </c>
      <c r="C328" s="231" t="s">
        <v>7</v>
      </c>
      <c r="D328" s="236" t="s">
        <v>6417</v>
      </c>
      <c r="E328" s="236" t="s">
        <v>19</v>
      </c>
      <c r="F328" s="232">
        <v>4</v>
      </c>
      <c r="G328" s="232">
        <v>9</v>
      </c>
      <c r="H328" s="232">
        <v>432</v>
      </c>
      <c r="I328" s="232">
        <v>25</v>
      </c>
      <c r="K328" s="18"/>
      <c r="L328" s="18"/>
    </row>
    <row r="329" spans="2:12" x14ac:dyDescent="0.2">
      <c r="B329" s="231">
        <v>2019</v>
      </c>
      <c r="C329" s="231" t="s">
        <v>8</v>
      </c>
      <c r="D329" s="236" t="s">
        <v>6417</v>
      </c>
      <c r="E329" s="236" t="s">
        <v>21</v>
      </c>
      <c r="F329" s="232">
        <v>5</v>
      </c>
      <c r="G329" s="232">
        <v>8</v>
      </c>
      <c r="H329" s="232">
        <v>496</v>
      </c>
      <c r="I329" s="232">
        <v>15</v>
      </c>
      <c r="K329" s="18"/>
      <c r="L329" s="18"/>
    </row>
    <row r="330" spans="2:12" x14ac:dyDescent="0.2">
      <c r="B330" s="231">
        <v>2019</v>
      </c>
      <c r="C330" s="231" t="s">
        <v>7</v>
      </c>
      <c r="D330" s="236" t="s">
        <v>6417</v>
      </c>
      <c r="E330" s="236" t="s">
        <v>19</v>
      </c>
      <c r="F330" s="232">
        <v>5</v>
      </c>
      <c r="G330" s="232">
        <v>7</v>
      </c>
      <c r="H330" s="232">
        <v>421</v>
      </c>
      <c r="I330" s="232">
        <v>30</v>
      </c>
      <c r="K330" s="18"/>
      <c r="L330" s="18"/>
    </row>
    <row r="331" spans="2:12" x14ac:dyDescent="0.2">
      <c r="B331" s="231">
        <v>2019</v>
      </c>
      <c r="C331" s="231" t="s">
        <v>7</v>
      </c>
      <c r="D331" s="236" t="s">
        <v>6417</v>
      </c>
      <c r="E331" s="236" t="s">
        <v>21</v>
      </c>
      <c r="F331" s="232">
        <v>4</v>
      </c>
      <c r="G331" s="232">
        <v>8</v>
      </c>
      <c r="H331" s="232">
        <v>407</v>
      </c>
      <c r="I331" s="232">
        <v>30</v>
      </c>
      <c r="K331" s="18"/>
      <c r="L331" s="18"/>
    </row>
    <row r="332" spans="2:12" x14ac:dyDescent="0.2">
      <c r="B332" s="231">
        <v>2019</v>
      </c>
      <c r="C332" s="231" t="s">
        <v>8</v>
      </c>
      <c r="D332" s="236" t="s">
        <v>6417</v>
      </c>
      <c r="E332" s="236" t="s">
        <v>21</v>
      </c>
      <c r="F332" s="232">
        <v>4</v>
      </c>
      <c r="G332" s="232">
        <v>7</v>
      </c>
      <c r="H332" s="232">
        <v>413</v>
      </c>
      <c r="I332" s="232">
        <v>10</v>
      </c>
      <c r="K332" s="18"/>
      <c r="L332" s="18"/>
    </row>
    <row r="333" spans="2:12" x14ac:dyDescent="0.2">
      <c r="B333" s="231">
        <v>2019</v>
      </c>
      <c r="C333" s="231" t="s">
        <v>8</v>
      </c>
      <c r="D333" s="236" t="s">
        <v>6417</v>
      </c>
      <c r="E333" s="236" t="s">
        <v>19</v>
      </c>
      <c r="F333" s="232">
        <v>5</v>
      </c>
      <c r="G333" s="232">
        <v>3</v>
      </c>
      <c r="H333" s="232">
        <v>421</v>
      </c>
      <c r="I333" s="232">
        <v>2</v>
      </c>
      <c r="K333" s="18"/>
      <c r="L333" s="18"/>
    </row>
    <row r="334" spans="2:12" x14ac:dyDescent="0.2">
      <c r="B334" s="231">
        <v>2019</v>
      </c>
      <c r="C334" s="231" t="s">
        <v>7</v>
      </c>
      <c r="D334" s="236" t="s">
        <v>6417</v>
      </c>
      <c r="E334" s="236" t="s">
        <v>21</v>
      </c>
      <c r="F334" s="232">
        <v>4</v>
      </c>
      <c r="G334" s="232">
        <v>7</v>
      </c>
      <c r="H334" s="232">
        <v>460</v>
      </c>
      <c r="I334" s="232">
        <v>47.5</v>
      </c>
      <c r="K334" s="18"/>
      <c r="L334" s="18"/>
    </row>
    <row r="335" spans="2:12" x14ac:dyDescent="0.2">
      <c r="B335" s="231">
        <v>2019</v>
      </c>
      <c r="C335" s="231" t="s">
        <v>7</v>
      </c>
      <c r="D335" s="236" t="s">
        <v>6417</v>
      </c>
      <c r="E335" s="236" t="s">
        <v>19</v>
      </c>
      <c r="F335" s="232">
        <v>5</v>
      </c>
      <c r="G335" s="232">
        <v>5</v>
      </c>
      <c r="H335" s="232">
        <v>410</v>
      </c>
      <c r="I335" s="232">
        <v>30</v>
      </c>
      <c r="K335" s="18"/>
      <c r="L335" s="18"/>
    </row>
    <row r="336" spans="2:12" x14ac:dyDescent="0.2">
      <c r="B336" s="231">
        <v>2019</v>
      </c>
      <c r="C336" s="231" t="s">
        <v>7</v>
      </c>
      <c r="D336" s="236" t="s">
        <v>6417</v>
      </c>
      <c r="E336" s="236" t="s">
        <v>19</v>
      </c>
      <c r="F336" s="232">
        <v>3</v>
      </c>
      <c r="G336" s="232">
        <v>7</v>
      </c>
      <c r="H336" s="232">
        <v>406</v>
      </c>
      <c r="I336" s="232">
        <v>45</v>
      </c>
      <c r="K336" s="18"/>
      <c r="L336" s="18"/>
    </row>
    <row r="337" spans="2:12" x14ac:dyDescent="0.2">
      <c r="B337" s="231">
        <v>2019</v>
      </c>
      <c r="C337" s="231" t="s">
        <v>7</v>
      </c>
      <c r="D337" s="236" t="s">
        <v>6417</v>
      </c>
      <c r="E337" s="236" t="s">
        <v>19</v>
      </c>
      <c r="F337" s="232">
        <v>4</v>
      </c>
      <c r="G337" s="232">
        <v>4</v>
      </c>
      <c r="H337" s="232">
        <v>451</v>
      </c>
      <c r="I337" s="232">
        <v>30</v>
      </c>
      <c r="K337" s="18"/>
      <c r="L337" s="18"/>
    </row>
    <row r="338" spans="2:12" x14ac:dyDescent="0.2">
      <c r="B338" s="231">
        <v>2019</v>
      </c>
      <c r="C338" s="231" t="s">
        <v>8</v>
      </c>
      <c r="D338" s="236" t="s">
        <v>6417</v>
      </c>
      <c r="E338" s="236" t="s">
        <v>19</v>
      </c>
      <c r="F338" s="232">
        <v>3</v>
      </c>
      <c r="G338" s="232">
        <v>8</v>
      </c>
      <c r="H338" s="232">
        <v>421</v>
      </c>
      <c r="I338" s="232">
        <v>60</v>
      </c>
      <c r="K338" s="18"/>
      <c r="L338" s="18"/>
    </row>
    <row r="339" spans="2:12" x14ac:dyDescent="0.2">
      <c r="B339" s="231">
        <v>2019</v>
      </c>
      <c r="C339" s="231" t="s">
        <v>7</v>
      </c>
      <c r="D339" s="236" t="s">
        <v>6417</v>
      </c>
      <c r="E339" s="236" t="s">
        <v>21</v>
      </c>
      <c r="F339" s="232">
        <v>5</v>
      </c>
      <c r="G339" s="232">
        <v>6</v>
      </c>
      <c r="H339" s="232">
        <v>480</v>
      </c>
      <c r="I339" s="232">
        <v>20</v>
      </c>
      <c r="K339" s="18"/>
      <c r="L339" s="18"/>
    </row>
    <row r="340" spans="2:12" x14ac:dyDescent="0.2">
      <c r="B340" s="231">
        <v>2019</v>
      </c>
      <c r="C340" s="231" t="s">
        <v>7</v>
      </c>
      <c r="D340" s="236" t="s">
        <v>6417</v>
      </c>
      <c r="E340" s="236" t="s">
        <v>21</v>
      </c>
      <c r="F340" s="232">
        <v>5</v>
      </c>
      <c r="G340" s="232">
        <v>11</v>
      </c>
      <c r="H340" s="232">
        <v>458</v>
      </c>
      <c r="I340" s="232">
        <v>40</v>
      </c>
      <c r="K340" s="18"/>
      <c r="L340" s="18"/>
    </row>
    <row r="341" spans="2:12" x14ac:dyDescent="0.2">
      <c r="B341" s="231">
        <v>2019</v>
      </c>
      <c r="C341" s="231" t="s">
        <v>7</v>
      </c>
      <c r="D341" s="236" t="s">
        <v>6417</v>
      </c>
      <c r="E341" s="236" t="s">
        <v>19</v>
      </c>
      <c r="F341" s="232">
        <v>5</v>
      </c>
      <c r="G341" s="232">
        <v>9</v>
      </c>
      <c r="H341" s="232">
        <v>425</v>
      </c>
      <c r="I341" s="232">
        <v>8</v>
      </c>
      <c r="K341" s="18"/>
      <c r="L341" s="18"/>
    </row>
    <row r="342" spans="2:12" x14ac:dyDescent="0.2">
      <c r="B342" s="231">
        <v>2019</v>
      </c>
      <c r="C342" s="231" t="s">
        <v>7</v>
      </c>
      <c r="D342" s="236" t="s">
        <v>6417</v>
      </c>
      <c r="E342" s="236" t="s">
        <v>21</v>
      </c>
      <c r="F342" s="232">
        <v>4</v>
      </c>
      <c r="G342" s="232">
        <v>4</v>
      </c>
      <c r="H342" s="232">
        <v>415</v>
      </c>
      <c r="I342" s="232">
        <v>35</v>
      </c>
      <c r="K342" s="18"/>
      <c r="L342" s="18"/>
    </row>
    <row r="343" spans="2:12" x14ac:dyDescent="0.2">
      <c r="B343" s="231">
        <v>2019</v>
      </c>
      <c r="C343" s="231" t="s">
        <v>7</v>
      </c>
      <c r="D343" s="236" t="s">
        <v>6417</v>
      </c>
      <c r="E343" s="236" t="s">
        <v>21</v>
      </c>
      <c r="F343" s="232">
        <v>5</v>
      </c>
      <c r="G343" s="232">
        <v>10</v>
      </c>
      <c r="H343" s="232">
        <v>430</v>
      </c>
      <c r="I343" s="232">
        <v>35</v>
      </c>
      <c r="K343" s="18"/>
      <c r="L343" s="18"/>
    </row>
    <row r="344" spans="2:12" x14ac:dyDescent="0.2">
      <c r="B344" s="231">
        <v>2019</v>
      </c>
      <c r="C344" s="231" t="s">
        <v>7</v>
      </c>
      <c r="D344" s="236" t="s">
        <v>6417</v>
      </c>
      <c r="E344" s="236" t="s">
        <v>20</v>
      </c>
      <c r="F344" s="232">
        <v>5</v>
      </c>
      <c r="G344" s="232">
        <v>8</v>
      </c>
      <c r="H344" s="232">
        <v>409</v>
      </c>
      <c r="I344" s="232">
        <v>20</v>
      </c>
      <c r="K344" s="18"/>
      <c r="L344" s="18"/>
    </row>
    <row r="345" spans="2:12" x14ac:dyDescent="0.2">
      <c r="B345" s="231">
        <v>2019</v>
      </c>
      <c r="C345" s="231" t="s">
        <v>8</v>
      </c>
      <c r="D345" s="236" t="s">
        <v>6417</v>
      </c>
      <c r="E345" s="236" t="s">
        <v>21</v>
      </c>
      <c r="F345" s="232">
        <v>5</v>
      </c>
      <c r="G345" s="232">
        <v>7</v>
      </c>
      <c r="H345" s="232">
        <v>415</v>
      </c>
      <c r="I345" s="232">
        <v>40</v>
      </c>
      <c r="K345" s="18"/>
      <c r="L345" s="18"/>
    </row>
    <row r="346" spans="2:12" x14ac:dyDescent="0.2">
      <c r="B346" s="231">
        <v>2019</v>
      </c>
      <c r="C346" s="231" t="s">
        <v>8</v>
      </c>
      <c r="D346" s="236" t="s">
        <v>6417</v>
      </c>
      <c r="E346" s="236" t="s">
        <v>21</v>
      </c>
      <c r="F346" s="232">
        <v>4</v>
      </c>
      <c r="G346" s="232">
        <v>3</v>
      </c>
      <c r="H346" s="232">
        <v>427</v>
      </c>
      <c r="I346" s="232">
        <v>20</v>
      </c>
      <c r="K346" s="18"/>
      <c r="L346" s="18"/>
    </row>
    <row r="347" spans="2:12" x14ac:dyDescent="0.2">
      <c r="B347" s="231">
        <v>2019</v>
      </c>
      <c r="C347" s="231" t="s">
        <v>8</v>
      </c>
      <c r="D347" s="236" t="s">
        <v>6417</v>
      </c>
      <c r="E347" s="236" t="s">
        <v>21</v>
      </c>
      <c r="F347" s="232">
        <v>4</v>
      </c>
      <c r="G347" s="232">
        <v>4</v>
      </c>
      <c r="H347" s="232">
        <v>418</v>
      </c>
      <c r="I347" s="232">
        <v>45</v>
      </c>
      <c r="K347" s="18"/>
      <c r="L347" s="18"/>
    </row>
    <row r="348" spans="2:12" x14ac:dyDescent="0.2">
      <c r="B348" s="231">
        <v>2019</v>
      </c>
      <c r="C348" s="231" t="s">
        <v>8</v>
      </c>
      <c r="D348" s="236" t="s">
        <v>6417</v>
      </c>
      <c r="E348" s="236" t="s">
        <v>21</v>
      </c>
      <c r="F348" s="232">
        <v>3</v>
      </c>
      <c r="G348" s="232">
        <v>6</v>
      </c>
      <c r="H348" s="232">
        <v>405</v>
      </c>
      <c r="I348" s="232">
        <v>50</v>
      </c>
      <c r="K348" s="18"/>
      <c r="L348" s="18"/>
    </row>
    <row r="349" spans="2:12" x14ac:dyDescent="0.2">
      <c r="B349" s="231">
        <v>2019</v>
      </c>
      <c r="C349" s="231" t="s">
        <v>8</v>
      </c>
      <c r="D349" s="236" t="s">
        <v>6417</v>
      </c>
      <c r="E349" s="236" t="s">
        <v>19</v>
      </c>
      <c r="F349" s="232">
        <v>2</v>
      </c>
      <c r="G349" s="232">
        <v>10</v>
      </c>
      <c r="H349" s="232">
        <v>427</v>
      </c>
      <c r="I349" s="232">
        <v>20</v>
      </c>
      <c r="K349" s="18"/>
      <c r="L349" s="18"/>
    </row>
    <row r="350" spans="2:12" x14ac:dyDescent="0.2">
      <c r="B350" s="231">
        <v>2019</v>
      </c>
      <c r="C350" s="231" t="s">
        <v>7</v>
      </c>
      <c r="D350" s="236" t="s">
        <v>6417</v>
      </c>
      <c r="E350" s="236" t="s">
        <v>21</v>
      </c>
      <c r="F350" s="232">
        <v>4</v>
      </c>
      <c r="G350" s="232">
        <v>8</v>
      </c>
      <c r="H350" s="232">
        <v>472</v>
      </c>
      <c r="I350" s="232">
        <v>60</v>
      </c>
      <c r="K350" s="18"/>
      <c r="L350" s="18"/>
    </row>
    <row r="351" spans="2:12" x14ac:dyDescent="0.2">
      <c r="B351" s="231">
        <v>2019</v>
      </c>
      <c r="C351" s="231" t="s">
        <v>8</v>
      </c>
      <c r="D351" s="236" t="s">
        <v>6417</v>
      </c>
      <c r="E351" s="236" t="s">
        <v>21</v>
      </c>
      <c r="F351" s="232">
        <v>4</v>
      </c>
      <c r="G351" s="232">
        <v>8</v>
      </c>
      <c r="H351" s="232">
        <v>405</v>
      </c>
      <c r="I351" s="232">
        <v>7</v>
      </c>
      <c r="K351" s="18"/>
      <c r="L351" s="18"/>
    </row>
    <row r="352" spans="2:12" x14ac:dyDescent="0.2">
      <c r="B352" s="231">
        <v>2019</v>
      </c>
      <c r="C352" s="231" t="s">
        <v>8</v>
      </c>
      <c r="D352" s="236" t="s">
        <v>6417</v>
      </c>
      <c r="E352" s="236" t="s">
        <v>19</v>
      </c>
      <c r="F352" s="232">
        <v>5</v>
      </c>
      <c r="G352" s="232">
        <v>6</v>
      </c>
      <c r="H352" s="232">
        <v>450</v>
      </c>
      <c r="I352" s="232">
        <v>50</v>
      </c>
      <c r="K352" s="18"/>
      <c r="L352" s="18"/>
    </row>
    <row r="353" spans="2:12" x14ac:dyDescent="0.2">
      <c r="B353" s="231">
        <v>2019</v>
      </c>
      <c r="C353" s="231" t="s">
        <v>7</v>
      </c>
      <c r="D353" s="236" t="s">
        <v>6417</v>
      </c>
      <c r="E353" s="236" t="s">
        <v>19</v>
      </c>
      <c r="F353" s="232">
        <v>4</v>
      </c>
      <c r="G353" s="232">
        <v>6</v>
      </c>
      <c r="H353" s="232">
        <v>427</v>
      </c>
      <c r="I353" s="232">
        <v>35</v>
      </c>
      <c r="K353" s="18"/>
      <c r="L353" s="18"/>
    </row>
    <row r="354" spans="2:12" x14ac:dyDescent="0.2">
      <c r="B354" s="231">
        <v>2019</v>
      </c>
      <c r="C354" s="231" t="s">
        <v>7</v>
      </c>
      <c r="D354" s="236" t="s">
        <v>6417</v>
      </c>
      <c r="E354" s="236" t="s">
        <v>19</v>
      </c>
      <c r="F354" s="232">
        <v>4</v>
      </c>
      <c r="G354" s="232">
        <v>3</v>
      </c>
      <c r="H354" s="232">
        <v>436</v>
      </c>
      <c r="I354" s="232">
        <v>25</v>
      </c>
      <c r="K354" s="18"/>
      <c r="L354" s="18"/>
    </row>
    <row r="355" spans="2:12" x14ac:dyDescent="0.2">
      <c r="B355" s="231">
        <v>2019</v>
      </c>
      <c r="C355" s="231" t="s">
        <v>8</v>
      </c>
      <c r="D355" s="236" t="s">
        <v>6417</v>
      </c>
      <c r="E355" s="236" t="s">
        <v>21</v>
      </c>
      <c r="F355" s="232">
        <v>4</v>
      </c>
      <c r="G355" s="232">
        <v>6</v>
      </c>
      <c r="H355" s="232">
        <v>406</v>
      </c>
      <c r="I355" s="232">
        <v>40</v>
      </c>
      <c r="K355" s="18"/>
      <c r="L355" s="18"/>
    </row>
    <row r="356" spans="2:12" x14ac:dyDescent="0.2">
      <c r="B356" s="231">
        <v>2019</v>
      </c>
      <c r="C356" s="231" t="s">
        <v>8</v>
      </c>
      <c r="D356" s="236" t="s">
        <v>6417</v>
      </c>
      <c r="E356" s="236" t="s">
        <v>21</v>
      </c>
      <c r="F356" s="232">
        <v>5</v>
      </c>
      <c r="G356" s="232">
        <v>5</v>
      </c>
      <c r="H356" s="232">
        <v>441</v>
      </c>
      <c r="I356" s="232">
        <v>15</v>
      </c>
      <c r="K356" s="18"/>
      <c r="L356" s="18"/>
    </row>
    <row r="357" spans="2:12" x14ac:dyDescent="0.2">
      <c r="B357" s="231">
        <v>2019</v>
      </c>
      <c r="C357" s="231" t="s">
        <v>7</v>
      </c>
      <c r="D357" s="236" t="s">
        <v>6417</v>
      </c>
      <c r="E357" s="236" t="s">
        <v>20</v>
      </c>
      <c r="F357" s="232">
        <v>4</v>
      </c>
      <c r="G357" s="232">
        <v>4</v>
      </c>
      <c r="H357" s="232">
        <v>420</v>
      </c>
      <c r="I357" s="232">
        <v>15</v>
      </c>
      <c r="K357" s="18"/>
      <c r="L357" s="18"/>
    </row>
    <row r="358" spans="2:12" x14ac:dyDescent="0.2">
      <c r="B358" s="231">
        <v>2019</v>
      </c>
      <c r="C358" s="231" t="s">
        <v>7</v>
      </c>
      <c r="D358" s="236" t="s">
        <v>6417</v>
      </c>
      <c r="E358" s="236" t="s">
        <v>21</v>
      </c>
      <c r="F358" s="232">
        <v>5</v>
      </c>
      <c r="G358" s="232">
        <v>5</v>
      </c>
      <c r="H358" s="232">
        <v>442</v>
      </c>
      <c r="I358" s="232">
        <v>50</v>
      </c>
      <c r="K358" s="18"/>
      <c r="L358" s="18"/>
    </row>
    <row r="359" spans="2:12" x14ac:dyDescent="0.2">
      <c r="B359" s="231">
        <v>2019</v>
      </c>
      <c r="C359" s="231" t="s">
        <v>7</v>
      </c>
      <c r="D359" s="236" t="s">
        <v>6417</v>
      </c>
      <c r="E359" s="236" t="s">
        <v>21</v>
      </c>
      <c r="F359" s="232">
        <v>5</v>
      </c>
      <c r="G359" s="232">
        <v>8</v>
      </c>
      <c r="H359" s="232">
        <v>420</v>
      </c>
      <c r="I359" s="232">
        <v>28</v>
      </c>
      <c r="K359" s="18"/>
      <c r="L359" s="18"/>
    </row>
    <row r="360" spans="2:12" x14ac:dyDescent="0.2">
      <c r="B360" s="231">
        <v>2019</v>
      </c>
      <c r="C360" s="231" t="s">
        <v>7</v>
      </c>
      <c r="D360" s="236" t="s">
        <v>6417</v>
      </c>
      <c r="E360" s="236" t="s">
        <v>21</v>
      </c>
      <c r="F360" s="232">
        <v>5</v>
      </c>
      <c r="G360" s="232">
        <v>5</v>
      </c>
      <c r="H360" s="232">
        <v>414</v>
      </c>
      <c r="I360" s="232">
        <v>23</v>
      </c>
      <c r="K360" s="18"/>
      <c r="L360" s="18"/>
    </row>
    <row r="361" spans="2:12" x14ac:dyDescent="0.2">
      <c r="B361" s="231">
        <v>2019</v>
      </c>
      <c r="C361" s="231" t="s">
        <v>7</v>
      </c>
      <c r="D361" s="236" t="s">
        <v>6417</v>
      </c>
      <c r="E361" s="236" t="s">
        <v>21</v>
      </c>
      <c r="F361" s="232">
        <v>4</v>
      </c>
      <c r="G361" s="232">
        <v>7</v>
      </c>
      <c r="H361" s="232">
        <v>420</v>
      </c>
      <c r="I361" s="232">
        <v>15</v>
      </c>
      <c r="K361" s="18"/>
      <c r="L361" s="18"/>
    </row>
    <row r="362" spans="2:12" x14ac:dyDescent="0.2">
      <c r="B362" s="231">
        <v>2019</v>
      </c>
      <c r="C362" s="231" t="s">
        <v>7</v>
      </c>
      <c r="D362" s="236" t="s">
        <v>6417</v>
      </c>
      <c r="E362" s="236" t="s">
        <v>21</v>
      </c>
      <c r="F362" s="232">
        <v>5</v>
      </c>
      <c r="G362" s="232">
        <v>10</v>
      </c>
      <c r="H362" s="232">
        <v>454</v>
      </c>
      <c r="I362" s="232">
        <v>76</v>
      </c>
      <c r="K362" s="18"/>
      <c r="L362" s="18"/>
    </row>
    <row r="363" spans="2:12" x14ac:dyDescent="0.2">
      <c r="B363" s="231">
        <v>2019</v>
      </c>
      <c r="C363" s="231" t="s">
        <v>7</v>
      </c>
      <c r="D363" s="236" t="s">
        <v>6417</v>
      </c>
      <c r="E363" s="236" t="s">
        <v>21</v>
      </c>
      <c r="F363" s="232">
        <v>4</v>
      </c>
      <c r="G363" s="232">
        <v>6</v>
      </c>
      <c r="H363" s="232">
        <v>415</v>
      </c>
      <c r="I363" s="232">
        <v>40</v>
      </c>
      <c r="K363" s="18"/>
      <c r="L363" s="18"/>
    </row>
    <row r="364" spans="2:12" x14ac:dyDescent="0.2">
      <c r="B364" s="231">
        <v>2019</v>
      </c>
      <c r="C364" s="231" t="s">
        <v>8</v>
      </c>
      <c r="D364" s="236" t="s">
        <v>6419</v>
      </c>
      <c r="E364" s="236" t="s">
        <v>20</v>
      </c>
      <c r="F364" s="232">
        <v>2</v>
      </c>
      <c r="G364" s="232">
        <v>6</v>
      </c>
      <c r="H364" s="232">
        <v>426</v>
      </c>
      <c r="I364" s="232">
        <v>35</v>
      </c>
      <c r="K364" s="18"/>
      <c r="L364" s="18"/>
    </row>
    <row r="365" spans="2:12" x14ac:dyDescent="0.2">
      <c r="B365" s="231">
        <v>2019</v>
      </c>
      <c r="C365" s="231" t="s">
        <v>7</v>
      </c>
      <c r="D365" s="236" t="s">
        <v>6419</v>
      </c>
      <c r="E365" s="236" t="s">
        <v>21</v>
      </c>
      <c r="F365" s="232">
        <v>5</v>
      </c>
      <c r="G365" s="232">
        <v>7</v>
      </c>
      <c r="H365" s="232">
        <v>430</v>
      </c>
      <c r="I365" s="232">
        <v>20</v>
      </c>
      <c r="K365" s="18"/>
      <c r="L365" s="18"/>
    </row>
    <row r="366" spans="2:12" x14ac:dyDescent="0.2">
      <c r="B366" s="231">
        <v>2019</v>
      </c>
      <c r="C366" s="231" t="s">
        <v>8</v>
      </c>
      <c r="D366" s="236" t="s">
        <v>6419</v>
      </c>
      <c r="E366" s="236" t="s">
        <v>19</v>
      </c>
      <c r="F366" s="232">
        <v>3</v>
      </c>
      <c r="G366" s="232">
        <v>5</v>
      </c>
      <c r="H366" s="232">
        <v>430</v>
      </c>
      <c r="I366" s="232">
        <v>40</v>
      </c>
      <c r="K366" s="18"/>
      <c r="L366" s="18"/>
    </row>
    <row r="367" spans="2:12" x14ac:dyDescent="0.2">
      <c r="B367" s="231">
        <v>2019</v>
      </c>
      <c r="C367" s="231" t="s">
        <v>8</v>
      </c>
      <c r="D367" s="236" t="s">
        <v>6419</v>
      </c>
      <c r="E367" s="236" t="s">
        <v>19</v>
      </c>
      <c r="F367" s="232">
        <v>4</v>
      </c>
      <c r="G367" s="232">
        <v>6</v>
      </c>
      <c r="H367" s="232">
        <v>416</v>
      </c>
      <c r="I367" s="232">
        <v>13</v>
      </c>
      <c r="K367" s="18"/>
      <c r="L367" s="18"/>
    </row>
    <row r="368" spans="2:12" x14ac:dyDescent="0.2">
      <c r="B368" s="231">
        <v>2019</v>
      </c>
      <c r="C368" s="231" t="s">
        <v>8</v>
      </c>
      <c r="D368" s="236" t="s">
        <v>6419</v>
      </c>
      <c r="E368" s="236" t="s">
        <v>21</v>
      </c>
      <c r="F368" s="232">
        <v>5</v>
      </c>
      <c r="G368" s="232">
        <v>7</v>
      </c>
      <c r="H368" s="232">
        <v>412</v>
      </c>
      <c r="I368" s="232">
        <v>3</v>
      </c>
      <c r="K368" s="18"/>
      <c r="L368" s="18"/>
    </row>
    <row r="369" spans="2:12" x14ac:dyDescent="0.2">
      <c r="B369" s="231">
        <v>2019</v>
      </c>
      <c r="C369" s="231" t="s">
        <v>8</v>
      </c>
      <c r="D369" s="236" t="s">
        <v>6419</v>
      </c>
      <c r="E369" s="236" t="s">
        <v>21</v>
      </c>
      <c r="F369" s="232">
        <v>5</v>
      </c>
      <c r="G369" s="232">
        <v>8</v>
      </c>
      <c r="H369" s="232">
        <v>439</v>
      </c>
      <c r="I369" s="232">
        <v>40</v>
      </c>
      <c r="K369" s="18"/>
      <c r="L369" s="18"/>
    </row>
    <row r="370" spans="2:12" x14ac:dyDescent="0.2">
      <c r="B370" s="231">
        <v>2019</v>
      </c>
      <c r="C370" s="231" t="s">
        <v>7</v>
      </c>
      <c r="D370" s="236" t="s">
        <v>6419</v>
      </c>
      <c r="E370" s="236" t="s">
        <v>20</v>
      </c>
      <c r="F370" s="232">
        <v>3</v>
      </c>
      <c r="G370" s="232">
        <v>5</v>
      </c>
      <c r="H370" s="232">
        <v>424</v>
      </c>
      <c r="I370" s="232">
        <v>50</v>
      </c>
      <c r="K370" s="18"/>
      <c r="L370" s="18"/>
    </row>
    <row r="371" spans="2:12" x14ac:dyDescent="0.2">
      <c r="B371" s="231">
        <v>2019</v>
      </c>
      <c r="C371" s="231" t="s">
        <v>7</v>
      </c>
      <c r="D371" s="236" t="s">
        <v>6419</v>
      </c>
      <c r="E371" s="236" t="s">
        <v>21</v>
      </c>
      <c r="F371" s="232">
        <v>5</v>
      </c>
      <c r="G371" s="232">
        <v>5</v>
      </c>
      <c r="H371" s="232">
        <v>451</v>
      </c>
      <c r="I371" s="232">
        <v>75</v>
      </c>
      <c r="K371" s="18"/>
      <c r="L371" s="18"/>
    </row>
    <row r="372" spans="2:12" x14ac:dyDescent="0.2">
      <c r="B372" s="231">
        <v>2019</v>
      </c>
      <c r="C372" s="231" t="s">
        <v>7</v>
      </c>
      <c r="D372" s="236" t="s">
        <v>6419</v>
      </c>
      <c r="E372" s="236" t="s">
        <v>21</v>
      </c>
      <c r="F372" s="232">
        <v>5</v>
      </c>
      <c r="G372" s="232">
        <v>7</v>
      </c>
      <c r="H372" s="232">
        <v>441</v>
      </c>
      <c r="I372" s="232">
        <v>55</v>
      </c>
      <c r="K372" s="18"/>
      <c r="L372" s="18"/>
    </row>
    <row r="373" spans="2:12" x14ac:dyDescent="0.2">
      <c r="B373" s="231">
        <v>2019</v>
      </c>
      <c r="C373" s="231" t="s">
        <v>7</v>
      </c>
      <c r="D373" s="236" t="s">
        <v>6419</v>
      </c>
      <c r="E373" s="236" t="s">
        <v>21</v>
      </c>
      <c r="F373" s="232">
        <v>5</v>
      </c>
      <c r="G373" s="232">
        <v>4</v>
      </c>
      <c r="H373" s="232">
        <v>416</v>
      </c>
      <c r="I373" s="232">
        <v>27</v>
      </c>
      <c r="K373" s="18"/>
      <c r="L373" s="18"/>
    </row>
    <row r="374" spans="2:12" x14ac:dyDescent="0.2">
      <c r="B374" s="231">
        <v>2019</v>
      </c>
      <c r="C374" s="231" t="s">
        <v>7</v>
      </c>
      <c r="D374" s="236" t="s">
        <v>6419</v>
      </c>
      <c r="E374" s="236" t="s">
        <v>21</v>
      </c>
      <c r="F374" s="232">
        <v>2</v>
      </c>
      <c r="G374" s="232">
        <v>3</v>
      </c>
      <c r="H374" s="232">
        <v>412</v>
      </c>
      <c r="I374" s="232">
        <v>80</v>
      </c>
      <c r="K374" s="18"/>
      <c r="L374" s="18"/>
    </row>
    <row r="375" spans="2:12" x14ac:dyDescent="0.2">
      <c r="B375" s="231">
        <v>2019</v>
      </c>
      <c r="C375" s="231" t="s">
        <v>7</v>
      </c>
      <c r="D375" s="236" t="s">
        <v>6419</v>
      </c>
      <c r="E375" s="236" t="s">
        <v>19</v>
      </c>
      <c r="F375" s="232">
        <v>2</v>
      </c>
      <c r="G375" s="232">
        <v>4</v>
      </c>
      <c r="H375" s="232">
        <v>408</v>
      </c>
      <c r="I375" s="232">
        <v>45</v>
      </c>
      <c r="K375" s="18"/>
      <c r="L375" s="18"/>
    </row>
    <row r="376" spans="2:12" x14ac:dyDescent="0.2">
      <c r="B376" s="231">
        <v>2019</v>
      </c>
      <c r="C376" s="231" t="s">
        <v>8</v>
      </c>
      <c r="D376" s="236" t="s">
        <v>6418</v>
      </c>
      <c r="E376" s="236" t="s">
        <v>20</v>
      </c>
      <c r="F376" s="232">
        <v>2</v>
      </c>
      <c r="G376" s="232">
        <v>6</v>
      </c>
      <c r="H376" s="232">
        <v>465</v>
      </c>
      <c r="I376" s="232">
        <v>20</v>
      </c>
      <c r="K376" s="18"/>
      <c r="L376" s="18"/>
    </row>
    <row r="377" spans="2:12" x14ac:dyDescent="0.2">
      <c r="B377" s="231">
        <v>2019</v>
      </c>
      <c r="C377" s="231" t="s">
        <v>7</v>
      </c>
      <c r="D377" s="236" t="s">
        <v>6419</v>
      </c>
      <c r="E377" s="236" t="s">
        <v>21</v>
      </c>
      <c r="F377" s="232">
        <v>5</v>
      </c>
      <c r="G377" s="232">
        <v>9</v>
      </c>
      <c r="H377" s="232">
        <v>444</v>
      </c>
      <c r="I377" s="232">
        <v>30</v>
      </c>
      <c r="K377" s="18"/>
      <c r="L377" s="18"/>
    </row>
    <row r="378" spans="2:12" x14ac:dyDescent="0.2">
      <c r="B378" s="231">
        <v>2019</v>
      </c>
      <c r="C378" s="231" t="s">
        <v>8</v>
      </c>
      <c r="D378" s="236" t="s">
        <v>6419</v>
      </c>
      <c r="E378" s="236" t="s">
        <v>21</v>
      </c>
      <c r="F378" s="232">
        <v>5</v>
      </c>
      <c r="G378" s="232">
        <v>7</v>
      </c>
      <c r="H378" s="232">
        <v>432</v>
      </c>
      <c r="I378" s="232">
        <v>5</v>
      </c>
      <c r="K378" s="18"/>
      <c r="L378" s="18"/>
    </row>
    <row r="379" spans="2:12" x14ac:dyDescent="0.2">
      <c r="B379" s="231">
        <v>2019</v>
      </c>
      <c r="C379" s="231" t="s">
        <v>8</v>
      </c>
      <c r="D379" s="236" t="s">
        <v>6419</v>
      </c>
      <c r="E379" s="236" t="s">
        <v>20</v>
      </c>
      <c r="F379" s="232">
        <v>2</v>
      </c>
      <c r="G379" s="232">
        <v>4</v>
      </c>
      <c r="H379" s="232">
        <v>424</v>
      </c>
      <c r="I379" s="232">
        <v>30</v>
      </c>
      <c r="K379" s="18"/>
      <c r="L379" s="18"/>
    </row>
    <row r="380" spans="2:12" x14ac:dyDescent="0.2">
      <c r="B380" s="231">
        <v>2019</v>
      </c>
      <c r="C380" s="231" t="s">
        <v>7</v>
      </c>
      <c r="D380" s="236" t="s">
        <v>6419</v>
      </c>
      <c r="E380" s="236" t="s">
        <v>20</v>
      </c>
      <c r="F380" s="232">
        <v>4</v>
      </c>
      <c r="G380" s="232">
        <v>7</v>
      </c>
      <c r="H380" s="232">
        <v>402</v>
      </c>
      <c r="I380" s="232">
        <v>5</v>
      </c>
      <c r="K380" s="18"/>
      <c r="L380" s="18"/>
    </row>
    <row r="381" spans="2:12" x14ac:dyDescent="0.2">
      <c r="B381" s="231">
        <v>2019</v>
      </c>
      <c r="C381" s="231" t="s">
        <v>8</v>
      </c>
      <c r="D381" s="236" t="s">
        <v>6419</v>
      </c>
      <c r="E381" s="236" t="s">
        <v>20</v>
      </c>
      <c r="F381" s="232">
        <v>5</v>
      </c>
      <c r="G381" s="232">
        <v>6</v>
      </c>
      <c r="H381" s="232">
        <v>415</v>
      </c>
      <c r="I381" s="232">
        <v>70</v>
      </c>
      <c r="K381" s="18"/>
      <c r="L381" s="18"/>
    </row>
    <row r="382" spans="2:12" x14ac:dyDescent="0.2">
      <c r="B382" s="231">
        <v>2019</v>
      </c>
      <c r="C382" s="231" t="s">
        <v>7</v>
      </c>
      <c r="D382" s="236" t="s">
        <v>6419</v>
      </c>
      <c r="E382" s="236" t="s">
        <v>19</v>
      </c>
      <c r="F382" s="232">
        <v>2</v>
      </c>
      <c r="G382" s="232">
        <v>8</v>
      </c>
      <c r="H382" s="232">
        <v>458</v>
      </c>
      <c r="I382" s="232">
        <v>30</v>
      </c>
      <c r="K382" s="18"/>
      <c r="L382" s="18"/>
    </row>
    <row r="383" spans="2:12" x14ac:dyDescent="0.2">
      <c r="B383" s="231">
        <v>2019</v>
      </c>
      <c r="C383" s="231" t="s">
        <v>7</v>
      </c>
      <c r="D383" s="236" t="s">
        <v>6419</v>
      </c>
      <c r="E383" s="236" t="s">
        <v>21</v>
      </c>
      <c r="F383" s="232">
        <v>5</v>
      </c>
      <c r="G383" s="232">
        <v>2</v>
      </c>
      <c r="H383" s="232">
        <v>417</v>
      </c>
      <c r="I383" s="232">
        <v>35</v>
      </c>
      <c r="K383" s="18"/>
      <c r="L383" s="18"/>
    </row>
    <row r="384" spans="2:12" x14ac:dyDescent="0.2">
      <c r="B384" s="231">
        <v>2019</v>
      </c>
      <c r="C384" s="231" t="s">
        <v>8</v>
      </c>
      <c r="D384" s="236" t="s">
        <v>6419</v>
      </c>
      <c r="E384" s="236" t="s">
        <v>21</v>
      </c>
      <c r="F384" s="232">
        <v>4</v>
      </c>
      <c r="G384" s="232">
        <v>8</v>
      </c>
      <c r="H384" s="232">
        <v>455</v>
      </c>
      <c r="I384" s="232">
        <v>8</v>
      </c>
      <c r="K384" s="18"/>
      <c r="L384" s="18"/>
    </row>
    <row r="385" spans="2:12" x14ac:dyDescent="0.2">
      <c r="B385" s="231">
        <v>2019</v>
      </c>
      <c r="C385" s="231" t="s">
        <v>7</v>
      </c>
      <c r="D385" s="236" t="s">
        <v>6419</v>
      </c>
      <c r="E385" s="236" t="s">
        <v>19</v>
      </c>
      <c r="F385" s="232">
        <v>2</v>
      </c>
      <c r="G385" s="232">
        <v>6</v>
      </c>
      <c r="H385" s="232">
        <v>421</v>
      </c>
      <c r="I385" s="232">
        <v>40</v>
      </c>
      <c r="K385" s="18"/>
      <c r="L385" s="18"/>
    </row>
    <row r="386" spans="2:12" x14ac:dyDescent="0.2">
      <c r="B386" s="231">
        <v>2019</v>
      </c>
      <c r="C386" s="231" t="s">
        <v>8</v>
      </c>
      <c r="D386" s="236" t="s">
        <v>6419</v>
      </c>
      <c r="E386" s="236" t="s">
        <v>20</v>
      </c>
      <c r="F386" s="232">
        <v>2</v>
      </c>
      <c r="G386" s="232">
        <v>5</v>
      </c>
      <c r="H386" s="232">
        <v>452</v>
      </c>
      <c r="I386" s="232">
        <v>30</v>
      </c>
      <c r="K386" s="18"/>
      <c r="L386" s="18"/>
    </row>
    <row r="387" spans="2:12" x14ac:dyDescent="0.2">
      <c r="B387" s="231">
        <v>2019</v>
      </c>
      <c r="C387" s="231" t="s">
        <v>8</v>
      </c>
      <c r="D387" s="236" t="s">
        <v>6419</v>
      </c>
      <c r="E387" s="236" t="s">
        <v>19</v>
      </c>
      <c r="F387" s="232">
        <v>2</v>
      </c>
      <c r="G387" s="232">
        <v>7</v>
      </c>
      <c r="H387" s="232">
        <v>392</v>
      </c>
      <c r="I387" s="232">
        <v>45</v>
      </c>
      <c r="K387" s="18"/>
      <c r="L387" s="18"/>
    </row>
    <row r="388" spans="2:12" x14ac:dyDescent="0.2">
      <c r="B388" s="231">
        <v>2019</v>
      </c>
      <c r="C388" s="231" t="s">
        <v>7</v>
      </c>
      <c r="D388" s="236" t="s">
        <v>6419</v>
      </c>
      <c r="E388" s="236" t="s">
        <v>21</v>
      </c>
      <c r="F388" s="232">
        <v>5</v>
      </c>
      <c r="G388" s="232">
        <v>4</v>
      </c>
      <c r="H388" s="232">
        <v>448</v>
      </c>
      <c r="I388" s="232">
        <v>60</v>
      </c>
      <c r="K388" s="18"/>
      <c r="L388" s="18"/>
    </row>
    <row r="389" spans="2:12" x14ac:dyDescent="0.2">
      <c r="B389" s="231">
        <v>2019</v>
      </c>
      <c r="C389" s="231" t="s">
        <v>8</v>
      </c>
      <c r="D389" s="236" t="s">
        <v>6419</v>
      </c>
      <c r="E389" s="236" t="s">
        <v>21</v>
      </c>
      <c r="F389" s="232">
        <v>5</v>
      </c>
      <c r="G389" s="232">
        <v>2</v>
      </c>
      <c r="H389" s="232">
        <v>412</v>
      </c>
      <c r="I389" s="232">
        <v>45</v>
      </c>
      <c r="K389" s="18"/>
      <c r="L389" s="18"/>
    </row>
    <row r="390" spans="2:12" x14ac:dyDescent="0.2">
      <c r="B390" s="231">
        <v>2019</v>
      </c>
      <c r="C390" s="231" t="s">
        <v>8</v>
      </c>
      <c r="D390" s="236" t="s">
        <v>6419</v>
      </c>
      <c r="E390" s="236" t="s">
        <v>19</v>
      </c>
      <c r="F390" s="232">
        <v>2</v>
      </c>
      <c r="G390" s="232">
        <v>5</v>
      </c>
      <c r="H390" s="232">
        <v>404</v>
      </c>
      <c r="I390" s="232">
        <v>3</v>
      </c>
      <c r="K390" s="18"/>
      <c r="L390" s="18"/>
    </row>
    <row r="391" spans="2:12" x14ac:dyDescent="0.2">
      <c r="B391" s="231">
        <v>2019</v>
      </c>
      <c r="C391" s="231" t="s">
        <v>8</v>
      </c>
      <c r="D391" s="236" t="s">
        <v>6419</v>
      </c>
      <c r="E391" s="236" t="s">
        <v>19</v>
      </c>
      <c r="F391" s="232">
        <v>2</v>
      </c>
      <c r="G391" s="232">
        <v>8</v>
      </c>
      <c r="H391" s="232">
        <v>414</v>
      </c>
      <c r="I391" s="232">
        <v>90</v>
      </c>
      <c r="K391" s="18"/>
      <c r="L391" s="18"/>
    </row>
    <row r="392" spans="2:12" x14ac:dyDescent="0.2">
      <c r="B392" s="231">
        <v>2019</v>
      </c>
      <c r="C392" s="231" t="s">
        <v>7</v>
      </c>
      <c r="D392" s="236" t="s">
        <v>6421</v>
      </c>
      <c r="E392" s="236" t="s">
        <v>19</v>
      </c>
      <c r="F392" s="232">
        <v>3</v>
      </c>
      <c r="G392" s="232">
        <v>7</v>
      </c>
      <c r="H392" s="232">
        <v>410</v>
      </c>
      <c r="I392" s="232">
        <v>17.5</v>
      </c>
      <c r="K392" s="18"/>
      <c r="L392" s="18"/>
    </row>
    <row r="393" spans="2:12" x14ac:dyDescent="0.2">
      <c r="B393" s="231">
        <v>2019</v>
      </c>
      <c r="C393" s="231" t="s">
        <v>8</v>
      </c>
      <c r="D393" s="236" t="s">
        <v>6419</v>
      </c>
      <c r="E393" s="236" t="s">
        <v>19</v>
      </c>
      <c r="F393" s="232">
        <v>4</v>
      </c>
      <c r="G393" s="232">
        <v>6</v>
      </c>
      <c r="H393" s="232">
        <v>411</v>
      </c>
      <c r="I393" s="232">
        <v>60</v>
      </c>
      <c r="K393" s="18"/>
      <c r="L393" s="18"/>
    </row>
    <row r="394" spans="2:12" x14ac:dyDescent="0.2">
      <c r="B394" s="231">
        <v>2019</v>
      </c>
      <c r="C394" s="231" t="s">
        <v>7</v>
      </c>
      <c r="D394" s="236" t="s">
        <v>6419</v>
      </c>
      <c r="E394" s="236" t="s">
        <v>19</v>
      </c>
      <c r="F394" s="232">
        <v>5</v>
      </c>
      <c r="G394" s="232">
        <v>5</v>
      </c>
      <c r="H394" s="232">
        <v>443</v>
      </c>
      <c r="I394" s="232">
        <v>33</v>
      </c>
      <c r="K394" s="18"/>
      <c r="L394" s="18"/>
    </row>
    <row r="395" spans="2:12" x14ac:dyDescent="0.2">
      <c r="B395" s="231">
        <v>2019</v>
      </c>
      <c r="C395" s="231" t="s">
        <v>8</v>
      </c>
      <c r="D395" s="236" t="s">
        <v>6419</v>
      </c>
      <c r="E395" s="236" t="s">
        <v>20</v>
      </c>
      <c r="F395" s="232">
        <v>2</v>
      </c>
      <c r="G395" s="232">
        <v>5</v>
      </c>
      <c r="H395" s="232">
        <v>450</v>
      </c>
      <c r="I395" s="232">
        <v>45</v>
      </c>
      <c r="K395" s="18"/>
      <c r="L395" s="18"/>
    </row>
    <row r="396" spans="2:12" x14ac:dyDescent="0.2">
      <c r="B396" s="231">
        <v>2019</v>
      </c>
      <c r="C396" s="231" t="s">
        <v>7</v>
      </c>
      <c r="D396" s="236" t="s">
        <v>6419</v>
      </c>
      <c r="E396" s="236" t="s">
        <v>19</v>
      </c>
      <c r="F396" s="232">
        <v>4</v>
      </c>
      <c r="G396" s="232">
        <v>6</v>
      </c>
      <c r="H396" s="232">
        <v>432</v>
      </c>
      <c r="I396" s="232">
        <v>110</v>
      </c>
      <c r="K396" s="18"/>
      <c r="L396" s="18"/>
    </row>
    <row r="397" spans="2:12" x14ac:dyDescent="0.2">
      <c r="B397" s="231">
        <v>2019</v>
      </c>
      <c r="C397" s="231" t="s">
        <v>7</v>
      </c>
      <c r="D397" s="236" t="s">
        <v>6419</v>
      </c>
      <c r="E397" s="236" t="s">
        <v>21</v>
      </c>
      <c r="F397" s="232">
        <v>5</v>
      </c>
      <c r="G397" s="232">
        <v>12</v>
      </c>
      <c r="H397" s="232">
        <v>456</v>
      </c>
      <c r="I397" s="232">
        <v>35</v>
      </c>
      <c r="K397" s="18"/>
      <c r="L397" s="18"/>
    </row>
    <row r="398" spans="2:12" x14ac:dyDescent="0.2">
      <c r="B398" s="231">
        <v>2019</v>
      </c>
      <c r="C398" s="231" t="s">
        <v>7</v>
      </c>
      <c r="D398" s="236" t="s">
        <v>6419</v>
      </c>
      <c r="E398" s="236" t="s">
        <v>19</v>
      </c>
      <c r="F398" s="232">
        <v>5</v>
      </c>
      <c r="G398" s="232">
        <v>7</v>
      </c>
      <c r="H398" s="232">
        <v>424</v>
      </c>
      <c r="I398" s="232">
        <v>23</v>
      </c>
      <c r="K398" s="18"/>
      <c r="L398" s="18"/>
    </row>
    <row r="399" spans="2:12" x14ac:dyDescent="0.2">
      <c r="B399" s="231">
        <v>2019</v>
      </c>
      <c r="C399" s="231" t="s">
        <v>7</v>
      </c>
      <c r="D399" s="236" t="s">
        <v>6419</v>
      </c>
      <c r="E399" s="236" t="s">
        <v>20</v>
      </c>
      <c r="F399" s="232">
        <v>3</v>
      </c>
      <c r="G399" s="232">
        <v>5</v>
      </c>
      <c r="H399" s="232">
        <v>420</v>
      </c>
      <c r="I399" s="232">
        <v>70</v>
      </c>
      <c r="K399" s="18"/>
      <c r="L399" s="18"/>
    </row>
    <row r="400" spans="2:12" x14ac:dyDescent="0.2">
      <c r="B400" s="231">
        <v>2019</v>
      </c>
      <c r="C400" s="231" t="s">
        <v>8</v>
      </c>
      <c r="D400" s="236" t="s">
        <v>6420</v>
      </c>
      <c r="E400" s="236" t="s">
        <v>20</v>
      </c>
      <c r="F400" s="232">
        <v>3</v>
      </c>
      <c r="G400" s="232">
        <v>5</v>
      </c>
      <c r="H400" s="232">
        <v>461</v>
      </c>
      <c r="I400" s="232">
        <v>35</v>
      </c>
      <c r="K400" s="18"/>
      <c r="L400" s="18"/>
    </row>
    <row r="401" spans="2:12" x14ac:dyDescent="0.2">
      <c r="B401" s="231">
        <v>2019</v>
      </c>
      <c r="C401" s="231" t="s">
        <v>8</v>
      </c>
      <c r="D401" s="236" t="s">
        <v>6419</v>
      </c>
      <c r="E401" s="236" t="s">
        <v>19</v>
      </c>
      <c r="F401" s="232">
        <v>4</v>
      </c>
      <c r="G401" s="232">
        <v>9</v>
      </c>
      <c r="H401" s="232">
        <v>442</v>
      </c>
      <c r="I401" s="232">
        <v>30</v>
      </c>
      <c r="K401" s="18"/>
      <c r="L401" s="18"/>
    </row>
    <row r="402" spans="2:12" x14ac:dyDescent="0.2">
      <c r="B402" s="231">
        <v>2019</v>
      </c>
      <c r="C402" s="231" t="s">
        <v>8</v>
      </c>
      <c r="D402" s="236" t="s">
        <v>6419</v>
      </c>
      <c r="E402" s="236" t="s">
        <v>19</v>
      </c>
      <c r="F402" s="232">
        <v>2</v>
      </c>
      <c r="G402" s="232">
        <v>9</v>
      </c>
      <c r="H402" s="232">
        <v>412</v>
      </c>
      <c r="I402" s="232">
        <v>25</v>
      </c>
      <c r="K402" s="18"/>
      <c r="L402" s="18"/>
    </row>
    <row r="403" spans="2:12" x14ac:dyDescent="0.2">
      <c r="B403" s="231">
        <v>2019</v>
      </c>
      <c r="C403" s="231" t="s">
        <v>8</v>
      </c>
      <c r="D403" s="236" t="s">
        <v>6419</v>
      </c>
      <c r="E403" s="236" t="s">
        <v>19</v>
      </c>
      <c r="F403" s="232">
        <v>2</v>
      </c>
      <c r="G403" s="232">
        <v>5</v>
      </c>
      <c r="H403" s="232">
        <v>419</v>
      </c>
      <c r="I403" s="232">
        <v>30</v>
      </c>
      <c r="K403" s="18"/>
      <c r="L403" s="18"/>
    </row>
    <row r="404" spans="2:12" x14ac:dyDescent="0.2">
      <c r="B404" s="231">
        <v>2019</v>
      </c>
      <c r="C404" s="231" t="s">
        <v>8</v>
      </c>
      <c r="D404" s="236" t="s">
        <v>6419</v>
      </c>
      <c r="E404" s="236" t="s">
        <v>19</v>
      </c>
      <c r="F404" s="232">
        <v>5</v>
      </c>
      <c r="G404" s="232">
        <v>6</v>
      </c>
      <c r="H404" s="232">
        <v>450</v>
      </c>
      <c r="I404" s="232">
        <v>60</v>
      </c>
      <c r="K404" s="18"/>
      <c r="L404" s="18"/>
    </row>
    <row r="405" spans="2:12" x14ac:dyDescent="0.2">
      <c r="B405" s="231">
        <v>2019</v>
      </c>
      <c r="C405" s="231" t="s">
        <v>8</v>
      </c>
      <c r="D405" s="236" t="s">
        <v>6419</v>
      </c>
      <c r="E405" s="236" t="s">
        <v>19</v>
      </c>
      <c r="F405" s="232">
        <v>3</v>
      </c>
      <c r="G405" s="232">
        <v>5</v>
      </c>
      <c r="H405" s="232">
        <v>403</v>
      </c>
      <c r="I405" s="232">
        <v>40</v>
      </c>
      <c r="K405" s="18"/>
      <c r="L405" s="18"/>
    </row>
    <row r="406" spans="2:12" x14ac:dyDescent="0.2">
      <c r="B406" s="231">
        <v>2019</v>
      </c>
      <c r="C406" s="231" t="s">
        <v>7</v>
      </c>
      <c r="D406" s="236" t="s">
        <v>6420</v>
      </c>
      <c r="E406" s="236" t="s">
        <v>21</v>
      </c>
      <c r="F406" s="232">
        <v>3</v>
      </c>
      <c r="G406" s="232">
        <v>10</v>
      </c>
      <c r="H406" s="232">
        <v>450</v>
      </c>
      <c r="I406" s="232">
        <v>15</v>
      </c>
      <c r="K406" s="18"/>
      <c r="L406" s="18"/>
    </row>
    <row r="407" spans="2:12" x14ac:dyDescent="0.2">
      <c r="B407" s="231">
        <v>2019</v>
      </c>
      <c r="C407" s="231" t="s">
        <v>7</v>
      </c>
      <c r="D407" s="236" t="s">
        <v>6419</v>
      </c>
      <c r="E407" s="236" t="s">
        <v>20</v>
      </c>
      <c r="F407" s="232">
        <v>3</v>
      </c>
      <c r="G407" s="232">
        <v>4</v>
      </c>
      <c r="H407" s="232">
        <v>424</v>
      </c>
      <c r="I407" s="232">
        <v>15</v>
      </c>
      <c r="K407" s="18"/>
      <c r="L407" s="18"/>
    </row>
    <row r="408" spans="2:12" x14ac:dyDescent="0.2">
      <c r="B408" s="231">
        <v>2019</v>
      </c>
      <c r="C408" s="231" t="s">
        <v>8</v>
      </c>
      <c r="D408" s="236" t="s">
        <v>6421</v>
      </c>
      <c r="E408" s="236" t="s">
        <v>20</v>
      </c>
      <c r="F408" s="232">
        <v>3</v>
      </c>
      <c r="G408" s="232">
        <v>1</v>
      </c>
      <c r="H408" s="232">
        <v>435</v>
      </c>
      <c r="I408" s="232">
        <v>60</v>
      </c>
      <c r="K408" s="18"/>
      <c r="L408" s="18"/>
    </row>
    <row r="409" spans="2:12" x14ac:dyDescent="0.2">
      <c r="B409" s="231">
        <v>2019</v>
      </c>
      <c r="C409" s="231" t="s">
        <v>8</v>
      </c>
      <c r="D409" s="236" t="s">
        <v>6421</v>
      </c>
      <c r="E409" s="236" t="s">
        <v>19</v>
      </c>
      <c r="F409" s="232">
        <v>4</v>
      </c>
      <c r="G409" s="232">
        <v>6</v>
      </c>
      <c r="H409" s="232">
        <v>462</v>
      </c>
      <c r="I409" s="232">
        <v>50</v>
      </c>
      <c r="K409" s="18"/>
      <c r="L409" s="18"/>
    </row>
    <row r="410" spans="2:12" x14ac:dyDescent="0.2">
      <c r="B410" s="231">
        <v>2019</v>
      </c>
      <c r="C410" s="231" t="s">
        <v>8</v>
      </c>
      <c r="D410" s="236" t="s">
        <v>6421</v>
      </c>
      <c r="E410" s="236" t="s">
        <v>21</v>
      </c>
      <c r="F410" s="232">
        <v>5</v>
      </c>
      <c r="G410" s="232">
        <v>5</v>
      </c>
      <c r="H410" s="232">
        <v>406</v>
      </c>
      <c r="I410" s="232">
        <v>70</v>
      </c>
      <c r="K410" s="18"/>
      <c r="L410" s="18"/>
    </row>
    <row r="411" spans="2:12" x14ac:dyDescent="0.2">
      <c r="B411" s="231">
        <v>2019</v>
      </c>
      <c r="C411" s="231" t="s">
        <v>8</v>
      </c>
      <c r="D411" s="236" t="s">
        <v>6421</v>
      </c>
      <c r="E411" s="236" t="s">
        <v>21</v>
      </c>
      <c r="F411" s="232">
        <v>5</v>
      </c>
      <c r="G411" s="232">
        <v>3</v>
      </c>
      <c r="H411" s="232">
        <v>418</v>
      </c>
      <c r="I411" s="232">
        <v>70</v>
      </c>
      <c r="K411" s="18"/>
      <c r="L411" s="18"/>
    </row>
    <row r="412" spans="2:12" x14ac:dyDescent="0.2">
      <c r="B412" s="231">
        <v>2019</v>
      </c>
      <c r="C412" s="231" t="s">
        <v>7</v>
      </c>
      <c r="D412" s="236" t="s">
        <v>6421</v>
      </c>
      <c r="E412" s="236" t="s">
        <v>21</v>
      </c>
      <c r="F412" s="232">
        <v>5</v>
      </c>
      <c r="G412" s="232">
        <v>6</v>
      </c>
      <c r="H412" s="232">
        <v>420</v>
      </c>
      <c r="I412" s="232">
        <v>10</v>
      </c>
      <c r="K412" s="18"/>
      <c r="L412" s="18"/>
    </row>
    <row r="413" spans="2:12" x14ac:dyDescent="0.2">
      <c r="B413" s="231">
        <v>2019</v>
      </c>
      <c r="C413" s="231" t="s">
        <v>8</v>
      </c>
      <c r="D413" s="236" t="s">
        <v>6421</v>
      </c>
      <c r="E413" s="236" t="s">
        <v>19</v>
      </c>
      <c r="F413" s="232">
        <v>3</v>
      </c>
      <c r="G413" s="232">
        <v>7</v>
      </c>
      <c r="H413" s="232">
        <v>387</v>
      </c>
      <c r="I413" s="232">
        <v>30</v>
      </c>
      <c r="K413" s="18"/>
      <c r="L413" s="18"/>
    </row>
    <row r="414" spans="2:12" x14ac:dyDescent="0.2">
      <c r="B414" s="231">
        <v>2019</v>
      </c>
      <c r="C414" s="231" t="s">
        <v>7</v>
      </c>
      <c r="D414" s="236" t="s">
        <v>6421</v>
      </c>
      <c r="E414" s="236" t="s">
        <v>21</v>
      </c>
      <c r="F414" s="232">
        <v>5</v>
      </c>
      <c r="G414" s="232">
        <v>5</v>
      </c>
      <c r="H414" s="232">
        <v>476</v>
      </c>
      <c r="I414" s="232">
        <v>30</v>
      </c>
      <c r="K414" s="18"/>
      <c r="L414" s="18"/>
    </row>
    <row r="415" spans="2:12" x14ac:dyDescent="0.2">
      <c r="B415" s="231">
        <v>2019</v>
      </c>
      <c r="C415" s="231" t="s">
        <v>8</v>
      </c>
      <c r="D415" s="236" t="s">
        <v>6420</v>
      </c>
      <c r="E415" s="236" t="s">
        <v>21</v>
      </c>
      <c r="F415" s="232">
        <v>4</v>
      </c>
      <c r="G415" s="232">
        <v>11</v>
      </c>
      <c r="H415" s="232">
        <v>371</v>
      </c>
      <c r="I415" s="232">
        <v>90</v>
      </c>
      <c r="K415" s="18"/>
      <c r="L415" s="18"/>
    </row>
    <row r="416" spans="2:12" x14ac:dyDescent="0.2">
      <c r="B416" s="231">
        <v>2019</v>
      </c>
      <c r="C416" s="231" t="s">
        <v>8</v>
      </c>
      <c r="D416" s="236" t="s">
        <v>6421</v>
      </c>
      <c r="E416" s="236" t="s">
        <v>19</v>
      </c>
      <c r="F416" s="232">
        <v>3</v>
      </c>
      <c r="G416" s="232">
        <v>6</v>
      </c>
      <c r="H416" s="232">
        <v>420</v>
      </c>
      <c r="I416" s="232">
        <v>25</v>
      </c>
      <c r="K416" s="18"/>
      <c r="L416" s="18"/>
    </row>
    <row r="417" spans="2:12" x14ac:dyDescent="0.2">
      <c r="B417" s="231">
        <v>2019</v>
      </c>
      <c r="C417" s="231" t="s">
        <v>7</v>
      </c>
      <c r="D417" s="236" t="s">
        <v>6419</v>
      </c>
      <c r="E417" s="236" t="s">
        <v>21</v>
      </c>
      <c r="F417" s="232">
        <v>4</v>
      </c>
      <c r="G417" s="232">
        <v>5</v>
      </c>
      <c r="H417" s="232">
        <v>410</v>
      </c>
      <c r="I417" s="232">
        <v>45</v>
      </c>
      <c r="K417" s="18"/>
      <c r="L417" s="18"/>
    </row>
    <row r="418" spans="2:12" x14ac:dyDescent="0.2">
      <c r="B418" s="231">
        <v>2019</v>
      </c>
      <c r="C418" s="231" t="s">
        <v>7</v>
      </c>
      <c r="D418" s="236" t="s">
        <v>6421</v>
      </c>
      <c r="E418" s="236" t="s">
        <v>21</v>
      </c>
      <c r="F418" s="232">
        <v>5</v>
      </c>
      <c r="G418" s="232">
        <v>8</v>
      </c>
      <c r="H418" s="232">
        <v>420</v>
      </c>
      <c r="I418" s="232">
        <v>25</v>
      </c>
      <c r="K418" s="18"/>
      <c r="L418" s="18"/>
    </row>
    <row r="419" spans="2:12" x14ac:dyDescent="0.2">
      <c r="B419" s="231">
        <v>2019</v>
      </c>
      <c r="C419" s="231" t="s">
        <v>8</v>
      </c>
      <c r="D419" s="236" t="s">
        <v>6421</v>
      </c>
      <c r="E419" s="236" t="s">
        <v>19</v>
      </c>
      <c r="F419" s="232">
        <v>4</v>
      </c>
      <c r="G419" s="232">
        <v>4</v>
      </c>
      <c r="H419" s="232">
        <v>442</v>
      </c>
      <c r="I419" s="232">
        <v>30</v>
      </c>
      <c r="K419" s="18"/>
      <c r="L419" s="18"/>
    </row>
    <row r="420" spans="2:12" x14ac:dyDescent="0.2">
      <c r="B420" s="231">
        <v>2019</v>
      </c>
      <c r="C420" s="231" t="s">
        <v>7</v>
      </c>
      <c r="D420" s="236" t="s">
        <v>6421</v>
      </c>
      <c r="E420" s="236" t="s">
        <v>19</v>
      </c>
      <c r="F420" s="232">
        <v>4</v>
      </c>
      <c r="G420" s="232">
        <v>4</v>
      </c>
      <c r="H420" s="232">
        <v>381</v>
      </c>
      <c r="I420" s="232">
        <v>75</v>
      </c>
      <c r="K420" s="18"/>
      <c r="L420" s="18"/>
    </row>
    <row r="421" spans="2:12" x14ac:dyDescent="0.2">
      <c r="B421" s="231">
        <v>2019</v>
      </c>
      <c r="C421" s="231" t="s">
        <v>7</v>
      </c>
      <c r="D421" s="236" t="s">
        <v>6421</v>
      </c>
      <c r="E421" s="236" t="s">
        <v>21</v>
      </c>
      <c r="F421" s="232">
        <v>4</v>
      </c>
      <c r="G421" s="232">
        <v>9</v>
      </c>
      <c r="H421" s="232">
        <v>416</v>
      </c>
      <c r="I421" s="232">
        <v>50</v>
      </c>
      <c r="K421" s="18"/>
      <c r="L421" s="18"/>
    </row>
    <row r="422" spans="2:12" x14ac:dyDescent="0.2">
      <c r="B422" s="231">
        <v>2019</v>
      </c>
      <c r="C422" s="231" t="s">
        <v>7</v>
      </c>
      <c r="D422" s="236" t="s">
        <v>6421</v>
      </c>
      <c r="E422" s="236" t="s">
        <v>21</v>
      </c>
      <c r="F422" s="232">
        <v>4</v>
      </c>
      <c r="G422" s="232">
        <v>1</v>
      </c>
      <c r="H422" s="232">
        <v>389</v>
      </c>
      <c r="I422" s="232">
        <v>45</v>
      </c>
      <c r="K422" s="18"/>
      <c r="L422" s="18"/>
    </row>
    <row r="423" spans="2:12" x14ac:dyDescent="0.2">
      <c r="B423" s="231">
        <v>2023</v>
      </c>
      <c r="C423" s="231" t="s">
        <v>7</v>
      </c>
      <c r="D423" s="236" t="s">
        <v>6417</v>
      </c>
      <c r="E423" s="236" t="s">
        <v>21</v>
      </c>
      <c r="F423" s="232">
        <v>5</v>
      </c>
      <c r="G423" s="232">
        <v>4</v>
      </c>
      <c r="H423" s="232">
        <v>486</v>
      </c>
      <c r="I423" s="232">
        <v>40</v>
      </c>
      <c r="K423" s="18"/>
      <c r="L423" s="18"/>
    </row>
    <row r="424" spans="2:12" x14ac:dyDescent="0.2">
      <c r="B424" s="231">
        <v>2023</v>
      </c>
      <c r="C424" s="231" t="s">
        <v>7</v>
      </c>
      <c r="D424" s="236" t="s">
        <v>6417</v>
      </c>
      <c r="E424" s="236" t="s">
        <v>19</v>
      </c>
      <c r="F424" s="232">
        <v>5</v>
      </c>
      <c r="G424" s="232">
        <v>8</v>
      </c>
      <c r="H424" s="232">
        <v>472</v>
      </c>
      <c r="I424" s="232">
        <v>20</v>
      </c>
      <c r="K424" s="18"/>
      <c r="L424" s="18"/>
    </row>
    <row r="425" spans="2:12" x14ac:dyDescent="0.2">
      <c r="B425" s="231">
        <v>2023</v>
      </c>
      <c r="C425" s="231" t="s">
        <v>7</v>
      </c>
      <c r="D425" s="236" t="s">
        <v>6417</v>
      </c>
      <c r="E425" s="236" t="s">
        <v>19</v>
      </c>
      <c r="F425" s="232">
        <v>3</v>
      </c>
      <c r="G425" s="232">
        <v>4</v>
      </c>
      <c r="H425" s="232">
        <v>455</v>
      </c>
      <c r="I425" s="232">
        <v>60</v>
      </c>
      <c r="K425" s="18"/>
      <c r="L425" s="18"/>
    </row>
    <row r="426" spans="2:12" x14ac:dyDescent="0.2">
      <c r="B426" s="231">
        <v>2023</v>
      </c>
      <c r="C426" s="231" t="s">
        <v>8</v>
      </c>
      <c r="D426" s="236" t="s">
        <v>6417</v>
      </c>
      <c r="E426" s="236" t="s">
        <v>21</v>
      </c>
      <c r="F426" s="232">
        <v>5</v>
      </c>
      <c r="G426" s="232">
        <v>7</v>
      </c>
      <c r="H426" s="232">
        <v>453</v>
      </c>
      <c r="I426" s="232">
        <v>70</v>
      </c>
      <c r="K426" s="18"/>
      <c r="L426" s="18"/>
    </row>
    <row r="427" spans="2:12" x14ac:dyDescent="0.2">
      <c r="B427" s="231">
        <v>2023</v>
      </c>
      <c r="C427" s="231" t="s">
        <v>7</v>
      </c>
      <c r="D427" s="236" t="s">
        <v>6417</v>
      </c>
      <c r="E427" s="236" t="s">
        <v>19</v>
      </c>
      <c r="F427" s="232">
        <v>4</v>
      </c>
      <c r="G427" s="232">
        <v>10</v>
      </c>
      <c r="H427" s="232">
        <v>479</v>
      </c>
      <c r="I427" s="232">
        <v>60</v>
      </c>
      <c r="K427" s="18"/>
      <c r="L427" s="18"/>
    </row>
    <row r="428" spans="2:12" x14ac:dyDescent="0.2">
      <c r="B428" s="231">
        <v>2023</v>
      </c>
      <c r="C428" s="231" t="s">
        <v>7</v>
      </c>
      <c r="D428" s="236" t="s">
        <v>6417</v>
      </c>
      <c r="E428" s="236" t="s">
        <v>19</v>
      </c>
      <c r="F428" s="232">
        <v>5</v>
      </c>
      <c r="G428" s="232">
        <v>11</v>
      </c>
      <c r="H428" s="232">
        <v>463</v>
      </c>
      <c r="I428" s="232">
        <v>60</v>
      </c>
      <c r="K428" s="18"/>
      <c r="L428" s="18"/>
    </row>
    <row r="429" spans="2:12" x14ac:dyDescent="0.2">
      <c r="B429" s="231">
        <v>2023</v>
      </c>
      <c r="C429" s="231" t="s">
        <v>7</v>
      </c>
      <c r="D429" s="236" t="s">
        <v>6417</v>
      </c>
      <c r="E429" s="236" t="s">
        <v>19</v>
      </c>
      <c r="F429" s="232">
        <v>5</v>
      </c>
      <c r="G429" s="232">
        <v>5</v>
      </c>
      <c r="H429" s="232">
        <v>465</v>
      </c>
      <c r="I429" s="232">
        <v>6</v>
      </c>
      <c r="K429" s="18"/>
      <c r="L429" s="18"/>
    </row>
    <row r="430" spans="2:12" x14ac:dyDescent="0.2">
      <c r="B430" s="231">
        <v>2023</v>
      </c>
      <c r="C430" s="231" t="s">
        <v>7</v>
      </c>
      <c r="D430" s="236" t="s">
        <v>6417</v>
      </c>
      <c r="E430" s="236" t="s">
        <v>21</v>
      </c>
      <c r="F430" s="232">
        <v>5</v>
      </c>
      <c r="G430" s="232">
        <v>8</v>
      </c>
      <c r="H430" s="232">
        <v>470</v>
      </c>
      <c r="I430" s="232">
        <v>25</v>
      </c>
      <c r="K430" s="18"/>
      <c r="L430" s="18"/>
    </row>
    <row r="431" spans="2:12" x14ac:dyDescent="0.2">
      <c r="B431" s="231">
        <v>2023</v>
      </c>
      <c r="C431" s="231" t="s">
        <v>7</v>
      </c>
      <c r="D431" s="236" t="s">
        <v>6417</v>
      </c>
      <c r="E431" s="236" t="s">
        <v>21</v>
      </c>
      <c r="F431" s="232">
        <v>5</v>
      </c>
      <c r="G431" s="232">
        <v>10</v>
      </c>
      <c r="H431" s="232">
        <v>451</v>
      </c>
      <c r="I431" s="232">
        <v>45</v>
      </c>
      <c r="K431" s="18"/>
      <c r="L431" s="18"/>
    </row>
    <row r="432" spans="2:12" x14ac:dyDescent="0.2">
      <c r="B432" s="231">
        <v>2023</v>
      </c>
      <c r="C432" s="231" t="s">
        <v>8</v>
      </c>
      <c r="D432" s="236" t="s">
        <v>6417</v>
      </c>
      <c r="E432" s="236" t="s">
        <v>21</v>
      </c>
      <c r="F432" s="232">
        <v>5</v>
      </c>
      <c r="G432" s="232">
        <v>9</v>
      </c>
      <c r="H432" s="232">
        <v>451</v>
      </c>
      <c r="I432" s="232">
        <v>20</v>
      </c>
      <c r="K432" s="18"/>
      <c r="L432" s="18"/>
    </row>
    <row r="433" spans="2:12" x14ac:dyDescent="0.2">
      <c r="B433" s="231">
        <v>2023</v>
      </c>
      <c r="C433" s="231" t="s">
        <v>7</v>
      </c>
      <c r="D433" s="236" t="s">
        <v>6417</v>
      </c>
      <c r="E433" s="236" t="s">
        <v>19</v>
      </c>
      <c r="F433" s="232">
        <v>4</v>
      </c>
      <c r="G433" s="232">
        <v>8</v>
      </c>
      <c r="H433" s="232">
        <v>468</v>
      </c>
      <c r="I433" s="232">
        <v>55</v>
      </c>
      <c r="K433" s="18"/>
      <c r="L433" s="18"/>
    </row>
    <row r="434" spans="2:12" x14ac:dyDescent="0.2">
      <c r="B434" s="231">
        <v>2023</v>
      </c>
      <c r="C434" s="231" t="s">
        <v>7</v>
      </c>
      <c r="D434" s="236" t="s">
        <v>6417</v>
      </c>
      <c r="E434" s="236" t="s">
        <v>19</v>
      </c>
      <c r="F434" s="232">
        <v>5</v>
      </c>
      <c r="G434" s="232">
        <v>10</v>
      </c>
      <c r="H434" s="232">
        <v>488</v>
      </c>
      <c r="I434" s="232">
        <v>60</v>
      </c>
      <c r="K434" s="18"/>
      <c r="L434" s="18"/>
    </row>
    <row r="435" spans="2:12" x14ac:dyDescent="0.2">
      <c r="B435" s="231">
        <v>2023</v>
      </c>
      <c r="C435" s="231" t="s">
        <v>7</v>
      </c>
      <c r="D435" s="236" t="s">
        <v>6417</v>
      </c>
      <c r="E435" s="236" t="s">
        <v>21</v>
      </c>
      <c r="F435" s="232">
        <v>5</v>
      </c>
      <c r="G435" s="232">
        <v>5</v>
      </c>
      <c r="H435" s="232">
        <v>471</v>
      </c>
      <c r="I435" s="232">
        <v>2</v>
      </c>
      <c r="K435" s="18"/>
      <c r="L435" s="18"/>
    </row>
    <row r="436" spans="2:12" x14ac:dyDescent="0.2">
      <c r="B436" s="231">
        <v>2023</v>
      </c>
      <c r="C436" s="231" t="s">
        <v>7</v>
      </c>
      <c r="D436" s="236" t="s">
        <v>6417</v>
      </c>
      <c r="E436" s="236" t="s">
        <v>21</v>
      </c>
      <c r="F436" s="232">
        <v>5</v>
      </c>
      <c r="G436" s="232">
        <v>11</v>
      </c>
      <c r="H436" s="232">
        <v>456</v>
      </c>
      <c r="I436" s="232">
        <v>32</v>
      </c>
      <c r="K436" s="18"/>
      <c r="L436" s="18"/>
    </row>
    <row r="437" spans="2:12" x14ac:dyDescent="0.2">
      <c r="B437" s="231">
        <v>2023</v>
      </c>
      <c r="C437" s="231" t="s">
        <v>8</v>
      </c>
      <c r="D437" s="236" t="s">
        <v>6417</v>
      </c>
      <c r="E437" s="236" t="s">
        <v>19</v>
      </c>
      <c r="F437" s="232">
        <v>5</v>
      </c>
      <c r="G437" s="232">
        <v>6</v>
      </c>
      <c r="H437" s="232">
        <v>462</v>
      </c>
      <c r="I437" s="232">
        <v>5</v>
      </c>
      <c r="K437" s="18"/>
      <c r="L437" s="18"/>
    </row>
    <row r="438" spans="2:12" x14ac:dyDescent="0.2">
      <c r="B438" s="231">
        <v>2023</v>
      </c>
      <c r="C438" s="231" t="s">
        <v>8</v>
      </c>
      <c r="D438" s="236" t="s">
        <v>6417</v>
      </c>
      <c r="E438" s="236" t="s">
        <v>21</v>
      </c>
      <c r="F438" s="232">
        <v>4</v>
      </c>
      <c r="G438" s="232">
        <v>9</v>
      </c>
      <c r="H438" s="232">
        <v>449</v>
      </c>
      <c r="I438" s="232">
        <v>20</v>
      </c>
      <c r="K438" s="18"/>
      <c r="L438" s="18"/>
    </row>
    <row r="439" spans="2:12" x14ac:dyDescent="0.2">
      <c r="B439" s="231">
        <v>2023</v>
      </c>
      <c r="C439" s="231" t="s">
        <v>8</v>
      </c>
      <c r="D439" s="236" t="s">
        <v>6417</v>
      </c>
      <c r="E439" s="236" t="s">
        <v>21</v>
      </c>
      <c r="F439" s="232">
        <v>5</v>
      </c>
      <c r="G439" s="232">
        <v>6</v>
      </c>
      <c r="H439" s="232">
        <v>462</v>
      </c>
      <c r="I439" s="232">
        <v>20</v>
      </c>
      <c r="K439" s="18"/>
      <c r="L439" s="18"/>
    </row>
    <row r="440" spans="2:12" x14ac:dyDescent="0.2">
      <c r="B440" s="231">
        <v>2023</v>
      </c>
      <c r="C440" s="231" t="s">
        <v>7</v>
      </c>
      <c r="D440" s="236" t="s">
        <v>6417</v>
      </c>
      <c r="E440" s="236" t="s">
        <v>21</v>
      </c>
      <c r="F440" s="232">
        <v>5</v>
      </c>
      <c r="G440" s="232">
        <v>4</v>
      </c>
      <c r="H440" s="232">
        <v>478</v>
      </c>
      <c r="I440" s="232">
        <v>70</v>
      </c>
      <c r="K440" s="18"/>
      <c r="L440" s="18"/>
    </row>
    <row r="441" spans="2:12" x14ac:dyDescent="0.2">
      <c r="B441" s="231">
        <v>2023</v>
      </c>
      <c r="C441" s="231" t="s">
        <v>7</v>
      </c>
      <c r="D441" s="236" t="s">
        <v>6417</v>
      </c>
      <c r="E441" s="236" t="s">
        <v>19</v>
      </c>
      <c r="F441" s="232">
        <v>4</v>
      </c>
      <c r="G441" s="232">
        <v>8</v>
      </c>
      <c r="H441" s="232">
        <v>448</v>
      </c>
      <c r="I441" s="232">
        <v>35</v>
      </c>
      <c r="K441" s="18"/>
      <c r="L441" s="18"/>
    </row>
    <row r="442" spans="2:12" x14ac:dyDescent="0.2">
      <c r="B442" s="231">
        <v>2023</v>
      </c>
      <c r="C442" s="231" t="s">
        <v>8</v>
      </c>
      <c r="D442" s="236" t="s">
        <v>6417</v>
      </c>
      <c r="E442" s="236" t="s">
        <v>21</v>
      </c>
      <c r="F442" s="232">
        <v>5</v>
      </c>
      <c r="G442" s="232">
        <v>9</v>
      </c>
      <c r="H442" s="232">
        <v>467</v>
      </c>
      <c r="I442" s="232">
        <v>20</v>
      </c>
      <c r="K442" s="18"/>
      <c r="L442" s="18"/>
    </row>
    <row r="443" spans="2:12" x14ac:dyDescent="0.2">
      <c r="B443" s="231">
        <v>2023</v>
      </c>
      <c r="C443" s="231" t="s">
        <v>7</v>
      </c>
      <c r="D443" s="236" t="s">
        <v>6417</v>
      </c>
      <c r="E443" s="236" t="s">
        <v>19</v>
      </c>
      <c r="F443" s="232">
        <v>4</v>
      </c>
      <c r="G443" s="232">
        <v>5</v>
      </c>
      <c r="H443" s="232">
        <v>472</v>
      </c>
      <c r="I443" s="232">
        <v>20</v>
      </c>
      <c r="K443" s="18"/>
      <c r="L443" s="18"/>
    </row>
    <row r="444" spans="2:12" x14ac:dyDescent="0.2">
      <c r="B444" s="231">
        <v>2023</v>
      </c>
      <c r="C444" s="231" t="s">
        <v>8</v>
      </c>
      <c r="D444" s="236" t="s">
        <v>6417</v>
      </c>
      <c r="E444" s="236" t="s">
        <v>21</v>
      </c>
      <c r="F444" s="232">
        <v>5</v>
      </c>
      <c r="G444" s="232">
        <v>8</v>
      </c>
      <c r="H444" s="232">
        <v>482</v>
      </c>
      <c r="I444" s="232">
        <v>40</v>
      </c>
      <c r="K444" s="18"/>
      <c r="L444" s="18"/>
    </row>
    <row r="445" spans="2:12" x14ac:dyDescent="0.2">
      <c r="B445" s="231">
        <v>2023</v>
      </c>
      <c r="C445" s="231" t="s">
        <v>7</v>
      </c>
      <c r="D445" s="236" t="s">
        <v>6417</v>
      </c>
      <c r="E445" s="236" t="s">
        <v>21</v>
      </c>
      <c r="F445" s="232">
        <v>5</v>
      </c>
      <c r="G445" s="232">
        <v>4</v>
      </c>
      <c r="H445" s="232">
        <v>467</v>
      </c>
      <c r="I445" s="232">
        <v>65</v>
      </c>
      <c r="K445" s="18"/>
      <c r="L445" s="18"/>
    </row>
    <row r="446" spans="2:12" x14ac:dyDescent="0.2">
      <c r="B446" s="231">
        <v>2023</v>
      </c>
      <c r="C446" s="231" t="s">
        <v>8</v>
      </c>
      <c r="D446" s="236" t="s">
        <v>6417</v>
      </c>
      <c r="E446" s="236" t="s">
        <v>21</v>
      </c>
      <c r="F446" s="232">
        <v>4</v>
      </c>
      <c r="G446" s="232">
        <v>8</v>
      </c>
      <c r="H446" s="232">
        <v>433</v>
      </c>
      <c r="I446" s="232">
        <v>55</v>
      </c>
      <c r="K446" s="18"/>
      <c r="L446" s="18"/>
    </row>
    <row r="447" spans="2:12" x14ac:dyDescent="0.2">
      <c r="B447" s="231">
        <v>2023</v>
      </c>
      <c r="C447" s="231" t="s">
        <v>7</v>
      </c>
      <c r="D447" s="236" t="s">
        <v>6417</v>
      </c>
      <c r="E447" s="236" t="s">
        <v>21</v>
      </c>
      <c r="F447" s="232">
        <v>5</v>
      </c>
      <c r="G447" s="232">
        <v>5</v>
      </c>
      <c r="H447" s="232">
        <v>454</v>
      </c>
      <c r="I447" s="232">
        <v>55</v>
      </c>
      <c r="K447" s="18"/>
      <c r="L447" s="18"/>
    </row>
    <row r="448" spans="2:12" x14ac:dyDescent="0.2">
      <c r="B448" s="231">
        <v>2023</v>
      </c>
      <c r="C448" s="231" t="s">
        <v>8</v>
      </c>
      <c r="D448" s="236" t="s">
        <v>6417</v>
      </c>
      <c r="E448" s="236" t="s">
        <v>21</v>
      </c>
      <c r="F448" s="232">
        <v>5</v>
      </c>
      <c r="G448" s="232">
        <v>9</v>
      </c>
      <c r="H448" s="232">
        <v>454</v>
      </c>
      <c r="I448" s="232">
        <v>30</v>
      </c>
      <c r="K448" s="18"/>
      <c r="L448" s="18"/>
    </row>
    <row r="449" spans="2:12" x14ac:dyDescent="0.2">
      <c r="B449" s="231">
        <v>2023</v>
      </c>
      <c r="C449" s="231" t="s">
        <v>7</v>
      </c>
      <c r="D449" s="236" t="s">
        <v>6417</v>
      </c>
      <c r="E449" s="236" t="s">
        <v>21</v>
      </c>
      <c r="F449" s="232">
        <v>4</v>
      </c>
      <c r="G449" s="232">
        <v>6</v>
      </c>
      <c r="H449" s="232">
        <v>440</v>
      </c>
      <c r="I449" s="232">
        <v>60</v>
      </c>
      <c r="K449" s="18"/>
      <c r="L449" s="18"/>
    </row>
    <row r="450" spans="2:12" x14ac:dyDescent="0.2">
      <c r="B450" s="231">
        <v>2023</v>
      </c>
      <c r="C450" s="231" t="s">
        <v>7</v>
      </c>
      <c r="D450" s="236" t="s">
        <v>6417</v>
      </c>
      <c r="E450" s="236" t="s">
        <v>19</v>
      </c>
      <c r="F450" s="232">
        <v>4</v>
      </c>
      <c r="G450" s="232">
        <v>7</v>
      </c>
      <c r="H450" s="232">
        <v>456</v>
      </c>
      <c r="I450" s="232">
        <v>20</v>
      </c>
      <c r="K450" s="18"/>
      <c r="L450" s="18"/>
    </row>
    <row r="451" spans="2:12" x14ac:dyDescent="0.2">
      <c r="B451" s="231">
        <v>2023</v>
      </c>
      <c r="C451" s="231" t="s">
        <v>7</v>
      </c>
      <c r="D451" s="236" t="s">
        <v>6417</v>
      </c>
      <c r="E451" s="236" t="s">
        <v>21</v>
      </c>
      <c r="F451" s="232">
        <v>5</v>
      </c>
      <c r="G451" s="232">
        <v>8</v>
      </c>
      <c r="H451" s="232">
        <v>458</v>
      </c>
      <c r="I451" s="232">
        <v>5</v>
      </c>
      <c r="K451" s="18"/>
      <c r="L451" s="18"/>
    </row>
    <row r="452" spans="2:12" x14ac:dyDescent="0.2">
      <c r="B452" s="231">
        <v>2023</v>
      </c>
      <c r="C452" s="231" t="s">
        <v>7</v>
      </c>
      <c r="D452" s="236" t="s">
        <v>6417</v>
      </c>
      <c r="E452" s="236" t="s">
        <v>19</v>
      </c>
      <c r="F452" s="232">
        <v>4</v>
      </c>
      <c r="G452" s="232">
        <v>8</v>
      </c>
      <c r="H452" s="232">
        <v>446</v>
      </c>
      <c r="I452" s="232">
        <v>7</v>
      </c>
      <c r="K452" s="18"/>
      <c r="L452" s="18"/>
    </row>
    <row r="453" spans="2:12" x14ac:dyDescent="0.2">
      <c r="B453" s="231">
        <v>2023</v>
      </c>
      <c r="C453" s="231" t="s">
        <v>8</v>
      </c>
      <c r="D453" s="236" t="s">
        <v>6417</v>
      </c>
      <c r="E453" s="236" t="s">
        <v>21</v>
      </c>
      <c r="F453" s="232">
        <v>5</v>
      </c>
      <c r="G453" s="232">
        <v>6</v>
      </c>
      <c r="H453" s="232">
        <v>480</v>
      </c>
      <c r="I453" s="232">
        <v>25</v>
      </c>
      <c r="K453" s="18"/>
      <c r="L453" s="18"/>
    </row>
    <row r="454" spans="2:12" x14ac:dyDescent="0.2">
      <c r="B454" s="231">
        <v>2023</v>
      </c>
      <c r="C454" s="231" t="s">
        <v>8</v>
      </c>
      <c r="D454" s="236" t="s">
        <v>6417</v>
      </c>
      <c r="E454" s="236" t="s">
        <v>19</v>
      </c>
      <c r="F454" s="232">
        <v>4</v>
      </c>
      <c r="G454" s="232">
        <v>10</v>
      </c>
      <c r="H454" s="232">
        <v>435</v>
      </c>
      <c r="I454" s="232">
        <v>60</v>
      </c>
      <c r="K454" s="18"/>
      <c r="L454" s="18"/>
    </row>
    <row r="455" spans="2:12" x14ac:dyDescent="0.2">
      <c r="B455" s="231">
        <v>2023</v>
      </c>
      <c r="C455" s="231" t="s">
        <v>7</v>
      </c>
      <c r="D455" s="236" t="s">
        <v>6417</v>
      </c>
      <c r="E455" s="236" t="s">
        <v>21</v>
      </c>
      <c r="F455" s="232">
        <v>5</v>
      </c>
      <c r="G455" s="232">
        <v>12</v>
      </c>
      <c r="H455" s="232">
        <v>464</v>
      </c>
      <c r="I455" s="232">
        <v>45</v>
      </c>
      <c r="K455" s="18"/>
      <c r="L455" s="18"/>
    </row>
    <row r="456" spans="2:12" x14ac:dyDescent="0.2">
      <c r="B456" s="231">
        <v>2023</v>
      </c>
      <c r="C456" s="231" t="s">
        <v>7</v>
      </c>
      <c r="D456" s="236" t="s">
        <v>6417</v>
      </c>
      <c r="E456" s="236" t="s">
        <v>21</v>
      </c>
      <c r="F456" s="232">
        <v>4</v>
      </c>
      <c r="G456" s="232">
        <v>6</v>
      </c>
      <c r="H456" s="232">
        <v>462</v>
      </c>
      <c r="I456" s="232">
        <v>60</v>
      </c>
      <c r="K456" s="18"/>
      <c r="L456" s="18"/>
    </row>
    <row r="457" spans="2:12" x14ac:dyDescent="0.2">
      <c r="B457" s="231">
        <v>2023</v>
      </c>
      <c r="C457" s="231" t="s">
        <v>8</v>
      </c>
      <c r="D457" s="236" t="s">
        <v>6417</v>
      </c>
      <c r="E457" s="236" t="s">
        <v>21</v>
      </c>
      <c r="F457" s="232">
        <v>5</v>
      </c>
      <c r="G457" s="232">
        <v>8</v>
      </c>
      <c r="H457" s="232">
        <v>459</v>
      </c>
      <c r="I457" s="232">
        <v>15</v>
      </c>
      <c r="K457" s="18"/>
      <c r="L457" s="18"/>
    </row>
    <row r="458" spans="2:12" x14ac:dyDescent="0.2">
      <c r="B458" s="231">
        <v>2023</v>
      </c>
      <c r="C458" s="231" t="s">
        <v>7</v>
      </c>
      <c r="D458" s="236" t="s">
        <v>6417</v>
      </c>
      <c r="E458" s="236" t="s">
        <v>19</v>
      </c>
      <c r="F458" s="232">
        <v>5</v>
      </c>
      <c r="G458" s="232">
        <v>5</v>
      </c>
      <c r="H458" s="232">
        <v>425</v>
      </c>
      <c r="I458" s="232">
        <v>40</v>
      </c>
      <c r="K458" s="18"/>
      <c r="L458" s="18"/>
    </row>
    <row r="459" spans="2:12" x14ac:dyDescent="0.2">
      <c r="B459" s="231">
        <v>2023</v>
      </c>
      <c r="C459" s="231" t="s">
        <v>7</v>
      </c>
      <c r="D459" s="236" t="s">
        <v>6417</v>
      </c>
      <c r="E459" s="236" t="s">
        <v>19</v>
      </c>
      <c r="F459" s="232">
        <v>4</v>
      </c>
      <c r="G459" s="232">
        <v>6</v>
      </c>
      <c r="H459" s="232">
        <v>403</v>
      </c>
      <c r="I459" s="232">
        <v>13</v>
      </c>
      <c r="K459" s="18"/>
      <c r="L459" s="18"/>
    </row>
    <row r="460" spans="2:12" x14ac:dyDescent="0.2">
      <c r="B460" s="231">
        <v>2023</v>
      </c>
      <c r="C460" s="231" t="s">
        <v>7</v>
      </c>
      <c r="D460" s="236" t="s">
        <v>6417</v>
      </c>
      <c r="E460" s="236" t="s">
        <v>19</v>
      </c>
      <c r="F460" s="232">
        <v>5</v>
      </c>
      <c r="G460" s="232">
        <v>4</v>
      </c>
      <c r="H460" s="232">
        <v>475</v>
      </c>
      <c r="I460" s="232">
        <v>55</v>
      </c>
      <c r="K460" s="18"/>
      <c r="L460" s="18"/>
    </row>
    <row r="461" spans="2:12" x14ac:dyDescent="0.2">
      <c r="B461" s="231">
        <v>2023</v>
      </c>
      <c r="C461" s="231" t="s">
        <v>7</v>
      </c>
      <c r="D461" s="236" t="s">
        <v>6417</v>
      </c>
      <c r="E461" s="236" t="s">
        <v>20</v>
      </c>
      <c r="F461" s="232">
        <v>5</v>
      </c>
      <c r="G461" s="232">
        <v>5</v>
      </c>
      <c r="H461" s="232">
        <v>492</v>
      </c>
      <c r="I461" s="232">
        <v>10</v>
      </c>
      <c r="K461" s="18"/>
      <c r="L461" s="18"/>
    </row>
    <row r="462" spans="2:12" x14ac:dyDescent="0.2">
      <c r="B462" s="231">
        <v>2023</v>
      </c>
      <c r="C462" s="231" t="s">
        <v>7</v>
      </c>
      <c r="D462" s="236" t="s">
        <v>6417</v>
      </c>
      <c r="E462" s="236" t="s">
        <v>20</v>
      </c>
      <c r="F462" s="232">
        <v>4</v>
      </c>
      <c r="G462" s="232">
        <v>6</v>
      </c>
      <c r="H462" s="232">
        <v>460</v>
      </c>
      <c r="I462" s="232">
        <v>80</v>
      </c>
      <c r="K462" s="18"/>
      <c r="L462" s="18"/>
    </row>
    <row r="463" spans="2:12" x14ac:dyDescent="0.2">
      <c r="B463" s="231">
        <v>2023</v>
      </c>
      <c r="C463" s="231" t="s">
        <v>7</v>
      </c>
      <c r="D463" s="236" t="s">
        <v>6417</v>
      </c>
      <c r="E463" s="236" t="s">
        <v>21</v>
      </c>
      <c r="F463" s="232">
        <v>5</v>
      </c>
      <c r="G463" s="232">
        <v>6</v>
      </c>
      <c r="H463" s="232">
        <v>452</v>
      </c>
      <c r="I463" s="232">
        <v>50</v>
      </c>
      <c r="K463" s="18"/>
      <c r="L463" s="18"/>
    </row>
    <row r="464" spans="2:12" x14ac:dyDescent="0.2">
      <c r="B464" s="231">
        <v>2023</v>
      </c>
      <c r="C464" s="231" t="s">
        <v>7</v>
      </c>
      <c r="D464" s="236" t="s">
        <v>6417</v>
      </c>
      <c r="E464" s="236" t="s">
        <v>21</v>
      </c>
      <c r="F464" s="232">
        <v>5</v>
      </c>
      <c r="G464" s="232">
        <v>8</v>
      </c>
      <c r="H464" s="232">
        <v>472</v>
      </c>
      <c r="I464" s="232">
        <v>45</v>
      </c>
      <c r="K464" s="18"/>
      <c r="L464" s="18"/>
    </row>
    <row r="465" spans="2:12" x14ac:dyDescent="0.2">
      <c r="B465" s="231">
        <v>2023</v>
      </c>
      <c r="C465" s="231" t="s">
        <v>7</v>
      </c>
      <c r="D465" s="236" t="s">
        <v>6417</v>
      </c>
      <c r="E465" s="236" t="s">
        <v>21</v>
      </c>
      <c r="F465" s="232">
        <v>5</v>
      </c>
      <c r="G465" s="232">
        <v>5</v>
      </c>
      <c r="H465" s="232">
        <v>478</v>
      </c>
      <c r="I465" s="232">
        <v>40</v>
      </c>
      <c r="K465" s="18"/>
      <c r="L465" s="18"/>
    </row>
    <row r="466" spans="2:12" x14ac:dyDescent="0.2">
      <c r="B466" s="231">
        <v>2023</v>
      </c>
      <c r="C466" s="231" t="s">
        <v>7</v>
      </c>
      <c r="D466" s="236" t="s">
        <v>6417</v>
      </c>
      <c r="E466" s="236" t="s">
        <v>21</v>
      </c>
      <c r="F466" s="232">
        <v>4</v>
      </c>
      <c r="G466" s="232">
        <v>8</v>
      </c>
      <c r="H466" s="232">
        <v>454</v>
      </c>
      <c r="I466" s="232">
        <v>60</v>
      </c>
      <c r="K466" s="18"/>
      <c r="L466" s="18"/>
    </row>
    <row r="467" spans="2:12" x14ac:dyDescent="0.2">
      <c r="B467" s="231">
        <v>2023</v>
      </c>
      <c r="C467" s="231" t="s">
        <v>8</v>
      </c>
      <c r="D467" s="236" t="s">
        <v>6417</v>
      </c>
      <c r="E467" s="236" t="s">
        <v>21</v>
      </c>
      <c r="F467" s="232">
        <v>5</v>
      </c>
      <c r="G467" s="232">
        <v>5.5</v>
      </c>
      <c r="H467" s="232">
        <v>456</v>
      </c>
      <c r="I467" s="232">
        <v>15</v>
      </c>
      <c r="K467" s="18"/>
      <c r="L467" s="18"/>
    </row>
    <row r="468" spans="2:12" x14ac:dyDescent="0.2">
      <c r="B468" s="231">
        <v>2023</v>
      </c>
      <c r="C468" s="231" t="s">
        <v>7</v>
      </c>
      <c r="D468" s="236" t="s">
        <v>6417</v>
      </c>
      <c r="E468" s="236" t="s">
        <v>19</v>
      </c>
      <c r="F468" s="232">
        <v>5</v>
      </c>
      <c r="G468" s="232">
        <v>10</v>
      </c>
      <c r="H468" s="232">
        <v>462</v>
      </c>
      <c r="I468" s="232">
        <v>5</v>
      </c>
      <c r="K468" s="18"/>
      <c r="L468" s="18"/>
    </row>
    <row r="469" spans="2:12" x14ac:dyDescent="0.2">
      <c r="B469" s="231">
        <v>2023</v>
      </c>
      <c r="C469" s="231" t="s">
        <v>7</v>
      </c>
      <c r="D469" s="236" t="s">
        <v>6417</v>
      </c>
      <c r="E469" s="236" t="s">
        <v>19</v>
      </c>
      <c r="F469" s="232">
        <v>5</v>
      </c>
      <c r="G469" s="232">
        <v>7</v>
      </c>
      <c r="H469" s="232">
        <v>452</v>
      </c>
      <c r="I469" s="232">
        <v>40</v>
      </c>
      <c r="K469" s="18"/>
      <c r="L469" s="18"/>
    </row>
    <row r="470" spans="2:12" x14ac:dyDescent="0.2">
      <c r="B470" s="231">
        <v>2023</v>
      </c>
      <c r="C470" s="231" t="s">
        <v>8</v>
      </c>
      <c r="D470" s="236" t="s">
        <v>6417</v>
      </c>
      <c r="E470" s="236" t="s">
        <v>21</v>
      </c>
      <c r="F470" s="232">
        <v>5</v>
      </c>
      <c r="G470" s="232">
        <v>8</v>
      </c>
      <c r="H470" s="232">
        <v>481</v>
      </c>
      <c r="I470" s="232">
        <v>5</v>
      </c>
      <c r="K470" s="18"/>
      <c r="L470" s="18"/>
    </row>
    <row r="471" spans="2:12" x14ac:dyDescent="0.2">
      <c r="B471" s="231">
        <v>2023</v>
      </c>
      <c r="C471" s="231" t="s">
        <v>7</v>
      </c>
      <c r="D471" s="236" t="s">
        <v>6417</v>
      </c>
      <c r="E471" s="236" t="s">
        <v>21</v>
      </c>
      <c r="F471" s="232">
        <v>4</v>
      </c>
      <c r="G471" s="232">
        <v>8</v>
      </c>
      <c r="H471" s="232">
        <v>460</v>
      </c>
      <c r="I471" s="232">
        <v>75</v>
      </c>
      <c r="K471" s="18"/>
      <c r="L471" s="18"/>
    </row>
    <row r="472" spans="2:12" x14ac:dyDescent="0.2">
      <c r="B472" s="231">
        <v>2023</v>
      </c>
      <c r="C472" s="231" t="s">
        <v>7</v>
      </c>
      <c r="D472" s="236" t="s">
        <v>6417</v>
      </c>
      <c r="E472" s="236" t="s">
        <v>21</v>
      </c>
      <c r="F472" s="232">
        <v>5</v>
      </c>
      <c r="G472" s="232">
        <v>6</v>
      </c>
      <c r="H472" s="232">
        <v>413</v>
      </c>
      <c r="I472" s="232">
        <v>10</v>
      </c>
      <c r="K472" s="18"/>
      <c r="L472" s="18"/>
    </row>
    <row r="473" spans="2:12" x14ac:dyDescent="0.2">
      <c r="B473" s="231">
        <v>2023</v>
      </c>
      <c r="C473" s="231" t="s">
        <v>7</v>
      </c>
      <c r="D473" s="236" t="s">
        <v>6417</v>
      </c>
      <c r="E473" s="236" t="s">
        <v>21</v>
      </c>
      <c r="F473" s="232">
        <v>4</v>
      </c>
      <c r="G473" s="232">
        <v>9</v>
      </c>
      <c r="H473" s="232">
        <v>456</v>
      </c>
      <c r="I473" s="232">
        <v>45</v>
      </c>
      <c r="K473" s="18"/>
      <c r="L473" s="18"/>
    </row>
    <row r="474" spans="2:12" x14ac:dyDescent="0.2">
      <c r="B474" s="231">
        <v>2023</v>
      </c>
      <c r="C474" s="231" t="s">
        <v>7</v>
      </c>
      <c r="D474" s="236" t="s">
        <v>6417</v>
      </c>
      <c r="E474" s="236" t="s">
        <v>19</v>
      </c>
      <c r="F474" s="232">
        <v>4</v>
      </c>
      <c r="G474" s="232">
        <v>6</v>
      </c>
      <c r="H474" s="232">
        <v>452</v>
      </c>
      <c r="I474" s="232">
        <v>3</v>
      </c>
      <c r="K474" s="18"/>
      <c r="L474" s="18"/>
    </row>
    <row r="475" spans="2:12" x14ac:dyDescent="0.2">
      <c r="B475" s="231">
        <v>2023</v>
      </c>
      <c r="C475" s="231" t="s">
        <v>7</v>
      </c>
      <c r="D475" s="236" t="s">
        <v>6417</v>
      </c>
      <c r="E475" s="236" t="s">
        <v>21</v>
      </c>
      <c r="F475" s="232">
        <v>5</v>
      </c>
      <c r="G475" s="232">
        <v>7</v>
      </c>
      <c r="H475" s="232">
        <v>455</v>
      </c>
      <c r="I475" s="232">
        <v>30</v>
      </c>
      <c r="K475" s="18"/>
      <c r="L475" s="18"/>
    </row>
    <row r="476" spans="2:12" x14ac:dyDescent="0.2">
      <c r="B476" s="231">
        <v>2023</v>
      </c>
      <c r="C476" s="231" t="s">
        <v>7</v>
      </c>
      <c r="D476" s="236" t="s">
        <v>6417</v>
      </c>
      <c r="E476" s="236" t="s">
        <v>19</v>
      </c>
      <c r="F476" s="232">
        <v>4</v>
      </c>
      <c r="G476" s="232">
        <v>7</v>
      </c>
      <c r="H476" s="232">
        <v>471</v>
      </c>
      <c r="I476" s="232">
        <v>15</v>
      </c>
      <c r="K476" s="18"/>
      <c r="L476" s="18"/>
    </row>
    <row r="477" spans="2:12" x14ac:dyDescent="0.2">
      <c r="B477" s="231">
        <v>2023</v>
      </c>
      <c r="C477" s="231" t="s">
        <v>7</v>
      </c>
      <c r="D477" s="236" t="s">
        <v>6417</v>
      </c>
      <c r="E477" s="236" t="s">
        <v>20</v>
      </c>
      <c r="F477" s="232">
        <v>4</v>
      </c>
      <c r="G477" s="232">
        <v>4</v>
      </c>
      <c r="H477" s="232">
        <v>454</v>
      </c>
      <c r="I477" s="232">
        <v>20</v>
      </c>
      <c r="K477" s="18"/>
      <c r="L477" s="18"/>
    </row>
    <row r="478" spans="2:12" x14ac:dyDescent="0.2">
      <c r="B478" s="231">
        <v>2023</v>
      </c>
      <c r="C478" s="231" t="s">
        <v>7</v>
      </c>
      <c r="D478" s="236" t="s">
        <v>6417</v>
      </c>
      <c r="E478" s="236" t="s">
        <v>21</v>
      </c>
      <c r="F478" s="232">
        <v>4</v>
      </c>
      <c r="G478" s="232">
        <v>7</v>
      </c>
      <c r="H478" s="232">
        <v>450</v>
      </c>
      <c r="I478" s="232">
        <v>55</v>
      </c>
      <c r="K478" s="18"/>
      <c r="L478" s="18"/>
    </row>
    <row r="479" spans="2:12" x14ac:dyDescent="0.2">
      <c r="B479" s="231">
        <v>2023</v>
      </c>
      <c r="C479" s="231" t="s">
        <v>7</v>
      </c>
      <c r="D479" s="236" t="s">
        <v>46</v>
      </c>
      <c r="E479" s="236" t="s">
        <v>19</v>
      </c>
      <c r="F479" s="232">
        <v>5</v>
      </c>
      <c r="G479" s="232">
        <v>6</v>
      </c>
      <c r="H479" s="232">
        <v>475</v>
      </c>
      <c r="I479" s="232">
        <v>45</v>
      </c>
      <c r="K479" s="18"/>
      <c r="L479" s="18"/>
    </row>
    <row r="480" spans="2:12" x14ac:dyDescent="0.2">
      <c r="B480" s="231">
        <v>2023</v>
      </c>
      <c r="C480" s="231" t="s">
        <v>8</v>
      </c>
      <c r="D480" s="236" t="s">
        <v>46</v>
      </c>
      <c r="E480" s="236" t="s">
        <v>21</v>
      </c>
      <c r="F480" s="232">
        <v>5</v>
      </c>
      <c r="G480" s="232">
        <v>5</v>
      </c>
      <c r="H480" s="232">
        <v>474</v>
      </c>
      <c r="I480" s="232">
        <v>20</v>
      </c>
      <c r="K480" s="18"/>
      <c r="L480" s="18"/>
    </row>
    <row r="481" spans="2:12" x14ac:dyDescent="0.2">
      <c r="B481" s="231">
        <v>2023</v>
      </c>
      <c r="C481" s="231" t="s">
        <v>7</v>
      </c>
      <c r="D481" s="236" t="s">
        <v>46</v>
      </c>
      <c r="E481" s="236" t="s">
        <v>21</v>
      </c>
      <c r="F481" s="232">
        <v>5</v>
      </c>
      <c r="G481" s="232">
        <v>9</v>
      </c>
      <c r="H481" s="232">
        <v>468</v>
      </c>
      <c r="I481" s="232">
        <v>55</v>
      </c>
      <c r="K481" s="18"/>
      <c r="L481" s="18"/>
    </row>
    <row r="482" spans="2:12" x14ac:dyDescent="0.2">
      <c r="B482" s="231">
        <v>2023</v>
      </c>
      <c r="C482" s="231" t="s">
        <v>7</v>
      </c>
      <c r="D482" s="236" t="s">
        <v>6417</v>
      </c>
      <c r="E482" s="236" t="s">
        <v>21</v>
      </c>
      <c r="F482" s="232">
        <v>5</v>
      </c>
      <c r="G482" s="232">
        <v>9</v>
      </c>
      <c r="H482" s="232">
        <v>490</v>
      </c>
      <c r="I482" s="232">
        <v>60</v>
      </c>
      <c r="K482" s="18"/>
      <c r="L482" s="18"/>
    </row>
    <row r="483" spans="2:12" x14ac:dyDescent="0.2">
      <c r="B483" s="231">
        <v>2023</v>
      </c>
      <c r="C483" s="231" t="s">
        <v>7</v>
      </c>
      <c r="D483" s="236" t="s">
        <v>6417</v>
      </c>
      <c r="E483" s="236" t="s">
        <v>21</v>
      </c>
      <c r="F483" s="232">
        <v>5</v>
      </c>
      <c r="G483" s="232">
        <v>7</v>
      </c>
      <c r="H483" s="232">
        <v>483</v>
      </c>
      <c r="I483" s="232">
        <v>25</v>
      </c>
      <c r="K483" s="18"/>
      <c r="L483" s="18"/>
    </row>
    <row r="484" spans="2:12" x14ac:dyDescent="0.2">
      <c r="B484" s="231">
        <v>2023</v>
      </c>
      <c r="C484" s="231" t="s">
        <v>7</v>
      </c>
      <c r="D484" s="236" t="s">
        <v>6417</v>
      </c>
      <c r="E484" s="236" t="s">
        <v>21</v>
      </c>
      <c r="F484" s="232">
        <v>5</v>
      </c>
      <c r="G484" s="232">
        <v>9</v>
      </c>
      <c r="H484" s="232">
        <v>467</v>
      </c>
      <c r="I484" s="232">
        <v>25</v>
      </c>
      <c r="K484" s="18"/>
      <c r="L484" s="18"/>
    </row>
    <row r="485" spans="2:12" x14ac:dyDescent="0.2">
      <c r="B485" s="231">
        <v>2023</v>
      </c>
      <c r="C485" s="231" t="s">
        <v>7</v>
      </c>
      <c r="D485" s="236" t="s">
        <v>6417</v>
      </c>
      <c r="E485" s="236" t="s">
        <v>21</v>
      </c>
      <c r="F485" s="232">
        <v>5</v>
      </c>
      <c r="G485" s="232">
        <v>7</v>
      </c>
      <c r="H485" s="232">
        <v>466</v>
      </c>
      <c r="I485" s="232">
        <v>10</v>
      </c>
      <c r="K485" s="18"/>
      <c r="L485" s="18"/>
    </row>
    <row r="486" spans="2:12" x14ac:dyDescent="0.2">
      <c r="B486" s="231">
        <v>2023</v>
      </c>
      <c r="C486" s="231" t="s">
        <v>7</v>
      </c>
      <c r="D486" s="236" t="s">
        <v>6417</v>
      </c>
      <c r="E486" s="236" t="s">
        <v>19</v>
      </c>
      <c r="F486" s="232">
        <v>2</v>
      </c>
      <c r="G486" s="232">
        <v>12</v>
      </c>
      <c r="H486" s="232">
        <v>429</v>
      </c>
      <c r="I486" s="232">
        <v>25</v>
      </c>
      <c r="K486" s="18"/>
      <c r="L486" s="18"/>
    </row>
    <row r="487" spans="2:12" x14ac:dyDescent="0.2">
      <c r="B487" s="231">
        <v>2023</v>
      </c>
      <c r="C487" s="231" t="s">
        <v>8</v>
      </c>
      <c r="D487" s="236" t="s">
        <v>6417</v>
      </c>
      <c r="E487" s="236" t="s">
        <v>19</v>
      </c>
      <c r="F487" s="232">
        <v>4</v>
      </c>
      <c r="G487" s="232">
        <v>8</v>
      </c>
      <c r="H487" s="232">
        <v>460</v>
      </c>
      <c r="I487" s="232">
        <v>20</v>
      </c>
      <c r="K487" s="18"/>
      <c r="L487" s="18"/>
    </row>
    <row r="488" spans="2:12" x14ac:dyDescent="0.2">
      <c r="B488" s="231">
        <v>2023</v>
      </c>
      <c r="C488" s="231" t="s">
        <v>8</v>
      </c>
      <c r="D488" s="236" t="s">
        <v>6417</v>
      </c>
      <c r="E488" s="236" t="s">
        <v>21</v>
      </c>
      <c r="F488" s="232">
        <v>5</v>
      </c>
      <c r="G488" s="232">
        <v>4</v>
      </c>
      <c r="H488" s="232">
        <v>446</v>
      </c>
      <c r="I488" s="232">
        <v>5</v>
      </c>
      <c r="K488" s="18"/>
      <c r="L488" s="18"/>
    </row>
    <row r="489" spans="2:12" x14ac:dyDescent="0.2">
      <c r="B489" s="231">
        <v>2023</v>
      </c>
      <c r="C489" s="231" t="s">
        <v>7</v>
      </c>
      <c r="D489" s="236" t="s">
        <v>46</v>
      </c>
      <c r="E489" s="236" t="s">
        <v>19</v>
      </c>
      <c r="F489" s="232">
        <v>4</v>
      </c>
      <c r="G489" s="232">
        <v>4</v>
      </c>
      <c r="H489" s="232">
        <v>464</v>
      </c>
      <c r="I489" s="232">
        <v>50</v>
      </c>
      <c r="K489" s="18"/>
      <c r="L489" s="18"/>
    </row>
    <row r="490" spans="2:12" x14ac:dyDescent="0.2">
      <c r="B490" s="231">
        <v>2023</v>
      </c>
      <c r="C490" s="231" t="s">
        <v>8</v>
      </c>
      <c r="D490" s="236" t="s">
        <v>46</v>
      </c>
      <c r="E490" s="236" t="s">
        <v>21</v>
      </c>
      <c r="F490" s="232">
        <v>4</v>
      </c>
      <c r="G490" s="232">
        <v>9</v>
      </c>
      <c r="H490" s="232">
        <v>448</v>
      </c>
      <c r="I490" s="232">
        <v>45</v>
      </c>
      <c r="K490" s="18"/>
      <c r="L490" s="18"/>
    </row>
    <row r="491" spans="2:12" x14ac:dyDescent="0.2">
      <c r="B491" s="231">
        <v>2023</v>
      </c>
      <c r="C491" s="231" t="s">
        <v>7</v>
      </c>
      <c r="D491" s="236" t="s">
        <v>46</v>
      </c>
      <c r="E491" s="236" t="s">
        <v>19</v>
      </c>
      <c r="F491" s="232">
        <v>2</v>
      </c>
      <c r="G491" s="232">
        <v>7</v>
      </c>
      <c r="H491" s="232">
        <v>430</v>
      </c>
      <c r="I491" s="232">
        <v>40</v>
      </c>
      <c r="K491" s="18"/>
      <c r="L491" s="18"/>
    </row>
    <row r="492" spans="2:12" x14ac:dyDescent="0.2">
      <c r="B492" s="231">
        <v>2023</v>
      </c>
      <c r="C492" s="231" t="s">
        <v>7</v>
      </c>
      <c r="D492" s="236" t="s">
        <v>46</v>
      </c>
      <c r="E492" s="236" t="s">
        <v>20</v>
      </c>
      <c r="F492" s="232">
        <v>4</v>
      </c>
      <c r="G492" s="232">
        <v>8</v>
      </c>
      <c r="H492" s="232">
        <v>453</v>
      </c>
      <c r="I492" s="232">
        <v>90</v>
      </c>
      <c r="K492" s="18"/>
      <c r="L492" s="18"/>
    </row>
    <row r="493" spans="2:12" x14ac:dyDescent="0.2">
      <c r="B493" s="231">
        <v>2023</v>
      </c>
      <c r="C493" s="231" t="s">
        <v>8</v>
      </c>
      <c r="D493" s="236" t="s">
        <v>46</v>
      </c>
      <c r="E493" s="236" t="s">
        <v>21</v>
      </c>
      <c r="F493" s="232">
        <v>4</v>
      </c>
      <c r="G493" s="232">
        <v>10</v>
      </c>
      <c r="H493" s="232">
        <v>424</v>
      </c>
      <c r="I493" s="232">
        <v>40</v>
      </c>
      <c r="K493" s="18"/>
      <c r="L493" s="18"/>
    </row>
    <row r="494" spans="2:12" x14ac:dyDescent="0.2">
      <c r="B494" s="231">
        <v>2023</v>
      </c>
      <c r="C494" s="231" t="s">
        <v>7</v>
      </c>
      <c r="D494" s="236" t="s">
        <v>46</v>
      </c>
      <c r="E494" s="236" t="s">
        <v>19</v>
      </c>
      <c r="F494" s="232">
        <v>2</v>
      </c>
      <c r="G494" s="232">
        <v>9</v>
      </c>
      <c r="H494" s="232">
        <v>450</v>
      </c>
      <c r="I494" s="232">
        <v>60</v>
      </c>
      <c r="K494" s="18"/>
      <c r="L494" s="18"/>
    </row>
    <row r="495" spans="2:12" x14ac:dyDescent="0.2">
      <c r="B495" s="231">
        <v>2023</v>
      </c>
      <c r="C495" s="231" t="s">
        <v>7</v>
      </c>
      <c r="D495" s="236" t="s">
        <v>46</v>
      </c>
      <c r="E495" s="236" t="s">
        <v>21</v>
      </c>
      <c r="F495" s="232">
        <v>4</v>
      </c>
      <c r="G495" s="232">
        <v>8</v>
      </c>
      <c r="H495" s="232">
        <v>458</v>
      </c>
      <c r="I495" s="232">
        <v>25</v>
      </c>
      <c r="K495" s="18"/>
      <c r="L495" s="18"/>
    </row>
    <row r="496" spans="2:12" x14ac:dyDescent="0.2">
      <c r="B496" s="231">
        <v>2023</v>
      </c>
      <c r="C496" s="231" t="s">
        <v>7</v>
      </c>
      <c r="D496" s="236" t="s">
        <v>46</v>
      </c>
      <c r="E496" s="236" t="s">
        <v>19</v>
      </c>
      <c r="F496" s="232">
        <v>4</v>
      </c>
      <c r="G496" s="232">
        <v>6</v>
      </c>
      <c r="H496" s="232">
        <v>432</v>
      </c>
      <c r="I496" s="232">
        <v>45</v>
      </c>
      <c r="K496" s="18"/>
      <c r="L496" s="18"/>
    </row>
    <row r="497" spans="2:12" x14ac:dyDescent="0.2">
      <c r="B497" s="231">
        <v>2023</v>
      </c>
      <c r="C497" s="231" t="s">
        <v>7</v>
      </c>
      <c r="D497" s="236" t="s">
        <v>46</v>
      </c>
      <c r="E497" s="236" t="s">
        <v>19</v>
      </c>
      <c r="F497" s="232">
        <v>3</v>
      </c>
      <c r="G497" s="232">
        <v>7</v>
      </c>
      <c r="H497" s="232">
        <v>420</v>
      </c>
      <c r="I497" s="232">
        <v>30</v>
      </c>
      <c r="K497" s="18"/>
      <c r="L497" s="18"/>
    </row>
    <row r="498" spans="2:12" x14ac:dyDescent="0.2">
      <c r="B498" s="231">
        <v>2023</v>
      </c>
      <c r="C498" s="231" t="s">
        <v>7</v>
      </c>
      <c r="D498" s="236" t="s">
        <v>46</v>
      </c>
      <c r="E498" s="236" t="s">
        <v>19</v>
      </c>
      <c r="F498" s="232">
        <v>4</v>
      </c>
      <c r="G498" s="232">
        <v>7</v>
      </c>
      <c r="H498" s="232">
        <v>440</v>
      </c>
      <c r="I498" s="232">
        <v>50</v>
      </c>
      <c r="K498" s="18"/>
      <c r="L498" s="18"/>
    </row>
    <row r="499" spans="2:12" x14ac:dyDescent="0.2">
      <c r="B499" s="231">
        <v>2023</v>
      </c>
      <c r="C499" s="231" t="s">
        <v>7</v>
      </c>
      <c r="D499" s="236" t="s">
        <v>46</v>
      </c>
      <c r="E499" s="236" t="s">
        <v>19</v>
      </c>
      <c r="F499" s="232">
        <v>3</v>
      </c>
      <c r="G499" s="232">
        <v>8</v>
      </c>
      <c r="H499" s="232">
        <v>472</v>
      </c>
      <c r="I499" s="232">
        <v>20</v>
      </c>
      <c r="K499" s="18"/>
      <c r="L499" s="18"/>
    </row>
    <row r="500" spans="2:12" x14ac:dyDescent="0.2">
      <c r="B500" s="231">
        <v>2023</v>
      </c>
      <c r="C500" s="231" t="s">
        <v>7</v>
      </c>
      <c r="D500" s="236" t="s">
        <v>46</v>
      </c>
      <c r="E500" s="236" t="s">
        <v>19</v>
      </c>
      <c r="F500" s="232">
        <v>3</v>
      </c>
      <c r="G500" s="232">
        <v>7</v>
      </c>
      <c r="H500" s="232">
        <v>474</v>
      </c>
      <c r="I500" s="232">
        <v>40</v>
      </c>
      <c r="K500" s="18"/>
      <c r="L500" s="18"/>
    </row>
    <row r="501" spans="2:12" x14ac:dyDescent="0.2">
      <c r="B501" s="231">
        <v>2023</v>
      </c>
      <c r="C501" s="231" t="s">
        <v>8</v>
      </c>
      <c r="D501" s="236" t="s">
        <v>46</v>
      </c>
      <c r="E501" s="236" t="s">
        <v>19</v>
      </c>
      <c r="F501" s="232">
        <v>4</v>
      </c>
      <c r="G501" s="232">
        <v>6</v>
      </c>
      <c r="H501" s="232">
        <v>469</v>
      </c>
      <c r="I501" s="232">
        <v>30</v>
      </c>
      <c r="K501" s="18"/>
      <c r="L501" s="18"/>
    </row>
    <row r="502" spans="2:12" x14ac:dyDescent="0.2">
      <c r="B502" s="231">
        <v>2023</v>
      </c>
      <c r="C502" s="231" t="s">
        <v>8</v>
      </c>
      <c r="D502" s="236" t="s">
        <v>46</v>
      </c>
      <c r="E502" s="236" t="s">
        <v>21</v>
      </c>
      <c r="F502" s="232">
        <v>5</v>
      </c>
      <c r="G502" s="232">
        <v>7</v>
      </c>
      <c r="H502" s="232">
        <v>438</v>
      </c>
      <c r="I502" s="232">
        <v>40</v>
      </c>
      <c r="K502" s="18"/>
      <c r="L502" s="18"/>
    </row>
    <row r="503" spans="2:12" x14ac:dyDescent="0.2">
      <c r="B503" s="231">
        <v>2023</v>
      </c>
      <c r="C503" s="231" t="s">
        <v>7</v>
      </c>
      <c r="D503" s="236" t="s">
        <v>46</v>
      </c>
      <c r="E503" s="236" t="s">
        <v>19</v>
      </c>
      <c r="F503" s="232">
        <v>5</v>
      </c>
      <c r="G503" s="232">
        <v>7</v>
      </c>
      <c r="H503" s="232">
        <v>481</v>
      </c>
      <c r="I503" s="232">
        <v>25</v>
      </c>
      <c r="K503" s="18"/>
      <c r="L503" s="18"/>
    </row>
    <row r="504" spans="2:12" x14ac:dyDescent="0.2">
      <c r="B504" s="231">
        <v>2023</v>
      </c>
      <c r="C504" s="231" t="s">
        <v>7</v>
      </c>
      <c r="D504" s="236" t="s">
        <v>46</v>
      </c>
      <c r="E504" s="236" t="s">
        <v>21</v>
      </c>
      <c r="F504" s="232">
        <v>5</v>
      </c>
      <c r="G504" s="232">
        <v>9</v>
      </c>
      <c r="H504" s="232">
        <v>458</v>
      </c>
      <c r="I504" s="232">
        <v>35</v>
      </c>
      <c r="K504" s="18"/>
      <c r="L504" s="18"/>
    </row>
    <row r="505" spans="2:12" x14ac:dyDescent="0.2">
      <c r="B505" s="231">
        <v>2023</v>
      </c>
      <c r="C505" s="231" t="s">
        <v>7</v>
      </c>
      <c r="D505" s="236" t="s">
        <v>46</v>
      </c>
      <c r="E505" s="236" t="s">
        <v>19</v>
      </c>
      <c r="F505" s="232">
        <v>5</v>
      </c>
      <c r="G505" s="232">
        <v>9</v>
      </c>
      <c r="H505" s="232">
        <v>466</v>
      </c>
      <c r="I505" s="232">
        <v>15</v>
      </c>
      <c r="K505" s="18"/>
      <c r="L505" s="18"/>
    </row>
    <row r="506" spans="2:12" x14ac:dyDescent="0.2">
      <c r="B506" s="231">
        <v>2023</v>
      </c>
      <c r="C506" s="231" t="s">
        <v>8</v>
      </c>
      <c r="D506" s="236" t="s">
        <v>46</v>
      </c>
      <c r="E506" s="236" t="s">
        <v>19</v>
      </c>
      <c r="F506" s="232">
        <v>3</v>
      </c>
      <c r="G506" s="232">
        <v>3</v>
      </c>
      <c r="H506" s="232">
        <v>456</v>
      </c>
      <c r="I506" s="232">
        <v>20</v>
      </c>
      <c r="K506" s="18"/>
      <c r="L506" s="18"/>
    </row>
    <row r="507" spans="2:12" x14ac:dyDescent="0.2">
      <c r="B507" s="231">
        <v>2023</v>
      </c>
      <c r="C507" s="231" t="s">
        <v>7</v>
      </c>
      <c r="D507" s="236" t="s">
        <v>46</v>
      </c>
      <c r="E507" s="236" t="s">
        <v>19</v>
      </c>
      <c r="F507" s="232">
        <v>5</v>
      </c>
      <c r="G507" s="232">
        <v>7</v>
      </c>
      <c r="H507" s="232">
        <v>472</v>
      </c>
      <c r="I507" s="232">
        <v>5</v>
      </c>
      <c r="K507" s="18"/>
      <c r="L507" s="18"/>
    </row>
    <row r="508" spans="2:12" x14ac:dyDescent="0.2">
      <c r="B508" s="231">
        <v>2023</v>
      </c>
      <c r="C508" s="231" t="s">
        <v>7</v>
      </c>
      <c r="D508" s="236" t="s">
        <v>46</v>
      </c>
      <c r="E508" s="236" t="s">
        <v>19</v>
      </c>
      <c r="F508" s="232">
        <v>4</v>
      </c>
      <c r="G508" s="232">
        <v>5</v>
      </c>
      <c r="H508" s="232">
        <v>482</v>
      </c>
      <c r="I508" s="232">
        <v>45</v>
      </c>
      <c r="K508" s="18"/>
      <c r="L508" s="18"/>
    </row>
    <row r="509" spans="2:12" x14ac:dyDescent="0.2">
      <c r="B509" s="231">
        <v>2023</v>
      </c>
      <c r="C509" s="231" t="s">
        <v>7</v>
      </c>
      <c r="D509" s="236" t="s">
        <v>46</v>
      </c>
      <c r="E509" s="236" t="s">
        <v>19</v>
      </c>
      <c r="F509" s="232">
        <v>5</v>
      </c>
      <c r="G509" s="232">
        <v>7</v>
      </c>
      <c r="H509" s="232">
        <v>468</v>
      </c>
      <c r="I509" s="232">
        <v>50</v>
      </c>
      <c r="K509" s="18"/>
      <c r="L509" s="18"/>
    </row>
    <row r="510" spans="2:12" x14ac:dyDescent="0.2">
      <c r="B510" s="231">
        <v>2023</v>
      </c>
      <c r="C510" s="231" t="s">
        <v>8</v>
      </c>
      <c r="D510" s="236" t="s">
        <v>46</v>
      </c>
      <c r="E510" s="236" t="s">
        <v>19</v>
      </c>
      <c r="F510" s="232">
        <v>5</v>
      </c>
      <c r="G510" s="232">
        <v>9</v>
      </c>
      <c r="H510" s="232">
        <v>472</v>
      </c>
      <c r="I510" s="232">
        <v>50</v>
      </c>
      <c r="K510" s="18"/>
      <c r="L510" s="18"/>
    </row>
    <row r="511" spans="2:12" x14ac:dyDescent="0.2">
      <c r="B511" s="231">
        <v>2023</v>
      </c>
      <c r="C511" s="231" t="s">
        <v>8</v>
      </c>
      <c r="D511" s="236" t="s">
        <v>46</v>
      </c>
      <c r="E511" s="236" t="s">
        <v>19</v>
      </c>
      <c r="F511" s="232">
        <v>5</v>
      </c>
      <c r="G511" s="232">
        <v>4</v>
      </c>
      <c r="H511" s="232">
        <v>466</v>
      </c>
      <c r="I511" s="232">
        <v>40</v>
      </c>
      <c r="K511" s="18"/>
      <c r="L511" s="18"/>
    </row>
    <row r="512" spans="2:12" x14ac:dyDescent="0.2">
      <c r="B512" s="231">
        <v>2023</v>
      </c>
      <c r="C512" s="231" t="s">
        <v>7</v>
      </c>
      <c r="D512" s="236" t="s">
        <v>46</v>
      </c>
      <c r="E512" s="236" t="s">
        <v>19</v>
      </c>
      <c r="F512" s="232">
        <v>3</v>
      </c>
      <c r="G512" s="232">
        <v>8</v>
      </c>
      <c r="H512" s="232">
        <v>440</v>
      </c>
      <c r="I512" s="232">
        <v>25</v>
      </c>
      <c r="K512" s="18"/>
      <c r="L512" s="18"/>
    </row>
    <row r="513" spans="2:12" x14ac:dyDescent="0.2">
      <c r="B513" s="231">
        <v>2023</v>
      </c>
      <c r="C513" s="231" t="s">
        <v>7</v>
      </c>
      <c r="D513" s="236" t="s">
        <v>46</v>
      </c>
      <c r="E513" s="236" t="s">
        <v>21</v>
      </c>
      <c r="F513" s="232">
        <v>5</v>
      </c>
      <c r="G513" s="232">
        <v>10</v>
      </c>
      <c r="H513" s="232">
        <v>464</v>
      </c>
      <c r="I513" s="232">
        <v>60</v>
      </c>
      <c r="K513" s="18"/>
      <c r="L513" s="18"/>
    </row>
    <row r="514" spans="2:12" x14ac:dyDescent="0.2">
      <c r="B514" s="231">
        <v>2023</v>
      </c>
      <c r="C514" s="231" t="s">
        <v>8</v>
      </c>
      <c r="D514" s="236" t="s">
        <v>46</v>
      </c>
      <c r="E514" s="236" t="s">
        <v>19</v>
      </c>
      <c r="F514" s="232">
        <v>4</v>
      </c>
      <c r="G514" s="232">
        <v>8</v>
      </c>
      <c r="H514" s="232">
        <v>462</v>
      </c>
      <c r="I514" s="232">
        <v>30</v>
      </c>
      <c r="K514" s="18"/>
      <c r="L514" s="18"/>
    </row>
    <row r="515" spans="2:12" x14ac:dyDescent="0.2">
      <c r="B515" s="231">
        <v>2023</v>
      </c>
      <c r="C515" s="231" t="s">
        <v>8</v>
      </c>
      <c r="D515" s="236" t="s">
        <v>46</v>
      </c>
      <c r="E515" s="236" t="s">
        <v>21</v>
      </c>
      <c r="F515" s="232">
        <v>5</v>
      </c>
      <c r="G515" s="232">
        <v>7</v>
      </c>
      <c r="H515" s="232">
        <v>478</v>
      </c>
      <c r="I515" s="232">
        <v>40</v>
      </c>
      <c r="K515" s="18"/>
      <c r="L515" s="18"/>
    </row>
    <row r="516" spans="2:12" x14ac:dyDescent="0.2">
      <c r="B516" s="231">
        <v>2023</v>
      </c>
      <c r="C516" s="231" t="s">
        <v>7</v>
      </c>
      <c r="D516" s="236" t="s">
        <v>46</v>
      </c>
      <c r="E516" s="236" t="s">
        <v>19</v>
      </c>
      <c r="F516" s="232">
        <v>5</v>
      </c>
      <c r="G516" s="232">
        <v>9</v>
      </c>
      <c r="H516" s="232">
        <v>466</v>
      </c>
      <c r="I516" s="232">
        <v>35</v>
      </c>
      <c r="K516" s="18"/>
      <c r="L516" s="18"/>
    </row>
    <row r="517" spans="2:12" x14ac:dyDescent="0.2">
      <c r="B517" s="231">
        <v>2023</v>
      </c>
      <c r="C517" s="231" t="s">
        <v>8</v>
      </c>
      <c r="D517" s="236" t="s">
        <v>46</v>
      </c>
      <c r="E517" s="236" t="s">
        <v>21</v>
      </c>
      <c r="F517" s="232">
        <v>5</v>
      </c>
      <c r="G517" s="232">
        <v>8</v>
      </c>
      <c r="H517" s="232">
        <v>480</v>
      </c>
      <c r="I517" s="232">
        <v>60</v>
      </c>
      <c r="K517" s="18"/>
      <c r="L517" s="18"/>
    </row>
    <row r="518" spans="2:12" x14ac:dyDescent="0.2">
      <c r="B518" s="231">
        <v>2023</v>
      </c>
      <c r="C518" s="231" t="s">
        <v>7</v>
      </c>
      <c r="D518" s="236" t="s">
        <v>46</v>
      </c>
      <c r="E518" s="236" t="s">
        <v>19</v>
      </c>
      <c r="F518" s="232">
        <v>4</v>
      </c>
      <c r="G518" s="232">
        <v>8</v>
      </c>
      <c r="H518" s="232">
        <v>461</v>
      </c>
      <c r="I518" s="232">
        <v>50</v>
      </c>
      <c r="K518" s="18"/>
      <c r="L518" s="18"/>
    </row>
    <row r="519" spans="2:12" x14ac:dyDescent="0.2">
      <c r="B519" s="231">
        <v>2023</v>
      </c>
      <c r="C519" s="231" t="s">
        <v>8</v>
      </c>
      <c r="D519" s="236" t="s">
        <v>46</v>
      </c>
      <c r="E519" s="236" t="s">
        <v>19</v>
      </c>
      <c r="F519" s="232">
        <v>4</v>
      </c>
      <c r="G519" s="232">
        <v>7</v>
      </c>
      <c r="H519" s="232">
        <v>455</v>
      </c>
      <c r="I519" s="232">
        <v>95</v>
      </c>
      <c r="K519" s="18"/>
      <c r="L519" s="18"/>
    </row>
    <row r="520" spans="2:12" x14ac:dyDescent="0.2">
      <c r="B520" s="231">
        <v>2023</v>
      </c>
      <c r="C520" s="231" t="s">
        <v>7</v>
      </c>
      <c r="D520" s="236" t="s">
        <v>46</v>
      </c>
      <c r="E520" s="236" t="s">
        <v>21</v>
      </c>
      <c r="F520" s="232">
        <v>4</v>
      </c>
      <c r="G520" s="232">
        <v>6</v>
      </c>
      <c r="H520" s="232">
        <v>466</v>
      </c>
      <c r="I520" s="232">
        <v>25</v>
      </c>
      <c r="K520" s="18"/>
      <c r="L520" s="18"/>
    </row>
    <row r="521" spans="2:12" x14ac:dyDescent="0.2">
      <c r="B521" s="231">
        <v>2023</v>
      </c>
      <c r="C521" s="231" t="s">
        <v>8</v>
      </c>
      <c r="D521" s="236" t="s">
        <v>46</v>
      </c>
      <c r="E521" s="236" t="s">
        <v>19</v>
      </c>
      <c r="F521" s="232">
        <v>5</v>
      </c>
      <c r="G521" s="232">
        <v>7</v>
      </c>
      <c r="H521" s="232">
        <v>460</v>
      </c>
      <c r="I521" s="232">
        <v>30</v>
      </c>
      <c r="K521" s="18"/>
      <c r="L521" s="18"/>
    </row>
    <row r="522" spans="2:12" x14ac:dyDescent="0.2">
      <c r="B522" s="231">
        <v>2023</v>
      </c>
      <c r="C522" s="231" t="s">
        <v>7</v>
      </c>
      <c r="D522" s="236" t="s">
        <v>46</v>
      </c>
      <c r="E522" s="236" t="s">
        <v>19</v>
      </c>
      <c r="F522" s="232">
        <v>4</v>
      </c>
      <c r="G522" s="232">
        <v>4</v>
      </c>
      <c r="H522" s="232">
        <v>422</v>
      </c>
      <c r="I522" s="232">
        <v>40</v>
      </c>
      <c r="K522" s="18"/>
      <c r="L522" s="18"/>
    </row>
    <row r="523" spans="2:12" x14ac:dyDescent="0.2">
      <c r="B523" s="231">
        <v>2023</v>
      </c>
      <c r="C523" s="231" t="s">
        <v>7</v>
      </c>
      <c r="D523" s="236" t="s">
        <v>46</v>
      </c>
      <c r="E523" s="236" t="s">
        <v>19</v>
      </c>
      <c r="F523" s="232">
        <v>4</v>
      </c>
      <c r="G523" s="232">
        <v>4</v>
      </c>
      <c r="H523" s="232">
        <v>478</v>
      </c>
      <c r="I523" s="232">
        <v>45</v>
      </c>
      <c r="K523" s="18"/>
      <c r="L523" s="18"/>
    </row>
    <row r="524" spans="2:12" x14ac:dyDescent="0.2">
      <c r="B524" s="231">
        <v>2023</v>
      </c>
      <c r="C524" s="231" t="s">
        <v>7</v>
      </c>
      <c r="D524" s="236" t="s">
        <v>46</v>
      </c>
      <c r="E524" s="236" t="s">
        <v>21</v>
      </c>
      <c r="F524" s="232">
        <v>5</v>
      </c>
      <c r="G524" s="232">
        <v>10</v>
      </c>
      <c r="H524" s="232">
        <v>469</v>
      </c>
      <c r="I524" s="232">
        <v>35</v>
      </c>
      <c r="K524" s="18"/>
      <c r="L524" s="18"/>
    </row>
    <row r="525" spans="2:12" x14ac:dyDescent="0.2">
      <c r="B525" s="231">
        <v>2023</v>
      </c>
      <c r="C525" s="231" t="s">
        <v>7</v>
      </c>
      <c r="D525" s="236" t="s">
        <v>46</v>
      </c>
      <c r="E525" s="236" t="s">
        <v>21</v>
      </c>
      <c r="F525" s="232">
        <v>3</v>
      </c>
      <c r="G525" s="232">
        <v>9</v>
      </c>
      <c r="H525" s="232">
        <v>464</v>
      </c>
      <c r="I525" s="232">
        <v>25</v>
      </c>
      <c r="K525" s="18"/>
      <c r="L525" s="18"/>
    </row>
    <row r="526" spans="2:12" x14ac:dyDescent="0.2">
      <c r="B526" s="231">
        <v>2023</v>
      </c>
      <c r="C526" s="231" t="s">
        <v>7</v>
      </c>
      <c r="D526" s="236" t="s">
        <v>6417</v>
      </c>
      <c r="E526" s="236" t="s">
        <v>19</v>
      </c>
      <c r="F526" s="232">
        <v>4</v>
      </c>
      <c r="G526" s="232">
        <v>10</v>
      </c>
      <c r="H526" s="232">
        <v>469</v>
      </c>
      <c r="I526" s="232">
        <v>40</v>
      </c>
      <c r="K526" s="18"/>
      <c r="L526" s="18"/>
    </row>
    <row r="527" spans="2:12" x14ac:dyDescent="0.2">
      <c r="B527" s="231">
        <v>2023</v>
      </c>
      <c r="C527" s="231" t="s">
        <v>7</v>
      </c>
      <c r="D527" s="236" t="s">
        <v>46</v>
      </c>
      <c r="E527" s="236" t="s">
        <v>19</v>
      </c>
      <c r="F527" s="232">
        <v>5</v>
      </c>
      <c r="G527" s="232">
        <v>7</v>
      </c>
      <c r="H527" s="232">
        <v>464</v>
      </c>
      <c r="I527" s="232">
        <v>45</v>
      </c>
      <c r="K527" s="18"/>
      <c r="L527" s="18"/>
    </row>
    <row r="528" spans="2:12" x14ac:dyDescent="0.2">
      <c r="B528" s="231">
        <v>2023</v>
      </c>
      <c r="C528" s="231" t="s">
        <v>7</v>
      </c>
      <c r="D528" s="236" t="s">
        <v>46</v>
      </c>
      <c r="E528" s="236" t="s">
        <v>20</v>
      </c>
      <c r="F528" s="232">
        <v>3</v>
      </c>
      <c r="G528" s="232">
        <v>8</v>
      </c>
      <c r="H528" s="232">
        <v>456</v>
      </c>
      <c r="I528" s="232">
        <v>20</v>
      </c>
      <c r="K528" s="18"/>
      <c r="L528" s="18"/>
    </row>
    <row r="529" spans="2:12" x14ac:dyDescent="0.2">
      <c r="B529" s="231">
        <v>2023</v>
      </c>
      <c r="C529" s="231" t="s">
        <v>7</v>
      </c>
      <c r="D529" s="236" t="s">
        <v>46</v>
      </c>
      <c r="E529" s="236" t="s">
        <v>19</v>
      </c>
      <c r="F529" s="232">
        <v>4</v>
      </c>
      <c r="G529" s="232">
        <v>7</v>
      </c>
      <c r="H529" s="232">
        <v>443</v>
      </c>
      <c r="I529" s="232">
        <v>50</v>
      </c>
      <c r="K529" s="18"/>
      <c r="L529" s="18"/>
    </row>
    <row r="530" spans="2:12" x14ac:dyDescent="0.2">
      <c r="B530" s="231">
        <v>2023</v>
      </c>
      <c r="C530" s="231" t="s">
        <v>8</v>
      </c>
      <c r="D530" s="236" t="s">
        <v>46</v>
      </c>
      <c r="E530" s="236" t="s">
        <v>19</v>
      </c>
      <c r="F530" s="232">
        <v>5</v>
      </c>
      <c r="G530" s="232">
        <v>7</v>
      </c>
      <c r="H530" s="232">
        <v>458</v>
      </c>
      <c r="I530" s="232">
        <v>20</v>
      </c>
      <c r="K530" s="18"/>
      <c r="L530" s="18"/>
    </row>
    <row r="531" spans="2:12" x14ac:dyDescent="0.2">
      <c r="B531" s="231">
        <v>2023</v>
      </c>
      <c r="C531" s="231" t="s">
        <v>7</v>
      </c>
      <c r="D531" s="236" t="s">
        <v>46</v>
      </c>
      <c r="E531" s="236" t="s">
        <v>21</v>
      </c>
      <c r="F531" s="232">
        <v>4</v>
      </c>
      <c r="G531" s="232">
        <v>7</v>
      </c>
      <c r="H531" s="232">
        <v>466</v>
      </c>
      <c r="I531" s="232">
        <v>30</v>
      </c>
      <c r="K531" s="18"/>
      <c r="L531" s="18"/>
    </row>
    <row r="532" spans="2:12" x14ac:dyDescent="0.2">
      <c r="B532" s="231">
        <v>2023</v>
      </c>
      <c r="C532" s="231" t="s">
        <v>7</v>
      </c>
      <c r="D532" s="236" t="s">
        <v>46</v>
      </c>
      <c r="E532" s="236" t="s">
        <v>21</v>
      </c>
      <c r="F532" s="232">
        <v>5</v>
      </c>
      <c r="G532" s="232">
        <v>8</v>
      </c>
      <c r="H532" s="232">
        <v>460</v>
      </c>
      <c r="I532" s="232">
        <v>50</v>
      </c>
      <c r="K532" s="18"/>
      <c r="L532" s="18"/>
    </row>
    <row r="533" spans="2:12" x14ac:dyDescent="0.2">
      <c r="B533" s="231">
        <v>2023</v>
      </c>
      <c r="C533" s="231" t="s">
        <v>8</v>
      </c>
      <c r="D533" s="236" t="s">
        <v>46</v>
      </c>
      <c r="E533" s="236" t="s">
        <v>19</v>
      </c>
      <c r="F533" s="232">
        <v>3</v>
      </c>
      <c r="G533" s="232">
        <v>10</v>
      </c>
      <c r="H533" s="232">
        <v>469</v>
      </c>
      <c r="I533" s="232">
        <v>30</v>
      </c>
      <c r="K533" s="18"/>
      <c r="L533" s="18"/>
    </row>
    <row r="534" spans="2:12" x14ac:dyDescent="0.2">
      <c r="B534" s="231">
        <v>2023</v>
      </c>
      <c r="C534" s="231" t="s">
        <v>8</v>
      </c>
      <c r="D534" s="236" t="s">
        <v>46</v>
      </c>
      <c r="E534" s="236" t="s">
        <v>19</v>
      </c>
      <c r="F534" s="232">
        <v>4</v>
      </c>
      <c r="G534" s="232">
        <v>8</v>
      </c>
      <c r="H534" s="232">
        <v>463</v>
      </c>
      <c r="I534" s="232">
        <v>45</v>
      </c>
      <c r="K534" s="18"/>
      <c r="L534" s="18"/>
    </row>
    <row r="535" spans="2:12" x14ac:dyDescent="0.2">
      <c r="B535" s="231">
        <v>2023</v>
      </c>
      <c r="C535" s="231" t="s">
        <v>7</v>
      </c>
      <c r="D535" s="236" t="s">
        <v>46</v>
      </c>
      <c r="E535" s="236" t="s">
        <v>19</v>
      </c>
      <c r="F535" s="232">
        <v>5</v>
      </c>
      <c r="G535" s="232">
        <v>6</v>
      </c>
      <c r="H535" s="232">
        <v>477</v>
      </c>
      <c r="I535" s="232">
        <v>30</v>
      </c>
      <c r="K535" s="18"/>
      <c r="L535" s="18"/>
    </row>
    <row r="536" spans="2:12" x14ac:dyDescent="0.2">
      <c r="B536" s="231">
        <v>2023</v>
      </c>
      <c r="C536" s="231" t="s">
        <v>7</v>
      </c>
      <c r="D536" s="236" t="s">
        <v>46</v>
      </c>
      <c r="E536" s="236" t="s">
        <v>21</v>
      </c>
      <c r="F536" s="232">
        <v>5</v>
      </c>
      <c r="G536" s="232">
        <v>9</v>
      </c>
      <c r="H536" s="232">
        <v>469</v>
      </c>
      <c r="I536" s="232">
        <v>25</v>
      </c>
      <c r="K536" s="18"/>
      <c r="L536" s="18"/>
    </row>
    <row r="537" spans="2:12" x14ac:dyDescent="0.2">
      <c r="B537" s="231">
        <v>2023</v>
      </c>
      <c r="C537" s="231" t="s">
        <v>7</v>
      </c>
      <c r="D537" s="236" t="s">
        <v>46</v>
      </c>
      <c r="E537" s="236" t="s">
        <v>19</v>
      </c>
      <c r="F537" s="232">
        <v>5</v>
      </c>
      <c r="G537" s="232">
        <v>6</v>
      </c>
      <c r="H537" s="232">
        <v>462</v>
      </c>
      <c r="I537" s="232">
        <v>50</v>
      </c>
      <c r="K537" s="18"/>
      <c r="L537" s="18"/>
    </row>
    <row r="538" spans="2:12" x14ac:dyDescent="0.2">
      <c r="B538" s="231">
        <v>2023</v>
      </c>
      <c r="C538" s="231" t="s">
        <v>7</v>
      </c>
      <c r="D538" s="236" t="s">
        <v>46</v>
      </c>
      <c r="E538" s="236" t="s">
        <v>19</v>
      </c>
      <c r="F538" s="232">
        <v>5</v>
      </c>
      <c r="G538" s="232">
        <v>8</v>
      </c>
      <c r="H538" s="232">
        <v>464</v>
      </c>
      <c r="I538" s="232">
        <v>40</v>
      </c>
      <c r="K538" s="18"/>
      <c r="L538" s="18"/>
    </row>
    <row r="539" spans="2:12" x14ac:dyDescent="0.2">
      <c r="B539" s="231">
        <v>2023</v>
      </c>
      <c r="C539" s="231" t="s">
        <v>8</v>
      </c>
      <c r="D539" s="236" t="s">
        <v>46</v>
      </c>
      <c r="E539" s="236" t="s">
        <v>19</v>
      </c>
      <c r="F539" s="232">
        <v>5</v>
      </c>
      <c r="G539" s="232">
        <v>7</v>
      </c>
      <c r="H539" s="232">
        <v>478</v>
      </c>
      <c r="I539" s="232">
        <v>50</v>
      </c>
      <c r="K539" s="18"/>
      <c r="L539" s="18"/>
    </row>
    <row r="540" spans="2:12" x14ac:dyDescent="0.2">
      <c r="B540" s="231">
        <v>2023</v>
      </c>
      <c r="C540" s="231" t="s">
        <v>8</v>
      </c>
      <c r="D540" s="236" t="s">
        <v>46</v>
      </c>
      <c r="E540" s="236" t="s">
        <v>19</v>
      </c>
      <c r="F540" s="232">
        <v>4</v>
      </c>
      <c r="G540" s="232">
        <v>9</v>
      </c>
      <c r="H540" s="232">
        <v>471</v>
      </c>
      <c r="I540" s="232">
        <v>45</v>
      </c>
      <c r="K540" s="18"/>
      <c r="L540" s="18"/>
    </row>
    <row r="541" spans="2:12" x14ac:dyDescent="0.2">
      <c r="B541" s="231">
        <v>2023</v>
      </c>
      <c r="C541" s="231" t="s">
        <v>7</v>
      </c>
      <c r="D541" s="236" t="s">
        <v>46</v>
      </c>
      <c r="E541" s="236" t="s">
        <v>19</v>
      </c>
      <c r="F541" s="232">
        <v>5</v>
      </c>
      <c r="G541" s="232">
        <v>7</v>
      </c>
      <c r="H541" s="232">
        <v>460</v>
      </c>
      <c r="I541" s="232">
        <v>45</v>
      </c>
      <c r="K541" s="18"/>
      <c r="L541" s="18"/>
    </row>
    <row r="542" spans="2:12" x14ac:dyDescent="0.2">
      <c r="B542" s="231">
        <v>2023</v>
      </c>
      <c r="C542" s="231" t="s">
        <v>7</v>
      </c>
      <c r="D542" s="236" t="s">
        <v>46</v>
      </c>
      <c r="E542" s="236" t="s">
        <v>21</v>
      </c>
      <c r="F542" s="232">
        <v>5</v>
      </c>
      <c r="G542" s="232">
        <v>6</v>
      </c>
      <c r="H542" s="232">
        <v>459</v>
      </c>
      <c r="I542" s="232">
        <v>55</v>
      </c>
      <c r="K542" s="18"/>
      <c r="L542" s="18"/>
    </row>
    <row r="543" spans="2:12" x14ac:dyDescent="0.2">
      <c r="B543" s="231">
        <v>2023</v>
      </c>
      <c r="C543" s="231" t="s">
        <v>7</v>
      </c>
      <c r="D543" s="236" t="s">
        <v>46</v>
      </c>
      <c r="E543" s="236" t="s">
        <v>21</v>
      </c>
      <c r="F543" s="232">
        <v>5</v>
      </c>
      <c r="G543" s="232">
        <v>5</v>
      </c>
      <c r="H543" s="232">
        <v>441</v>
      </c>
      <c r="I543" s="232">
        <v>17</v>
      </c>
      <c r="K543" s="18"/>
      <c r="L543" s="18"/>
    </row>
    <row r="544" spans="2:12" x14ac:dyDescent="0.2">
      <c r="B544" s="231">
        <v>2023</v>
      </c>
      <c r="C544" s="231" t="s">
        <v>7</v>
      </c>
      <c r="D544" s="236" t="s">
        <v>46</v>
      </c>
      <c r="E544" s="236" t="s">
        <v>21</v>
      </c>
      <c r="F544" s="232">
        <v>4</v>
      </c>
      <c r="G544" s="232">
        <v>5</v>
      </c>
      <c r="H544" s="232">
        <v>460</v>
      </c>
      <c r="I544" s="232">
        <v>10</v>
      </c>
      <c r="K544" s="18"/>
      <c r="L544" s="18"/>
    </row>
    <row r="545" spans="2:12" x14ac:dyDescent="0.2">
      <c r="B545" s="231">
        <v>2023</v>
      </c>
      <c r="C545" s="231" t="s">
        <v>7</v>
      </c>
      <c r="D545" s="236" t="s">
        <v>6417</v>
      </c>
      <c r="E545" s="236" t="s">
        <v>21</v>
      </c>
      <c r="F545" s="232">
        <v>4</v>
      </c>
      <c r="G545" s="232">
        <v>6</v>
      </c>
      <c r="H545" s="232">
        <v>440</v>
      </c>
      <c r="I545" s="232">
        <v>10</v>
      </c>
      <c r="K545" s="18"/>
      <c r="L545" s="18"/>
    </row>
    <row r="546" spans="2:12" x14ac:dyDescent="0.2">
      <c r="B546" s="231">
        <v>2023</v>
      </c>
      <c r="C546" s="231" t="s">
        <v>8</v>
      </c>
      <c r="D546" s="236" t="s">
        <v>6417</v>
      </c>
      <c r="E546" s="236" t="s">
        <v>21</v>
      </c>
      <c r="F546" s="232">
        <v>5</v>
      </c>
      <c r="G546" s="232">
        <v>7</v>
      </c>
      <c r="H546" s="232">
        <v>480</v>
      </c>
      <c r="I546" s="232">
        <v>50</v>
      </c>
      <c r="K546" s="18"/>
      <c r="L546" s="18"/>
    </row>
    <row r="547" spans="2:12" x14ac:dyDescent="0.2">
      <c r="B547" s="231">
        <v>2023</v>
      </c>
      <c r="C547" s="231" t="s">
        <v>7</v>
      </c>
      <c r="D547" s="236" t="s">
        <v>46</v>
      </c>
      <c r="E547" s="236" t="s">
        <v>21</v>
      </c>
      <c r="F547" s="232">
        <v>5</v>
      </c>
      <c r="G547" s="232">
        <v>6</v>
      </c>
      <c r="H547" s="232">
        <v>467</v>
      </c>
      <c r="I547" s="232">
        <v>40</v>
      </c>
      <c r="K547" s="18"/>
      <c r="L547" s="18"/>
    </row>
    <row r="548" spans="2:12" x14ac:dyDescent="0.2">
      <c r="B548" s="231">
        <v>2023</v>
      </c>
      <c r="C548" s="231" t="s">
        <v>8</v>
      </c>
      <c r="D548" s="236" t="s">
        <v>46</v>
      </c>
      <c r="E548" s="236" t="s">
        <v>19</v>
      </c>
      <c r="F548" s="232">
        <v>5</v>
      </c>
      <c r="G548" s="232">
        <v>6</v>
      </c>
      <c r="H548" s="232">
        <v>478</v>
      </c>
      <c r="I548" s="232">
        <v>25</v>
      </c>
      <c r="K548" s="18"/>
      <c r="L548" s="18"/>
    </row>
    <row r="549" spans="2:12" x14ac:dyDescent="0.2">
      <c r="B549" s="231">
        <v>2023</v>
      </c>
      <c r="C549" s="231" t="s">
        <v>7</v>
      </c>
      <c r="D549" s="236" t="s">
        <v>6417</v>
      </c>
      <c r="E549" s="236" t="s">
        <v>21</v>
      </c>
      <c r="F549" s="232">
        <v>5</v>
      </c>
      <c r="G549" s="232">
        <v>6</v>
      </c>
      <c r="H549" s="232">
        <v>492</v>
      </c>
      <c r="I549" s="232">
        <v>5</v>
      </c>
      <c r="K549" s="18"/>
      <c r="L549" s="18"/>
    </row>
    <row r="550" spans="2:12" x14ac:dyDescent="0.2">
      <c r="B550" s="231">
        <v>2023</v>
      </c>
      <c r="C550" s="231" t="s">
        <v>8</v>
      </c>
      <c r="D550" s="236" t="s">
        <v>46</v>
      </c>
      <c r="E550" s="236" t="s">
        <v>19</v>
      </c>
      <c r="F550" s="232">
        <v>5</v>
      </c>
      <c r="G550" s="232">
        <v>6</v>
      </c>
      <c r="H550" s="232">
        <v>467</v>
      </c>
      <c r="I550" s="232">
        <v>25</v>
      </c>
      <c r="K550" s="18"/>
      <c r="L550" s="18"/>
    </row>
    <row r="551" spans="2:12" x14ac:dyDescent="0.2">
      <c r="B551" s="231">
        <v>2023</v>
      </c>
      <c r="C551" s="231" t="s">
        <v>7</v>
      </c>
      <c r="D551" s="236" t="s">
        <v>46</v>
      </c>
      <c r="E551" s="236" t="s">
        <v>21</v>
      </c>
      <c r="F551" s="232">
        <v>5</v>
      </c>
      <c r="G551" s="232">
        <v>6</v>
      </c>
      <c r="H551" s="232">
        <v>458</v>
      </c>
      <c r="I551" s="232">
        <v>45</v>
      </c>
      <c r="K551" s="18"/>
      <c r="L551" s="18"/>
    </row>
    <row r="552" spans="2:12" x14ac:dyDescent="0.2">
      <c r="B552" s="231">
        <v>2023</v>
      </c>
      <c r="C552" s="231" t="s">
        <v>8</v>
      </c>
      <c r="D552" s="236" t="s">
        <v>46</v>
      </c>
      <c r="E552" s="236" t="s">
        <v>21</v>
      </c>
      <c r="F552" s="232">
        <v>5</v>
      </c>
      <c r="G552" s="232">
        <v>10</v>
      </c>
      <c r="H552" s="232">
        <v>469</v>
      </c>
      <c r="I552" s="232">
        <v>45</v>
      </c>
      <c r="K552" s="18"/>
      <c r="L552" s="18"/>
    </row>
    <row r="553" spans="2:12" x14ac:dyDescent="0.2">
      <c r="B553" s="231">
        <v>2023</v>
      </c>
      <c r="C553" s="231" t="s">
        <v>8</v>
      </c>
      <c r="D553" s="236" t="s">
        <v>46</v>
      </c>
      <c r="E553" s="236" t="s">
        <v>19</v>
      </c>
      <c r="F553" s="232">
        <v>5</v>
      </c>
      <c r="G553" s="232">
        <v>8</v>
      </c>
      <c r="H553" s="232">
        <v>433</v>
      </c>
      <c r="I553" s="232">
        <v>25</v>
      </c>
      <c r="K553" s="18"/>
      <c r="L553" s="18"/>
    </row>
    <row r="554" spans="2:12" x14ac:dyDescent="0.2">
      <c r="B554" s="231">
        <v>2023</v>
      </c>
      <c r="C554" s="231" t="s">
        <v>8</v>
      </c>
      <c r="D554" s="236" t="s">
        <v>46</v>
      </c>
      <c r="E554" s="236" t="s">
        <v>19</v>
      </c>
      <c r="F554" s="232">
        <v>5</v>
      </c>
      <c r="G554" s="232">
        <v>6</v>
      </c>
      <c r="H554" s="232">
        <v>459</v>
      </c>
      <c r="I554" s="232">
        <v>70</v>
      </c>
      <c r="K554" s="18"/>
      <c r="L554" s="18"/>
    </row>
    <row r="555" spans="2:12" x14ac:dyDescent="0.2">
      <c r="B555" s="231">
        <v>2023</v>
      </c>
      <c r="C555" s="231" t="s">
        <v>8</v>
      </c>
      <c r="D555" s="236" t="s">
        <v>46</v>
      </c>
      <c r="E555" s="236" t="s">
        <v>19</v>
      </c>
      <c r="F555" s="232">
        <v>3</v>
      </c>
      <c r="G555" s="232">
        <v>6</v>
      </c>
      <c r="H555" s="232">
        <v>472</v>
      </c>
      <c r="I555" s="232">
        <v>20</v>
      </c>
      <c r="K555" s="18"/>
      <c r="L555" s="18"/>
    </row>
    <row r="556" spans="2:12" x14ac:dyDescent="0.2">
      <c r="B556" s="231">
        <v>2023</v>
      </c>
      <c r="C556" s="231" t="s">
        <v>8</v>
      </c>
      <c r="D556" s="236" t="s">
        <v>6417</v>
      </c>
      <c r="E556" s="236" t="s">
        <v>21</v>
      </c>
      <c r="F556" s="232">
        <v>5</v>
      </c>
      <c r="G556" s="232">
        <v>7</v>
      </c>
      <c r="H556" s="232">
        <v>476</v>
      </c>
      <c r="I556" s="232">
        <v>30</v>
      </c>
      <c r="K556" s="18"/>
      <c r="L556" s="18"/>
    </row>
    <row r="557" spans="2:12" x14ac:dyDescent="0.2">
      <c r="B557" s="231">
        <v>2023</v>
      </c>
      <c r="C557" s="231" t="s">
        <v>7</v>
      </c>
      <c r="D557" s="236" t="s">
        <v>46</v>
      </c>
      <c r="E557" s="236" t="s">
        <v>19</v>
      </c>
      <c r="F557" s="232">
        <v>4</v>
      </c>
      <c r="G557" s="232">
        <v>10</v>
      </c>
      <c r="H557" s="232">
        <v>425</v>
      </c>
      <c r="I557" s="232">
        <v>60</v>
      </c>
      <c r="K557" s="18"/>
      <c r="L557" s="18"/>
    </row>
    <row r="558" spans="2:12" x14ac:dyDescent="0.2">
      <c r="B558" s="231">
        <v>2023</v>
      </c>
      <c r="C558" s="231" t="s">
        <v>7</v>
      </c>
      <c r="D558" s="236" t="s">
        <v>46</v>
      </c>
      <c r="E558" s="236" t="s">
        <v>19</v>
      </c>
      <c r="F558" s="232">
        <v>5</v>
      </c>
      <c r="G558" s="232">
        <v>9</v>
      </c>
      <c r="H558" s="232">
        <v>472</v>
      </c>
      <c r="I558" s="232">
        <v>25</v>
      </c>
      <c r="K558" s="18"/>
      <c r="L558" s="18"/>
    </row>
    <row r="559" spans="2:12" x14ac:dyDescent="0.2">
      <c r="B559" s="231">
        <v>2023</v>
      </c>
      <c r="C559" s="231" t="s">
        <v>7</v>
      </c>
      <c r="D559" s="236" t="s">
        <v>46</v>
      </c>
      <c r="E559" s="236" t="s">
        <v>19</v>
      </c>
      <c r="F559" s="232">
        <v>4</v>
      </c>
      <c r="G559" s="232">
        <v>6</v>
      </c>
      <c r="H559" s="232">
        <v>459</v>
      </c>
      <c r="I559" s="232">
        <v>45</v>
      </c>
      <c r="K559" s="18"/>
      <c r="L559" s="18"/>
    </row>
    <row r="560" spans="2:12" x14ac:dyDescent="0.2">
      <c r="B560" s="231">
        <v>2023</v>
      </c>
      <c r="C560" s="231" t="s">
        <v>7</v>
      </c>
      <c r="D560" s="236" t="s">
        <v>6417</v>
      </c>
      <c r="E560" s="236" t="s">
        <v>19</v>
      </c>
      <c r="F560" s="232">
        <v>5</v>
      </c>
      <c r="G560" s="232">
        <v>7</v>
      </c>
      <c r="H560" s="232">
        <v>484</v>
      </c>
      <c r="I560" s="232">
        <v>75</v>
      </c>
      <c r="K560" s="18"/>
      <c r="L560" s="18"/>
    </row>
    <row r="561" spans="2:12" x14ac:dyDescent="0.2">
      <c r="B561" s="231">
        <v>2023</v>
      </c>
      <c r="C561" s="231" t="s">
        <v>8</v>
      </c>
      <c r="D561" s="236" t="s">
        <v>46</v>
      </c>
      <c r="E561" s="236" t="s">
        <v>21</v>
      </c>
      <c r="F561" s="232">
        <v>4</v>
      </c>
      <c r="G561" s="232">
        <v>8</v>
      </c>
      <c r="H561" s="232">
        <v>460</v>
      </c>
      <c r="I561" s="232">
        <v>5</v>
      </c>
      <c r="K561" s="18"/>
      <c r="L561" s="18"/>
    </row>
    <row r="562" spans="2:12" x14ac:dyDescent="0.2">
      <c r="B562" s="231">
        <v>2023</v>
      </c>
      <c r="C562" s="231" t="s">
        <v>8</v>
      </c>
      <c r="D562" s="236" t="s">
        <v>46</v>
      </c>
      <c r="E562" s="236" t="s">
        <v>19</v>
      </c>
      <c r="F562" s="232">
        <v>4</v>
      </c>
      <c r="G562" s="232">
        <v>10</v>
      </c>
      <c r="H562" s="232">
        <v>454</v>
      </c>
      <c r="I562" s="232">
        <v>30</v>
      </c>
      <c r="K562" s="18"/>
      <c r="L562" s="18"/>
    </row>
    <row r="563" spans="2:12" x14ac:dyDescent="0.2">
      <c r="B563" s="231">
        <v>2023</v>
      </c>
      <c r="C563" s="231" t="s">
        <v>7</v>
      </c>
      <c r="D563" s="236" t="s">
        <v>46</v>
      </c>
      <c r="E563" s="236" t="s">
        <v>21</v>
      </c>
      <c r="F563" s="232">
        <v>5</v>
      </c>
      <c r="G563" s="232">
        <v>9</v>
      </c>
      <c r="H563" s="232">
        <v>428</v>
      </c>
      <c r="I563" s="232">
        <v>40</v>
      </c>
      <c r="K563" s="18"/>
      <c r="L563" s="18"/>
    </row>
    <row r="564" spans="2:12" x14ac:dyDescent="0.2">
      <c r="B564" s="231">
        <v>2023</v>
      </c>
      <c r="C564" s="231" t="s">
        <v>8</v>
      </c>
      <c r="D564" s="236" t="s">
        <v>46</v>
      </c>
      <c r="E564" s="236" t="s">
        <v>19</v>
      </c>
      <c r="F564" s="232">
        <v>4</v>
      </c>
      <c r="G564" s="232">
        <v>7</v>
      </c>
      <c r="H564" s="232">
        <v>462</v>
      </c>
      <c r="I564" s="232">
        <v>15</v>
      </c>
      <c r="K564" s="18"/>
      <c r="L564" s="18"/>
    </row>
    <row r="565" spans="2:12" x14ac:dyDescent="0.2">
      <c r="B565" s="231">
        <v>2023</v>
      </c>
      <c r="C565" s="231" t="s">
        <v>8</v>
      </c>
      <c r="D565" s="236" t="s">
        <v>46</v>
      </c>
      <c r="E565" s="236" t="s">
        <v>21</v>
      </c>
      <c r="F565" s="232">
        <v>5</v>
      </c>
      <c r="G565" s="232">
        <v>4</v>
      </c>
      <c r="H565" s="232">
        <v>458</v>
      </c>
      <c r="I565" s="232">
        <v>30</v>
      </c>
      <c r="K565" s="18"/>
      <c r="L565" s="18"/>
    </row>
    <row r="566" spans="2:12" x14ac:dyDescent="0.2">
      <c r="B566" s="231">
        <v>2023</v>
      </c>
      <c r="C566" s="231" t="s">
        <v>7</v>
      </c>
      <c r="D566" s="236" t="s">
        <v>46</v>
      </c>
      <c r="E566" s="236" t="s">
        <v>19</v>
      </c>
      <c r="F566" s="232">
        <v>5</v>
      </c>
      <c r="G566" s="232">
        <v>7</v>
      </c>
      <c r="H566" s="232">
        <v>468</v>
      </c>
      <c r="I566" s="232">
        <v>20</v>
      </c>
      <c r="K566" s="18"/>
      <c r="L566" s="18"/>
    </row>
    <row r="567" spans="2:12" x14ac:dyDescent="0.2">
      <c r="B567" s="231">
        <v>2023</v>
      </c>
      <c r="C567" s="231" t="s">
        <v>7</v>
      </c>
      <c r="D567" s="236" t="s">
        <v>46</v>
      </c>
      <c r="E567" s="236" t="s">
        <v>19</v>
      </c>
      <c r="F567" s="232">
        <v>5</v>
      </c>
      <c r="G567" s="232">
        <v>6</v>
      </c>
      <c r="H567" s="232">
        <v>472</v>
      </c>
      <c r="I567" s="232">
        <v>40</v>
      </c>
      <c r="K567" s="18"/>
      <c r="L567" s="18"/>
    </row>
    <row r="568" spans="2:12" x14ac:dyDescent="0.2">
      <c r="B568" s="231">
        <v>2023</v>
      </c>
      <c r="C568" s="231" t="s">
        <v>7</v>
      </c>
      <c r="D568" s="236" t="s">
        <v>46</v>
      </c>
      <c r="E568" s="236" t="s">
        <v>19</v>
      </c>
      <c r="F568" s="232">
        <v>5</v>
      </c>
      <c r="G568" s="232">
        <v>12</v>
      </c>
      <c r="H568" s="232">
        <v>468</v>
      </c>
      <c r="I568" s="232">
        <v>70</v>
      </c>
      <c r="K568" s="18"/>
      <c r="L568" s="18"/>
    </row>
    <row r="569" spans="2:12" x14ac:dyDescent="0.2">
      <c r="B569" s="231">
        <v>2023</v>
      </c>
      <c r="C569" s="231" t="s">
        <v>8</v>
      </c>
      <c r="D569" s="236" t="s">
        <v>6417</v>
      </c>
      <c r="E569" s="236" t="s">
        <v>21</v>
      </c>
      <c r="F569" s="232">
        <v>5</v>
      </c>
      <c r="G569" s="232">
        <v>7</v>
      </c>
      <c r="H569" s="232">
        <v>488</v>
      </c>
      <c r="I569" s="232">
        <v>45</v>
      </c>
      <c r="K569" s="18"/>
      <c r="L569" s="18"/>
    </row>
    <row r="570" spans="2:12" x14ac:dyDescent="0.2">
      <c r="B570" s="231">
        <v>2023</v>
      </c>
      <c r="C570" s="231" t="s">
        <v>8</v>
      </c>
      <c r="D570" s="236" t="s">
        <v>46</v>
      </c>
      <c r="E570" s="236" t="s">
        <v>21</v>
      </c>
      <c r="F570" s="232">
        <v>5</v>
      </c>
      <c r="G570" s="232">
        <v>4</v>
      </c>
      <c r="H570" s="232">
        <v>474</v>
      </c>
      <c r="I570" s="232">
        <v>20</v>
      </c>
      <c r="K570" s="18"/>
      <c r="L570" s="18"/>
    </row>
    <row r="571" spans="2:12" x14ac:dyDescent="0.2">
      <c r="B571" s="231">
        <v>2023</v>
      </c>
      <c r="C571" s="231" t="s">
        <v>7</v>
      </c>
      <c r="D571" s="236" t="s">
        <v>46</v>
      </c>
      <c r="E571" s="236" t="s">
        <v>20</v>
      </c>
      <c r="F571" s="232">
        <v>3</v>
      </c>
      <c r="G571" s="232">
        <v>10</v>
      </c>
      <c r="H571" s="232">
        <v>437</v>
      </c>
      <c r="I571" s="232">
        <v>40</v>
      </c>
      <c r="K571" s="18"/>
      <c r="L571" s="18"/>
    </row>
    <row r="572" spans="2:12" x14ac:dyDescent="0.2">
      <c r="B572" s="231">
        <v>2023</v>
      </c>
      <c r="C572" s="231" t="s">
        <v>7</v>
      </c>
      <c r="D572" s="236" t="s">
        <v>46</v>
      </c>
      <c r="E572" s="236" t="s">
        <v>19</v>
      </c>
      <c r="F572" s="232">
        <v>5</v>
      </c>
      <c r="G572" s="232">
        <v>9</v>
      </c>
      <c r="H572" s="232">
        <v>457</v>
      </c>
      <c r="I572" s="232">
        <v>35</v>
      </c>
      <c r="K572" s="18"/>
      <c r="L572" s="18"/>
    </row>
    <row r="573" spans="2:12" x14ac:dyDescent="0.2">
      <c r="B573" s="231">
        <v>2023</v>
      </c>
      <c r="C573" s="231" t="s">
        <v>8</v>
      </c>
      <c r="D573" s="236" t="s">
        <v>46</v>
      </c>
      <c r="E573" s="236" t="s">
        <v>19</v>
      </c>
      <c r="F573" s="232">
        <v>4</v>
      </c>
      <c r="G573" s="232">
        <v>5</v>
      </c>
      <c r="H573" s="232">
        <v>486</v>
      </c>
      <c r="I573" s="232">
        <v>12</v>
      </c>
      <c r="K573" s="18"/>
      <c r="L573" s="18"/>
    </row>
    <row r="574" spans="2:12" x14ac:dyDescent="0.2">
      <c r="B574" s="231">
        <v>2023</v>
      </c>
      <c r="C574" s="231" t="s">
        <v>8</v>
      </c>
      <c r="D574" s="236" t="s">
        <v>46</v>
      </c>
      <c r="E574" s="236" t="s">
        <v>21</v>
      </c>
      <c r="F574" s="232">
        <v>4</v>
      </c>
      <c r="G574" s="232">
        <v>4</v>
      </c>
      <c r="H574" s="232">
        <v>450</v>
      </c>
      <c r="I574" s="232">
        <v>20</v>
      </c>
      <c r="K574" s="18"/>
      <c r="L574" s="18"/>
    </row>
    <row r="575" spans="2:12" x14ac:dyDescent="0.2">
      <c r="B575" s="231">
        <v>2023</v>
      </c>
      <c r="C575" s="231" t="s">
        <v>7</v>
      </c>
      <c r="D575" s="236" t="s">
        <v>46</v>
      </c>
      <c r="E575" s="236" t="s">
        <v>21</v>
      </c>
      <c r="F575" s="232">
        <v>5</v>
      </c>
      <c r="G575" s="232">
        <v>5</v>
      </c>
      <c r="H575" s="232">
        <v>472</v>
      </c>
      <c r="I575" s="232">
        <v>40</v>
      </c>
      <c r="K575" s="18"/>
      <c r="L575" s="18"/>
    </row>
    <row r="576" spans="2:12" x14ac:dyDescent="0.2">
      <c r="B576" s="231">
        <v>2023</v>
      </c>
      <c r="C576" s="231" t="s">
        <v>7</v>
      </c>
      <c r="D576" s="236" t="s">
        <v>46</v>
      </c>
      <c r="E576" s="236" t="s">
        <v>19</v>
      </c>
      <c r="F576" s="232">
        <v>4</v>
      </c>
      <c r="G576" s="232">
        <v>8</v>
      </c>
      <c r="H576" s="232">
        <v>443</v>
      </c>
      <c r="I576" s="232">
        <v>50</v>
      </c>
      <c r="K576" s="18"/>
      <c r="L576" s="18"/>
    </row>
    <row r="577" spans="2:12" x14ac:dyDescent="0.2">
      <c r="B577" s="231">
        <v>2023</v>
      </c>
      <c r="C577" s="231" t="s">
        <v>7</v>
      </c>
      <c r="D577" s="236" t="s">
        <v>46</v>
      </c>
      <c r="E577" s="236" t="s">
        <v>19</v>
      </c>
      <c r="F577" s="232">
        <v>4</v>
      </c>
      <c r="G577" s="232">
        <v>6</v>
      </c>
      <c r="H577" s="232">
        <v>471</v>
      </c>
      <c r="I577" s="232">
        <v>55</v>
      </c>
      <c r="K577" s="18"/>
      <c r="L577" s="18"/>
    </row>
    <row r="578" spans="2:12" x14ac:dyDescent="0.2">
      <c r="B578" s="231">
        <v>2023</v>
      </c>
      <c r="C578" s="231" t="s">
        <v>7</v>
      </c>
      <c r="D578" s="236" t="s">
        <v>46</v>
      </c>
      <c r="E578" s="236" t="s">
        <v>21</v>
      </c>
      <c r="F578" s="232">
        <v>5</v>
      </c>
      <c r="G578" s="232">
        <v>9</v>
      </c>
      <c r="H578" s="232">
        <v>421</v>
      </c>
      <c r="I578" s="232">
        <v>45</v>
      </c>
      <c r="K578" s="18"/>
      <c r="L578" s="18"/>
    </row>
    <row r="579" spans="2:12" x14ac:dyDescent="0.2">
      <c r="B579" s="231">
        <v>2023</v>
      </c>
      <c r="C579" s="231" t="s">
        <v>7</v>
      </c>
      <c r="D579" s="236" t="s">
        <v>46</v>
      </c>
      <c r="E579" s="236" t="s">
        <v>21</v>
      </c>
      <c r="F579" s="232">
        <v>5</v>
      </c>
      <c r="G579" s="232">
        <v>2</v>
      </c>
      <c r="H579" s="232">
        <v>473</v>
      </c>
      <c r="I579" s="232">
        <v>45</v>
      </c>
      <c r="K579" s="18"/>
      <c r="L579" s="18"/>
    </row>
    <row r="580" spans="2:12" x14ac:dyDescent="0.2">
      <c r="B580" s="231">
        <v>2023</v>
      </c>
      <c r="C580" s="231" t="s">
        <v>7</v>
      </c>
      <c r="D580" s="236" t="s">
        <v>46</v>
      </c>
      <c r="E580" s="236" t="s">
        <v>19</v>
      </c>
      <c r="F580" s="232">
        <v>5</v>
      </c>
      <c r="G580" s="232">
        <v>7</v>
      </c>
      <c r="H580" s="232">
        <v>468</v>
      </c>
      <c r="I580" s="232">
        <v>50</v>
      </c>
      <c r="K580" s="18"/>
      <c r="L580" s="18"/>
    </row>
    <row r="581" spans="2:12" x14ac:dyDescent="0.2">
      <c r="B581" s="231">
        <v>2023</v>
      </c>
      <c r="C581" s="231" t="s">
        <v>7</v>
      </c>
      <c r="D581" s="236" t="s">
        <v>46</v>
      </c>
      <c r="E581" s="236" t="s">
        <v>21</v>
      </c>
      <c r="F581" s="232">
        <v>4</v>
      </c>
      <c r="G581" s="232">
        <v>8</v>
      </c>
      <c r="H581" s="232">
        <v>458</v>
      </c>
      <c r="I581" s="232">
        <v>23</v>
      </c>
      <c r="K581" s="18"/>
      <c r="L581" s="18"/>
    </row>
    <row r="582" spans="2:12" x14ac:dyDescent="0.2">
      <c r="B582" s="231">
        <v>2023</v>
      </c>
      <c r="C582" s="231" t="s">
        <v>8</v>
      </c>
      <c r="D582" s="236" t="s">
        <v>46</v>
      </c>
      <c r="E582" s="236" t="s">
        <v>19</v>
      </c>
      <c r="F582" s="232">
        <v>5</v>
      </c>
      <c r="G582" s="232">
        <v>8</v>
      </c>
      <c r="H582" s="232">
        <v>462</v>
      </c>
      <c r="I582" s="232">
        <v>40</v>
      </c>
      <c r="K582" s="18"/>
      <c r="L582" s="18"/>
    </row>
    <row r="583" spans="2:12" x14ac:dyDescent="0.2">
      <c r="B583" s="231">
        <v>2023</v>
      </c>
      <c r="C583" s="231" t="s">
        <v>8</v>
      </c>
      <c r="D583" s="236" t="s">
        <v>46</v>
      </c>
      <c r="E583" s="236" t="s">
        <v>19</v>
      </c>
      <c r="F583" s="232">
        <v>4</v>
      </c>
      <c r="G583" s="232">
        <v>6</v>
      </c>
      <c r="H583" s="232">
        <v>471</v>
      </c>
      <c r="I583" s="232">
        <v>30</v>
      </c>
      <c r="K583" s="18"/>
      <c r="L583" s="18"/>
    </row>
    <row r="584" spans="2:12" x14ac:dyDescent="0.2">
      <c r="B584" s="231">
        <v>2023</v>
      </c>
      <c r="C584" s="231" t="s">
        <v>7</v>
      </c>
      <c r="D584" s="236" t="s">
        <v>46</v>
      </c>
      <c r="E584" s="236" t="s">
        <v>19</v>
      </c>
      <c r="F584" s="232">
        <v>5</v>
      </c>
      <c r="G584" s="232">
        <v>11</v>
      </c>
      <c r="H584" s="232">
        <v>418</v>
      </c>
      <c r="I584" s="232">
        <v>80</v>
      </c>
      <c r="K584" s="18"/>
      <c r="L584" s="18"/>
    </row>
    <row r="585" spans="2:12" x14ac:dyDescent="0.2">
      <c r="B585" s="231">
        <v>2023</v>
      </c>
      <c r="C585" s="231" t="s">
        <v>7</v>
      </c>
      <c r="D585" s="236" t="s">
        <v>46</v>
      </c>
      <c r="E585" s="236" t="s">
        <v>19</v>
      </c>
      <c r="F585" s="232">
        <v>2</v>
      </c>
      <c r="G585" s="232">
        <v>8</v>
      </c>
      <c r="H585" s="232">
        <v>466</v>
      </c>
      <c r="I585" s="232">
        <v>25</v>
      </c>
      <c r="K585" s="18"/>
      <c r="L585" s="18"/>
    </row>
    <row r="586" spans="2:12" x14ac:dyDescent="0.2">
      <c r="B586" s="231">
        <v>2023</v>
      </c>
      <c r="C586" s="231" t="s">
        <v>7</v>
      </c>
      <c r="D586" s="236" t="s">
        <v>46</v>
      </c>
      <c r="E586" s="236" t="s">
        <v>21</v>
      </c>
      <c r="F586" s="232">
        <v>3</v>
      </c>
      <c r="G586" s="232">
        <v>7</v>
      </c>
      <c r="H586" s="232">
        <v>428</v>
      </c>
      <c r="I586" s="232">
        <v>20</v>
      </c>
      <c r="K586" s="18"/>
      <c r="L586" s="18"/>
    </row>
    <row r="587" spans="2:12" x14ac:dyDescent="0.2">
      <c r="B587" s="231">
        <v>2023</v>
      </c>
      <c r="C587" s="231" t="s">
        <v>7</v>
      </c>
      <c r="D587" s="236" t="s">
        <v>46</v>
      </c>
      <c r="E587" s="236" t="s">
        <v>21</v>
      </c>
      <c r="F587" s="232">
        <v>5</v>
      </c>
      <c r="G587" s="232">
        <v>6</v>
      </c>
      <c r="H587" s="232">
        <v>460</v>
      </c>
      <c r="I587" s="232">
        <v>45</v>
      </c>
      <c r="K587" s="18"/>
      <c r="L587" s="18"/>
    </row>
    <row r="588" spans="2:12" x14ac:dyDescent="0.2">
      <c r="B588" s="231">
        <v>2023</v>
      </c>
      <c r="C588" s="231" t="s">
        <v>8</v>
      </c>
      <c r="D588" s="236" t="s">
        <v>6417</v>
      </c>
      <c r="E588" s="236" t="s">
        <v>21</v>
      </c>
      <c r="F588" s="232">
        <v>5</v>
      </c>
      <c r="G588" s="232">
        <v>8</v>
      </c>
      <c r="H588" s="232">
        <v>443</v>
      </c>
      <c r="I588" s="232">
        <v>15</v>
      </c>
      <c r="K588" s="18"/>
      <c r="L588" s="18"/>
    </row>
    <row r="589" spans="2:12" x14ac:dyDescent="0.2">
      <c r="B589" s="231">
        <v>2023</v>
      </c>
      <c r="C589" s="231" t="s">
        <v>8</v>
      </c>
      <c r="D589" s="236" t="s">
        <v>6417</v>
      </c>
      <c r="E589" s="236" t="s">
        <v>19</v>
      </c>
      <c r="F589" s="232">
        <v>4</v>
      </c>
      <c r="G589" s="232">
        <v>8</v>
      </c>
      <c r="H589" s="232">
        <v>465</v>
      </c>
      <c r="I589" s="232">
        <v>25</v>
      </c>
      <c r="K589" s="18"/>
      <c r="L589" s="18"/>
    </row>
    <row r="590" spans="2:12" x14ac:dyDescent="0.2">
      <c r="B590" s="231">
        <v>2023</v>
      </c>
      <c r="C590" s="231" t="s">
        <v>7</v>
      </c>
      <c r="D590" s="236" t="s">
        <v>6417</v>
      </c>
      <c r="E590" s="236" t="s">
        <v>21</v>
      </c>
      <c r="F590" s="232">
        <v>4</v>
      </c>
      <c r="G590" s="232">
        <v>10</v>
      </c>
      <c r="H590" s="232">
        <v>453</v>
      </c>
      <c r="I590" s="232">
        <v>40</v>
      </c>
      <c r="K590" s="18"/>
      <c r="L590" s="18"/>
    </row>
    <row r="591" spans="2:12" x14ac:dyDescent="0.2">
      <c r="B591" s="231">
        <v>2023</v>
      </c>
      <c r="C591" s="231" t="s">
        <v>8</v>
      </c>
      <c r="D591" s="236" t="s">
        <v>6417</v>
      </c>
      <c r="E591" s="236" t="s">
        <v>19</v>
      </c>
      <c r="F591" s="232">
        <v>5</v>
      </c>
      <c r="G591" s="232">
        <v>5</v>
      </c>
      <c r="H591" s="232">
        <v>447</v>
      </c>
      <c r="I591" s="232">
        <v>40</v>
      </c>
      <c r="K591" s="18"/>
      <c r="L591" s="18"/>
    </row>
    <row r="592" spans="2:12" x14ac:dyDescent="0.2">
      <c r="B592" s="231">
        <v>2023</v>
      </c>
      <c r="C592" s="231" t="s">
        <v>7</v>
      </c>
      <c r="D592" s="236" t="s">
        <v>6417</v>
      </c>
      <c r="E592" s="236" t="s">
        <v>21</v>
      </c>
      <c r="F592" s="232">
        <v>4</v>
      </c>
      <c r="G592" s="232">
        <v>7</v>
      </c>
      <c r="H592" s="232">
        <v>440</v>
      </c>
      <c r="I592" s="232">
        <v>35</v>
      </c>
      <c r="K592" s="18"/>
      <c r="L592" s="18"/>
    </row>
    <row r="593" spans="2:12" x14ac:dyDescent="0.2">
      <c r="B593" s="231">
        <v>2023</v>
      </c>
      <c r="C593" s="231" t="s">
        <v>7</v>
      </c>
      <c r="D593" s="236" t="s">
        <v>6417</v>
      </c>
      <c r="E593" s="236" t="s">
        <v>21</v>
      </c>
      <c r="F593" s="232">
        <v>5</v>
      </c>
      <c r="G593" s="232">
        <v>7</v>
      </c>
      <c r="H593" s="232">
        <v>470</v>
      </c>
      <c r="I593" s="232">
        <v>35</v>
      </c>
      <c r="K593" s="18"/>
      <c r="L593" s="18"/>
    </row>
    <row r="594" spans="2:12" x14ac:dyDescent="0.2">
      <c r="B594" s="231">
        <v>2023</v>
      </c>
      <c r="C594" s="231" t="s">
        <v>8</v>
      </c>
      <c r="D594" s="236" t="s">
        <v>46</v>
      </c>
      <c r="E594" s="236" t="s">
        <v>19</v>
      </c>
      <c r="F594" s="232">
        <v>4</v>
      </c>
      <c r="G594" s="232">
        <v>6</v>
      </c>
      <c r="H594" s="232">
        <v>488</v>
      </c>
      <c r="I594" s="232">
        <v>15</v>
      </c>
      <c r="K594" s="18"/>
      <c r="L594" s="18"/>
    </row>
    <row r="595" spans="2:12" x14ac:dyDescent="0.2">
      <c r="B595" s="231">
        <v>2023</v>
      </c>
      <c r="C595" s="231" t="s">
        <v>7</v>
      </c>
      <c r="D595" s="236" t="s">
        <v>46</v>
      </c>
      <c r="E595" s="236" t="s">
        <v>19</v>
      </c>
      <c r="F595" s="232">
        <v>4</v>
      </c>
      <c r="G595" s="232">
        <v>5</v>
      </c>
      <c r="H595" s="232">
        <v>462</v>
      </c>
      <c r="I595" s="232">
        <v>10</v>
      </c>
      <c r="K595" s="18"/>
      <c r="L595" s="18"/>
    </row>
    <row r="596" spans="2:12" x14ac:dyDescent="0.2">
      <c r="B596" s="231">
        <v>2023</v>
      </c>
      <c r="C596" s="231" t="s">
        <v>7</v>
      </c>
      <c r="D596" s="236" t="s">
        <v>46</v>
      </c>
      <c r="E596" s="236" t="s">
        <v>19</v>
      </c>
      <c r="F596" s="232">
        <v>4</v>
      </c>
      <c r="G596" s="232">
        <v>10</v>
      </c>
      <c r="H596" s="232">
        <v>455</v>
      </c>
      <c r="I596" s="232">
        <v>20</v>
      </c>
      <c r="K596" s="18"/>
      <c r="L596" s="18"/>
    </row>
    <row r="597" spans="2:12" x14ac:dyDescent="0.2">
      <c r="B597" s="231">
        <v>2026</v>
      </c>
      <c r="C597" s="231" t="s">
        <v>7</v>
      </c>
      <c r="D597" s="236" t="s">
        <v>6417</v>
      </c>
      <c r="E597" s="236" t="s">
        <v>20</v>
      </c>
      <c r="F597" s="232">
        <v>5</v>
      </c>
      <c r="G597" s="232">
        <v>3</v>
      </c>
      <c r="H597" s="232">
        <v>440</v>
      </c>
      <c r="I597" s="232">
        <v>3</v>
      </c>
      <c r="K597" s="18"/>
      <c r="L597" s="18"/>
    </row>
    <row r="598" spans="2:12" x14ac:dyDescent="0.2">
      <c r="B598" s="231">
        <v>2026</v>
      </c>
      <c r="C598" s="231" t="s">
        <v>8</v>
      </c>
      <c r="D598" s="236" t="s">
        <v>6417</v>
      </c>
      <c r="E598" s="236" t="s">
        <v>21</v>
      </c>
      <c r="F598" s="232">
        <v>5</v>
      </c>
      <c r="G598" s="232">
        <v>8</v>
      </c>
      <c r="H598" s="232">
        <v>470</v>
      </c>
      <c r="I598" s="232">
        <v>50</v>
      </c>
      <c r="K598" s="18"/>
      <c r="L598" s="18"/>
    </row>
    <row r="599" spans="2:12" x14ac:dyDescent="0.2">
      <c r="B599" s="231">
        <v>2026</v>
      </c>
      <c r="C599" s="231" t="s">
        <v>7</v>
      </c>
      <c r="D599" s="236" t="s">
        <v>6417</v>
      </c>
      <c r="E599" s="236" t="s">
        <v>21</v>
      </c>
      <c r="F599" s="232">
        <v>5</v>
      </c>
      <c r="G599" s="232">
        <v>8</v>
      </c>
      <c r="H599" s="232">
        <v>470</v>
      </c>
      <c r="I599" s="232">
        <v>10</v>
      </c>
      <c r="K599" s="18"/>
      <c r="L599" s="18"/>
    </row>
    <row r="600" spans="2:12" x14ac:dyDescent="0.2">
      <c r="B600" s="231">
        <v>2026</v>
      </c>
      <c r="C600" s="231" t="s">
        <v>8</v>
      </c>
      <c r="D600" s="236" t="s">
        <v>6417</v>
      </c>
      <c r="E600" s="236" t="s">
        <v>19</v>
      </c>
      <c r="F600" s="232">
        <v>5</v>
      </c>
      <c r="G600" s="232">
        <v>6</v>
      </c>
      <c r="H600" s="232">
        <v>475</v>
      </c>
      <c r="I600" s="232">
        <v>80</v>
      </c>
      <c r="K600" s="18"/>
      <c r="L600" s="18"/>
    </row>
    <row r="601" spans="2:12" x14ac:dyDescent="0.2">
      <c r="B601" s="231">
        <v>2026</v>
      </c>
      <c r="C601" s="231" t="s">
        <v>7</v>
      </c>
      <c r="D601" s="236" t="s">
        <v>6417</v>
      </c>
      <c r="E601" s="236" t="s">
        <v>19</v>
      </c>
      <c r="F601" s="232">
        <v>5</v>
      </c>
      <c r="G601" s="232">
        <v>4</v>
      </c>
      <c r="H601" s="232">
        <v>491</v>
      </c>
      <c r="I601" s="232">
        <v>45</v>
      </c>
      <c r="K601" s="18"/>
      <c r="L601" s="18"/>
    </row>
    <row r="602" spans="2:12" x14ac:dyDescent="0.2">
      <c r="B602" s="231">
        <v>2026</v>
      </c>
      <c r="C602" s="231" t="s">
        <v>8</v>
      </c>
      <c r="D602" s="236" t="s">
        <v>6417</v>
      </c>
      <c r="E602" s="236" t="s">
        <v>19</v>
      </c>
      <c r="F602" s="232">
        <v>5</v>
      </c>
      <c r="G602" s="232">
        <v>5</v>
      </c>
      <c r="H602" s="232">
        <v>430</v>
      </c>
      <c r="I602" s="232">
        <v>3</v>
      </c>
      <c r="K602" s="18"/>
      <c r="L602" s="18"/>
    </row>
    <row r="603" spans="2:12" x14ac:dyDescent="0.2">
      <c r="B603" s="231">
        <v>2026</v>
      </c>
      <c r="C603" s="231" t="s">
        <v>7</v>
      </c>
      <c r="D603" s="236" t="s">
        <v>6417</v>
      </c>
      <c r="E603" s="236" t="s">
        <v>21</v>
      </c>
      <c r="F603" s="232">
        <v>5</v>
      </c>
      <c r="G603" s="232">
        <v>6</v>
      </c>
      <c r="H603" s="232">
        <v>480</v>
      </c>
      <c r="I603" s="232">
        <v>5</v>
      </c>
      <c r="K603" s="18"/>
      <c r="L603" s="18"/>
    </row>
    <row r="604" spans="2:12" x14ac:dyDescent="0.2">
      <c r="B604" s="231">
        <v>2026</v>
      </c>
      <c r="C604" s="231" t="s">
        <v>8</v>
      </c>
      <c r="D604" s="236" t="s">
        <v>6417</v>
      </c>
      <c r="E604" s="236" t="s">
        <v>19</v>
      </c>
      <c r="F604" s="232">
        <v>5</v>
      </c>
      <c r="G604" s="232">
        <v>7</v>
      </c>
      <c r="H604" s="232">
        <v>441</v>
      </c>
      <c r="I604" s="232">
        <v>25</v>
      </c>
      <c r="K604" s="18"/>
      <c r="L604" s="18"/>
    </row>
    <row r="605" spans="2:12" x14ac:dyDescent="0.2">
      <c r="B605" s="231">
        <v>2026</v>
      </c>
      <c r="C605" s="231" t="s">
        <v>7</v>
      </c>
      <c r="D605" s="236" t="s">
        <v>6417</v>
      </c>
      <c r="E605" s="236" t="s">
        <v>21</v>
      </c>
      <c r="F605" s="232">
        <v>5</v>
      </c>
      <c r="G605" s="232">
        <v>6</v>
      </c>
      <c r="H605" s="232">
        <v>441</v>
      </c>
      <c r="I605" s="232">
        <v>30</v>
      </c>
      <c r="K605" s="18"/>
      <c r="L605" s="18"/>
    </row>
    <row r="606" spans="2:12" x14ac:dyDescent="0.2">
      <c r="B606" s="231">
        <v>2026</v>
      </c>
      <c r="C606" s="231" t="s">
        <v>7</v>
      </c>
      <c r="D606" s="236" t="s">
        <v>6417</v>
      </c>
      <c r="E606" s="236" t="s">
        <v>19</v>
      </c>
      <c r="F606" s="232">
        <v>3</v>
      </c>
      <c r="G606" s="232">
        <v>10</v>
      </c>
      <c r="H606" s="232">
        <v>438</v>
      </c>
      <c r="I606" s="232">
        <v>30</v>
      </c>
      <c r="K606" s="18"/>
      <c r="L606" s="18"/>
    </row>
    <row r="607" spans="2:12" x14ac:dyDescent="0.2">
      <c r="B607" s="231">
        <v>2026</v>
      </c>
      <c r="C607" s="231" t="s">
        <v>7</v>
      </c>
      <c r="D607" s="236" t="s">
        <v>6417</v>
      </c>
      <c r="E607" s="236" t="s">
        <v>21</v>
      </c>
      <c r="F607" s="232">
        <v>4</v>
      </c>
      <c r="G607" s="232">
        <v>9</v>
      </c>
      <c r="H607" s="232">
        <v>476</v>
      </c>
      <c r="I607" s="232">
        <v>20</v>
      </c>
      <c r="K607" s="18"/>
      <c r="L607" s="18"/>
    </row>
    <row r="608" spans="2:12" x14ac:dyDescent="0.2">
      <c r="B608" s="231">
        <v>2026</v>
      </c>
      <c r="C608" s="231" t="s">
        <v>8</v>
      </c>
      <c r="D608" s="236" t="s">
        <v>6417</v>
      </c>
      <c r="E608" s="236" t="s">
        <v>19</v>
      </c>
      <c r="F608" s="232">
        <v>4</v>
      </c>
      <c r="G608" s="232">
        <v>8</v>
      </c>
      <c r="H608" s="232">
        <v>469</v>
      </c>
      <c r="I608" s="232">
        <v>40</v>
      </c>
      <c r="K608" s="18"/>
      <c r="L608" s="18"/>
    </row>
    <row r="609" spans="2:12" x14ac:dyDescent="0.2">
      <c r="B609" s="231">
        <v>2026</v>
      </c>
      <c r="C609" s="231" t="s">
        <v>7</v>
      </c>
      <c r="D609" s="236" t="s">
        <v>6417</v>
      </c>
      <c r="E609" s="236" t="s">
        <v>19</v>
      </c>
      <c r="F609" s="232">
        <v>3</v>
      </c>
      <c r="G609" s="232">
        <v>9</v>
      </c>
      <c r="H609" s="232">
        <v>492</v>
      </c>
      <c r="I609" s="232">
        <v>70</v>
      </c>
      <c r="K609" s="18"/>
      <c r="L609" s="18"/>
    </row>
    <row r="610" spans="2:12" x14ac:dyDescent="0.2">
      <c r="B610" s="231">
        <v>2026</v>
      </c>
      <c r="C610" s="231" t="s">
        <v>7</v>
      </c>
      <c r="D610" s="236" t="s">
        <v>6417</v>
      </c>
      <c r="E610" s="236" t="s">
        <v>21</v>
      </c>
      <c r="F610" s="232">
        <v>5</v>
      </c>
      <c r="G610" s="232">
        <v>9</v>
      </c>
      <c r="H610" s="232">
        <v>496</v>
      </c>
      <c r="I610" s="232">
        <v>5</v>
      </c>
      <c r="K610" s="18"/>
      <c r="L610" s="18"/>
    </row>
    <row r="611" spans="2:12" x14ac:dyDescent="0.2">
      <c r="B611" s="231">
        <v>2026</v>
      </c>
      <c r="C611" s="231" t="s">
        <v>8</v>
      </c>
      <c r="D611" s="236" t="s">
        <v>6417</v>
      </c>
      <c r="E611" s="236" t="s">
        <v>20</v>
      </c>
      <c r="F611" s="232">
        <v>5</v>
      </c>
      <c r="G611" s="232">
        <v>7</v>
      </c>
      <c r="H611" s="232">
        <v>484</v>
      </c>
      <c r="I611" s="232">
        <v>7</v>
      </c>
      <c r="K611" s="18"/>
      <c r="L611" s="18"/>
    </row>
    <row r="612" spans="2:12" x14ac:dyDescent="0.2">
      <c r="B612" s="231">
        <v>2026</v>
      </c>
      <c r="C612" s="231" t="s">
        <v>7</v>
      </c>
      <c r="D612" s="236" t="s">
        <v>6417</v>
      </c>
      <c r="E612" s="236" t="s">
        <v>21</v>
      </c>
      <c r="F612" s="232">
        <v>5</v>
      </c>
      <c r="G612" s="232">
        <v>5</v>
      </c>
      <c r="H612" s="232">
        <v>476</v>
      </c>
      <c r="I612" s="232">
        <v>35</v>
      </c>
      <c r="K612" s="18"/>
      <c r="L612" s="18"/>
    </row>
    <row r="613" spans="2:12" x14ac:dyDescent="0.2">
      <c r="B613" s="231">
        <v>2026</v>
      </c>
      <c r="C613" s="231" t="s">
        <v>8</v>
      </c>
      <c r="D613" s="236" t="s">
        <v>6417</v>
      </c>
      <c r="E613" s="236" t="s">
        <v>19</v>
      </c>
      <c r="F613" s="232">
        <v>4</v>
      </c>
      <c r="G613" s="232">
        <v>8</v>
      </c>
      <c r="H613" s="232">
        <v>446</v>
      </c>
      <c r="I613" s="232">
        <v>35</v>
      </c>
      <c r="K613" s="18"/>
      <c r="L613" s="18"/>
    </row>
    <row r="614" spans="2:12" x14ac:dyDescent="0.2">
      <c r="B614" s="231">
        <v>2026</v>
      </c>
      <c r="C614" s="231" t="s">
        <v>7</v>
      </c>
      <c r="D614" s="236" t="s">
        <v>6417</v>
      </c>
      <c r="E614" s="236" t="s">
        <v>21</v>
      </c>
      <c r="F614" s="232">
        <v>5</v>
      </c>
      <c r="G614" s="232">
        <v>4</v>
      </c>
      <c r="H614" s="232">
        <v>470</v>
      </c>
      <c r="I614" s="232">
        <v>30</v>
      </c>
      <c r="K614" s="18"/>
      <c r="L614" s="18"/>
    </row>
    <row r="615" spans="2:12" x14ac:dyDescent="0.2">
      <c r="B615" s="231">
        <v>2026</v>
      </c>
      <c r="C615" s="231" t="s">
        <v>7</v>
      </c>
      <c r="D615" s="236" t="s">
        <v>6417</v>
      </c>
      <c r="E615" s="236" t="s">
        <v>21</v>
      </c>
      <c r="F615" s="232">
        <v>5</v>
      </c>
      <c r="G615" s="232">
        <v>8</v>
      </c>
      <c r="H615" s="232">
        <v>476</v>
      </c>
      <c r="I615" s="232">
        <v>10</v>
      </c>
      <c r="K615" s="18"/>
      <c r="L615" s="18"/>
    </row>
    <row r="616" spans="2:12" x14ac:dyDescent="0.2">
      <c r="B616" s="231">
        <v>2026</v>
      </c>
      <c r="C616" s="231" t="s">
        <v>8</v>
      </c>
      <c r="D616" s="236" t="s">
        <v>6417</v>
      </c>
      <c r="E616" s="236" t="s">
        <v>21</v>
      </c>
      <c r="F616" s="232">
        <v>5</v>
      </c>
      <c r="G616" s="232">
        <v>7</v>
      </c>
      <c r="H616" s="232">
        <v>444</v>
      </c>
      <c r="I616" s="232">
        <v>40</v>
      </c>
      <c r="K616" s="18"/>
      <c r="L616" s="18"/>
    </row>
    <row r="617" spans="2:12" x14ac:dyDescent="0.2">
      <c r="B617" s="231">
        <v>2026</v>
      </c>
      <c r="C617" s="231" t="s">
        <v>7</v>
      </c>
      <c r="D617" s="236" t="s">
        <v>6417</v>
      </c>
      <c r="E617" s="236" t="s">
        <v>19</v>
      </c>
      <c r="F617" s="232">
        <v>5</v>
      </c>
      <c r="G617" s="232">
        <v>8</v>
      </c>
      <c r="H617" s="232">
        <v>478</v>
      </c>
      <c r="I617" s="232">
        <v>20</v>
      </c>
      <c r="K617" s="18"/>
      <c r="L617" s="18"/>
    </row>
    <row r="618" spans="2:12" x14ac:dyDescent="0.2">
      <c r="B618" s="231">
        <v>2026</v>
      </c>
      <c r="C618" s="231" t="s">
        <v>8</v>
      </c>
      <c r="D618" s="236" t="s">
        <v>6417</v>
      </c>
      <c r="E618" s="236" t="s">
        <v>19</v>
      </c>
      <c r="F618" s="232">
        <v>5</v>
      </c>
      <c r="G618" s="232">
        <v>6</v>
      </c>
      <c r="H618" s="232">
        <v>458</v>
      </c>
      <c r="I618" s="232">
        <v>5</v>
      </c>
      <c r="K618" s="18"/>
      <c r="L618" s="18"/>
    </row>
    <row r="619" spans="2:12" x14ac:dyDescent="0.2">
      <c r="B619" s="231">
        <v>2026</v>
      </c>
      <c r="C619" s="231" t="s">
        <v>7</v>
      </c>
      <c r="D619" s="236" t="s">
        <v>6417</v>
      </c>
      <c r="E619" s="236" t="s">
        <v>21</v>
      </c>
      <c r="F619" s="232">
        <v>5</v>
      </c>
      <c r="G619" s="232">
        <v>7</v>
      </c>
      <c r="H619" s="232">
        <v>472</v>
      </c>
      <c r="I619" s="232">
        <v>30</v>
      </c>
      <c r="K619" s="18"/>
      <c r="L619" s="18"/>
    </row>
    <row r="620" spans="2:12" x14ac:dyDescent="0.2">
      <c r="B620" s="231">
        <v>2026</v>
      </c>
      <c r="C620" s="231" t="s">
        <v>7</v>
      </c>
      <c r="D620" s="236" t="s">
        <v>6417</v>
      </c>
      <c r="E620" s="236" t="s">
        <v>21</v>
      </c>
      <c r="F620" s="232">
        <v>5</v>
      </c>
      <c r="G620" s="232">
        <v>4</v>
      </c>
      <c r="H620" s="232">
        <v>464</v>
      </c>
      <c r="I620" s="232">
        <v>30</v>
      </c>
      <c r="K620" s="18"/>
      <c r="L620" s="18"/>
    </row>
    <row r="621" spans="2:12" x14ac:dyDescent="0.2">
      <c r="B621" s="231">
        <v>2026</v>
      </c>
      <c r="C621" s="231" t="s">
        <v>7</v>
      </c>
      <c r="D621" s="236" t="s">
        <v>6417</v>
      </c>
      <c r="E621" s="236" t="s">
        <v>21</v>
      </c>
      <c r="F621" s="232">
        <v>5</v>
      </c>
      <c r="G621" s="232">
        <v>6</v>
      </c>
      <c r="H621" s="232">
        <v>472</v>
      </c>
      <c r="I621" s="232">
        <v>20</v>
      </c>
      <c r="K621" s="18"/>
      <c r="L621" s="18"/>
    </row>
    <row r="622" spans="2:12" x14ac:dyDescent="0.2">
      <c r="B622" s="231">
        <v>2026</v>
      </c>
      <c r="C622" s="231" t="s">
        <v>7</v>
      </c>
      <c r="D622" s="236" t="s">
        <v>6417</v>
      </c>
      <c r="E622" s="236" t="s">
        <v>20</v>
      </c>
      <c r="F622" s="232">
        <v>5</v>
      </c>
      <c r="G622" s="232">
        <v>7</v>
      </c>
      <c r="H622" s="232">
        <v>450</v>
      </c>
      <c r="I622" s="232">
        <v>45</v>
      </c>
      <c r="K622" s="18"/>
      <c r="L622" s="18"/>
    </row>
    <row r="623" spans="2:12" x14ac:dyDescent="0.2">
      <c r="B623" s="231">
        <v>2026</v>
      </c>
      <c r="C623" s="231" t="s">
        <v>7</v>
      </c>
      <c r="D623" s="236" t="s">
        <v>6417</v>
      </c>
      <c r="E623" s="236" t="s">
        <v>19</v>
      </c>
      <c r="F623" s="232">
        <v>5</v>
      </c>
      <c r="G623" s="232">
        <v>12</v>
      </c>
      <c r="H623" s="232">
        <v>460</v>
      </c>
      <c r="I623" s="232">
        <v>15</v>
      </c>
      <c r="K623" s="18"/>
      <c r="L623" s="18"/>
    </row>
    <row r="624" spans="2:12" x14ac:dyDescent="0.2">
      <c r="B624" s="231">
        <v>2026</v>
      </c>
      <c r="C624" s="231" t="s">
        <v>7</v>
      </c>
      <c r="D624" s="236" t="s">
        <v>6417</v>
      </c>
      <c r="E624" s="236" t="s">
        <v>19</v>
      </c>
      <c r="F624" s="232">
        <v>4</v>
      </c>
      <c r="G624" s="232">
        <v>7</v>
      </c>
      <c r="H624" s="232">
        <v>445</v>
      </c>
      <c r="I624" s="232">
        <v>35</v>
      </c>
      <c r="K624" s="18"/>
      <c r="L624" s="18"/>
    </row>
    <row r="625" spans="2:12" x14ac:dyDescent="0.2">
      <c r="B625" s="231">
        <v>2026</v>
      </c>
      <c r="C625" s="231" t="s">
        <v>7</v>
      </c>
      <c r="D625" s="236" t="s">
        <v>6417</v>
      </c>
      <c r="E625" s="236" t="s">
        <v>21</v>
      </c>
      <c r="F625" s="232">
        <v>5</v>
      </c>
      <c r="G625" s="232">
        <v>3</v>
      </c>
      <c r="H625" s="232">
        <v>485</v>
      </c>
      <c r="I625" s="232">
        <v>20</v>
      </c>
      <c r="K625" s="18"/>
      <c r="L625" s="18"/>
    </row>
    <row r="626" spans="2:12" x14ac:dyDescent="0.2">
      <c r="B626" s="231">
        <v>2026</v>
      </c>
      <c r="C626" s="231" t="s">
        <v>7</v>
      </c>
      <c r="D626" s="236" t="s">
        <v>6417</v>
      </c>
      <c r="E626" s="236" t="s">
        <v>21</v>
      </c>
      <c r="F626" s="232">
        <v>5</v>
      </c>
      <c r="G626" s="232">
        <v>6</v>
      </c>
      <c r="H626" s="232">
        <v>460</v>
      </c>
      <c r="I626" s="232">
        <v>25</v>
      </c>
      <c r="K626" s="18"/>
      <c r="L626" s="18"/>
    </row>
    <row r="627" spans="2:12" x14ac:dyDescent="0.2">
      <c r="B627" s="231">
        <v>2026</v>
      </c>
      <c r="C627" s="231" t="s">
        <v>7</v>
      </c>
      <c r="D627" s="236" t="s">
        <v>6417</v>
      </c>
      <c r="E627" s="236" t="s">
        <v>21</v>
      </c>
      <c r="F627" s="232">
        <v>5</v>
      </c>
      <c r="G627" s="232">
        <v>10</v>
      </c>
      <c r="H627" s="232">
        <v>456</v>
      </c>
      <c r="I627" s="232">
        <v>15</v>
      </c>
      <c r="K627" s="18"/>
      <c r="L627" s="18"/>
    </row>
    <row r="628" spans="2:12" x14ac:dyDescent="0.2">
      <c r="B628" s="231">
        <v>2026</v>
      </c>
      <c r="C628" s="231" t="s">
        <v>7</v>
      </c>
      <c r="D628" s="236" t="s">
        <v>6417</v>
      </c>
      <c r="E628" s="236" t="s">
        <v>21</v>
      </c>
      <c r="F628" s="232">
        <v>5</v>
      </c>
      <c r="G628" s="232">
        <v>6</v>
      </c>
      <c r="H628" s="232">
        <v>456</v>
      </c>
      <c r="I628" s="232">
        <v>90</v>
      </c>
      <c r="K628" s="18"/>
      <c r="L628" s="18"/>
    </row>
    <row r="629" spans="2:12" x14ac:dyDescent="0.2">
      <c r="B629" s="231">
        <v>2026</v>
      </c>
      <c r="C629" s="231" t="s">
        <v>8</v>
      </c>
      <c r="D629" s="236" t="s">
        <v>6417</v>
      </c>
      <c r="E629" s="236" t="s">
        <v>19</v>
      </c>
      <c r="F629" s="232">
        <v>5</v>
      </c>
      <c r="G629" s="232">
        <v>9</v>
      </c>
      <c r="H629" s="232">
        <v>489</v>
      </c>
      <c r="I629" s="232">
        <v>70</v>
      </c>
      <c r="K629" s="18"/>
      <c r="L629" s="18"/>
    </row>
    <row r="630" spans="2:12" x14ac:dyDescent="0.2">
      <c r="B630" s="231">
        <v>2026</v>
      </c>
      <c r="C630" s="231" t="s">
        <v>7</v>
      </c>
      <c r="D630" s="236" t="s">
        <v>6417</v>
      </c>
      <c r="E630" s="236" t="s">
        <v>21</v>
      </c>
      <c r="F630" s="232">
        <v>5</v>
      </c>
      <c r="G630" s="232">
        <v>8</v>
      </c>
      <c r="H630" s="232">
        <v>420</v>
      </c>
      <c r="I630" s="232">
        <v>60</v>
      </c>
      <c r="K630" s="18"/>
      <c r="L630" s="18"/>
    </row>
    <row r="631" spans="2:12" x14ac:dyDescent="0.2">
      <c r="B631" s="231">
        <v>2026</v>
      </c>
      <c r="C631" s="231" t="s">
        <v>7</v>
      </c>
      <c r="D631" s="236" t="s">
        <v>6417</v>
      </c>
      <c r="E631" s="236" t="s">
        <v>21</v>
      </c>
      <c r="F631" s="232">
        <v>4</v>
      </c>
      <c r="G631" s="232">
        <v>4</v>
      </c>
      <c r="H631" s="232">
        <v>461</v>
      </c>
      <c r="I631" s="232">
        <v>35</v>
      </c>
      <c r="K631" s="18"/>
      <c r="L631" s="18"/>
    </row>
    <row r="632" spans="2:12" x14ac:dyDescent="0.2">
      <c r="B632" s="231">
        <v>2026</v>
      </c>
      <c r="C632" s="231" t="s">
        <v>7</v>
      </c>
      <c r="D632" s="236" t="s">
        <v>6417</v>
      </c>
      <c r="E632" s="236" t="s">
        <v>21</v>
      </c>
      <c r="F632" s="232">
        <v>5</v>
      </c>
      <c r="G632" s="232">
        <v>9</v>
      </c>
      <c r="H632" s="232">
        <v>461</v>
      </c>
      <c r="I632" s="232">
        <v>25</v>
      </c>
      <c r="K632" s="18"/>
      <c r="L632" s="18"/>
    </row>
    <row r="633" spans="2:12" x14ac:dyDescent="0.2">
      <c r="B633" s="231">
        <v>2026</v>
      </c>
      <c r="C633" s="231" t="s">
        <v>7</v>
      </c>
      <c r="D633" s="236" t="s">
        <v>6417</v>
      </c>
      <c r="E633" s="236" t="s">
        <v>21</v>
      </c>
      <c r="F633" s="232">
        <v>5</v>
      </c>
      <c r="G633" s="232">
        <v>6</v>
      </c>
      <c r="H633" s="232">
        <v>474</v>
      </c>
      <c r="I633" s="232">
        <v>90</v>
      </c>
      <c r="K633" s="18"/>
      <c r="L633" s="18"/>
    </row>
    <row r="634" spans="2:12" x14ac:dyDescent="0.2">
      <c r="B634" s="231">
        <v>2026</v>
      </c>
      <c r="C634" s="231" t="s">
        <v>7</v>
      </c>
      <c r="D634" s="236" t="s">
        <v>6417</v>
      </c>
      <c r="E634" s="236" t="s">
        <v>21</v>
      </c>
      <c r="F634" s="232">
        <v>5</v>
      </c>
      <c r="G634" s="232">
        <v>7</v>
      </c>
      <c r="H634" s="232">
        <v>464</v>
      </c>
      <c r="I634" s="232">
        <v>50</v>
      </c>
      <c r="K634" s="18"/>
      <c r="L634" s="18"/>
    </row>
    <row r="635" spans="2:12" x14ac:dyDescent="0.2">
      <c r="B635" s="231">
        <v>2026</v>
      </c>
      <c r="C635" s="231" t="s">
        <v>7</v>
      </c>
      <c r="D635" s="236" t="s">
        <v>6417</v>
      </c>
      <c r="E635" s="236" t="s">
        <v>21</v>
      </c>
      <c r="F635" s="232">
        <v>5</v>
      </c>
      <c r="G635" s="232">
        <v>5</v>
      </c>
      <c r="H635" s="232">
        <v>422</v>
      </c>
      <c r="I635" s="232">
        <v>40</v>
      </c>
      <c r="K635" s="18"/>
      <c r="L635" s="18"/>
    </row>
    <row r="636" spans="2:12" x14ac:dyDescent="0.2">
      <c r="B636" s="231">
        <v>2026</v>
      </c>
      <c r="C636" s="231" t="s">
        <v>7</v>
      </c>
      <c r="D636" s="236" t="s">
        <v>6417</v>
      </c>
      <c r="E636" s="236" t="s">
        <v>21</v>
      </c>
      <c r="F636" s="232">
        <v>5</v>
      </c>
      <c r="G636" s="232">
        <v>10</v>
      </c>
      <c r="H636" s="232">
        <v>442</v>
      </c>
      <c r="I636" s="232">
        <v>35</v>
      </c>
      <c r="K636" s="18"/>
      <c r="L636" s="18"/>
    </row>
    <row r="637" spans="2:12" x14ac:dyDescent="0.2">
      <c r="B637" s="231">
        <v>2026</v>
      </c>
      <c r="C637" s="231" t="s">
        <v>7</v>
      </c>
      <c r="D637" s="236" t="s">
        <v>6417</v>
      </c>
      <c r="E637" s="236" t="s">
        <v>21</v>
      </c>
      <c r="F637" s="232">
        <v>5</v>
      </c>
      <c r="G637" s="232">
        <v>8</v>
      </c>
      <c r="H637" s="232">
        <v>470</v>
      </c>
      <c r="I637" s="232">
        <v>50</v>
      </c>
      <c r="K637" s="18"/>
      <c r="L637" s="18"/>
    </row>
    <row r="638" spans="2:12" x14ac:dyDescent="0.2">
      <c r="B638" s="231">
        <v>2026</v>
      </c>
      <c r="C638" s="231" t="s">
        <v>7</v>
      </c>
      <c r="D638" s="236" t="s">
        <v>6417</v>
      </c>
      <c r="E638" s="236" t="s">
        <v>19</v>
      </c>
      <c r="F638" s="232">
        <v>5</v>
      </c>
      <c r="G638" s="232">
        <v>7</v>
      </c>
      <c r="H638" s="232">
        <v>480</v>
      </c>
      <c r="I638" s="232">
        <v>60</v>
      </c>
      <c r="K638" s="18"/>
      <c r="L638" s="18"/>
    </row>
    <row r="639" spans="2:12" x14ac:dyDescent="0.2">
      <c r="B639" s="231">
        <v>2026</v>
      </c>
      <c r="C639" s="231" t="s">
        <v>7</v>
      </c>
      <c r="D639" s="236" t="s">
        <v>6417</v>
      </c>
      <c r="E639" s="236" t="s">
        <v>21</v>
      </c>
      <c r="F639" s="232">
        <v>5</v>
      </c>
      <c r="G639" s="232">
        <v>6</v>
      </c>
      <c r="H639" s="232">
        <v>425</v>
      </c>
      <c r="I639" s="232">
        <v>40</v>
      </c>
      <c r="K639" s="18"/>
      <c r="L639" s="18"/>
    </row>
    <row r="640" spans="2:12" x14ac:dyDescent="0.2">
      <c r="B640" s="231">
        <v>2026</v>
      </c>
      <c r="C640" s="231" t="s">
        <v>7</v>
      </c>
      <c r="D640" s="236" t="s">
        <v>6417</v>
      </c>
      <c r="E640" s="236" t="s">
        <v>21</v>
      </c>
      <c r="F640" s="232">
        <v>5</v>
      </c>
      <c r="G640" s="232">
        <v>8</v>
      </c>
      <c r="H640" s="232">
        <v>464</v>
      </c>
      <c r="I640" s="232">
        <v>15</v>
      </c>
      <c r="K640" s="18"/>
      <c r="L640" s="18"/>
    </row>
    <row r="641" spans="2:12" x14ac:dyDescent="0.2">
      <c r="B641" s="231">
        <v>2026</v>
      </c>
      <c r="C641" s="231" t="s">
        <v>7</v>
      </c>
      <c r="D641" s="236" t="s">
        <v>6417</v>
      </c>
      <c r="E641" s="236" t="s">
        <v>21</v>
      </c>
      <c r="F641" s="232">
        <v>5</v>
      </c>
      <c r="G641" s="232">
        <v>9</v>
      </c>
      <c r="H641" s="232">
        <v>426</v>
      </c>
      <c r="I641" s="232">
        <v>50</v>
      </c>
      <c r="K641" s="18"/>
      <c r="L641" s="18"/>
    </row>
    <row r="642" spans="2:12" x14ac:dyDescent="0.2">
      <c r="B642" s="231">
        <v>2026</v>
      </c>
      <c r="C642" s="231" t="s">
        <v>8</v>
      </c>
      <c r="D642" s="236" t="s">
        <v>6417</v>
      </c>
      <c r="E642" s="236" t="s">
        <v>21</v>
      </c>
      <c r="F642" s="232">
        <v>5</v>
      </c>
      <c r="G642" s="232">
        <v>6</v>
      </c>
      <c r="H642" s="232">
        <v>450</v>
      </c>
      <c r="I642" s="232">
        <v>55</v>
      </c>
      <c r="K642" s="18"/>
      <c r="L642" s="18"/>
    </row>
    <row r="643" spans="2:12" x14ac:dyDescent="0.2">
      <c r="B643" s="231">
        <v>2026</v>
      </c>
      <c r="C643" s="231" t="s">
        <v>7</v>
      </c>
      <c r="D643" s="236" t="s">
        <v>6417</v>
      </c>
      <c r="E643" s="236" t="s">
        <v>21</v>
      </c>
      <c r="F643" s="232">
        <v>3</v>
      </c>
      <c r="G643" s="232">
        <v>7</v>
      </c>
      <c r="H643" s="232">
        <v>430</v>
      </c>
      <c r="I643" s="232">
        <v>35</v>
      </c>
      <c r="K643" s="18"/>
      <c r="L643" s="18"/>
    </row>
    <row r="644" spans="2:12" x14ac:dyDescent="0.2">
      <c r="B644" s="231">
        <v>2026</v>
      </c>
      <c r="C644" s="231" t="s">
        <v>8</v>
      </c>
      <c r="D644" s="236" t="s">
        <v>6417</v>
      </c>
      <c r="E644" s="236" t="s">
        <v>21</v>
      </c>
      <c r="F644" s="232">
        <v>5</v>
      </c>
      <c r="G644" s="232">
        <v>7</v>
      </c>
      <c r="H644" s="232">
        <v>488</v>
      </c>
      <c r="I644" s="232">
        <v>20</v>
      </c>
      <c r="K644" s="18"/>
      <c r="L644" s="18"/>
    </row>
    <row r="645" spans="2:12" x14ac:dyDescent="0.2">
      <c r="B645" s="231">
        <v>2026</v>
      </c>
      <c r="C645" s="231" t="s">
        <v>7</v>
      </c>
      <c r="D645" s="236" t="s">
        <v>6417</v>
      </c>
      <c r="E645" s="236" t="s">
        <v>19</v>
      </c>
      <c r="F645" s="232">
        <v>5</v>
      </c>
      <c r="G645" s="232">
        <v>5</v>
      </c>
      <c r="H645" s="232">
        <v>478</v>
      </c>
      <c r="I645" s="232">
        <v>35</v>
      </c>
      <c r="K645" s="18"/>
      <c r="L645" s="18"/>
    </row>
    <row r="646" spans="2:12" x14ac:dyDescent="0.2">
      <c r="B646" s="231">
        <v>2026</v>
      </c>
      <c r="C646" s="231" t="s">
        <v>8</v>
      </c>
      <c r="D646" s="236" t="s">
        <v>6417</v>
      </c>
      <c r="E646" s="236" t="s">
        <v>21</v>
      </c>
      <c r="F646" s="232">
        <v>5</v>
      </c>
      <c r="G646" s="232">
        <v>6</v>
      </c>
      <c r="H646" s="232">
        <v>465</v>
      </c>
      <c r="I646" s="232">
        <v>45</v>
      </c>
      <c r="K646" s="18"/>
      <c r="L646" s="18"/>
    </row>
    <row r="647" spans="2:12" x14ac:dyDescent="0.2">
      <c r="B647" s="231">
        <v>2026</v>
      </c>
      <c r="C647" s="231" t="s">
        <v>8</v>
      </c>
      <c r="D647" s="236" t="s">
        <v>6417</v>
      </c>
      <c r="E647" s="236" t="s">
        <v>21</v>
      </c>
      <c r="F647" s="232">
        <v>4</v>
      </c>
      <c r="G647" s="232">
        <v>7</v>
      </c>
      <c r="H647" s="232">
        <v>490</v>
      </c>
      <c r="I647" s="232">
        <v>15</v>
      </c>
      <c r="K647" s="18"/>
      <c r="L647" s="18"/>
    </row>
    <row r="648" spans="2:12" x14ac:dyDescent="0.2">
      <c r="B648" s="231">
        <v>2026</v>
      </c>
      <c r="C648" s="231" t="s">
        <v>8</v>
      </c>
      <c r="D648" s="236" t="s">
        <v>6417</v>
      </c>
      <c r="E648" s="236" t="s">
        <v>21</v>
      </c>
      <c r="F648" s="232">
        <v>5</v>
      </c>
      <c r="G648" s="232">
        <v>7</v>
      </c>
      <c r="H648" s="232">
        <v>444</v>
      </c>
      <c r="I648" s="232">
        <v>65</v>
      </c>
      <c r="K648" s="18"/>
      <c r="L648" s="18"/>
    </row>
    <row r="649" spans="2:12" x14ac:dyDescent="0.2">
      <c r="B649" s="231">
        <v>2026</v>
      </c>
      <c r="C649" s="231" t="s">
        <v>7</v>
      </c>
      <c r="D649" s="236" t="s">
        <v>6417</v>
      </c>
      <c r="E649" s="236" t="s">
        <v>20</v>
      </c>
      <c r="F649" s="232">
        <v>5</v>
      </c>
      <c r="G649" s="232">
        <v>4</v>
      </c>
      <c r="H649" s="232">
        <v>480</v>
      </c>
      <c r="I649" s="232">
        <v>60</v>
      </c>
      <c r="K649" s="18"/>
      <c r="L649" s="18"/>
    </row>
    <row r="650" spans="2:12" x14ac:dyDescent="0.2">
      <c r="B650" s="231">
        <v>2026</v>
      </c>
      <c r="C650" s="231" t="s">
        <v>7</v>
      </c>
      <c r="D650" s="236" t="s">
        <v>6417</v>
      </c>
      <c r="E650" s="236" t="s">
        <v>21</v>
      </c>
      <c r="F650" s="232">
        <v>5</v>
      </c>
      <c r="G650" s="232">
        <v>5</v>
      </c>
      <c r="H650" s="232">
        <v>475</v>
      </c>
      <c r="I650" s="232">
        <v>35</v>
      </c>
      <c r="K650" s="18"/>
      <c r="L650" s="18"/>
    </row>
    <row r="651" spans="2:12" x14ac:dyDescent="0.2">
      <c r="B651" s="231">
        <v>2026</v>
      </c>
      <c r="C651" s="231" t="s">
        <v>7</v>
      </c>
      <c r="D651" s="236" t="s">
        <v>6417</v>
      </c>
      <c r="E651" s="236" t="s">
        <v>21</v>
      </c>
      <c r="F651" s="232">
        <v>5</v>
      </c>
      <c r="G651" s="232">
        <v>3</v>
      </c>
      <c r="H651" s="232">
        <v>483</v>
      </c>
      <c r="I651" s="232">
        <v>23</v>
      </c>
      <c r="K651" s="18"/>
      <c r="L651" s="18"/>
    </row>
    <row r="652" spans="2:12" x14ac:dyDescent="0.2">
      <c r="B652" s="231">
        <v>2026</v>
      </c>
      <c r="C652" s="231" t="s">
        <v>8</v>
      </c>
      <c r="D652" s="236" t="s">
        <v>6417</v>
      </c>
      <c r="E652" s="236" t="s">
        <v>19</v>
      </c>
      <c r="F652" s="232">
        <v>5</v>
      </c>
      <c r="G652" s="232">
        <v>7</v>
      </c>
      <c r="H652" s="232">
        <v>460</v>
      </c>
      <c r="I652" s="232">
        <v>50</v>
      </c>
      <c r="K652" s="18"/>
      <c r="L652" s="18"/>
    </row>
    <row r="653" spans="2:12" x14ac:dyDescent="0.2">
      <c r="B653" s="231">
        <v>2026</v>
      </c>
      <c r="C653" s="231" t="s">
        <v>7</v>
      </c>
      <c r="D653" s="236" t="s">
        <v>6417</v>
      </c>
      <c r="E653" s="236" t="s">
        <v>21</v>
      </c>
      <c r="F653" s="232">
        <v>5</v>
      </c>
      <c r="G653" s="232">
        <v>7</v>
      </c>
      <c r="H653" s="232">
        <v>485</v>
      </c>
      <c r="I653" s="232">
        <v>30</v>
      </c>
      <c r="K653" s="18"/>
      <c r="L653" s="18"/>
    </row>
    <row r="654" spans="2:12" x14ac:dyDescent="0.2">
      <c r="B654" s="231">
        <v>2026</v>
      </c>
      <c r="C654" s="231" t="s">
        <v>8</v>
      </c>
      <c r="D654" s="236" t="s">
        <v>6417</v>
      </c>
      <c r="E654" s="236" t="s">
        <v>21</v>
      </c>
      <c r="F654" s="232">
        <v>5</v>
      </c>
      <c r="G654" s="232">
        <v>8</v>
      </c>
      <c r="H654" s="232">
        <v>453</v>
      </c>
      <c r="I654" s="232">
        <v>30</v>
      </c>
      <c r="K654" s="18"/>
      <c r="L654" s="18"/>
    </row>
    <row r="655" spans="2:12" x14ac:dyDescent="0.2">
      <c r="B655" s="231">
        <v>2026</v>
      </c>
      <c r="C655" s="231" t="s">
        <v>7</v>
      </c>
      <c r="D655" s="236" t="s">
        <v>6417</v>
      </c>
      <c r="E655" s="236" t="s">
        <v>19</v>
      </c>
      <c r="F655" s="232">
        <v>5</v>
      </c>
      <c r="G655" s="232">
        <v>9</v>
      </c>
      <c r="H655" s="232">
        <v>484</v>
      </c>
      <c r="I655" s="232">
        <v>50</v>
      </c>
      <c r="K655" s="18"/>
      <c r="L655" s="18"/>
    </row>
    <row r="656" spans="2:12" x14ac:dyDescent="0.2">
      <c r="B656" s="231">
        <v>2026</v>
      </c>
      <c r="C656" s="231" t="s">
        <v>7</v>
      </c>
      <c r="D656" s="236" t="s">
        <v>6417</v>
      </c>
      <c r="E656" s="236" t="s">
        <v>19</v>
      </c>
      <c r="F656" s="232">
        <v>4</v>
      </c>
      <c r="G656" s="232">
        <v>5</v>
      </c>
      <c r="H656" s="232">
        <v>449</v>
      </c>
      <c r="I656" s="232">
        <v>60</v>
      </c>
      <c r="K656" s="18"/>
      <c r="L656" s="18"/>
    </row>
    <row r="657" spans="2:12" x14ac:dyDescent="0.2">
      <c r="B657" s="231">
        <v>2026</v>
      </c>
      <c r="C657" s="231" t="s">
        <v>8</v>
      </c>
      <c r="D657" s="236" t="s">
        <v>6417</v>
      </c>
      <c r="E657" s="236" t="s">
        <v>19</v>
      </c>
      <c r="F657" s="232">
        <v>5</v>
      </c>
      <c r="G657" s="232">
        <v>7</v>
      </c>
      <c r="H657" s="232">
        <v>460</v>
      </c>
      <c r="I657" s="232">
        <v>60</v>
      </c>
      <c r="K657" s="18"/>
      <c r="L657" s="18"/>
    </row>
    <row r="658" spans="2:12" x14ac:dyDescent="0.2">
      <c r="B658" s="231">
        <v>2026</v>
      </c>
      <c r="C658" s="231" t="s">
        <v>8</v>
      </c>
      <c r="D658" s="236" t="s">
        <v>6417</v>
      </c>
      <c r="E658" s="236" t="s">
        <v>21</v>
      </c>
      <c r="F658" s="232">
        <v>5</v>
      </c>
      <c r="G658" s="232">
        <v>7</v>
      </c>
      <c r="H658" s="232">
        <v>457</v>
      </c>
      <c r="I658" s="232">
        <v>45</v>
      </c>
      <c r="K658" s="18"/>
      <c r="L658" s="18"/>
    </row>
    <row r="659" spans="2:12" x14ac:dyDescent="0.2">
      <c r="B659" s="231">
        <v>2026</v>
      </c>
      <c r="C659" s="231" t="s">
        <v>7</v>
      </c>
      <c r="D659" s="236" t="s">
        <v>6417</v>
      </c>
      <c r="E659" s="236" t="s">
        <v>19</v>
      </c>
      <c r="F659" s="232">
        <v>5</v>
      </c>
      <c r="G659" s="232">
        <v>10</v>
      </c>
      <c r="H659" s="232">
        <v>472</v>
      </c>
      <c r="I659" s="232">
        <v>5</v>
      </c>
      <c r="K659" s="18"/>
      <c r="L659" s="18"/>
    </row>
    <row r="660" spans="2:12" x14ac:dyDescent="0.2">
      <c r="B660" s="231">
        <v>2026</v>
      </c>
      <c r="C660" s="231" t="s">
        <v>7</v>
      </c>
      <c r="D660" s="236" t="s">
        <v>6417</v>
      </c>
      <c r="E660" s="236" t="s">
        <v>19</v>
      </c>
      <c r="F660" s="232">
        <v>3</v>
      </c>
      <c r="G660" s="232">
        <v>11</v>
      </c>
      <c r="H660" s="232">
        <v>452</v>
      </c>
      <c r="I660" s="232">
        <v>12</v>
      </c>
      <c r="K660" s="18"/>
      <c r="L660" s="18"/>
    </row>
    <row r="661" spans="2:12" x14ac:dyDescent="0.2">
      <c r="B661" s="231">
        <v>2026</v>
      </c>
      <c r="C661" s="231" t="s">
        <v>7</v>
      </c>
      <c r="D661" s="236" t="s">
        <v>6417</v>
      </c>
      <c r="E661" s="236" t="s">
        <v>19</v>
      </c>
      <c r="F661" s="232">
        <v>5</v>
      </c>
      <c r="G661" s="232">
        <v>7</v>
      </c>
      <c r="H661" s="232">
        <v>474</v>
      </c>
      <c r="I661" s="232">
        <v>25</v>
      </c>
      <c r="K661" s="18"/>
      <c r="L661" s="18"/>
    </row>
    <row r="662" spans="2:12" x14ac:dyDescent="0.2">
      <c r="B662" s="231">
        <v>2026</v>
      </c>
      <c r="C662" s="231" t="s">
        <v>7</v>
      </c>
      <c r="D662" s="236" t="s">
        <v>6417</v>
      </c>
      <c r="E662" s="236" t="s">
        <v>19</v>
      </c>
      <c r="F662" s="232">
        <v>5</v>
      </c>
      <c r="G662" s="232">
        <v>6</v>
      </c>
      <c r="H662" s="232">
        <v>420</v>
      </c>
      <c r="I662" s="232">
        <v>20</v>
      </c>
      <c r="K662" s="18"/>
      <c r="L662" s="18"/>
    </row>
    <row r="663" spans="2:12" x14ac:dyDescent="0.2">
      <c r="B663" s="231">
        <v>2026</v>
      </c>
      <c r="C663" s="231" t="s">
        <v>8</v>
      </c>
      <c r="D663" s="236" t="s">
        <v>6417</v>
      </c>
      <c r="E663" s="236" t="s">
        <v>21</v>
      </c>
      <c r="F663" s="232">
        <v>5</v>
      </c>
      <c r="G663" s="232">
        <v>6</v>
      </c>
      <c r="H663" s="232">
        <v>494</v>
      </c>
      <c r="I663" s="232">
        <v>15</v>
      </c>
      <c r="K663" s="18"/>
      <c r="L663" s="18"/>
    </row>
    <row r="664" spans="2:12" x14ac:dyDescent="0.2">
      <c r="B664" s="231">
        <v>2026</v>
      </c>
      <c r="C664" s="231" t="s">
        <v>7</v>
      </c>
      <c r="D664" s="236" t="s">
        <v>6417</v>
      </c>
      <c r="E664" s="236" t="s">
        <v>21</v>
      </c>
      <c r="F664" s="232">
        <v>4</v>
      </c>
      <c r="G664" s="232">
        <v>4</v>
      </c>
      <c r="H664" s="232">
        <v>450</v>
      </c>
      <c r="I664" s="232">
        <v>35</v>
      </c>
      <c r="K664" s="18"/>
      <c r="L664" s="18"/>
    </row>
    <row r="665" spans="2:12" x14ac:dyDescent="0.2">
      <c r="B665" s="231">
        <v>2026</v>
      </c>
      <c r="C665" s="231" t="s">
        <v>8</v>
      </c>
      <c r="D665" s="236" t="s">
        <v>6417</v>
      </c>
      <c r="E665" s="236" t="s">
        <v>21</v>
      </c>
      <c r="F665" s="232">
        <v>5</v>
      </c>
      <c r="G665" s="232">
        <v>7</v>
      </c>
      <c r="H665" s="232">
        <v>442</v>
      </c>
      <c r="I665" s="232">
        <v>20</v>
      </c>
      <c r="K665" s="18"/>
      <c r="L665" s="18"/>
    </row>
    <row r="666" spans="2:12" x14ac:dyDescent="0.2">
      <c r="B666" s="231">
        <v>2026</v>
      </c>
      <c r="C666" s="231" t="s">
        <v>7</v>
      </c>
      <c r="D666" s="236" t="s">
        <v>6417</v>
      </c>
      <c r="E666" s="236" t="s">
        <v>21</v>
      </c>
      <c r="F666" s="232">
        <v>5</v>
      </c>
      <c r="G666" s="232">
        <v>11</v>
      </c>
      <c r="H666" s="232">
        <v>462</v>
      </c>
      <c r="I666" s="232">
        <v>35</v>
      </c>
      <c r="K666" s="18"/>
      <c r="L666" s="18"/>
    </row>
    <row r="667" spans="2:12" x14ac:dyDescent="0.2">
      <c r="B667" s="231">
        <v>2026</v>
      </c>
      <c r="C667" s="231" t="s">
        <v>7</v>
      </c>
      <c r="D667" s="236" t="s">
        <v>6417</v>
      </c>
      <c r="E667" s="236" t="s">
        <v>19</v>
      </c>
      <c r="F667" s="232">
        <v>5</v>
      </c>
      <c r="G667" s="232">
        <v>9</v>
      </c>
      <c r="H667" s="232">
        <v>482</v>
      </c>
      <c r="I667" s="232">
        <v>120</v>
      </c>
      <c r="K667" s="18"/>
      <c r="L667" s="18"/>
    </row>
    <row r="668" spans="2:12" x14ac:dyDescent="0.2">
      <c r="B668" s="231">
        <v>2026</v>
      </c>
      <c r="C668" s="231" t="s">
        <v>7</v>
      </c>
      <c r="D668" s="236" t="s">
        <v>6417</v>
      </c>
      <c r="E668" s="236" t="s">
        <v>21</v>
      </c>
      <c r="F668" s="232">
        <v>5</v>
      </c>
      <c r="G668" s="232">
        <v>9</v>
      </c>
      <c r="H668" s="232">
        <v>465</v>
      </c>
      <c r="I668" s="232">
        <v>25</v>
      </c>
      <c r="K668" s="18"/>
      <c r="L668" s="18"/>
    </row>
    <row r="669" spans="2:12" x14ac:dyDescent="0.2">
      <c r="B669" s="231">
        <v>2026</v>
      </c>
      <c r="C669" s="231" t="s">
        <v>8</v>
      </c>
      <c r="D669" s="236" t="s">
        <v>6417</v>
      </c>
      <c r="E669" s="236" t="s">
        <v>19</v>
      </c>
      <c r="F669" s="232">
        <v>4</v>
      </c>
      <c r="G669" s="232">
        <v>6</v>
      </c>
      <c r="H669" s="232">
        <v>449</v>
      </c>
      <c r="I669" s="232">
        <v>7</v>
      </c>
      <c r="K669" s="18"/>
      <c r="L669" s="18"/>
    </row>
    <row r="670" spans="2:12" x14ac:dyDescent="0.2">
      <c r="B670" s="231">
        <v>2026</v>
      </c>
      <c r="C670" s="231" t="s">
        <v>8</v>
      </c>
      <c r="D670" s="236" t="s">
        <v>6417</v>
      </c>
      <c r="E670" s="236" t="s">
        <v>19</v>
      </c>
      <c r="F670" s="232">
        <v>5</v>
      </c>
      <c r="G670" s="232">
        <v>7</v>
      </c>
      <c r="H670" s="232">
        <v>442</v>
      </c>
      <c r="I670" s="232">
        <v>30</v>
      </c>
      <c r="K670" s="18"/>
      <c r="L670" s="18"/>
    </row>
    <row r="671" spans="2:12" x14ac:dyDescent="0.2">
      <c r="B671" s="231">
        <v>2026</v>
      </c>
      <c r="C671" s="231" t="s">
        <v>7</v>
      </c>
      <c r="D671" s="236" t="s">
        <v>6417</v>
      </c>
      <c r="E671" s="236" t="s">
        <v>19</v>
      </c>
      <c r="F671" s="232">
        <v>5</v>
      </c>
      <c r="G671" s="232">
        <v>7</v>
      </c>
      <c r="H671" s="232">
        <v>450</v>
      </c>
      <c r="I671" s="232">
        <v>30</v>
      </c>
      <c r="K671" s="18"/>
      <c r="L671" s="18"/>
    </row>
    <row r="672" spans="2:12" x14ac:dyDescent="0.2">
      <c r="B672" s="231">
        <v>2026</v>
      </c>
      <c r="C672" s="231" t="s">
        <v>7</v>
      </c>
      <c r="D672" s="236" t="s">
        <v>6417</v>
      </c>
      <c r="E672" s="236" t="s">
        <v>21</v>
      </c>
      <c r="F672" s="232">
        <v>5</v>
      </c>
      <c r="G672" s="232">
        <v>9</v>
      </c>
      <c r="H672" s="232">
        <v>490</v>
      </c>
      <c r="I672" s="232">
        <v>35</v>
      </c>
      <c r="K672" s="18"/>
      <c r="L672" s="18"/>
    </row>
    <row r="673" spans="2:12" x14ac:dyDescent="0.2">
      <c r="B673" s="231">
        <v>2026</v>
      </c>
      <c r="C673" s="231" t="s">
        <v>8</v>
      </c>
      <c r="D673" s="236" t="s">
        <v>6417</v>
      </c>
      <c r="E673" s="236" t="s">
        <v>19</v>
      </c>
      <c r="F673" s="232">
        <v>4</v>
      </c>
      <c r="G673" s="232">
        <v>10</v>
      </c>
      <c r="H673" s="232">
        <v>440</v>
      </c>
      <c r="I673" s="232">
        <v>30</v>
      </c>
      <c r="K673" s="18"/>
      <c r="L673" s="18"/>
    </row>
    <row r="674" spans="2:12" x14ac:dyDescent="0.2">
      <c r="B674" s="231">
        <v>2026</v>
      </c>
      <c r="C674" s="231" t="s">
        <v>7</v>
      </c>
      <c r="D674" s="236" t="s">
        <v>6417</v>
      </c>
      <c r="E674" s="236" t="s">
        <v>21</v>
      </c>
      <c r="F674" s="232">
        <v>5</v>
      </c>
      <c r="G674" s="232">
        <v>6</v>
      </c>
      <c r="H674" s="232">
        <v>459</v>
      </c>
      <c r="I674" s="232">
        <v>50</v>
      </c>
      <c r="K674" s="18"/>
      <c r="L674" s="18"/>
    </row>
    <row r="675" spans="2:12" x14ac:dyDescent="0.2">
      <c r="B675" s="231">
        <v>2026</v>
      </c>
      <c r="C675" s="231" t="s">
        <v>8</v>
      </c>
      <c r="D675" s="236" t="s">
        <v>6417</v>
      </c>
      <c r="E675" s="236" t="s">
        <v>21</v>
      </c>
      <c r="F675" s="232">
        <v>4</v>
      </c>
      <c r="G675" s="232">
        <v>4</v>
      </c>
      <c r="H675" s="232">
        <v>476</v>
      </c>
      <c r="I675" s="232">
        <v>60</v>
      </c>
      <c r="K675" s="18"/>
      <c r="L675" s="18"/>
    </row>
    <row r="676" spans="2:12" x14ac:dyDescent="0.2">
      <c r="B676" s="231">
        <v>2026</v>
      </c>
      <c r="C676" s="231" t="s">
        <v>7</v>
      </c>
      <c r="D676" s="236" t="s">
        <v>6417</v>
      </c>
      <c r="E676" s="236" t="s">
        <v>19</v>
      </c>
      <c r="F676" s="232">
        <v>4</v>
      </c>
      <c r="G676" s="232">
        <v>3</v>
      </c>
      <c r="H676" s="232">
        <v>454</v>
      </c>
      <c r="I676" s="232">
        <v>15</v>
      </c>
      <c r="K676" s="18"/>
      <c r="L676" s="18"/>
    </row>
    <row r="677" spans="2:12" x14ac:dyDescent="0.2">
      <c r="B677" s="231">
        <v>2026</v>
      </c>
      <c r="C677" s="231" t="s">
        <v>7</v>
      </c>
      <c r="D677" s="236" t="s">
        <v>6417</v>
      </c>
      <c r="E677" s="236" t="s">
        <v>21</v>
      </c>
      <c r="F677" s="232">
        <v>5</v>
      </c>
      <c r="G677" s="232">
        <v>6</v>
      </c>
      <c r="H677" s="232">
        <v>458</v>
      </c>
      <c r="I677" s="232">
        <v>70</v>
      </c>
      <c r="K677" s="18"/>
      <c r="L677" s="18"/>
    </row>
    <row r="678" spans="2:12" x14ac:dyDescent="0.2">
      <c r="B678" s="22">
        <v>2026</v>
      </c>
      <c r="C678" s="22" t="s">
        <v>7</v>
      </c>
      <c r="D678" s="238" t="s">
        <v>6417</v>
      </c>
      <c r="E678" s="234" t="s">
        <v>21</v>
      </c>
      <c r="F678" s="19">
        <v>5</v>
      </c>
      <c r="G678" s="19">
        <v>5</v>
      </c>
      <c r="H678" s="19">
        <v>464</v>
      </c>
      <c r="I678" s="19">
        <v>45</v>
      </c>
    </row>
    <row r="679" spans="2:12" x14ac:dyDescent="0.2">
      <c r="C679"/>
      <c r="D679" s="12"/>
      <c r="E679" s="12"/>
      <c r="F679"/>
      <c r="G679"/>
      <c r="H679"/>
      <c r="I679"/>
    </row>
    <row r="680" spans="2:12" x14ac:dyDescent="0.2">
      <c r="C680"/>
      <c r="D680" s="12"/>
      <c r="E680" s="12"/>
      <c r="F680"/>
      <c r="G680"/>
      <c r="H680"/>
      <c r="I680"/>
    </row>
    <row r="681" spans="2:12" x14ac:dyDescent="0.2">
      <c r="C681"/>
      <c r="D681" s="12"/>
      <c r="E681" s="12"/>
      <c r="F681"/>
      <c r="G681"/>
      <c r="H681"/>
      <c r="I681"/>
    </row>
    <row r="682" spans="2:12" x14ac:dyDescent="0.2">
      <c r="C682"/>
      <c r="D682" s="12"/>
      <c r="E682" s="12"/>
      <c r="F682"/>
      <c r="G682"/>
      <c r="H682"/>
      <c r="I682"/>
    </row>
    <row r="683" spans="2:12" x14ac:dyDescent="0.2">
      <c r="C683"/>
      <c r="D683" s="12"/>
      <c r="E683" s="12"/>
      <c r="F683"/>
      <c r="G683"/>
      <c r="H683"/>
      <c r="I683"/>
    </row>
    <row r="684" spans="2:12" x14ac:dyDescent="0.2">
      <c r="C684"/>
      <c r="D684" s="12"/>
      <c r="E684" s="12"/>
      <c r="F684"/>
      <c r="G684"/>
      <c r="H684"/>
      <c r="I684"/>
    </row>
    <row r="685" spans="2:12" x14ac:dyDescent="0.2">
      <c r="C685"/>
      <c r="D685" s="12"/>
      <c r="E685" s="12"/>
      <c r="F685"/>
      <c r="G685"/>
      <c r="H685"/>
      <c r="I685"/>
    </row>
    <row r="686" spans="2:12" x14ac:dyDescent="0.2">
      <c r="C686"/>
      <c r="D686" s="12"/>
      <c r="E686" s="12"/>
      <c r="F686"/>
      <c r="G686"/>
      <c r="H686"/>
      <c r="I686"/>
    </row>
    <row r="687" spans="2:12" x14ac:dyDescent="0.2">
      <c r="C687"/>
      <c r="D687" s="12"/>
      <c r="E687" s="12"/>
      <c r="F687"/>
      <c r="G687"/>
      <c r="H687"/>
      <c r="I687"/>
    </row>
    <row r="688" spans="2:12" x14ac:dyDescent="0.2">
      <c r="C688"/>
      <c r="D688" s="12"/>
      <c r="E688" s="12"/>
      <c r="F688"/>
      <c r="G688"/>
      <c r="H688"/>
      <c r="I688"/>
    </row>
    <row r="689" spans="3:9" x14ac:dyDescent="0.2">
      <c r="C689"/>
      <c r="D689" s="12"/>
      <c r="E689" s="12"/>
      <c r="F689"/>
      <c r="G689"/>
      <c r="H689"/>
      <c r="I689"/>
    </row>
    <row r="690" spans="3:9" x14ac:dyDescent="0.2">
      <c r="C690"/>
      <c r="D690" s="12"/>
      <c r="E690" s="12"/>
      <c r="F690"/>
      <c r="G690"/>
      <c r="H690"/>
      <c r="I690"/>
    </row>
    <row r="691" spans="3:9" x14ac:dyDescent="0.2">
      <c r="C691"/>
      <c r="D691" s="12"/>
      <c r="E691" s="12"/>
      <c r="F691"/>
      <c r="G691"/>
      <c r="H691"/>
      <c r="I691"/>
    </row>
    <row r="692" spans="3:9" x14ac:dyDescent="0.2">
      <c r="C692"/>
      <c r="D692" s="12"/>
      <c r="E692" s="12"/>
      <c r="F692"/>
      <c r="G692"/>
      <c r="H692"/>
      <c r="I692"/>
    </row>
    <row r="693" spans="3:9" x14ac:dyDescent="0.2">
      <c r="C693"/>
      <c r="D693" s="12"/>
      <c r="E693" s="12"/>
      <c r="F693"/>
      <c r="G693"/>
      <c r="H693"/>
      <c r="I693"/>
    </row>
    <row r="694" spans="3:9" x14ac:dyDescent="0.2">
      <c r="C694"/>
      <c r="D694" s="12"/>
      <c r="E694" s="12"/>
      <c r="F694"/>
      <c r="G694"/>
      <c r="H694"/>
      <c r="I694"/>
    </row>
    <row r="695" spans="3:9" x14ac:dyDescent="0.2">
      <c r="C695"/>
      <c r="D695" s="12"/>
      <c r="E695" s="12"/>
      <c r="F695"/>
      <c r="G695"/>
      <c r="H695"/>
      <c r="I695"/>
    </row>
    <row r="696" spans="3:9" x14ac:dyDescent="0.2">
      <c r="C696"/>
      <c r="D696" s="12"/>
      <c r="E696" s="12"/>
      <c r="F696"/>
      <c r="G696"/>
      <c r="H696"/>
      <c r="I696"/>
    </row>
    <row r="697" spans="3:9" x14ac:dyDescent="0.2">
      <c r="C697"/>
      <c r="D697" s="12"/>
      <c r="E697" s="12"/>
      <c r="F697"/>
      <c r="G697"/>
      <c r="H697"/>
      <c r="I697"/>
    </row>
    <row r="698" spans="3:9" x14ac:dyDescent="0.2">
      <c r="C698"/>
      <c r="D698" s="12"/>
      <c r="E698" s="12"/>
      <c r="F698"/>
      <c r="G698"/>
      <c r="H698"/>
      <c r="I698"/>
    </row>
    <row r="699" spans="3:9" x14ac:dyDescent="0.2">
      <c r="C699"/>
      <c r="D699" s="12"/>
      <c r="E699" s="12"/>
      <c r="F699"/>
      <c r="G699"/>
      <c r="H699"/>
      <c r="I699"/>
    </row>
    <row r="700" spans="3:9" x14ac:dyDescent="0.2">
      <c r="C700"/>
      <c r="D700" s="12"/>
      <c r="E700" s="12"/>
      <c r="F700"/>
      <c r="G700"/>
      <c r="H700"/>
      <c r="I700"/>
    </row>
    <row r="701" spans="3:9" x14ac:dyDescent="0.2">
      <c r="C701"/>
      <c r="D701" s="12"/>
      <c r="E701" s="12"/>
      <c r="F701"/>
      <c r="G701"/>
      <c r="H701"/>
      <c r="I701"/>
    </row>
    <row r="702" spans="3:9" x14ac:dyDescent="0.2">
      <c r="C702"/>
      <c r="D702" s="12"/>
      <c r="E702" s="12"/>
      <c r="F702"/>
      <c r="G702"/>
      <c r="H702"/>
      <c r="I702"/>
    </row>
    <row r="703" spans="3:9" x14ac:dyDescent="0.2">
      <c r="C703"/>
      <c r="D703" s="12"/>
      <c r="E703" s="12"/>
      <c r="F703"/>
      <c r="G703"/>
      <c r="H703"/>
      <c r="I703"/>
    </row>
    <row r="704" spans="3:9" x14ac:dyDescent="0.2">
      <c r="C704"/>
      <c r="D704" s="12"/>
      <c r="E704" s="12"/>
      <c r="F704"/>
      <c r="G704"/>
      <c r="H704"/>
      <c r="I704"/>
    </row>
    <row r="705" spans="3:9" x14ac:dyDescent="0.2">
      <c r="C705"/>
      <c r="D705" s="12"/>
      <c r="E705" s="12"/>
      <c r="F705"/>
      <c r="G705"/>
      <c r="H705"/>
      <c r="I705"/>
    </row>
    <row r="706" spans="3:9" x14ac:dyDescent="0.2">
      <c r="C706"/>
      <c r="D706" s="12"/>
      <c r="E706" s="12"/>
      <c r="F706"/>
      <c r="G706"/>
      <c r="H706"/>
      <c r="I706"/>
    </row>
    <row r="707" spans="3:9" x14ac:dyDescent="0.2">
      <c r="C707"/>
      <c r="D707" s="12"/>
      <c r="E707" s="12"/>
      <c r="F707"/>
      <c r="G707"/>
      <c r="H707"/>
      <c r="I707"/>
    </row>
    <row r="708" spans="3:9" x14ac:dyDescent="0.2">
      <c r="C708"/>
      <c r="D708" s="12"/>
      <c r="E708" s="12"/>
      <c r="F708"/>
      <c r="G708"/>
      <c r="H708"/>
      <c r="I708"/>
    </row>
    <row r="709" spans="3:9" x14ac:dyDescent="0.2">
      <c r="C709"/>
      <c r="D709" s="12"/>
      <c r="E709" s="12"/>
      <c r="F709"/>
      <c r="G709"/>
      <c r="H709"/>
      <c r="I709"/>
    </row>
    <row r="710" spans="3:9" x14ac:dyDescent="0.2">
      <c r="C710"/>
      <c r="D710" s="12"/>
      <c r="E710" s="12"/>
      <c r="F710"/>
      <c r="G710"/>
      <c r="H710"/>
      <c r="I710"/>
    </row>
    <row r="711" spans="3:9" x14ac:dyDescent="0.2">
      <c r="C711"/>
      <c r="D711" s="12"/>
      <c r="E711" s="12"/>
      <c r="F711"/>
      <c r="G711"/>
      <c r="H711"/>
      <c r="I711"/>
    </row>
    <row r="712" spans="3:9" x14ac:dyDescent="0.2">
      <c r="C712"/>
      <c r="D712" s="12"/>
      <c r="E712" s="12"/>
      <c r="F712"/>
      <c r="G712"/>
      <c r="H712"/>
      <c r="I712"/>
    </row>
    <row r="713" spans="3:9" x14ac:dyDescent="0.2">
      <c r="C713"/>
      <c r="D713" s="12"/>
      <c r="E713" s="12"/>
      <c r="F713"/>
      <c r="G713"/>
      <c r="H713"/>
      <c r="I713"/>
    </row>
    <row r="714" spans="3:9" x14ac:dyDescent="0.2">
      <c r="C714"/>
      <c r="D714" s="12"/>
      <c r="E714" s="12"/>
      <c r="F714"/>
      <c r="G714"/>
      <c r="H714"/>
      <c r="I714"/>
    </row>
    <row r="715" spans="3:9" x14ac:dyDescent="0.2">
      <c r="C715"/>
      <c r="D715" s="12"/>
      <c r="E715" s="12"/>
      <c r="F715"/>
      <c r="G715"/>
      <c r="H715"/>
      <c r="I715"/>
    </row>
    <row r="716" spans="3:9" x14ac:dyDescent="0.2">
      <c r="C716"/>
      <c r="D716" s="12"/>
      <c r="E716" s="12"/>
      <c r="F716"/>
      <c r="G716"/>
      <c r="H716"/>
      <c r="I716"/>
    </row>
    <row r="717" spans="3:9" x14ac:dyDescent="0.2">
      <c r="C717"/>
      <c r="D717" s="12"/>
      <c r="E717" s="12"/>
      <c r="F717"/>
      <c r="G717"/>
      <c r="H717"/>
      <c r="I717"/>
    </row>
    <row r="718" spans="3:9" x14ac:dyDescent="0.2">
      <c r="C718"/>
      <c r="D718" s="12"/>
      <c r="E718" s="12"/>
      <c r="F718"/>
      <c r="G718"/>
      <c r="H718"/>
      <c r="I718"/>
    </row>
    <row r="719" spans="3:9" x14ac:dyDescent="0.2">
      <c r="C719"/>
      <c r="D719" s="12"/>
      <c r="E719" s="12"/>
      <c r="F719"/>
      <c r="G719"/>
      <c r="H719"/>
      <c r="I719"/>
    </row>
    <row r="720" spans="3:9" x14ac:dyDescent="0.2">
      <c r="C720"/>
      <c r="D720" s="12"/>
      <c r="E720" s="12"/>
      <c r="F720"/>
      <c r="G720"/>
      <c r="H720"/>
      <c r="I720"/>
    </row>
    <row r="721" spans="3:9" x14ac:dyDescent="0.2">
      <c r="C721"/>
      <c r="D721" s="12"/>
      <c r="E721" s="12"/>
      <c r="F721"/>
      <c r="G721"/>
      <c r="H721"/>
      <c r="I721"/>
    </row>
    <row r="722" spans="3:9" x14ac:dyDescent="0.2">
      <c r="C722"/>
      <c r="D722" s="12"/>
      <c r="E722" s="12"/>
      <c r="F722"/>
      <c r="G722"/>
      <c r="H722"/>
      <c r="I722"/>
    </row>
    <row r="723" spans="3:9" x14ac:dyDescent="0.2">
      <c r="C723"/>
      <c r="D723" s="12"/>
      <c r="E723" s="12"/>
      <c r="F723"/>
      <c r="G723"/>
      <c r="H723"/>
      <c r="I723"/>
    </row>
    <row r="724" spans="3:9" x14ac:dyDescent="0.2">
      <c r="C724"/>
      <c r="D724" s="12"/>
      <c r="E724" s="12"/>
      <c r="F724"/>
      <c r="G724"/>
      <c r="H724"/>
      <c r="I724"/>
    </row>
    <row r="725" spans="3:9" x14ac:dyDescent="0.2">
      <c r="C725"/>
      <c r="D725" s="12"/>
      <c r="E725" s="12"/>
      <c r="F725"/>
      <c r="G725"/>
      <c r="H725"/>
      <c r="I725"/>
    </row>
    <row r="726" spans="3:9" x14ac:dyDescent="0.2">
      <c r="C726"/>
      <c r="D726" s="12"/>
      <c r="E726" s="12"/>
      <c r="F726"/>
      <c r="G726"/>
      <c r="H726"/>
      <c r="I726"/>
    </row>
    <row r="727" spans="3:9" x14ac:dyDescent="0.2">
      <c r="C727"/>
      <c r="D727" s="12"/>
      <c r="E727" s="12"/>
      <c r="F727"/>
      <c r="G727"/>
      <c r="H727"/>
      <c r="I727"/>
    </row>
    <row r="728" spans="3:9" x14ac:dyDescent="0.2">
      <c r="C728"/>
      <c r="D728" s="12"/>
      <c r="E728" s="12"/>
      <c r="F728"/>
      <c r="G728"/>
      <c r="H728"/>
      <c r="I728"/>
    </row>
    <row r="729" spans="3:9" x14ac:dyDescent="0.2">
      <c r="C729"/>
      <c r="D729" s="12"/>
      <c r="E729" s="12"/>
      <c r="F729"/>
      <c r="G729"/>
      <c r="H729"/>
      <c r="I729"/>
    </row>
    <row r="730" spans="3:9" x14ac:dyDescent="0.2">
      <c r="C730"/>
      <c r="D730" s="12"/>
      <c r="E730" s="12"/>
      <c r="F730"/>
      <c r="G730"/>
      <c r="H730"/>
      <c r="I730"/>
    </row>
    <row r="731" spans="3:9" x14ac:dyDescent="0.2">
      <c r="C731"/>
      <c r="D731" s="12"/>
      <c r="E731" s="12"/>
      <c r="F731"/>
      <c r="G731"/>
      <c r="H731"/>
      <c r="I731"/>
    </row>
    <row r="732" spans="3:9" x14ac:dyDescent="0.2">
      <c r="C732"/>
      <c r="D732" s="12"/>
      <c r="E732" s="12"/>
      <c r="F732"/>
      <c r="G732"/>
      <c r="H732"/>
      <c r="I732"/>
    </row>
    <row r="733" spans="3:9" x14ac:dyDescent="0.2">
      <c r="C733"/>
      <c r="D733" s="12"/>
      <c r="E733" s="12"/>
      <c r="F733"/>
      <c r="G733"/>
      <c r="H733"/>
      <c r="I733"/>
    </row>
    <row r="734" spans="3:9" x14ac:dyDescent="0.2">
      <c r="C734"/>
      <c r="D734" s="12"/>
      <c r="E734" s="12"/>
      <c r="F734"/>
      <c r="G734"/>
      <c r="H734"/>
      <c r="I734"/>
    </row>
    <row r="735" spans="3:9" x14ac:dyDescent="0.2">
      <c r="C735"/>
      <c r="D735" s="12"/>
      <c r="E735" s="12"/>
      <c r="F735"/>
      <c r="G735"/>
      <c r="H735"/>
      <c r="I735"/>
    </row>
    <row r="736" spans="3:9" x14ac:dyDescent="0.2">
      <c r="C736"/>
      <c r="D736" s="12"/>
      <c r="E736" s="12"/>
      <c r="F736"/>
      <c r="G736"/>
      <c r="H736"/>
      <c r="I736"/>
    </row>
    <row r="737" spans="3:9" x14ac:dyDescent="0.2">
      <c r="C737"/>
      <c r="D737" s="12"/>
      <c r="E737" s="12"/>
      <c r="F737"/>
      <c r="G737"/>
      <c r="H737"/>
      <c r="I737"/>
    </row>
    <row r="738" spans="3:9" x14ac:dyDescent="0.2">
      <c r="C738"/>
      <c r="D738" s="12"/>
      <c r="E738" s="12"/>
      <c r="F738"/>
      <c r="G738"/>
      <c r="H738"/>
      <c r="I738"/>
    </row>
    <row r="739" spans="3:9" x14ac:dyDescent="0.2">
      <c r="C739"/>
      <c r="D739" s="12"/>
      <c r="E739" s="12"/>
      <c r="F739"/>
      <c r="G739"/>
      <c r="H739"/>
      <c r="I739"/>
    </row>
    <row r="740" spans="3:9" x14ac:dyDescent="0.2">
      <c r="C740"/>
      <c r="D740" s="12"/>
      <c r="E740" s="12"/>
      <c r="F740"/>
      <c r="G740"/>
      <c r="H740"/>
      <c r="I740"/>
    </row>
    <row r="741" spans="3:9" x14ac:dyDescent="0.2">
      <c r="C741"/>
      <c r="D741" s="12"/>
      <c r="E741" s="12"/>
      <c r="F741"/>
      <c r="G741"/>
      <c r="H741"/>
      <c r="I741"/>
    </row>
    <row r="742" spans="3:9" x14ac:dyDescent="0.2">
      <c r="C742"/>
      <c r="D742" s="12"/>
      <c r="E742" s="12"/>
      <c r="F742"/>
      <c r="G742"/>
      <c r="H742"/>
      <c r="I742"/>
    </row>
    <row r="743" spans="3:9" x14ac:dyDescent="0.2">
      <c r="C743"/>
      <c r="D743" s="12"/>
      <c r="E743" s="12"/>
      <c r="F743"/>
      <c r="G743"/>
      <c r="H743"/>
      <c r="I743"/>
    </row>
    <row r="744" spans="3:9" x14ac:dyDescent="0.2">
      <c r="C744"/>
      <c r="D744" s="12"/>
      <c r="E744" s="12"/>
      <c r="F744"/>
      <c r="G744"/>
      <c r="H744"/>
      <c r="I744"/>
    </row>
    <row r="745" spans="3:9" x14ac:dyDescent="0.2">
      <c r="C745"/>
      <c r="D745" s="12"/>
      <c r="E745" s="12"/>
      <c r="F745"/>
      <c r="G745"/>
      <c r="H745"/>
      <c r="I745"/>
    </row>
    <row r="746" spans="3:9" x14ac:dyDescent="0.2">
      <c r="C746"/>
      <c r="D746" s="12"/>
      <c r="E746" s="12"/>
      <c r="F746"/>
      <c r="G746"/>
      <c r="H746"/>
      <c r="I746"/>
    </row>
    <row r="747" spans="3:9" x14ac:dyDescent="0.2">
      <c r="C747"/>
      <c r="D747" s="12"/>
      <c r="E747" s="12"/>
      <c r="F747"/>
      <c r="G747"/>
      <c r="H747"/>
      <c r="I747"/>
    </row>
    <row r="748" spans="3:9" x14ac:dyDescent="0.2">
      <c r="C748"/>
      <c r="D748" s="12"/>
      <c r="E748" s="12"/>
      <c r="F748"/>
      <c r="G748"/>
      <c r="H748"/>
      <c r="I748"/>
    </row>
    <row r="749" spans="3:9" x14ac:dyDescent="0.2">
      <c r="C749"/>
      <c r="D749" s="12"/>
      <c r="E749" s="12"/>
      <c r="F749"/>
      <c r="G749"/>
      <c r="H749"/>
      <c r="I749"/>
    </row>
    <row r="750" spans="3:9" x14ac:dyDescent="0.2">
      <c r="C750"/>
      <c r="D750" s="12"/>
      <c r="E750" s="12"/>
      <c r="F750"/>
      <c r="G750"/>
      <c r="H750"/>
      <c r="I750"/>
    </row>
    <row r="751" spans="3:9" x14ac:dyDescent="0.2">
      <c r="C751"/>
      <c r="D751" s="12"/>
      <c r="E751" s="12"/>
      <c r="F751"/>
      <c r="G751"/>
      <c r="H751"/>
      <c r="I751"/>
    </row>
    <row r="752" spans="3:9" x14ac:dyDescent="0.2">
      <c r="C752"/>
      <c r="D752" s="12"/>
      <c r="E752" s="12"/>
      <c r="F752"/>
      <c r="G752"/>
      <c r="H752"/>
      <c r="I752"/>
    </row>
    <row r="753" spans="3:9" x14ac:dyDescent="0.2">
      <c r="C753"/>
      <c r="D753" s="12"/>
      <c r="E753" s="12"/>
      <c r="F753"/>
      <c r="G753"/>
      <c r="H753"/>
      <c r="I753"/>
    </row>
    <row r="754" spans="3:9" x14ac:dyDescent="0.2">
      <c r="C754"/>
      <c r="D754" s="12"/>
      <c r="E754" s="12"/>
      <c r="F754"/>
      <c r="G754"/>
      <c r="H754"/>
      <c r="I754"/>
    </row>
    <row r="755" spans="3:9" x14ac:dyDescent="0.2">
      <c r="C755"/>
      <c r="D755" s="12"/>
      <c r="E755" s="12"/>
      <c r="F755"/>
      <c r="G755"/>
      <c r="H755"/>
      <c r="I755"/>
    </row>
    <row r="756" spans="3:9" x14ac:dyDescent="0.2">
      <c r="C756"/>
      <c r="D756" s="12"/>
      <c r="E756" s="12"/>
      <c r="F756"/>
      <c r="G756"/>
      <c r="H756"/>
      <c r="I756"/>
    </row>
    <row r="757" spans="3:9" x14ac:dyDescent="0.2">
      <c r="C757"/>
      <c r="D757" s="12"/>
      <c r="E757" s="12"/>
      <c r="F757"/>
      <c r="G757"/>
      <c r="H757"/>
      <c r="I757"/>
    </row>
    <row r="758" spans="3:9" x14ac:dyDescent="0.2">
      <c r="C758"/>
      <c r="D758" s="12"/>
      <c r="E758" s="12"/>
      <c r="F758"/>
      <c r="G758"/>
      <c r="H758"/>
      <c r="I758"/>
    </row>
    <row r="759" spans="3:9" x14ac:dyDescent="0.2">
      <c r="C759"/>
      <c r="D759" s="12"/>
      <c r="E759" s="12"/>
      <c r="F759"/>
      <c r="G759"/>
      <c r="H759"/>
      <c r="I759"/>
    </row>
    <row r="760" spans="3:9" x14ac:dyDescent="0.2">
      <c r="C760"/>
      <c r="D760" s="12"/>
      <c r="E760" s="12"/>
      <c r="F760"/>
      <c r="G760"/>
      <c r="H760"/>
      <c r="I760"/>
    </row>
    <row r="761" spans="3:9" x14ac:dyDescent="0.2">
      <c r="C761"/>
      <c r="D761" s="12"/>
      <c r="E761" s="12"/>
      <c r="F761"/>
      <c r="G761"/>
      <c r="H761"/>
      <c r="I761"/>
    </row>
    <row r="762" spans="3:9" x14ac:dyDescent="0.2">
      <c r="C762"/>
      <c r="D762" s="12"/>
      <c r="E762" s="12"/>
      <c r="F762"/>
      <c r="G762"/>
      <c r="H762"/>
      <c r="I762"/>
    </row>
    <row r="763" spans="3:9" x14ac:dyDescent="0.2">
      <c r="C763"/>
      <c r="D763" s="12"/>
      <c r="E763" s="12"/>
      <c r="F763"/>
      <c r="G763"/>
      <c r="H763"/>
      <c r="I763"/>
    </row>
    <row r="764" spans="3:9" x14ac:dyDescent="0.2">
      <c r="C764"/>
      <c r="D764" s="12"/>
      <c r="E764" s="12"/>
      <c r="F764"/>
      <c r="G764"/>
      <c r="H764"/>
      <c r="I764"/>
    </row>
    <row r="765" spans="3:9" x14ac:dyDescent="0.2">
      <c r="C765"/>
      <c r="D765" s="12"/>
      <c r="E765" s="12"/>
      <c r="F765"/>
      <c r="G765"/>
      <c r="H765"/>
      <c r="I765"/>
    </row>
    <row r="766" spans="3:9" x14ac:dyDescent="0.2">
      <c r="C766"/>
      <c r="D766" s="12"/>
      <c r="E766" s="12"/>
      <c r="F766"/>
      <c r="G766"/>
      <c r="H766"/>
      <c r="I766"/>
    </row>
    <row r="767" spans="3:9" x14ac:dyDescent="0.2">
      <c r="C767"/>
      <c r="D767" s="12"/>
      <c r="E767" s="12"/>
      <c r="F767"/>
      <c r="G767"/>
      <c r="H767"/>
      <c r="I767"/>
    </row>
    <row r="768" spans="3:9" x14ac:dyDescent="0.2">
      <c r="C768"/>
      <c r="D768" s="12"/>
      <c r="E768" s="12"/>
      <c r="F768"/>
      <c r="G768"/>
      <c r="H768"/>
      <c r="I768"/>
    </row>
    <row r="769" spans="3:9" x14ac:dyDescent="0.2">
      <c r="C769"/>
      <c r="D769" s="12"/>
      <c r="E769" s="12"/>
      <c r="F769"/>
      <c r="G769"/>
      <c r="H769"/>
      <c r="I769"/>
    </row>
    <row r="770" spans="3:9" x14ac:dyDescent="0.2">
      <c r="C770"/>
      <c r="D770" s="12"/>
      <c r="E770" s="12"/>
      <c r="F770"/>
      <c r="G770"/>
      <c r="H770"/>
      <c r="I770"/>
    </row>
    <row r="771" spans="3:9" x14ac:dyDescent="0.2">
      <c r="C771"/>
      <c r="D771" s="12"/>
      <c r="E771" s="12"/>
      <c r="F771"/>
      <c r="G771"/>
      <c r="H771"/>
      <c r="I771"/>
    </row>
    <row r="772" spans="3:9" x14ac:dyDescent="0.2">
      <c r="C772"/>
      <c r="D772" s="12"/>
      <c r="E772" s="12"/>
      <c r="F772"/>
      <c r="G772"/>
      <c r="H772"/>
      <c r="I772"/>
    </row>
    <row r="773" spans="3:9" x14ac:dyDescent="0.2">
      <c r="C773"/>
      <c r="D773" s="12"/>
      <c r="E773" s="12"/>
      <c r="F773"/>
      <c r="G773"/>
      <c r="H773"/>
      <c r="I773"/>
    </row>
    <row r="774" spans="3:9" x14ac:dyDescent="0.2">
      <c r="C774"/>
      <c r="D774" s="12"/>
      <c r="E774" s="12"/>
      <c r="F774"/>
      <c r="G774"/>
      <c r="H774"/>
      <c r="I774"/>
    </row>
    <row r="775" spans="3:9" x14ac:dyDescent="0.2">
      <c r="C775"/>
      <c r="D775" s="12"/>
      <c r="E775" s="12"/>
      <c r="F775"/>
      <c r="G775"/>
      <c r="H775"/>
      <c r="I775"/>
    </row>
    <row r="776" spans="3:9" x14ac:dyDescent="0.2">
      <c r="C776"/>
      <c r="D776" s="12"/>
      <c r="E776" s="12"/>
      <c r="F776"/>
      <c r="G776"/>
      <c r="H776"/>
      <c r="I776"/>
    </row>
    <row r="777" spans="3:9" x14ac:dyDescent="0.2">
      <c r="C777"/>
      <c r="D777" s="12"/>
      <c r="E777" s="12"/>
      <c r="F777"/>
      <c r="G777"/>
      <c r="H777"/>
      <c r="I777"/>
    </row>
    <row r="778" spans="3:9" x14ac:dyDescent="0.2">
      <c r="C778"/>
      <c r="D778" s="12"/>
      <c r="E778" s="12"/>
      <c r="F778"/>
      <c r="G778"/>
      <c r="H778"/>
      <c r="I778"/>
    </row>
    <row r="779" spans="3:9" x14ac:dyDescent="0.2">
      <c r="C779"/>
      <c r="D779" s="12"/>
      <c r="E779" s="12"/>
      <c r="F779"/>
      <c r="G779"/>
      <c r="H779"/>
      <c r="I779"/>
    </row>
    <row r="780" spans="3:9" x14ac:dyDescent="0.2">
      <c r="C780"/>
      <c r="D780" s="12"/>
      <c r="E780" s="12"/>
      <c r="F780"/>
      <c r="G780"/>
      <c r="H780"/>
      <c r="I780"/>
    </row>
    <row r="781" spans="3:9" x14ac:dyDescent="0.2">
      <c r="C781"/>
      <c r="D781" s="12"/>
      <c r="E781" s="12"/>
      <c r="F781"/>
      <c r="G781"/>
      <c r="H781"/>
      <c r="I781"/>
    </row>
    <row r="782" spans="3:9" x14ac:dyDescent="0.2">
      <c r="C782"/>
      <c r="D782" s="12"/>
      <c r="E782" s="12"/>
      <c r="F782"/>
      <c r="G782"/>
      <c r="H782"/>
      <c r="I782"/>
    </row>
    <row r="783" spans="3:9" x14ac:dyDescent="0.2">
      <c r="C783"/>
      <c r="D783" s="12"/>
      <c r="E783" s="12"/>
      <c r="F783"/>
      <c r="G783"/>
      <c r="H783"/>
      <c r="I783"/>
    </row>
    <row r="784" spans="3:9" x14ac:dyDescent="0.2">
      <c r="C784"/>
      <c r="D784" s="12"/>
      <c r="E784" s="12"/>
      <c r="F784"/>
      <c r="G784"/>
      <c r="H784"/>
      <c r="I784"/>
    </row>
    <row r="785" spans="3:9" x14ac:dyDescent="0.2">
      <c r="C785"/>
      <c r="D785" s="12"/>
      <c r="E785" s="12"/>
      <c r="F785"/>
      <c r="G785"/>
      <c r="H785"/>
      <c r="I785"/>
    </row>
    <row r="786" spans="3:9" x14ac:dyDescent="0.2">
      <c r="C786"/>
      <c r="D786" s="12"/>
      <c r="E786" s="12"/>
      <c r="F786"/>
      <c r="G786"/>
      <c r="H786"/>
      <c r="I786"/>
    </row>
    <row r="787" spans="3:9" x14ac:dyDescent="0.2">
      <c r="C787"/>
      <c r="D787" s="12"/>
      <c r="E787" s="12"/>
      <c r="F787"/>
      <c r="G787"/>
      <c r="H787"/>
      <c r="I787"/>
    </row>
    <row r="788" spans="3:9" x14ac:dyDescent="0.2">
      <c r="C788"/>
      <c r="D788" s="12"/>
      <c r="E788" s="12"/>
      <c r="F788"/>
      <c r="G788"/>
      <c r="H788"/>
      <c r="I788"/>
    </row>
    <row r="789" spans="3:9" x14ac:dyDescent="0.2">
      <c r="C789"/>
      <c r="D789" s="12"/>
      <c r="E789" s="12"/>
      <c r="F789"/>
      <c r="G789"/>
      <c r="H789"/>
      <c r="I789"/>
    </row>
    <row r="790" spans="3:9" x14ac:dyDescent="0.2">
      <c r="C790"/>
      <c r="D790" s="12"/>
      <c r="E790" s="12"/>
      <c r="F790"/>
      <c r="G790"/>
      <c r="H790"/>
      <c r="I790"/>
    </row>
    <row r="791" spans="3:9" x14ac:dyDescent="0.2">
      <c r="C791"/>
      <c r="D791" s="12"/>
      <c r="E791" s="12"/>
      <c r="F791"/>
      <c r="G791"/>
      <c r="H791"/>
      <c r="I791"/>
    </row>
    <row r="792" spans="3:9" x14ac:dyDescent="0.2">
      <c r="C792"/>
      <c r="D792" s="12"/>
      <c r="E792" s="12"/>
      <c r="F792"/>
      <c r="G792"/>
      <c r="H792"/>
      <c r="I792"/>
    </row>
    <row r="793" spans="3:9" x14ac:dyDescent="0.2">
      <c r="C793"/>
      <c r="D793" s="12"/>
      <c r="E793" s="12"/>
      <c r="F793"/>
      <c r="G793"/>
      <c r="H793"/>
      <c r="I793"/>
    </row>
    <row r="794" spans="3:9" x14ac:dyDescent="0.2">
      <c r="C794"/>
      <c r="D794" s="12"/>
      <c r="E794" s="12"/>
      <c r="F794"/>
      <c r="G794"/>
      <c r="H794"/>
      <c r="I794"/>
    </row>
    <row r="795" spans="3:9" x14ac:dyDescent="0.2">
      <c r="C795"/>
      <c r="D795" s="12"/>
      <c r="E795" s="12"/>
      <c r="F795"/>
      <c r="G795"/>
      <c r="H795"/>
      <c r="I795"/>
    </row>
    <row r="796" spans="3:9" x14ac:dyDescent="0.2">
      <c r="C796"/>
      <c r="D796" s="12"/>
      <c r="E796" s="12"/>
      <c r="F796"/>
      <c r="G796"/>
      <c r="H796"/>
      <c r="I796"/>
    </row>
    <row r="797" spans="3:9" x14ac:dyDescent="0.2">
      <c r="C797"/>
      <c r="D797" s="12"/>
      <c r="E797" s="12"/>
      <c r="F797"/>
      <c r="G797"/>
      <c r="H797"/>
      <c r="I797"/>
    </row>
    <row r="798" spans="3:9" x14ac:dyDescent="0.2">
      <c r="C798"/>
      <c r="D798" s="12"/>
      <c r="E798" s="12"/>
      <c r="F798"/>
      <c r="G798"/>
      <c r="H798"/>
      <c r="I798"/>
    </row>
    <row r="799" spans="3:9" x14ac:dyDescent="0.2">
      <c r="C799"/>
      <c r="D799" s="12"/>
      <c r="E799" s="12"/>
      <c r="F799"/>
      <c r="G799"/>
      <c r="H799"/>
      <c r="I799"/>
    </row>
    <row r="800" spans="3:9" x14ac:dyDescent="0.2">
      <c r="C800"/>
      <c r="D800" s="12"/>
      <c r="E800" s="12"/>
      <c r="F800"/>
      <c r="G800"/>
      <c r="H800"/>
      <c r="I800"/>
    </row>
    <row r="801" spans="3:9" x14ac:dyDescent="0.2">
      <c r="C801"/>
      <c r="D801" s="12"/>
      <c r="E801" s="12"/>
      <c r="F801"/>
      <c r="G801"/>
      <c r="H801"/>
      <c r="I801"/>
    </row>
    <row r="802" spans="3:9" x14ac:dyDescent="0.2">
      <c r="C802"/>
      <c r="D802" s="12"/>
      <c r="E802" s="12"/>
      <c r="F802"/>
      <c r="G802"/>
      <c r="H802"/>
      <c r="I802"/>
    </row>
    <row r="803" spans="3:9" x14ac:dyDescent="0.2">
      <c r="C803"/>
      <c r="D803" s="12"/>
      <c r="E803" s="12"/>
      <c r="F803"/>
      <c r="G803"/>
      <c r="H803"/>
      <c r="I803"/>
    </row>
    <row r="804" spans="3:9" x14ac:dyDescent="0.2">
      <c r="C804"/>
      <c r="D804" s="12"/>
      <c r="E804" s="12"/>
      <c r="F804"/>
      <c r="G804"/>
      <c r="H804"/>
      <c r="I804"/>
    </row>
    <row r="805" spans="3:9" x14ac:dyDescent="0.2">
      <c r="C805"/>
      <c r="D805" s="12"/>
      <c r="E805" s="12"/>
      <c r="F805"/>
      <c r="G805"/>
      <c r="H805"/>
      <c r="I805"/>
    </row>
    <row r="806" spans="3:9" x14ac:dyDescent="0.2">
      <c r="C806"/>
      <c r="D806" s="12"/>
      <c r="E806" s="12"/>
      <c r="F806"/>
      <c r="G806"/>
      <c r="H806"/>
      <c r="I806"/>
    </row>
    <row r="807" spans="3:9" x14ac:dyDescent="0.2">
      <c r="C807"/>
      <c r="D807" s="12"/>
      <c r="E807" s="12"/>
      <c r="F807"/>
      <c r="G807"/>
      <c r="H807"/>
      <c r="I807"/>
    </row>
    <row r="808" spans="3:9" x14ac:dyDescent="0.2">
      <c r="C808"/>
      <c r="D808" s="12"/>
      <c r="E808" s="12"/>
      <c r="F808"/>
      <c r="G808"/>
      <c r="H808"/>
      <c r="I808"/>
    </row>
    <row r="809" spans="3:9" x14ac:dyDescent="0.2">
      <c r="C809"/>
      <c r="D809" s="12"/>
      <c r="E809" s="12"/>
      <c r="F809"/>
      <c r="G809"/>
      <c r="H809"/>
      <c r="I809"/>
    </row>
    <row r="810" spans="3:9" x14ac:dyDescent="0.2">
      <c r="C810"/>
      <c r="D810" s="12"/>
      <c r="E810" s="12"/>
      <c r="F810"/>
      <c r="G810"/>
      <c r="H810"/>
      <c r="I810"/>
    </row>
    <row r="811" spans="3:9" x14ac:dyDescent="0.2">
      <c r="C811"/>
      <c r="D811" s="12"/>
      <c r="E811" s="12"/>
      <c r="F811"/>
      <c r="G811"/>
      <c r="H811"/>
      <c r="I811"/>
    </row>
    <row r="812" spans="3:9" x14ac:dyDescent="0.2">
      <c r="C812"/>
      <c r="D812" s="12"/>
      <c r="E812" s="12"/>
      <c r="F812"/>
      <c r="G812"/>
      <c r="H812"/>
      <c r="I812"/>
    </row>
    <row r="813" spans="3:9" x14ac:dyDescent="0.2">
      <c r="C813"/>
      <c r="D813" s="12"/>
      <c r="E813" s="12"/>
      <c r="F813"/>
      <c r="G813"/>
      <c r="H813"/>
      <c r="I813"/>
    </row>
    <row r="814" spans="3:9" x14ac:dyDescent="0.2">
      <c r="C814"/>
      <c r="D814" s="12"/>
      <c r="E814" s="12"/>
      <c r="F814"/>
      <c r="G814"/>
      <c r="H814"/>
      <c r="I814"/>
    </row>
    <row r="815" spans="3:9" x14ac:dyDescent="0.2">
      <c r="C815"/>
      <c r="D815" s="12"/>
      <c r="E815" s="12"/>
      <c r="F815"/>
      <c r="G815"/>
      <c r="H815"/>
      <c r="I815"/>
    </row>
    <row r="816" spans="3:9" x14ac:dyDescent="0.2">
      <c r="C816"/>
      <c r="D816" s="12"/>
      <c r="E816" s="12"/>
      <c r="F816"/>
      <c r="G816"/>
      <c r="H816"/>
      <c r="I816"/>
    </row>
    <row r="817" spans="3:9" x14ac:dyDescent="0.2">
      <c r="C817"/>
      <c r="D817" s="12"/>
      <c r="E817" s="12"/>
      <c r="F817"/>
      <c r="G817"/>
      <c r="H817"/>
      <c r="I817"/>
    </row>
    <row r="818" spans="3:9" x14ac:dyDescent="0.2">
      <c r="C818"/>
      <c r="D818" s="12"/>
      <c r="E818" s="12"/>
      <c r="F818"/>
      <c r="G818"/>
      <c r="H818"/>
      <c r="I818"/>
    </row>
    <row r="819" spans="3:9" x14ac:dyDescent="0.2">
      <c r="C819"/>
      <c r="D819" s="12"/>
      <c r="E819" s="12"/>
      <c r="F819"/>
      <c r="G819"/>
      <c r="H819"/>
      <c r="I819"/>
    </row>
    <row r="820" spans="3:9" x14ac:dyDescent="0.2">
      <c r="C820"/>
      <c r="D820" s="12"/>
      <c r="E820" s="12"/>
      <c r="F820"/>
      <c r="G820"/>
      <c r="H820"/>
      <c r="I820"/>
    </row>
    <row r="821" spans="3:9" x14ac:dyDescent="0.2">
      <c r="C821"/>
      <c r="D821" s="12"/>
      <c r="E821" s="12"/>
      <c r="F821"/>
      <c r="G821"/>
      <c r="H821"/>
      <c r="I821"/>
    </row>
    <row r="822" spans="3:9" x14ac:dyDescent="0.2">
      <c r="C822"/>
      <c r="D822" s="12"/>
      <c r="E822" s="12"/>
      <c r="F822"/>
      <c r="G822"/>
      <c r="H822"/>
      <c r="I822"/>
    </row>
    <row r="823" spans="3:9" x14ac:dyDescent="0.2">
      <c r="C823"/>
      <c r="D823" s="12"/>
      <c r="E823" s="12"/>
      <c r="F823"/>
      <c r="G823"/>
      <c r="H823"/>
      <c r="I823"/>
    </row>
    <row r="824" spans="3:9" x14ac:dyDescent="0.2">
      <c r="C824"/>
      <c r="D824" s="12"/>
      <c r="E824" s="12"/>
      <c r="F824"/>
      <c r="G824"/>
      <c r="H824"/>
      <c r="I824"/>
    </row>
    <row r="825" spans="3:9" x14ac:dyDescent="0.2">
      <c r="C825"/>
      <c r="D825" s="12"/>
      <c r="E825" s="12"/>
      <c r="F825"/>
      <c r="G825"/>
      <c r="H825"/>
      <c r="I825"/>
    </row>
    <row r="826" spans="3:9" x14ac:dyDescent="0.2">
      <c r="C826"/>
      <c r="D826" s="12"/>
      <c r="E826" s="12"/>
      <c r="F826"/>
      <c r="G826"/>
      <c r="H826"/>
      <c r="I826"/>
    </row>
    <row r="827" spans="3:9" x14ac:dyDescent="0.2">
      <c r="C827"/>
      <c r="D827" s="12"/>
      <c r="E827" s="12"/>
      <c r="F827"/>
      <c r="G827"/>
      <c r="H827"/>
      <c r="I827"/>
    </row>
    <row r="828" spans="3:9" x14ac:dyDescent="0.2">
      <c r="C828"/>
      <c r="D828" s="12"/>
      <c r="E828" s="12"/>
      <c r="F828"/>
      <c r="G828"/>
      <c r="H828"/>
      <c r="I828"/>
    </row>
    <row r="829" spans="3:9" x14ac:dyDescent="0.2">
      <c r="C829"/>
      <c r="D829" s="12"/>
      <c r="E829" s="12"/>
      <c r="F829"/>
      <c r="G829"/>
      <c r="H829"/>
      <c r="I829"/>
    </row>
    <row r="830" spans="3:9" x14ac:dyDescent="0.2">
      <c r="C830"/>
      <c r="D830" s="12"/>
      <c r="E830" s="12"/>
      <c r="F830"/>
      <c r="G830"/>
      <c r="H830"/>
      <c r="I830"/>
    </row>
    <row r="831" spans="3:9" x14ac:dyDescent="0.2">
      <c r="C831"/>
      <c r="D831" s="12"/>
      <c r="E831" s="12"/>
      <c r="F831"/>
      <c r="G831"/>
      <c r="H831"/>
      <c r="I831"/>
    </row>
    <row r="832" spans="3:9" x14ac:dyDescent="0.2">
      <c r="C832"/>
      <c r="D832" s="12"/>
      <c r="E832" s="12"/>
      <c r="F832"/>
      <c r="G832"/>
      <c r="H832"/>
      <c r="I832"/>
    </row>
    <row r="833" spans="3:9" x14ac:dyDescent="0.2">
      <c r="C833"/>
      <c r="D833" s="12"/>
      <c r="E833" s="12"/>
      <c r="F833"/>
      <c r="G833"/>
      <c r="H833"/>
      <c r="I833"/>
    </row>
    <row r="834" spans="3:9" x14ac:dyDescent="0.2">
      <c r="C834"/>
      <c r="D834" s="12"/>
      <c r="E834" s="12"/>
      <c r="F834"/>
      <c r="G834"/>
      <c r="H834"/>
      <c r="I834"/>
    </row>
    <row r="835" spans="3:9" x14ac:dyDescent="0.2">
      <c r="C835"/>
      <c r="D835" s="12"/>
      <c r="E835" s="12"/>
      <c r="F835"/>
      <c r="G835"/>
      <c r="H835"/>
      <c r="I835"/>
    </row>
    <row r="836" spans="3:9" x14ac:dyDescent="0.2">
      <c r="C836"/>
      <c r="D836" s="12"/>
      <c r="E836" s="12"/>
      <c r="F836"/>
      <c r="G836"/>
      <c r="H836"/>
      <c r="I836"/>
    </row>
    <row r="837" spans="3:9" x14ac:dyDescent="0.2">
      <c r="C837"/>
      <c r="D837" s="12"/>
      <c r="E837" s="12"/>
      <c r="F837"/>
      <c r="G837"/>
      <c r="H837"/>
      <c r="I837"/>
    </row>
    <row r="838" spans="3:9" x14ac:dyDescent="0.2">
      <c r="C838"/>
      <c r="D838" s="12"/>
      <c r="E838" s="12"/>
      <c r="F838"/>
      <c r="G838"/>
      <c r="H838"/>
      <c r="I838"/>
    </row>
    <row r="839" spans="3:9" x14ac:dyDescent="0.2">
      <c r="C839"/>
      <c r="D839" s="12"/>
      <c r="E839" s="12"/>
      <c r="F839"/>
      <c r="G839"/>
      <c r="H839"/>
      <c r="I839"/>
    </row>
    <row r="840" spans="3:9" x14ac:dyDescent="0.2">
      <c r="C840"/>
      <c r="D840" s="12"/>
      <c r="E840" s="12"/>
      <c r="F840"/>
      <c r="G840"/>
      <c r="H840"/>
      <c r="I840"/>
    </row>
    <row r="841" spans="3:9" x14ac:dyDescent="0.2">
      <c r="C841"/>
      <c r="D841" s="12"/>
      <c r="E841" s="12"/>
      <c r="F841"/>
      <c r="G841"/>
      <c r="H841"/>
      <c r="I841"/>
    </row>
    <row r="842" spans="3:9" x14ac:dyDescent="0.2">
      <c r="C842"/>
      <c r="D842" s="12"/>
      <c r="E842" s="12"/>
      <c r="F842"/>
      <c r="G842"/>
      <c r="H842"/>
      <c r="I842"/>
    </row>
    <row r="843" spans="3:9" x14ac:dyDescent="0.2">
      <c r="C843"/>
      <c r="D843" s="12"/>
      <c r="E843" s="12"/>
      <c r="F843"/>
      <c r="G843"/>
      <c r="H843"/>
      <c r="I843"/>
    </row>
    <row r="844" spans="3:9" x14ac:dyDescent="0.2">
      <c r="C844"/>
      <c r="D844" s="12"/>
      <c r="E844" s="12"/>
      <c r="F844"/>
      <c r="G844"/>
      <c r="H844"/>
      <c r="I844"/>
    </row>
    <row r="845" spans="3:9" x14ac:dyDescent="0.2">
      <c r="C845"/>
      <c r="D845" s="12"/>
      <c r="E845" s="12"/>
      <c r="F845"/>
      <c r="G845"/>
      <c r="H845"/>
      <c r="I845"/>
    </row>
    <row r="846" spans="3:9" x14ac:dyDescent="0.2">
      <c r="C846"/>
      <c r="D846" s="12"/>
      <c r="E846" s="12"/>
      <c r="F846"/>
      <c r="G846"/>
      <c r="H846"/>
      <c r="I846"/>
    </row>
    <row r="847" spans="3:9" x14ac:dyDescent="0.2">
      <c r="C847"/>
      <c r="D847" s="12"/>
      <c r="E847" s="12"/>
      <c r="F847"/>
      <c r="G847"/>
      <c r="H847"/>
      <c r="I847"/>
    </row>
    <row r="848" spans="3:9" x14ac:dyDescent="0.2">
      <c r="C848"/>
      <c r="D848" s="12"/>
      <c r="E848" s="12"/>
      <c r="F848"/>
      <c r="G848"/>
      <c r="H848"/>
      <c r="I848"/>
    </row>
    <row r="849" spans="3:9" x14ac:dyDescent="0.2">
      <c r="C849"/>
      <c r="D849" s="12"/>
      <c r="E849" s="12"/>
      <c r="F849"/>
      <c r="G849"/>
      <c r="H849"/>
      <c r="I849"/>
    </row>
  </sheetData>
  <mergeCells count="1">
    <mergeCell ref="B2:I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</sheetPr>
  <dimension ref="B1:I24"/>
  <sheetViews>
    <sheetView workbookViewId="0"/>
  </sheetViews>
  <sheetFormatPr defaultColWidth="8.85546875" defaultRowHeight="12.75" x14ac:dyDescent="0.2"/>
  <cols>
    <col min="1" max="1" width="3.140625" style="14" customWidth="1"/>
    <col min="2" max="2" width="15.140625" style="14" bestFit="1" customWidth="1"/>
    <col min="3" max="3" width="11.140625" style="14" bestFit="1" customWidth="1"/>
    <col min="4" max="4" width="10.42578125" style="14" bestFit="1" customWidth="1"/>
    <col min="5" max="9" width="15.42578125" style="14" customWidth="1"/>
    <col min="10" max="10" width="10" style="14" bestFit="1" customWidth="1"/>
    <col min="11" max="11" width="10.7109375" style="14" bestFit="1" customWidth="1"/>
    <col min="12" max="12" width="10.5703125" style="14" bestFit="1" customWidth="1"/>
    <col min="13" max="16384" width="8.85546875" style="14"/>
  </cols>
  <sheetData>
    <row r="1" spans="2:9" s="15" customFormat="1" ht="13.5" customHeight="1" thickBot="1" x14ac:dyDescent="0.25"/>
    <row r="2" spans="2:9" s="15" customFormat="1" ht="13.5" thickBot="1" x14ac:dyDescent="0.25">
      <c r="B2" s="359" t="s">
        <v>6444</v>
      </c>
      <c r="C2" s="360"/>
      <c r="D2" s="360"/>
      <c r="E2" s="360"/>
      <c r="F2" s="360"/>
      <c r="G2" s="360"/>
      <c r="H2" s="360"/>
      <c r="I2" s="361"/>
    </row>
    <row r="3" spans="2:9" s="15" customFormat="1" ht="13.5" thickBot="1" x14ac:dyDescent="0.25"/>
    <row r="4" spans="2:9" x14ac:dyDescent="0.2">
      <c r="B4" s="24" t="s">
        <v>52</v>
      </c>
      <c r="C4" t="s">
        <v>16</v>
      </c>
      <c r="G4" s="337" t="s">
        <v>730</v>
      </c>
      <c r="H4" s="338"/>
      <c r="I4" s="339"/>
    </row>
    <row r="5" spans="2:9" ht="13.5" thickBot="1" x14ac:dyDescent="0.25">
      <c r="B5" s="24" t="s">
        <v>23</v>
      </c>
      <c r="C5" t="s">
        <v>16</v>
      </c>
      <c r="G5" s="342"/>
      <c r="H5" s="343"/>
      <c r="I5" s="344"/>
    </row>
    <row r="6" spans="2:9" x14ac:dyDescent="0.2">
      <c r="B6" s="24" t="s">
        <v>5</v>
      </c>
      <c r="C6" t="s">
        <v>16</v>
      </c>
    </row>
    <row r="8" spans="2:9" x14ac:dyDescent="0.2">
      <c r="B8" s="24" t="s">
        <v>11</v>
      </c>
      <c r="C8" s="13" t="s">
        <v>33</v>
      </c>
      <c r="D8" s="13" t="s">
        <v>27</v>
      </c>
    </row>
    <row r="9" spans="2:9" x14ac:dyDescent="0.2">
      <c r="B9" s="12" t="s">
        <v>20</v>
      </c>
      <c r="C9" s="408">
        <v>70</v>
      </c>
      <c r="D9" s="38">
        <v>0.10401188707280833</v>
      </c>
    </row>
    <row r="10" spans="2:9" x14ac:dyDescent="0.2">
      <c r="B10" s="12" t="s">
        <v>19</v>
      </c>
      <c r="C10" s="408">
        <v>313</v>
      </c>
      <c r="D10" s="38">
        <v>0.46508172362555722</v>
      </c>
    </row>
    <row r="11" spans="2:9" x14ac:dyDescent="0.2">
      <c r="B11" s="12" t="s">
        <v>21</v>
      </c>
      <c r="C11" s="408">
        <v>290</v>
      </c>
      <c r="D11" s="38">
        <v>0.4309063893016345</v>
      </c>
    </row>
    <row r="12" spans="2:9" x14ac:dyDescent="0.2">
      <c r="B12" s="12" t="s">
        <v>12</v>
      </c>
      <c r="C12" s="408">
        <v>673</v>
      </c>
      <c r="D12" s="38">
        <v>1</v>
      </c>
    </row>
    <row r="13" spans="2:9" x14ac:dyDescent="0.2">
      <c r="B13"/>
      <c r="C13"/>
      <c r="D13"/>
    </row>
    <row r="14" spans="2:9" x14ac:dyDescent="0.2">
      <c r="B14"/>
      <c r="C14"/>
      <c r="D14"/>
    </row>
    <row r="15" spans="2:9" x14ac:dyDescent="0.2">
      <c r="B15"/>
      <c r="C15"/>
      <c r="D15"/>
    </row>
    <row r="16" spans="2:9" x14ac:dyDescent="0.2">
      <c r="B16"/>
      <c r="C16"/>
      <c r="D16"/>
    </row>
    <row r="17" spans="2:4" x14ac:dyDescent="0.2">
      <c r="B17"/>
      <c r="C17"/>
      <c r="D17"/>
    </row>
    <row r="18" spans="2:4" x14ac:dyDescent="0.2">
      <c r="B18"/>
      <c r="C18"/>
      <c r="D18"/>
    </row>
    <row r="19" spans="2:4" x14ac:dyDescent="0.2">
      <c r="B19"/>
      <c r="C19"/>
      <c r="D19"/>
    </row>
    <row r="20" spans="2:4" x14ac:dyDescent="0.2">
      <c r="B20"/>
      <c r="C20"/>
      <c r="D20"/>
    </row>
    <row r="21" spans="2:4" x14ac:dyDescent="0.2">
      <c r="B21"/>
      <c r="C21"/>
      <c r="D21"/>
    </row>
    <row r="22" spans="2:4" x14ac:dyDescent="0.2">
      <c r="B22"/>
      <c r="C22"/>
      <c r="D22"/>
    </row>
    <row r="23" spans="2:4" x14ac:dyDescent="0.2">
      <c r="B23"/>
      <c r="C23"/>
      <c r="D23"/>
    </row>
    <row r="24" spans="2:4" x14ac:dyDescent="0.2">
      <c r="B24"/>
      <c r="C24"/>
      <c r="D24"/>
    </row>
  </sheetData>
  <mergeCells count="2">
    <mergeCell ref="B2:I2"/>
    <mergeCell ref="G4:I5"/>
  </mergeCells>
  <pageMargins left="0.7" right="0.7" top="0.75" bottom="0.75" header="0.3" footer="0.3"/>
  <pageSetup paperSize="9" orientation="portrait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B1:I24"/>
  <sheetViews>
    <sheetView workbookViewId="0"/>
  </sheetViews>
  <sheetFormatPr defaultColWidth="8.85546875" defaultRowHeight="12.75" x14ac:dyDescent="0.2"/>
  <cols>
    <col min="1" max="1" width="3.140625" style="240" customWidth="1"/>
    <col min="2" max="2" width="12.85546875" style="240" bestFit="1" customWidth="1"/>
    <col min="3" max="3" width="11.140625" style="240" bestFit="1" customWidth="1"/>
    <col min="4" max="4" width="10.42578125" style="240" bestFit="1" customWidth="1"/>
    <col min="5" max="5" width="9.140625" style="240" bestFit="1" customWidth="1"/>
    <col min="6" max="6" width="19.5703125" style="240" bestFit="1" customWidth="1"/>
    <col min="7" max="9" width="13.85546875" style="240" customWidth="1"/>
    <col min="10" max="16384" width="8.85546875" style="240"/>
  </cols>
  <sheetData>
    <row r="1" spans="2:9" s="239" customFormat="1" ht="13.5" customHeight="1" thickBot="1" x14ac:dyDescent="0.25"/>
    <row r="2" spans="2:9" s="239" customFormat="1" ht="13.5" thickBot="1" x14ac:dyDescent="0.25">
      <c r="B2" s="359" t="s">
        <v>6445</v>
      </c>
      <c r="C2" s="360"/>
      <c r="D2" s="360"/>
      <c r="E2" s="360"/>
      <c r="F2" s="360"/>
      <c r="G2" s="360"/>
      <c r="H2" s="360"/>
      <c r="I2" s="361"/>
    </row>
    <row r="3" spans="2:9" s="239" customFormat="1" ht="13.5" thickBot="1" x14ac:dyDescent="0.25"/>
    <row r="4" spans="2:9" s="239" customFormat="1" x14ac:dyDescent="0.2">
      <c r="B4" s="75" t="s">
        <v>52</v>
      </c>
      <c r="C4" s="74" t="s">
        <v>16</v>
      </c>
      <c r="D4" s="240"/>
      <c r="E4" s="362" t="s">
        <v>6463</v>
      </c>
      <c r="F4" s="363"/>
      <c r="G4" s="363"/>
      <c r="H4" s="363"/>
      <c r="I4" s="364"/>
    </row>
    <row r="5" spans="2:9" ht="13.5" thickBot="1" x14ac:dyDescent="0.25">
      <c r="B5" s="75" t="s">
        <v>23</v>
      </c>
      <c r="C5" s="74" t="s">
        <v>16</v>
      </c>
      <c r="E5" s="365"/>
      <c r="F5" s="366"/>
      <c r="G5" s="366"/>
      <c r="H5" s="366"/>
      <c r="I5" s="367"/>
    </row>
    <row r="6" spans="2:9" x14ac:dyDescent="0.2">
      <c r="B6" s="74"/>
      <c r="C6" s="74"/>
      <c r="D6" s="74"/>
    </row>
    <row r="7" spans="2:9" x14ac:dyDescent="0.2">
      <c r="B7" s="75" t="s">
        <v>11</v>
      </c>
      <c r="C7" s="28" t="s">
        <v>33</v>
      </c>
      <c r="D7" s="28" t="s">
        <v>27</v>
      </c>
      <c r="E7" s="74" t="s">
        <v>6455</v>
      </c>
      <c r="F7" s="74" t="s">
        <v>6462</v>
      </c>
      <c r="G7" s="74"/>
      <c r="H7" s="74"/>
      <c r="I7" s="74"/>
    </row>
    <row r="8" spans="2:9" x14ac:dyDescent="0.2">
      <c r="B8" s="242">
        <v>2</v>
      </c>
      <c r="C8" s="409">
        <v>64</v>
      </c>
      <c r="D8" s="243">
        <v>9.5096582466567603E-2</v>
      </c>
      <c r="E8" s="409">
        <v>64</v>
      </c>
      <c r="F8" s="243">
        <v>9.5096582466567603E-2</v>
      </c>
      <c r="G8" s="74"/>
      <c r="H8" s="74"/>
      <c r="I8" s="74"/>
    </row>
    <row r="9" spans="2:9" x14ac:dyDescent="0.2">
      <c r="B9" s="242">
        <v>3</v>
      </c>
      <c r="C9" s="409">
        <v>90</v>
      </c>
      <c r="D9" s="243">
        <v>0.1337295690936107</v>
      </c>
      <c r="E9" s="409">
        <v>154</v>
      </c>
      <c r="F9" s="243">
        <v>0.2288261515601783</v>
      </c>
      <c r="G9" s="74"/>
      <c r="H9" s="74"/>
      <c r="I9" s="74"/>
    </row>
    <row r="10" spans="2:9" x14ac:dyDescent="0.2">
      <c r="B10" s="242">
        <v>4</v>
      </c>
      <c r="C10" s="409">
        <v>211</v>
      </c>
      <c r="D10" s="243">
        <v>0.31352154531946508</v>
      </c>
      <c r="E10" s="409">
        <v>365</v>
      </c>
      <c r="F10" s="243">
        <v>0.54234769687964335</v>
      </c>
      <c r="G10" s="74"/>
      <c r="H10" s="74"/>
      <c r="I10" s="74"/>
    </row>
    <row r="11" spans="2:9" x14ac:dyDescent="0.2">
      <c r="B11" s="242">
        <v>5</v>
      </c>
      <c r="C11" s="409">
        <v>308</v>
      </c>
      <c r="D11" s="243">
        <v>0.4576523031203566</v>
      </c>
      <c r="E11" s="409">
        <v>673</v>
      </c>
      <c r="F11" s="243">
        <v>1</v>
      </c>
      <c r="G11" s="74"/>
      <c r="H11" s="74"/>
      <c r="I11" s="74"/>
    </row>
    <row r="12" spans="2:9" x14ac:dyDescent="0.2">
      <c r="B12" s="244" t="s">
        <v>12</v>
      </c>
      <c r="C12" s="409">
        <v>673</v>
      </c>
      <c r="D12" s="243">
        <v>1</v>
      </c>
      <c r="E12" s="409"/>
      <c r="F12" s="243"/>
      <c r="G12" s="74"/>
      <c r="H12" s="74"/>
      <c r="I12" s="74"/>
    </row>
    <row r="13" spans="2:9" x14ac:dyDescent="0.2">
      <c r="B13" s="74"/>
      <c r="C13" s="74"/>
      <c r="D13" s="74"/>
      <c r="E13" s="74"/>
      <c r="F13" s="74"/>
    </row>
    <row r="14" spans="2:9" x14ac:dyDescent="0.2">
      <c r="B14" s="74"/>
      <c r="C14" s="74"/>
      <c r="D14" s="74"/>
    </row>
    <row r="16" spans="2:9" x14ac:dyDescent="0.2">
      <c r="B16" s="74"/>
      <c r="C16" s="74"/>
      <c r="D16" s="74"/>
    </row>
    <row r="17" spans="2:4" x14ac:dyDescent="0.2">
      <c r="B17" s="74"/>
      <c r="C17" s="74"/>
      <c r="D17" s="74"/>
    </row>
    <row r="18" spans="2:4" x14ac:dyDescent="0.2">
      <c r="B18" s="74"/>
      <c r="C18" s="74"/>
      <c r="D18" s="74"/>
    </row>
    <row r="19" spans="2:4" x14ac:dyDescent="0.2">
      <c r="B19" s="74"/>
      <c r="C19" s="74"/>
      <c r="D19" s="74"/>
    </row>
    <row r="20" spans="2:4" x14ac:dyDescent="0.2">
      <c r="B20" s="74"/>
      <c r="C20" s="74"/>
      <c r="D20" s="74"/>
    </row>
    <row r="21" spans="2:4" x14ac:dyDescent="0.2">
      <c r="B21" s="74"/>
      <c r="C21" s="74"/>
      <c r="D21" s="74"/>
    </row>
    <row r="22" spans="2:4" x14ac:dyDescent="0.2">
      <c r="B22" s="74"/>
      <c r="C22" s="74"/>
      <c r="D22" s="74"/>
    </row>
    <row r="23" spans="2:4" x14ac:dyDescent="0.2">
      <c r="B23" s="74"/>
      <c r="C23" s="74"/>
      <c r="D23" s="74"/>
    </row>
    <row r="24" spans="2:4" x14ac:dyDescent="0.2">
      <c r="B24" s="74"/>
      <c r="C24" s="74"/>
      <c r="D24" s="74"/>
    </row>
  </sheetData>
  <mergeCells count="2">
    <mergeCell ref="B2:I2"/>
    <mergeCell ref="E4:I5"/>
  </mergeCell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499984740745262"/>
  </sheetPr>
  <dimension ref="B1:I45"/>
  <sheetViews>
    <sheetView workbookViewId="0"/>
  </sheetViews>
  <sheetFormatPr defaultColWidth="8.85546875" defaultRowHeight="12.75" x14ac:dyDescent="0.2"/>
  <cols>
    <col min="1" max="1" width="3.140625" style="240" customWidth="1"/>
    <col min="2" max="2" width="16" style="240" bestFit="1" customWidth="1"/>
    <col min="3" max="9" width="17.5703125" style="240" customWidth="1"/>
    <col min="10" max="16384" width="8.85546875" style="240"/>
  </cols>
  <sheetData>
    <row r="1" spans="2:9" s="239" customFormat="1" ht="13.5" customHeight="1" thickBot="1" x14ac:dyDescent="0.25"/>
    <row r="2" spans="2:9" s="239" customFormat="1" ht="13.5" thickBot="1" x14ac:dyDescent="0.25">
      <c r="B2" s="359" t="s">
        <v>6446</v>
      </c>
      <c r="C2" s="360"/>
      <c r="D2" s="360"/>
      <c r="E2" s="360"/>
      <c r="F2" s="360"/>
      <c r="G2" s="360"/>
      <c r="H2" s="360"/>
      <c r="I2" s="361"/>
    </row>
    <row r="3" spans="2:9" s="239" customFormat="1" ht="13.5" thickBot="1" x14ac:dyDescent="0.25"/>
    <row r="4" spans="2:9" s="239" customFormat="1" ht="13.5" thickBot="1" x14ac:dyDescent="0.25">
      <c r="B4" s="75" t="s">
        <v>52</v>
      </c>
      <c r="C4" s="74" t="s">
        <v>16</v>
      </c>
      <c r="E4" s="410" t="s">
        <v>6464</v>
      </c>
      <c r="F4" s="411"/>
      <c r="G4" s="411"/>
      <c r="H4" s="411"/>
      <c r="I4" s="412"/>
    </row>
    <row r="5" spans="2:9" s="239" customFormat="1" x14ac:dyDescent="0.2">
      <c r="B5" s="75" t="s">
        <v>23</v>
      </c>
      <c r="C5" s="74" t="s">
        <v>16</v>
      </c>
    </row>
    <row r="6" spans="2:9" x14ac:dyDescent="0.2">
      <c r="B6" s="75" t="s">
        <v>5</v>
      </c>
      <c r="C6" s="74" t="s">
        <v>16</v>
      </c>
    </row>
    <row r="8" spans="2:9" x14ac:dyDescent="0.2">
      <c r="B8" s="413" t="s">
        <v>30</v>
      </c>
      <c r="C8" s="28" t="s">
        <v>28</v>
      </c>
      <c r="D8" s="28" t="s">
        <v>29</v>
      </c>
      <c r="E8" s="28" t="s">
        <v>6465</v>
      </c>
      <c r="F8" s="28" t="s">
        <v>6458</v>
      </c>
      <c r="G8" s="75"/>
      <c r="H8" s="241"/>
      <c r="I8" s="241"/>
    </row>
    <row r="9" spans="2:9" x14ac:dyDescent="0.2">
      <c r="B9" s="242">
        <v>1</v>
      </c>
      <c r="C9" s="409">
        <v>4</v>
      </c>
      <c r="D9" s="243">
        <v>8.9938167509836988E-4</v>
      </c>
      <c r="E9" s="409">
        <v>4</v>
      </c>
      <c r="F9" s="243">
        <v>5.9435364041604752E-3</v>
      </c>
      <c r="G9" s="74"/>
    </row>
    <row r="10" spans="2:9" x14ac:dyDescent="0.2">
      <c r="B10" s="242">
        <v>2</v>
      </c>
      <c r="C10" s="409">
        <v>10</v>
      </c>
      <c r="D10" s="243">
        <v>4.4969083754918494E-3</v>
      </c>
      <c r="E10" s="409">
        <v>14</v>
      </c>
      <c r="F10" s="243">
        <v>2.0802377414561663E-2</v>
      </c>
      <c r="G10" s="74"/>
    </row>
    <row r="11" spans="2:9" x14ac:dyDescent="0.2">
      <c r="B11" s="242">
        <v>3</v>
      </c>
      <c r="C11" s="409">
        <v>29</v>
      </c>
      <c r="D11" s="243">
        <v>1.9561551433389546E-2</v>
      </c>
      <c r="E11" s="409">
        <v>43</v>
      </c>
      <c r="F11" s="243">
        <v>6.3893016344725106E-2</v>
      </c>
      <c r="G11" s="74"/>
    </row>
    <row r="12" spans="2:9" x14ac:dyDescent="0.2">
      <c r="B12" s="242">
        <v>4</v>
      </c>
      <c r="C12" s="409">
        <v>62</v>
      </c>
      <c r="D12" s="243">
        <v>5.5761663856098931E-2</v>
      </c>
      <c r="E12" s="409">
        <v>105</v>
      </c>
      <c r="F12" s="243">
        <v>0.15601783060921248</v>
      </c>
      <c r="G12" s="74"/>
    </row>
    <row r="13" spans="2:9" x14ac:dyDescent="0.2">
      <c r="B13" s="242">
        <v>5</v>
      </c>
      <c r="C13" s="409">
        <v>82</v>
      </c>
      <c r="D13" s="243">
        <v>9.2186621697582918E-2</v>
      </c>
      <c r="E13" s="409">
        <v>187</v>
      </c>
      <c r="F13" s="243">
        <v>0.27786032689450224</v>
      </c>
      <c r="G13" s="74"/>
    </row>
    <row r="14" spans="2:9" x14ac:dyDescent="0.2">
      <c r="B14" s="242">
        <v>6</v>
      </c>
      <c r="C14" s="409">
        <v>131</v>
      </c>
      <c r="D14" s="243">
        <v>0.17672849915682967</v>
      </c>
      <c r="E14" s="409">
        <v>318</v>
      </c>
      <c r="F14" s="243">
        <v>0.47251114413075779</v>
      </c>
    </row>
    <row r="15" spans="2:9" x14ac:dyDescent="0.2">
      <c r="B15" s="242">
        <v>7</v>
      </c>
      <c r="C15" s="409">
        <v>137</v>
      </c>
      <c r="D15" s="243">
        <v>0.21562675660483419</v>
      </c>
      <c r="E15" s="409">
        <v>455</v>
      </c>
      <c r="F15" s="243">
        <v>0.67607726597325413</v>
      </c>
    </row>
    <row r="16" spans="2:9" x14ac:dyDescent="0.2">
      <c r="B16" s="242">
        <v>8</v>
      </c>
      <c r="C16" s="409">
        <v>95</v>
      </c>
      <c r="D16" s="243">
        <v>0.17088251826869028</v>
      </c>
      <c r="E16" s="409">
        <v>550</v>
      </c>
      <c r="F16" s="243">
        <v>0.81723625557206536</v>
      </c>
    </row>
    <row r="17" spans="2:6" x14ac:dyDescent="0.2">
      <c r="B17" s="242">
        <v>9</v>
      </c>
      <c r="C17" s="409">
        <v>71</v>
      </c>
      <c r="D17" s="243">
        <v>0.14367622259696458</v>
      </c>
      <c r="E17" s="409">
        <v>621</v>
      </c>
      <c r="F17" s="243">
        <v>0.92273402674591387</v>
      </c>
    </row>
    <row r="18" spans="2:6" x14ac:dyDescent="0.2">
      <c r="B18" s="242">
        <v>10</v>
      </c>
      <c r="C18" s="409">
        <v>37</v>
      </c>
      <c r="D18" s="243">
        <v>8.3192804946599211E-2</v>
      </c>
      <c r="E18" s="409">
        <v>658</v>
      </c>
      <c r="F18" s="243">
        <v>0.97771173848439819</v>
      </c>
    </row>
    <row r="19" spans="2:6" x14ac:dyDescent="0.2">
      <c r="B19" s="242">
        <v>11</v>
      </c>
      <c r="C19" s="409">
        <v>9</v>
      </c>
      <c r="D19" s="243">
        <v>2.2259696458684655E-2</v>
      </c>
      <c r="E19" s="409">
        <v>667</v>
      </c>
      <c r="F19" s="243">
        <v>0.99108469539375932</v>
      </c>
    </row>
    <row r="20" spans="2:6" x14ac:dyDescent="0.2">
      <c r="B20" s="242">
        <v>12</v>
      </c>
      <c r="C20" s="409">
        <v>5</v>
      </c>
      <c r="D20" s="243">
        <v>1.3490725126475547E-2</v>
      </c>
      <c r="E20" s="409">
        <v>672</v>
      </c>
      <c r="F20" s="243">
        <v>0.99851411589895989</v>
      </c>
    </row>
    <row r="21" spans="2:6" x14ac:dyDescent="0.2">
      <c r="B21" s="242">
        <v>5.5</v>
      </c>
      <c r="C21" s="409">
        <v>1</v>
      </c>
      <c r="D21" s="243">
        <v>1.2366498032602585E-3</v>
      </c>
      <c r="E21" s="409">
        <v>673</v>
      </c>
      <c r="F21" s="243">
        <v>1</v>
      </c>
    </row>
    <row r="22" spans="2:6" x14ac:dyDescent="0.2">
      <c r="B22" s="244" t="s">
        <v>12</v>
      </c>
      <c r="C22" s="409">
        <v>673</v>
      </c>
      <c r="D22" s="243">
        <v>1</v>
      </c>
      <c r="E22" s="409"/>
      <c r="F22" s="243"/>
    </row>
    <row r="23" spans="2:6" x14ac:dyDescent="0.2">
      <c r="B23" s="244"/>
      <c r="C23" s="28"/>
      <c r="D23" s="243"/>
      <c r="E23" s="28"/>
      <c r="F23" s="243"/>
    </row>
    <row r="24" spans="2:6" x14ac:dyDescent="0.2">
      <c r="B24" s="75" t="s">
        <v>52</v>
      </c>
      <c r="C24" s="74" t="s">
        <v>16</v>
      </c>
      <c r="D24" s="243"/>
      <c r="E24" s="28"/>
      <c r="F24" s="243"/>
    </row>
    <row r="25" spans="2:6" x14ac:dyDescent="0.2">
      <c r="B25" s="75" t="s">
        <v>23</v>
      </c>
      <c r="C25" s="74" t="s">
        <v>16</v>
      </c>
      <c r="D25" s="243"/>
      <c r="E25" s="28"/>
      <c r="F25" s="243"/>
    </row>
    <row r="26" spans="2:6" x14ac:dyDescent="0.2">
      <c r="B26" s="75" t="s">
        <v>5</v>
      </c>
      <c r="C26" s="74" t="s">
        <v>16</v>
      </c>
    </row>
    <row r="28" spans="2:6" x14ac:dyDescent="0.2">
      <c r="B28" s="75" t="s">
        <v>30</v>
      </c>
      <c r="C28" s="28" t="s">
        <v>28</v>
      </c>
      <c r="D28" s="74"/>
      <c r="E28" s="74"/>
      <c r="F28" s="74"/>
    </row>
    <row r="29" spans="2:6" x14ac:dyDescent="0.2">
      <c r="B29" s="242">
        <v>1</v>
      </c>
      <c r="C29" s="409">
        <v>4</v>
      </c>
      <c r="D29" s="74"/>
      <c r="E29" s="74"/>
      <c r="F29" s="74"/>
    </row>
    <row r="30" spans="2:6" x14ac:dyDescent="0.2">
      <c r="B30" s="242">
        <v>2</v>
      </c>
      <c r="C30" s="409">
        <v>10</v>
      </c>
      <c r="D30" s="74"/>
      <c r="E30" s="74"/>
      <c r="F30" s="74"/>
    </row>
    <row r="31" spans="2:6" x14ac:dyDescent="0.2">
      <c r="B31" s="242">
        <v>3</v>
      </c>
      <c r="C31" s="409">
        <v>29</v>
      </c>
      <c r="D31" s="74"/>
      <c r="E31" s="74"/>
      <c r="F31" s="74"/>
    </row>
    <row r="32" spans="2:6" x14ac:dyDescent="0.2">
      <c r="B32" s="242">
        <v>4</v>
      </c>
      <c r="C32" s="409">
        <v>62</v>
      </c>
      <c r="D32" s="74"/>
      <c r="E32" s="74"/>
      <c r="F32" s="74"/>
    </row>
    <row r="33" spans="2:9" x14ac:dyDescent="0.2">
      <c r="B33" s="242">
        <v>5</v>
      </c>
      <c r="C33" s="409">
        <v>82</v>
      </c>
      <c r="D33" s="74"/>
      <c r="E33" s="74"/>
      <c r="F33" s="74"/>
    </row>
    <row r="34" spans="2:9" x14ac:dyDescent="0.2">
      <c r="B34" s="242">
        <v>6</v>
      </c>
      <c r="C34" s="409">
        <v>131</v>
      </c>
      <c r="D34" s="74"/>
      <c r="E34" s="74"/>
      <c r="F34" s="74"/>
    </row>
    <row r="35" spans="2:9" x14ac:dyDescent="0.2">
      <c r="B35" s="242">
        <v>7</v>
      </c>
      <c r="C35" s="409">
        <v>137</v>
      </c>
      <c r="D35" s="74"/>
      <c r="E35" s="74"/>
      <c r="F35" s="74"/>
    </row>
    <row r="36" spans="2:9" x14ac:dyDescent="0.2">
      <c r="B36" s="242">
        <v>8</v>
      </c>
      <c r="C36" s="409">
        <v>95</v>
      </c>
      <c r="D36" s="74"/>
      <c r="E36" s="74"/>
      <c r="F36" s="74"/>
    </row>
    <row r="37" spans="2:9" x14ac:dyDescent="0.2">
      <c r="B37" s="242">
        <v>9</v>
      </c>
      <c r="C37" s="409">
        <v>71</v>
      </c>
      <c r="D37" s="74"/>
      <c r="E37" s="74"/>
      <c r="F37" s="74"/>
    </row>
    <row r="38" spans="2:9" x14ac:dyDescent="0.2">
      <c r="B38" s="242">
        <v>10</v>
      </c>
      <c r="C38" s="409">
        <v>37</v>
      </c>
      <c r="D38" s="74"/>
      <c r="E38" s="74"/>
      <c r="F38" s="74"/>
    </row>
    <row r="39" spans="2:9" x14ac:dyDescent="0.2">
      <c r="B39" s="242">
        <v>11</v>
      </c>
      <c r="C39" s="409">
        <v>9</v>
      </c>
      <c r="D39" s="74"/>
      <c r="E39" s="74"/>
      <c r="F39" s="74"/>
    </row>
    <row r="40" spans="2:9" x14ac:dyDescent="0.2">
      <c r="B40" s="242">
        <v>12</v>
      </c>
      <c r="C40" s="409">
        <v>5</v>
      </c>
      <c r="D40" s="74"/>
      <c r="E40" s="74"/>
      <c r="F40" s="74"/>
    </row>
    <row r="41" spans="2:9" x14ac:dyDescent="0.2">
      <c r="B41" s="242">
        <v>5.5</v>
      </c>
      <c r="C41" s="409">
        <v>1</v>
      </c>
    </row>
    <row r="42" spans="2:9" x14ac:dyDescent="0.2">
      <c r="B42" s="244" t="s">
        <v>12</v>
      </c>
      <c r="C42" s="409">
        <v>673</v>
      </c>
    </row>
    <row r="44" spans="2:9" ht="13.5" thickBot="1" x14ac:dyDescent="0.25"/>
    <row r="45" spans="2:9" ht="13.5" thickBot="1" x14ac:dyDescent="0.25">
      <c r="E45" s="368" t="s">
        <v>731</v>
      </c>
      <c r="F45" s="369"/>
      <c r="G45" s="369"/>
      <c r="H45" s="369"/>
      <c r="I45" s="370"/>
    </row>
  </sheetData>
  <mergeCells count="3">
    <mergeCell ref="E45:I45"/>
    <mergeCell ref="E4:I4"/>
    <mergeCell ref="B2:I2"/>
  </mergeCells>
  <pageMargins left="0.7" right="0.7" top="0.75" bottom="0.75" header="0.3" footer="0.3"/>
  <pageSetup paperSize="9" orientation="portrait" r:id="rId3"/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0.499984740745262"/>
  </sheetPr>
  <dimension ref="B1:I118"/>
  <sheetViews>
    <sheetView workbookViewId="0"/>
  </sheetViews>
  <sheetFormatPr defaultColWidth="8.85546875" defaultRowHeight="12.75" x14ac:dyDescent="0.2"/>
  <cols>
    <col min="1" max="1" width="3.140625" style="240" customWidth="1"/>
    <col min="2" max="2" width="14.85546875" style="240" bestFit="1" customWidth="1"/>
    <col min="3" max="3" width="11.140625" style="240" bestFit="1" customWidth="1"/>
    <col min="4" max="9" width="13.85546875" style="240" customWidth="1"/>
    <col min="10" max="16384" width="8.85546875" style="240"/>
  </cols>
  <sheetData>
    <row r="1" spans="2:9" s="239" customFormat="1" ht="13.5" customHeight="1" thickBot="1" x14ac:dyDescent="0.25"/>
    <row r="2" spans="2:9" s="239" customFormat="1" ht="13.5" thickBot="1" x14ac:dyDescent="0.25">
      <c r="B2" s="359" t="s">
        <v>6447</v>
      </c>
      <c r="C2" s="360"/>
      <c r="D2" s="360"/>
      <c r="E2" s="360"/>
      <c r="F2" s="360"/>
      <c r="G2" s="360"/>
      <c r="H2" s="360"/>
      <c r="I2" s="361"/>
    </row>
    <row r="3" spans="2:9" s="239" customFormat="1" x14ac:dyDescent="0.2"/>
    <row r="4" spans="2:9" s="239" customFormat="1" x14ac:dyDescent="0.2">
      <c r="B4" s="75" t="s">
        <v>52</v>
      </c>
      <c r="C4" s="74" t="s">
        <v>16</v>
      </c>
    </row>
    <row r="5" spans="2:9" x14ac:dyDescent="0.2">
      <c r="B5" s="75" t="s">
        <v>23</v>
      </c>
      <c r="C5" s="74" t="s">
        <v>16</v>
      </c>
    </row>
    <row r="6" spans="2:9" x14ac:dyDescent="0.2">
      <c r="B6" s="245"/>
    </row>
    <row r="7" spans="2:9" x14ac:dyDescent="0.2">
      <c r="B7" s="75" t="s">
        <v>31</v>
      </c>
      <c r="C7" s="28" t="s">
        <v>28</v>
      </c>
      <c r="D7" s="74"/>
      <c r="E7" s="74"/>
      <c r="F7" s="74"/>
      <c r="G7" s="75"/>
      <c r="H7" s="241"/>
      <c r="I7" s="241"/>
    </row>
    <row r="8" spans="2:9" x14ac:dyDescent="0.2">
      <c r="B8" s="244" t="s">
        <v>6423</v>
      </c>
      <c r="C8" s="409">
        <v>24</v>
      </c>
      <c r="D8" s="74"/>
      <c r="E8" s="74"/>
      <c r="F8" s="74"/>
      <c r="G8" s="74"/>
    </row>
    <row r="9" spans="2:9" x14ac:dyDescent="0.2">
      <c r="B9" s="244" t="s">
        <v>6424</v>
      </c>
      <c r="C9" s="409">
        <v>40</v>
      </c>
      <c r="D9" s="74"/>
      <c r="E9" s="74"/>
      <c r="F9" s="74"/>
      <c r="G9" s="74"/>
    </row>
    <row r="10" spans="2:9" x14ac:dyDescent="0.2">
      <c r="B10" s="244" t="s">
        <v>6425</v>
      </c>
      <c r="C10" s="409">
        <v>67</v>
      </c>
      <c r="D10" s="74"/>
      <c r="E10" s="74"/>
      <c r="F10" s="74"/>
      <c r="G10" s="74"/>
    </row>
    <row r="11" spans="2:9" x14ac:dyDescent="0.2">
      <c r="B11" s="244" t="s">
        <v>6426</v>
      </c>
      <c r="C11" s="409">
        <v>74</v>
      </c>
      <c r="D11" s="74"/>
      <c r="E11" s="74"/>
      <c r="F11" s="74"/>
      <c r="G11" s="74"/>
    </row>
    <row r="12" spans="2:9" x14ac:dyDescent="0.2">
      <c r="B12" s="244" t="s">
        <v>6427</v>
      </c>
      <c r="C12" s="409">
        <v>62</v>
      </c>
      <c r="D12" s="74"/>
      <c r="E12" s="74"/>
      <c r="F12" s="74"/>
      <c r="G12" s="74"/>
    </row>
    <row r="13" spans="2:9" x14ac:dyDescent="0.2">
      <c r="B13" s="244" t="s">
        <v>6428</v>
      </c>
      <c r="C13" s="409">
        <v>67</v>
      </c>
      <c r="D13" s="74"/>
      <c r="E13" s="74"/>
      <c r="F13" s="74"/>
    </row>
    <row r="14" spans="2:9" x14ac:dyDescent="0.2">
      <c r="B14" s="244" t="s">
        <v>6429</v>
      </c>
      <c r="C14" s="409">
        <v>110</v>
      </c>
      <c r="D14" s="74"/>
      <c r="E14" s="74"/>
      <c r="F14" s="74"/>
    </row>
    <row r="15" spans="2:9" x14ac:dyDescent="0.2">
      <c r="B15" s="244" t="s">
        <v>6430</v>
      </c>
      <c r="C15" s="409">
        <v>110</v>
      </c>
      <c r="D15" s="74"/>
    </row>
    <row r="16" spans="2:9" x14ac:dyDescent="0.2">
      <c r="B16" s="244" t="s">
        <v>6431</v>
      </c>
      <c r="C16" s="409">
        <v>81</v>
      </c>
      <c r="D16" s="74"/>
    </row>
    <row r="17" spans="2:9" x14ac:dyDescent="0.2">
      <c r="B17" s="244" t="s">
        <v>6432</v>
      </c>
      <c r="C17" s="409">
        <v>27</v>
      </c>
      <c r="D17" s="74"/>
    </row>
    <row r="18" spans="2:9" x14ac:dyDescent="0.2">
      <c r="B18" s="244" t="s">
        <v>6433</v>
      </c>
      <c r="C18" s="409">
        <v>11</v>
      </c>
      <c r="D18" s="74"/>
    </row>
    <row r="19" spans="2:9" x14ac:dyDescent="0.2">
      <c r="B19" s="244" t="s">
        <v>12</v>
      </c>
      <c r="C19" s="409">
        <v>673</v>
      </c>
      <c r="D19" s="74"/>
    </row>
    <row r="20" spans="2:9" x14ac:dyDescent="0.2">
      <c r="B20" s="74"/>
      <c r="C20" s="74"/>
      <c r="D20" s="74"/>
    </row>
    <row r="21" spans="2:9" x14ac:dyDescent="0.2">
      <c r="B21" s="244"/>
      <c r="C21" s="28"/>
      <c r="D21" s="74"/>
    </row>
    <row r="22" spans="2:9" x14ac:dyDescent="0.2">
      <c r="B22" s="74"/>
      <c r="C22" s="74"/>
      <c r="D22" s="74"/>
    </row>
    <row r="23" spans="2:9" x14ac:dyDescent="0.2">
      <c r="D23" s="74"/>
      <c r="E23" s="246" t="s">
        <v>6467</v>
      </c>
      <c r="F23" s="78">
        <v>10</v>
      </c>
    </row>
    <row r="24" spans="2:9" ht="13.5" thickBot="1" x14ac:dyDescent="0.25">
      <c r="B24" s="74"/>
      <c r="C24" s="74"/>
    </row>
    <row r="25" spans="2:9" ht="13.5" thickBot="1" x14ac:dyDescent="0.25">
      <c r="B25" s="74"/>
      <c r="C25" s="74"/>
      <c r="E25" s="371" t="s">
        <v>6466</v>
      </c>
      <c r="F25" s="372"/>
      <c r="G25" s="372"/>
      <c r="H25" s="372"/>
      <c r="I25" s="373"/>
    </row>
    <row r="26" spans="2:9" x14ac:dyDescent="0.2">
      <c r="B26" s="74"/>
      <c r="C26" s="74"/>
    </row>
    <row r="27" spans="2:9" x14ac:dyDescent="0.2">
      <c r="B27" s="74"/>
      <c r="C27" s="74"/>
    </row>
    <row r="29" spans="2:9" x14ac:dyDescent="0.2">
      <c r="B29" s="74"/>
      <c r="C29" s="74"/>
    </row>
    <row r="30" spans="2:9" x14ac:dyDescent="0.2">
      <c r="B30" s="74"/>
      <c r="C30" s="74"/>
    </row>
    <row r="31" spans="2:9" x14ac:dyDescent="0.2">
      <c r="B31" s="74"/>
      <c r="C31" s="74"/>
    </row>
    <row r="32" spans="2:9" x14ac:dyDescent="0.2">
      <c r="B32" s="74"/>
      <c r="C32" s="74"/>
    </row>
    <row r="33" spans="2:3" x14ac:dyDescent="0.2">
      <c r="B33" s="74"/>
      <c r="C33" s="74"/>
    </row>
    <row r="34" spans="2:3" x14ac:dyDescent="0.2">
      <c r="B34" s="74"/>
      <c r="C34" s="74"/>
    </row>
    <row r="35" spans="2:3" x14ac:dyDescent="0.2">
      <c r="B35" s="74"/>
      <c r="C35" s="74"/>
    </row>
    <row r="36" spans="2:3" x14ac:dyDescent="0.2">
      <c r="B36" s="74"/>
      <c r="C36" s="74"/>
    </row>
    <row r="37" spans="2:3" x14ac:dyDescent="0.2">
      <c r="B37" s="74"/>
      <c r="C37" s="74"/>
    </row>
    <row r="38" spans="2:3" x14ac:dyDescent="0.2">
      <c r="B38" s="74"/>
      <c r="C38" s="74"/>
    </row>
    <row r="39" spans="2:3" x14ac:dyDescent="0.2">
      <c r="B39" s="74"/>
      <c r="C39" s="74"/>
    </row>
    <row r="40" spans="2:3" x14ac:dyDescent="0.2">
      <c r="B40" s="74"/>
      <c r="C40" s="74"/>
    </row>
    <row r="41" spans="2:3" x14ac:dyDescent="0.2">
      <c r="B41" s="74"/>
      <c r="C41" s="74"/>
    </row>
    <row r="42" spans="2:3" x14ac:dyDescent="0.2">
      <c r="B42" s="74"/>
      <c r="C42" s="74"/>
    </row>
    <row r="43" spans="2:3" x14ac:dyDescent="0.2">
      <c r="B43" s="74"/>
      <c r="C43" s="74"/>
    </row>
    <row r="44" spans="2:3" x14ac:dyDescent="0.2">
      <c r="B44" s="74"/>
      <c r="C44" s="74"/>
    </row>
    <row r="45" spans="2:3" x14ac:dyDescent="0.2">
      <c r="B45" s="74"/>
      <c r="C45" s="74"/>
    </row>
    <row r="46" spans="2:3" x14ac:dyDescent="0.2">
      <c r="B46" s="74"/>
      <c r="C46" s="74"/>
    </row>
    <row r="47" spans="2:3" x14ac:dyDescent="0.2">
      <c r="B47" s="74"/>
      <c r="C47" s="74"/>
    </row>
    <row r="48" spans="2:3" x14ac:dyDescent="0.2">
      <c r="B48" s="74"/>
      <c r="C48" s="74"/>
    </row>
    <row r="49" spans="2:3" x14ac:dyDescent="0.2">
      <c r="B49" s="74"/>
      <c r="C49" s="74"/>
    </row>
    <row r="50" spans="2:3" x14ac:dyDescent="0.2">
      <c r="B50" s="74"/>
      <c r="C50" s="74"/>
    </row>
    <row r="51" spans="2:3" x14ac:dyDescent="0.2">
      <c r="B51" s="74"/>
      <c r="C51" s="74"/>
    </row>
    <row r="52" spans="2:3" x14ac:dyDescent="0.2">
      <c r="B52" s="74"/>
      <c r="C52" s="74"/>
    </row>
    <row r="53" spans="2:3" x14ac:dyDescent="0.2">
      <c r="B53" s="74"/>
      <c r="C53" s="74"/>
    </row>
    <row r="54" spans="2:3" x14ac:dyDescent="0.2">
      <c r="B54" s="74"/>
      <c r="C54" s="74"/>
    </row>
    <row r="55" spans="2:3" x14ac:dyDescent="0.2">
      <c r="B55" s="74"/>
      <c r="C55" s="74"/>
    </row>
    <row r="56" spans="2:3" x14ac:dyDescent="0.2">
      <c r="B56" s="74"/>
      <c r="C56" s="74"/>
    </row>
    <row r="57" spans="2:3" x14ac:dyDescent="0.2">
      <c r="B57" s="74"/>
      <c r="C57" s="74"/>
    </row>
    <row r="58" spans="2:3" x14ac:dyDescent="0.2">
      <c r="B58" s="74"/>
      <c r="C58" s="74"/>
    </row>
    <row r="59" spans="2:3" x14ac:dyDescent="0.2">
      <c r="B59" s="74"/>
      <c r="C59" s="74"/>
    </row>
    <row r="60" spans="2:3" x14ac:dyDescent="0.2">
      <c r="B60" s="74"/>
      <c r="C60" s="74"/>
    </row>
    <row r="61" spans="2:3" x14ac:dyDescent="0.2">
      <c r="B61" s="74"/>
      <c r="C61" s="74"/>
    </row>
    <row r="62" spans="2:3" x14ac:dyDescent="0.2">
      <c r="B62" s="74"/>
      <c r="C62" s="74"/>
    </row>
    <row r="63" spans="2:3" x14ac:dyDescent="0.2">
      <c r="B63" s="74"/>
      <c r="C63" s="74"/>
    </row>
    <row r="64" spans="2:3" x14ac:dyDescent="0.2">
      <c r="B64" s="74"/>
      <c r="C64" s="74"/>
    </row>
    <row r="65" spans="2:3" x14ac:dyDescent="0.2">
      <c r="B65" s="74"/>
      <c r="C65" s="74"/>
    </row>
    <row r="66" spans="2:3" x14ac:dyDescent="0.2">
      <c r="B66" s="74"/>
      <c r="C66" s="74"/>
    </row>
    <row r="67" spans="2:3" x14ac:dyDescent="0.2">
      <c r="B67" s="74"/>
      <c r="C67" s="74"/>
    </row>
    <row r="68" spans="2:3" x14ac:dyDescent="0.2">
      <c r="B68" s="74"/>
      <c r="C68" s="74"/>
    </row>
    <row r="69" spans="2:3" x14ac:dyDescent="0.2">
      <c r="B69" s="74"/>
      <c r="C69" s="74"/>
    </row>
    <row r="70" spans="2:3" x14ac:dyDescent="0.2">
      <c r="B70" s="74"/>
      <c r="C70" s="74"/>
    </row>
    <row r="71" spans="2:3" x14ac:dyDescent="0.2">
      <c r="B71" s="74"/>
      <c r="C71" s="74"/>
    </row>
    <row r="72" spans="2:3" x14ac:dyDescent="0.2">
      <c r="B72" s="74"/>
      <c r="C72" s="74"/>
    </row>
    <row r="73" spans="2:3" x14ac:dyDescent="0.2">
      <c r="B73" s="74"/>
      <c r="C73" s="74"/>
    </row>
    <row r="74" spans="2:3" x14ac:dyDescent="0.2">
      <c r="B74" s="74"/>
      <c r="C74" s="74"/>
    </row>
    <row r="75" spans="2:3" x14ac:dyDescent="0.2">
      <c r="B75" s="74"/>
      <c r="C75" s="74"/>
    </row>
    <row r="76" spans="2:3" x14ac:dyDescent="0.2">
      <c r="B76" s="74"/>
      <c r="C76" s="74"/>
    </row>
    <row r="77" spans="2:3" x14ac:dyDescent="0.2">
      <c r="B77" s="74"/>
      <c r="C77" s="74"/>
    </row>
    <row r="78" spans="2:3" x14ac:dyDescent="0.2">
      <c r="B78" s="74"/>
      <c r="C78" s="74"/>
    </row>
    <row r="79" spans="2:3" x14ac:dyDescent="0.2">
      <c r="B79" s="74"/>
      <c r="C79" s="74"/>
    </row>
    <row r="80" spans="2:3" x14ac:dyDescent="0.2">
      <c r="B80" s="74"/>
      <c r="C80" s="74"/>
    </row>
    <row r="81" spans="2:3" x14ac:dyDescent="0.2">
      <c r="B81" s="74"/>
      <c r="C81" s="74"/>
    </row>
    <row r="82" spans="2:3" x14ac:dyDescent="0.2">
      <c r="B82" s="74"/>
      <c r="C82" s="74"/>
    </row>
    <row r="83" spans="2:3" x14ac:dyDescent="0.2">
      <c r="B83" s="74"/>
      <c r="C83" s="74"/>
    </row>
    <row r="84" spans="2:3" x14ac:dyDescent="0.2">
      <c r="B84" s="74"/>
      <c r="C84" s="74"/>
    </row>
    <row r="85" spans="2:3" x14ac:dyDescent="0.2">
      <c r="B85" s="74"/>
      <c r="C85" s="74"/>
    </row>
    <row r="86" spans="2:3" x14ac:dyDescent="0.2">
      <c r="B86" s="74"/>
      <c r="C86" s="74"/>
    </row>
    <row r="87" spans="2:3" x14ac:dyDescent="0.2">
      <c r="B87" s="74"/>
      <c r="C87" s="74"/>
    </row>
    <row r="88" spans="2:3" x14ac:dyDescent="0.2">
      <c r="B88" s="74"/>
      <c r="C88" s="74"/>
    </row>
    <row r="89" spans="2:3" x14ac:dyDescent="0.2">
      <c r="B89" s="74"/>
      <c r="C89" s="74"/>
    </row>
    <row r="90" spans="2:3" x14ac:dyDescent="0.2">
      <c r="B90" s="74"/>
      <c r="C90" s="74"/>
    </row>
    <row r="91" spans="2:3" x14ac:dyDescent="0.2">
      <c r="B91" s="74"/>
      <c r="C91" s="74"/>
    </row>
    <row r="92" spans="2:3" x14ac:dyDescent="0.2">
      <c r="B92" s="74"/>
      <c r="C92" s="74"/>
    </row>
    <row r="93" spans="2:3" x14ac:dyDescent="0.2">
      <c r="B93" s="74"/>
      <c r="C93" s="74"/>
    </row>
    <row r="94" spans="2:3" x14ac:dyDescent="0.2">
      <c r="B94" s="74"/>
      <c r="C94" s="74"/>
    </row>
    <row r="95" spans="2:3" x14ac:dyDescent="0.2">
      <c r="B95" s="74"/>
      <c r="C95" s="74"/>
    </row>
    <row r="96" spans="2:3" x14ac:dyDescent="0.2">
      <c r="B96" s="74"/>
      <c r="C96" s="74"/>
    </row>
    <row r="97" spans="2:3" x14ac:dyDescent="0.2">
      <c r="B97" s="74"/>
      <c r="C97" s="74"/>
    </row>
    <row r="98" spans="2:3" x14ac:dyDescent="0.2">
      <c r="B98" s="74"/>
      <c r="C98" s="74"/>
    </row>
    <row r="99" spans="2:3" x14ac:dyDescent="0.2">
      <c r="B99" s="74"/>
      <c r="C99" s="74"/>
    </row>
    <row r="100" spans="2:3" x14ac:dyDescent="0.2">
      <c r="B100" s="74"/>
      <c r="C100" s="74"/>
    </row>
    <row r="101" spans="2:3" x14ac:dyDescent="0.2">
      <c r="B101" s="74"/>
      <c r="C101" s="74"/>
    </row>
    <row r="102" spans="2:3" x14ac:dyDescent="0.2">
      <c r="B102" s="74"/>
      <c r="C102" s="74"/>
    </row>
    <row r="103" spans="2:3" x14ac:dyDescent="0.2">
      <c r="B103" s="74"/>
      <c r="C103" s="74"/>
    </row>
    <row r="104" spans="2:3" x14ac:dyDescent="0.2">
      <c r="B104" s="74"/>
      <c r="C104" s="74"/>
    </row>
    <row r="105" spans="2:3" x14ac:dyDescent="0.2">
      <c r="B105" s="74"/>
      <c r="C105" s="74"/>
    </row>
    <row r="106" spans="2:3" x14ac:dyDescent="0.2">
      <c r="B106" s="74"/>
      <c r="C106" s="74"/>
    </row>
    <row r="107" spans="2:3" x14ac:dyDescent="0.2">
      <c r="B107" s="74"/>
      <c r="C107" s="74"/>
    </row>
    <row r="108" spans="2:3" x14ac:dyDescent="0.2">
      <c r="B108" s="74"/>
      <c r="C108" s="74"/>
    </row>
    <row r="109" spans="2:3" x14ac:dyDescent="0.2">
      <c r="B109" s="74"/>
      <c r="C109" s="74"/>
    </row>
    <row r="110" spans="2:3" x14ac:dyDescent="0.2">
      <c r="B110" s="74"/>
      <c r="C110" s="74"/>
    </row>
    <row r="111" spans="2:3" x14ac:dyDescent="0.2">
      <c r="B111" s="74"/>
      <c r="C111" s="74"/>
    </row>
    <row r="112" spans="2:3" x14ac:dyDescent="0.2">
      <c r="B112" s="74"/>
      <c r="C112" s="74"/>
    </row>
    <row r="113" spans="2:3" x14ac:dyDescent="0.2">
      <c r="B113" s="74"/>
      <c r="C113" s="74"/>
    </row>
    <row r="114" spans="2:3" x14ac:dyDescent="0.2">
      <c r="B114" s="74"/>
      <c r="C114" s="74"/>
    </row>
    <row r="115" spans="2:3" x14ac:dyDescent="0.2">
      <c r="B115" s="74"/>
      <c r="C115" s="74"/>
    </row>
    <row r="116" spans="2:3" x14ac:dyDescent="0.2">
      <c r="B116" s="74"/>
      <c r="C116" s="74"/>
    </row>
    <row r="117" spans="2:3" x14ac:dyDescent="0.2">
      <c r="B117" s="74"/>
      <c r="C117" s="74"/>
    </row>
    <row r="118" spans="2:3" x14ac:dyDescent="0.2">
      <c r="B118" s="74"/>
      <c r="C118" s="74"/>
    </row>
  </sheetData>
  <mergeCells count="2">
    <mergeCell ref="B2:I2"/>
    <mergeCell ref="E25:I25"/>
  </mergeCells>
  <phoneticPr fontId="17" type="noConversion"/>
  <pageMargins left="0.7" right="0.7" top="0.75" bottom="0.75" header="0.3" footer="0.3"/>
  <pageSetup paperSize="9" orientation="portrait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499984740745262"/>
  </sheetPr>
  <dimension ref="B1:I105"/>
  <sheetViews>
    <sheetView workbookViewId="0"/>
  </sheetViews>
  <sheetFormatPr defaultColWidth="8.85546875" defaultRowHeight="12.75" x14ac:dyDescent="0.2"/>
  <cols>
    <col min="1" max="1" width="3.140625" style="14" customWidth="1"/>
    <col min="2" max="2" width="10.5703125" style="14" bestFit="1" customWidth="1"/>
    <col min="3" max="3" width="10.85546875" style="14" bestFit="1" customWidth="1"/>
    <col min="4" max="4" width="13.85546875" style="14" customWidth="1"/>
    <col min="5" max="9" width="17" style="14" customWidth="1"/>
    <col min="10" max="16384" width="8.85546875" style="14"/>
  </cols>
  <sheetData>
    <row r="1" spans="2:9" s="15" customFormat="1" ht="13.5" customHeight="1" thickBot="1" x14ac:dyDescent="0.25"/>
    <row r="2" spans="2:9" s="15" customFormat="1" ht="13.9" customHeight="1" thickBot="1" x14ac:dyDescent="0.25">
      <c r="B2" s="359" t="s">
        <v>6448</v>
      </c>
      <c r="C2" s="360"/>
      <c r="D2" s="360"/>
      <c r="E2" s="360"/>
      <c r="F2" s="360"/>
      <c r="G2" s="360"/>
      <c r="H2" s="360"/>
      <c r="I2" s="361"/>
    </row>
    <row r="3" spans="2:9" s="15" customFormat="1" x14ac:dyDescent="0.2"/>
    <row r="4" spans="2:9" x14ac:dyDescent="0.2">
      <c r="B4" s="40" t="s">
        <v>32</v>
      </c>
      <c r="C4" s="13" t="s">
        <v>28</v>
      </c>
    </row>
    <row r="5" spans="2:9" x14ac:dyDescent="0.2">
      <c r="B5" s="39" t="s">
        <v>6434</v>
      </c>
      <c r="C5" s="13">
        <v>9</v>
      </c>
    </row>
    <row r="6" spans="2:9" x14ac:dyDescent="0.2">
      <c r="B6" s="39" t="s">
        <v>35</v>
      </c>
      <c r="C6" s="13">
        <v>118</v>
      </c>
      <c r="D6"/>
      <c r="E6"/>
      <c r="F6"/>
      <c r="G6"/>
    </row>
    <row r="7" spans="2:9" x14ac:dyDescent="0.2">
      <c r="B7" s="39" t="s">
        <v>36</v>
      </c>
      <c r="C7" s="13">
        <v>130</v>
      </c>
      <c r="D7"/>
      <c r="E7"/>
      <c r="F7"/>
      <c r="G7"/>
    </row>
    <row r="8" spans="2:9" x14ac:dyDescent="0.2">
      <c r="B8" s="39" t="s">
        <v>37</v>
      </c>
      <c r="C8" s="13">
        <v>125</v>
      </c>
      <c r="D8"/>
      <c r="E8"/>
      <c r="F8"/>
      <c r="G8"/>
    </row>
    <row r="9" spans="2:9" x14ac:dyDescent="0.2">
      <c r="B9" s="39" t="s">
        <v>38</v>
      </c>
      <c r="C9" s="13">
        <v>123</v>
      </c>
      <c r="D9"/>
      <c r="E9"/>
      <c r="F9"/>
      <c r="G9"/>
    </row>
    <row r="10" spans="2:9" x14ac:dyDescent="0.2">
      <c r="B10" s="39" t="s">
        <v>34</v>
      </c>
      <c r="C10" s="13">
        <v>50</v>
      </c>
      <c r="D10"/>
      <c r="E10"/>
      <c r="F10"/>
      <c r="G10"/>
    </row>
    <row r="11" spans="2:9" x14ac:dyDescent="0.2">
      <c r="B11" s="39" t="s">
        <v>39</v>
      </c>
      <c r="C11" s="13">
        <v>55</v>
      </c>
      <c r="D11"/>
      <c r="E11"/>
      <c r="F11"/>
      <c r="G11"/>
    </row>
    <row r="12" spans="2:9" x14ac:dyDescent="0.2">
      <c r="B12" s="39" t="s">
        <v>40</v>
      </c>
      <c r="C12" s="13">
        <v>24</v>
      </c>
      <c r="D12"/>
      <c r="E12"/>
      <c r="F12"/>
    </row>
    <row r="13" spans="2:9" x14ac:dyDescent="0.2">
      <c r="B13" s="39" t="s">
        <v>41</v>
      </c>
      <c r="C13" s="13">
        <v>16</v>
      </c>
      <c r="D13"/>
      <c r="E13"/>
      <c r="F13"/>
    </row>
    <row r="14" spans="2:9" x14ac:dyDescent="0.2">
      <c r="B14" s="39" t="s">
        <v>42</v>
      </c>
      <c r="C14" s="13">
        <v>18</v>
      </c>
      <c r="D14"/>
    </row>
    <row r="15" spans="2:9" x14ac:dyDescent="0.2">
      <c r="B15" s="39" t="s">
        <v>6437</v>
      </c>
      <c r="C15" s="13">
        <v>1</v>
      </c>
      <c r="D15"/>
    </row>
    <row r="16" spans="2:9" x14ac:dyDescent="0.2">
      <c r="B16" s="39" t="s">
        <v>6435</v>
      </c>
      <c r="C16" s="13">
        <v>1</v>
      </c>
      <c r="D16"/>
    </row>
    <row r="17" spans="2:9" x14ac:dyDescent="0.2">
      <c r="B17" s="39" t="s">
        <v>6436</v>
      </c>
      <c r="C17" s="13">
        <v>3</v>
      </c>
      <c r="D17"/>
    </row>
    <row r="18" spans="2:9" x14ac:dyDescent="0.2">
      <c r="B18" s="39" t="s">
        <v>12</v>
      </c>
      <c r="C18" s="13">
        <v>673</v>
      </c>
      <c r="D18"/>
    </row>
    <row r="19" spans="2:9" x14ac:dyDescent="0.2">
      <c r="B19"/>
      <c r="C19"/>
      <c r="D19"/>
    </row>
    <row r="20" spans="2:9" x14ac:dyDescent="0.2">
      <c r="B20"/>
      <c r="C20"/>
      <c r="D20"/>
    </row>
    <row r="21" spans="2:9" x14ac:dyDescent="0.2">
      <c r="B21"/>
      <c r="C21"/>
      <c r="D21"/>
    </row>
    <row r="22" spans="2:9" ht="13.5" thickBot="1" x14ac:dyDescent="0.25">
      <c r="B22"/>
      <c r="C22"/>
      <c r="D22"/>
    </row>
    <row r="23" spans="2:9" ht="13.5" thickBot="1" x14ac:dyDescent="0.25">
      <c r="B23"/>
      <c r="C23"/>
      <c r="D23"/>
      <c r="E23" s="374" t="s">
        <v>43</v>
      </c>
      <c r="F23" s="375"/>
      <c r="G23" s="375"/>
      <c r="H23" s="375"/>
      <c r="I23" s="376"/>
    </row>
    <row r="24" spans="2:9" x14ac:dyDescent="0.2">
      <c r="B24"/>
      <c r="C24"/>
    </row>
    <row r="25" spans="2:9" x14ac:dyDescent="0.2">
      <c r="B25"/>
      <c r="C25"/>
    </row>
    <row r="26" spans="2:9" x14ac:dyDescent="0.2">
      <c r="B26"/>
      <c r="C26"/>
    </row>
    <row r="27" spans="2:9" x14ac:dyDescent="0.2">
      <c r="B27"/>
      <c r="C27"/>
    </row>
    <row r="28" spans="2:9" x14ac:dyDescent="0.2">
      <c r="B28"/>
      <c r="C28"/>
    </row>
    <row r="29" spans="2:9" x14ac:dyDescent="0.2">
      <c r="B29"/>
      <c r="C29"/>
    </row>
    <row r="30" spans="2:9" x14ac:dyDescent="0.2">
      <c r="B30"/>
      <c r="C30"/>
    </row>
    <row r="31" spans="2:9" x14ac:dyDescent="0.2">
      <c r="B31"/>
      <c r="C31"/>
    </row>
    <row r="32" spans="2:9" x14ac:dyDescent="0.2">
      <c r="B32"/>
      <c r="C32"/>
    </row>
    <row r="33" spans="2:3" x14ac:dyDescent="0.2">
      <c r="B33"/>
      <c r="C33"/>
    </row>
    <row r="34" spans="2:3" x14ac:dyDescent="0.2">
      <c r="B34"/>
      <c r="C34"/>
    </row>
    <row r="35" spans="2:3" x14ac:dyDescent="0.2">
      <c r="B35"/>
      <c r="C35"/>
    </row>
    <row r="36" spans="2:3" x14ac:dyDescent="0.2">
      <c r="B36"/>
      <c r="C36"/>
    </row>
    <row r="37" spans="2:3" x14ac:dyDescent="0.2">
      <c r="B37"/>
      <c r="C37"/>
    </row>
    <row r="38" spans="2:3" x14ac:dyDescent="0.2">
      <c r="B38"/>
      <c r="C38"/>
    </row>
    <row r="39" spans="2:3" x14ac:dyDescent="0.2">
      <c r="B39"/>
      <c r="C39"/>
    </row>
    <row r="40" spans="2:3" x14ac:dyDescent="0.2">
      <c r="B40"/>
      <c r="C40"/>
    </row>
    <row r="41" spans="2:3" x14ac:dyDescent="0.2">
      <c r="B41"/>
      <c r="C41"/>
    </row>
    <row r="42" spans="2:3" x14ac:dyDescent="0.2">
      <c r="B42"/>
      <c r="C42"/>
    </row>
    <row r="43" spans="2:3" x14ac:dyDescent="0.2">
      <c r="B43"/>
      <c r="C43"/>
    </row>
    <row r="44" spans="2:3" x14ac:dyDescent="0.2">
      <c r="B44"/>
      <c r="C44"/>
    </row>
    <row r="45" spans="2:3" x14ac:dyDescent="0.2">
      <c r="B45"/>
      <c r="C45"/>
    </row>
    <row r="46" spans="2:3" x14ac:dyDescent="0.2">
      <c r="B46"/>
      <c r="C46"/>
    </row>
    <row r="47" spans="2:3" x14ac:dyDescent="0.2">
      <c r="B47"/>
      <c r="C47"/>
    </row>
    <row r="48" spans="2:3" x14ac:dyDescent="0.2">
      <c r="B48"/>
      <c r="C48"/>
    </row>
    <row r="49" spans="2:3" x14ac:dyDescent="0.2">
      <c r="B49"/>
      <c r="C49"/>
    </row>
    <row r="50" spans="2:3" x14ac:dyDescent="0.2">
      <c r="B50"/>
      <c r="C50"/>
    </row>
    <row r="51" spans="2:3" x14ac:dyDescent="0.2">
      <c r="B51"/>
      <c r="C51"/>
    </row>
    <row r="52" spans="2:3" x14ac:dyDescent="0.2">
      <c r="B52"/>
      <c r="C52"/>
    </row>
    <row r="53" spans="2:3" x14ac:dyDescent="0.2">
      <c r="B53"/>
      <c r="C53"/>
    </row>
    <row r="54" spans="2:3" x14ac:dyDescent="0.2">
      <c r="B54"/>
      <c r="C54"/>
    </row>
    <row r="55" spans="2:3" x14ac:dyDescent="0.2">
      <c r="B55"/>
      <c r="C55"/>
    </row>
    <row r="56" spans="2:3" x14ac:dyDescent="0.2">
      <c r="B56"/>
      <c r="C56"/>
    </row>
    <row r="57" spans="2:3" x14ac:dyDescent="0.2">
      <c r="B57"/>
      <c r="C57"/>
    </row>
    <row r="58" spans="2:3" x14ac:dyDescent="0.2">
      <c r="B58"/>
      <c r="C58"/>
    </row>
    <row r="59" spans="2:3" x14ac:dyDescent="0.2">
      <c r="B59"/>
      <c r="C59"/>
    </row>
    <row r="60" spans="2:3" x14ac:dyDescent="0.2">
      <c r="B60"/>
      <c r="C60"/>
    </row>
    <row r="61" spans="2:3" x14ac:dyDescent="0.2">
      <c r="B61"/>
      <c r="C61"/>
    </row>
    <row r="62" spans="2:3" x14ac:dyDescent="0.2">
      <c r="B62"/>
      <c r="C62"/>
    </row>
    <row r="63" spans="2:3" x14ac:dyDescent="0.2">
      <c r="B63"/>
      <c r="C63"/>
    </row>
    <row r="64" spans="2:3" x14ac:dyDescent="0.2">
      <c r="B64"/>
      <c r="C64"/>
    </row>
    <row r="65" spans="2:3" x14ac:dyDescent="0.2">
      <c r="B65"/>
      <c r="C65"/>
    </row>
    <row r="66" spans="2:3" x14ac:dyDescent="0.2">
      <c r="B66"/>
      <c r="C66"/>
    </row>
    <row r="67" spans="2:3" x14ac:dyDescent="0.2">
      <c r="B67"/>
      <c r="C67"/>
    </row>
    <row r="68" spans="2:3" x14ac:dyDescent="0.2">
      <c r="B68"/>
      <c r="C68"/>
    </row>
    <row r="69" spans="2:3" x14ac:dyDescent="0.2">
      <c r="B69"/>
      <c r="C69"/>
    </row>
    <row r="70" spans="2:3" x14ac:dyDescent="0.2">
      <c r="B70"/>
      <c r="C70"/>
    </row>
    <row r="71" spans="2:3" x14ac:dyDescent="0.2">
      <c r="B71"/>
      <c r="C71"/>
    </row>
    <row r="72" spans="2:3" x14ac:dyDescent="0.2">
      <c r="B72"/>
      <c r="C72"/>
    </row>
    <row r="73" spans="2:3" x14ac:dyDescent="0.2">
      <c r="B73"/>
      <c r="C73"/>
    </row>
    <row r="74" spans="2:3" x14ac:dyDescent="0.2">
      <c r="B74"/>
      <c r="C74"/>
    </row>
    <row r="75" spans="2:3" x14ac:dyDescent="0.2">
      <c r="B75"/>
      <c r="C75"/>
    </row>
    <row r="76" spans="2:3" x14ac:dyDescent="0.2">
      <c r="B76"/>
      <c r="C76"/>
    </row>
    <row r="77" spans="2:3" x14ac:dyDescent="0.2">
      <c r="B77"/>
      <c r="C77"/>
    </row>
    <row r="78" spans="2:3" x14ac:dyDescent="0.2">
      <c r="B78"/>
      <c r="C78"/>
    </row>
    <row r="79" spans="2:3" x14ac:dyDescent="0.2">
      <c r="B79"/>
      <c r="C79"/>
    </row>
    <row r="80" spans="2:3" x14ac:dyDescent="0.2">
      <c r="B80"/>
      <c r="C80"/>
    </row>
    <row r="81" spans="2:3" x14ac:dyDescent="0.2">
      <c r="B81"/>
      <c r="C81"/>
    </row>
    <row r="82" spans="2:3" x14ac:dyDescent="0.2">
      <c r="B82"/>
      <c r="C82"/>
    </row>
    <row r="83" spans="2:3" x14ac:dyDescent="0.2">
      <c r="B83"/>
      <c r="C83"/>
    </row>
    <row r="84" spans="2:3" x14ac:dyDescent="0.2">
      <c r="B84"/>
      <c r="C84"/>
    </row>
    <row r="85" spans="2:3" x14ac:dyDescent="0.2">
      <c r="B85"/>
      <c r="C85"/>
    </row>
    <row r="86" spans="2:3" x14ac:dyDescent="0.2">
      <c r="B86"/>
      <c r="C86"/>
    </row>
    <row r="87" spans="2:3" x14ac:dyDescent="0.2">
      <c r="B87"/>
      <c r="C87"/>
    </row>
    <row r="88" spans="2:3" x14ac:dyDescent="0.2">
      <c r="B88"/>
      <c r="C88"/>
    </row>
    <row r="89" spans="2:3" x14ac:dyDescent="0.2">
      <c r="B89"/>
      <c r="C89"/>
    </row>
    <row r="90" spans="2:3" x14ac:dyDescent="0.2">
      <c r="B90"/>
      <c r="C90"/>
    </row>
    <row r="91" spans="2:3" x14ac:dyDescent="0.2">
      <c r="B91"/>
      <c r="C91"/>
    </row>
    <row r="92" spans="2:3" x14ac:dyDescent="0.2">
      <c r="B92"/>
      <c r="C92"/>
    </row>
    <row r="93" spans="2:3" x14ac:dyDescent="0.2">
      <c r="B93"/>
      <c r="C93"/>
    </row>
    <row r="94" spans="2:3" x14ac:dyDescent="0.2">
      <c r="B94"/>
      <c r="C94"/>
    </row>
    <row r="95" spans="2:3" x14ac:dyDescent="0.2">
      <c r="B95"/>
      <c r="C95"/>
    </row>
    <row r="96" spans="2:3" x14ac:dyDescent="0.2">
      <c r="B96"/>
      <c r="C96"/>
    </row>
    <row r="97" spans="2:3" x14ac:dyDescent="0.2">
      <c r="B97"/>
      <c r="C97"/>
    </row>
    <row r="98" spans="2:3" x14ac:dyDescent="0.2">
      <c r="B98"/>
      <c r="C98"/>
    </row>
    <row r="99" spans="2:3" x14ac:dyDescent="0.2">
      <c r="B99"/>
      <c r="C99"/>
    </row>
    <row r="100" spans="2:3" x14ac:dyDescent="0.2">
      <c r="B100"/>
      <c r="C100"/>
    </row>
    <row r="101" spans="2:3" x14ac:dyDescent="0.2">
      <c r="B101"/>
      <c r="C101"/>
    </row>
    <row r="102" spans="2:3" x14ac:dyDescent="0.2">
      <c r="B102"/>
      <c r="C102"/>
    </row>
    <row r="103" spans="2:3" x14ac:dyDescent="0.2">
      <c r="B103"/>
      <c r="C103"/>
    </row>
    <row r="104" spans="2:3" x14ac:dyDescent="0.2">
      <c r="B104"/>
      <c r="C104"/>
    </row>
    <row r="105" spans="2:3" x14ac:dyDescent="0.2">
      <c r="B105"/>
      <c r="C105"/>
    </row>
  </sheetData>
  <mergeCells count="2">
    <mergeCell ref="B2:I2"/>
    <mergeCell ref="E23:I23"/>
  </mergeCells>
  <pageMargins left="0.7" right="0.7" top="0.75" bottom="0.75" header="0.3" footer="0.3"/>
  <pageSetup paperSize="9" orientation="portrait" r:id="rId2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E7A34-BD63-474A-BB33-F9AED4D628B5}">
  <sheetPr>
    <tabColor theme="0" tint="-0.499984740745262"/>
  </sheetPr>
  <dimension ref="A1:R3672"/>
  <sheetViews>
    <sheetView workbookViewId="0"/>
  </sheetViews>
  <sheetFormatPr defaultColWidth="8.85546875" defaultRowHeight="15" customHeight="1" x14ac:dyDescent="0.2"/>
  <cols>
    <col min="1" max="1" width="2.85546875" style="181" customWidth="1"/>
    <col min="2" max="2" width="34" style="199" bestFit="1" customWidth="1"/>
    <col min="3" max="6" width="10.85546875" style="185" customWidth="1"/>
    <col min="7" max="7" width="6.42578125" style="185" customWidth="1"/>
    <col min="8" max="8" width="3.7109375" style="181" customWidth="1"/>
    <col min="9" max="12" width="11.42578125" style="197" customWidth="1"/>
    <col min="13" max="13" width="11.42578125" style="185" customWidth="1"/>
    <col min="14" max="18" width="10.85546875" style="185" customWidth="1"/>
    <col min="19" max="16384" width="8.85546875" style="185"/>
  </cols>
  <sheetData>
    <row r="1" spans="1:18" s="172" customFormat="1" ht="12" customHeight="1" thickBot="1" x14ac:dyDescent="0.25">
      <c r="A1" s="170"/>
      <c r="B1" s="171"/>
      <c r="H1" s="170"/>
      <c r="I1" s="173"/>
      <c r="J1" s="173"/>
      <c r="K1" s="173"/>
      <c r="L1" s="173"/>
    </row>
    <row r="2" spans="1:18" s="172" customFormat="1" ht="13.5" thickBot="1" x14ac:dyDescent="0.25">
      <c r="A2" s="170"/>
      <c r="B2" s="377" t="s">
        <v>735</v>
      </c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79"/>
    </row>
    <row r="3" spans="1:18" s="172" customFormat="1" ht="15" customHeight="1" thickBot="1" x14ac:dyDescent="0.25">
      <c r="A3" s="170"/>
      <c r="B3" s="171"/>
      <c r="J3" s="170"/>
      <c r="K3" s="173"/>
      <c r="L3" s="173"/>
      <c r="M3" s="173"/>
    </row>
    <row r="4" spans="1:18" s="172" customFormat="1" ht="58.5" customHeight="1" thickBot="1" x14ac:dyDescent="0.25">
      <c r="A4" s="170"/>
      <c r="B4" s="377" t="s">
        <v>6457</v>
      </c>
      <c r="C4" s="378"/>
      <c r="D4" s="378"/>
      <c r="E4" s="378"/>
      <c r="F4" s="378"/>
      <c r="G4" s="378"/>
      <c r="H4" s="378"/>
      <c r="I4" s="378"/>
      <c r="J4" s="378"/>
      <c r="K4" s="378"/>
      <c r="L4" s="378"/>
      <c r="M4" s="378"/>
      <c r="N4" s="379"/>
    </row>
    <row r="5" spans="1:18" s="178" customFormat="1" ht="15" customHeight="1" thickBot="1" x14ac:dyDescent="0.25">
      <c r="A5" s="174"/>
      <c r="B5" s="175"/>
      <c r="C5" s="175"/>
      <c r="D5" s="175"/>
      <c r="E5" s="175"/>
      <c r="F5" s="175"/>
      <c r="G5" s="175"/>
      <c r="H5" s="176"/>
      <c r="I5" s="177"/>
      <c r="J5" s="177"/>
      <c r="K5" s="177"/>
      <c r="L5" s="177"/>
      <c r="M5" s="175"/>
    </row>
    <row r="6" spans="1:18" s="172" customFormat="1" ht="15" customHeight="1" thickBot="1" x14ac:dyDescent="0.25">
      <c r="A6" s="170"/>
      <c r="B6" s="171"/>
      <c r="H6" s="170"/>
      <c r="I6" s="173"/>
      <c r="J6" s="173"/>
      <c r="K6" s="173"/>
      <c r="L6" s="173"/>
    </row>
    <row r="7" spans="1:18" s="172" customFormat="1" ht="15" customHeight="1" thickBot="1" x14ac:dyDescent="0.25">
      <c r="A7" s="170"/>
      <c r="B7" s="179" t="s">
        <v>671</v>
      </c>
      <c r="C7" s="180">
        <v>45578</v>
      </c>
      <c r="H7" s="170"/>
      <c r="I7" s="173"/>
      <c r="J7" s="173"/>
      <c r="K7" s="173"/>
      <c r="L7" s="173"/>
    </row>
    <row r="8" spans="1:18" s="172" customFormat="1" ht="15" customHeight="1" thickBot="1" x14ac:dyDescent="0.25">
      <c r="A8" s="170"/>
      <c r="B8" s="171"/>
      <c r="H8" s="170"/>
      <c r="I8" s="173"/>
      <c r="J8" s="173"/>
      <c r="K8" s="173"/>
      <c r="L8" s="173"/>
    </row>
    <row r="9" spans="1:18" ht="15" customHeight="1" thickBot="1" x14ac:dyDescent="0.25">
      <c r="A9" s="181" t="s">
        <v>45</v>
      </c>
      <c r="B9" s="182" t="s">
        <v>670</v>
      </c>
      <c r="C9" s="183" t="s">
        <v>47</v>
      </c>
      <c r="D9" s="183" t="s">
        <v>669</v>
      </c>
      <c r="E9" s="183" t="s">
        <v>668</v>
      </c>
      <c r="F9" s="184" t="s">
        <v>659</v>
      </c>
      <c r="H9" s="181" t="s">
        <v>53</v>
      </c>
      <c r="I9" s="186" t="s">
        <v>667</v>
      </c>
      <c r="J9" s="187">
        <f>MIN(F:F)</f>
        <v>148.51666666666668</v>
      </c>
      <c r="K9" s="185"/>
      <c r="L9" s="337" t="s">
        <v>6439</v>
      </c>
      <c r="M9" s="338"/>
      <c r="N9" s="338"/>
      <c r="O9" s="338"/>
      <c r="P9" s="338"/>
      <c r="Q9" s="338"/>
      <c r="R9" s="339"/>
    </row>
    <row r="10" spans="1:18" ht="15" customHeight="1" thickBot="1" x14ac:dyDescent="0.25">
      <c r="B10" s="188" t="s">
        <v>736</v>
      </c>
      <c r="C10" s="189" t="s">
        <v>124</v>
      </c>
      <c r="D10" s="189" t="s">
        <v>157</v>
      </c>
      <c r="E10" s="190" t="s">
        <v>737</v>
      </c>
      <c r="F10" s="191">
        <f>HOUR(E10)*60+MINUTE(E10)+SECOND(E10)/60</f>
        <v>208.21666666666667</v>
      </c>
      <c r="I10" s="192" t="s">
        <v>665</v>
      </c>
      <c r="J10" s="193">
        <f>MAX(F:F)</f>
        <v>351.25</v>
      </c>
      <c r="K10" s="185"/>
      <c r="L10" s="342"/>
      <c r="M10" s="343"/>
      <c r="N10" s="343"/>
      <c r="O10" s="343"/>
      <c r="P10" s="343"/>
      <c r="Q10" s="343"/>
      <c r="R10" s="344"/>
    </row>
    <row r="11" spans="1:18" ht="15" customHeight="1" x14ac:dyDescent="0.2">
      <c r="B11" s="188" t="s">
        <v>738</v>
      </c>
      <c r="C11" s="189" t="s">
        <v>128</v>
      </c>
      <c r="D11" s="189" t="s">
        <v>123</v>
      </c>
      <c r="E11" s="190" t="s">
        <v>739</v>
      </c>
      <c r="F11" s="191">
        <f t="shared" ref="F11:F74" si="0">HOUR(E11)*60+MINUTE(E11)+SECOND(E11)/60</f>
        <v>245.63333333333333</v>
      </c>
      <c r="I11" s="185"/>
      <c r="J11" s="185"/>
      <c r="K11" s="185"/>
      <c r="L11" s="185"/>
    </row>
    <row r="12" spans="1:18" ht="12.75" x14ac:dyDescent="0.2">
      <c r="B12" s="188" t="s">
        <v>740</v>
      </c>
      <c r="C12" s="189" t="s">
        <v>128</v>
      </c>
      <c r="D12" s="189" t="s">
        <v>123</v>
      </c>
      <c r="E12" s="190" t="s">
        <v>741</v>
      </c>
      <c r="F12" s="191">
        <f t="shared" si="0"/>
        <v>291.10000000000002</v>
      </c>
      <c r="I12" s="28" t="s">
        <v>659</v>
      </c>
      <c r="J12" s="74" t="s">
        <v>28</v>
      </c>
      <c r="K12" s="74"/>
      <c r="L12" s="185"/>
    </row>
    <row r="13" spans="1:18" ht="12.75" x14ac:dyDescent="0.2">
      <c r="B13" s="188" t="s">
        <v>742</v>
      </c>
      <c r="C13" s="189" t="s">
        <v>125</v>
      </c>
      <c r="D13" s="189" t="s">
        <v>123</v>
      </c>
      <c r="E13" s="190" t="s">
        <v>743</v>
      </c>
      <c r="F13" s="191">
        <f t="shared" si="0"/>
        <v>211.26666666666668</v>
      </c>
      <c r="I13" s="28" t="s">
        <v>658</v>
      </c>
      <c r="J13" s="74">
        <v>2</v>
      </c>
      <c r="K13" s="74"/>
      <c r="L13" s="185"/>
    </row>
    <row r="14" spans="1:18" ht="12.75" x14ac:dyDescent="0.2">
      <c r="B14" s="188" t="s">
        <v>356</v>
      </c>
      <c r="C14" s="189" t="s">
        <v>126</v>
      </c>
      <c r="D14" s="189" t="s">
        <v>123</v>
      </c>
      <c r="E14" s="190" t="s">
        <v>744</v>
      </c>
      <c r="F14" s="191">
        <f t="shared" si="0"/>
        <v>231.48333333333332</v>
      </c>
      <c r="I14" s="28" t="s">
        <v>657</v>
      </c>
      <c r="J14" s="74">
        <v>14</v>
      </c>
      <c r="K14" s="74"/>
      <c r="L14" s="185"/>
    </row>
    <row r="15" spans="1:18" ht="12.75" x14ac:dyDescent="0.2">
      <c r="B15" s="188" t="s">
        <v>745</v>
      </c>
      <c r="C15" s="189" t="s">
        <v>126</v>
      </c>
      <c r="D15" s="189" t="s">
        <v>187</v>
      </c>
      <c r="E15" s="190" t="s">
        <v>746</v>
      </c>
      <c r="F15" s="191">
        <f t="shared" si="0"/>
        <v>264.14999999999998</v>
      </c>
      <c r="I15" s="28" t="s">
        <v>656</v>
      </c>
      <c r="J15" s="74">
        <v>96</v>
      </c>
      <c r="K15" s="74"/>
      <c r="L15" s="185"/>
    </row>
    <row r="16" spans="1:18" ht="12.75" x14ac:dyDescent="0.2">
      <c r="B16" s="188" t="s">
        <v>421</v>
      </c>
      <c r="C16" s="189" t="s">
        <v>124</v>
      </c>
      <c r="D16" s="189" t="s">
        <v>123</v>
      </c>
      <c r="E16" s="190" t="s">
        <v>747</v>
      </c>
      <c r="F16" s="191">
        <f t="shared" si="0"/>
        <v>281.13333333333333</v>
      </c>
      <c r="I16" s="28" t="s">
        <v>655</v>
      </c>
      <c r="J16" s="74">
        <v>176</v>
      </c>
      <c r="K16" s="74"/>
      <c r="L16" s="185"/>
    </row>
    <row r="17" spans="2:12" ht="12.75" x14ac:dyDescent="0.2">
      <c r="B17" s="188" t="s">
        <v>748</v>
      </c>
      <c r="C17" s="189" t="s">
        <v>130</v>
      </c>
      <c r="D17" s="189" t="s">
        <v>123</v>
      </c>
      <c r="E17" s="190" t="s">
        <v>749</v>
      </c>
      <c r="F17" s="191">
        <f t="shared" si="0"/>
        <v>227.9</v>
      </c>
      <c r="I17" s="28" t="s">
        <v>654</v>
      </c>
      <c r="J17" s="74">
        <v>361</v>
      </c>
      <c r="K17" s="74"/>
      <c r="L17" s="185"/>
    </row>
    <row r="18" spans="2:12" ht="12.75" x14ac:dyDescent="0.2">
      <c r="B18" s="188" t="s">
        <v>750</v>
      </c>
      <c r="C18" s="189" t="s">
        <v>130</v>
      </c>
      <c r="D18" s="189" t="s">
        <v>132</v>
      </c>
      <c r="E18" s="190" t="s">
        <v>751</v>
      </c>
      <c r="F18" s="191">
        <f t="shared" si="0"/>
        <v>245.35</v>
      </c>
      <c r="I18" s="28" t="s">
        <v>653</v>
      </c>
      <c r="J18" s="74">
        <v>457</v>
      </c>
      <c r="K18" s="74"/>
      <c r="L18" s="185"/>
    </row>
    <row r="19" spans="2:12" ht="12.75" x14ac:dyDescent="0.2">
      <c r="B19" s="188" t="s">
        <v>752</v>
      </c>
      <c r="C19" s="189" t="s">
        <v>126</v>
      </c>
      <c r="D19" s="189" t="s">
        <v>123</v>
      </c>
      <c r="E19" s="190" t="s">
        <v>753</v>
      </c>
      <c r="F19" s="191">
        <f t="shared" si="0"/>
        <v>236.93333333333334</v>
      </c>
      <c r="H19" s="194"/>
      <c r="I19" s="28" t="s">
        <v>652</v>
      </c>
      <c r="J19" s="74">
        <v>644</v>
      </c>
      <c r="K19" s="74"/>
      <c r="L19" s="185"/>
    </row>
    <row r="20" spans="2:12" ht="12.75" x14ac:dyDescent="0.2">
      <c r="B20" s="188" t="s">
        <v>754</v>
      </c>
      <c r="C20" s="189" t="s">
        <v>135</v>
      </c>
      <c r="D20" s="189" t="s">
        <v>131</v>
      </c>
      <c r="E20" s="190" t="s">
        <v>755</v>
      </c>
      <c r="F20" s="191">
        <f t="shared" si="0"/>
        <v>216.73333333333332</v>
      </c>
      <c r="I20" s="28" t="s">
        <v>651</v>
      </c>
      <c r="J20" s="74">
        <v>479</v>
      </c>
      <c r="K20" s="74"/>
      <c r="L20" s="185"/>
    </row>
    <row r="21" spans="2:12" ht="12.75" x14ac:dyDescent="0.2">
      <c r="B21" s="188" t="s">
        <v>756</v>
      </c>
      <c r="C21" s="189" t="s">
        <v>142</v>
      </c>
      <c r="D21" s="189" t="s">
        <v>123</v>
      </c>
      <c r="E21" s="190" t="s">
        <v>757</v>
      </c>
      <c r="F21" s="191">
        <f t="shared" si="0"/>
        <v>238.38333333333333</v>
      </c>
      <c r="H21" s="194"/>
      <c r="I21" s="28" t="s">
        <v>650</v>
      </c>
      <c r="J21" s="74">
        <v>480</v>
      </c>
      <c r="K21" s="74"/>
      <c r="L21" s="185"/>
    </row>
    <row r="22" spans="2:12" ht="12.75" x14ac:dyDescent="0.2">
      <c r="B22" s="188" t="s">
        <v>758</v>
      </c>
      <c r="C22" s="189" t="s">
        <v>130</v>
      </c>
      <c r="D22" s="189" t="s">
        <v>173</v>
      </c>
      <c r="E22" s="190" t="s">
        <v>759</v>
      </c>
      <c r="F22" s="191">
        <f t="shared" si="0"/>
        <v>169.36666666666667</v>
      </c>
      <c r="H22" s="194"/>
      <c r="I22" s="28" t="s">
        <v>649</v>
      </c>
      <c r="J22" s="74">
        <v>352</v>
      </c>
      <c r="K22" s="74"/>
      <c r="L22" s="185"/>
    </row>
    <row r="23" spans="2:12" ht="12.75" x14ac:dyDescent="0.2">
      <c r="B23" s="188" t="s">
        <v>760</v>
      </c>
      <c r="C23" s="189" t="s">
        <v>124</v>
      </c>
      <c r="D23" s="189" t="s">
        <v>123</v>
      </c>
      <c r="E23" s="190" t="s">
        <v>761</v>
      </c>
      <c r="F23" s="191">
        <f t="shared" si="0"/>
        <v>314.3</v>
      </c>
      <c r="H23" s="195"/>
      <c r="I23" s="28" t="s">
        <v>648</v>
      </c>
      <c r="J23" s="74">
        <v>266</v>
      </c>
      <c r="K23" s="74"/>
      <c r="L23" s="185"/>
    </row>
    <row r="24" spans="2:12" ht="12.75" x14ac:dyDescent="0.2">
      <c r="B24" s="188" t="s">
        <v>762</v>
      </c>
      <c r="C24" s="189" t="s">
        <v>125</v>
      </c>
      <c r="D24" s="189" t="s">
        <v>169</v>
      </c>
      <c r="E24" s="190" t="s">
        <v>763</v>
      </c>
      <c r="F24" s="191">
        <f t="shared" si="0"/>
        <v>203.56666666666666</v>
      </c>
      <c r="H24" s="195"/>
      <c r="I24" s="28" t="s">
        <v>647</v>
      </c>
      <c r="J24" s="74">
        <v>187</v>
      </c>
      <c r="K24" s="74"/>
      <c r="L24" s="185"/>
    </row>
    <row r="25" spans="2:12" ht="12.75" x14ac:dyDescent="0.2">
      <c r="B25" s="188" t="s">
        <v>764</v>
      </c>
      <c r="C25" s="189" t="s">
        <v>125</v>
      </c>
      <c r="D25" s="189" t="s">
        <v>157</v>
      </c>
      <c r="E25" s="190" t="s">
        <v>765</v>
      </c>
      <c r="F25" s="191">
        <f t="shared" si="0"/>
        <v>207.48333333333332</v>
      </c>
      <c r="H25" s="195"/>
      <c r="I25" s="28" t="s">
        <v>646</v>
      </c>
      <c r="J25" s="74">
        <v>102</v>
      </c>
      <c r="K25" s="74"/>
      <c r="L25" s="185"/>
    </row>
    <row r="26" spans="2:12" ht="12.75" x14ac:dyDescent="0.2">
      <c r="B26" s="188" t="s">
        <v>766</v>
      </c>
      <c r="C26" s="189" t="s">
        <v>124</v>
      </c>
      <c r="D26" s="189" t="s">
        <v>123</v>
      </c>
      <c r="E26" s="190" t="s">
        <v>767</v>
      </c>
      <c r="F26" s="191">
        <f t="shared" si="0"/>
        <v>225.98333333333332</v>
      </c>
      <c r="G26" s="196"/>
      <c r="H26" s="195"/>
      <c r="I26" s="28" t="s">
        <v>645</v>
      </c>
      <c r="J26" s="74">
        <v>44</v>
      </c>
      <c r="K26" s="74"/>
      <c r="L26" s="185"/>
    </row>
    <row r="27" spans="2:12" ht="12.75" x14ac:dyDescent="0.2">
      <c r="B27" s="188" t="s">
        <v>461</v>
      </c>
      <c r="C27" s="189" t="s">
        <v>126</v>
      </c>
      <c r="D27" s="189" t="s">
        <v>123</v>
      </c>
      <c r="E27" s="190" t="s">
        <v>768</v>
      </c>
      <c r="F27" s="191">
        <f t="shared" si="0"/>
        <v>326.05</v>
      </c>
      <c r="G27" s="197"/>
      <c r="H27" s="195"/>
      <c r="I27" s="28" t="s">
        <v>643</v>
      </c>
      <c r="J27" s="74">
        <v>3</v>
      </c>
      <c r="K27" s="74"/>
      <c r="L27" s="185"/>
    </row>
    <row r="28" spans="2:12" ht="12.75" x14ac:dyDescent="0.2">
      <c r="B28" s="188" t="s">
        <v>769</v>
      </c>
      <c r="C28" s="189" t="s">
        <v>136</v>
      </c>
      <c r="D28" s="189" t="s">
        <v>123</v>
      </c>
      <c r="E28" s="190" t="s">
        <v>770</v>
      </c>
      <c r="F28" s="191">
        <f t="shared" si="0"/>
        <v>311.60000000000002</v>
      </c>
      <c r="G28" s="196"/>
      <c r="H28" s="195"/>
      <c r="I28" s="28" t="s">
        <v>44</v>
      </c>
      <c r="J28" s="74">
        <v>3663</v>
      </c>
      <c r="K28" s="74"/>
      <c r="L28" s="185"/>
    </row>
    <row r="29" spans="2:12" ht="12.75" x14ac:dyDescent="0.2">
      <c r="B29" s="188" t="s">
        <v>771</v>
      </c>
      <c r="C29" s="189" t="s">
        <v>128</v>
      </c>
      <c r="D29" s="189" t="s">
        <v>129</v>
      </c>
      <c r="E29" s="190" t="s">
        <v>772</v>
      </c>
      <c r="F29" s="191">
        <f t="shared" si="0"/>
        <v>323.58333333333331</v>
      </c>
      <c r="G29" s="196"/>
      <c r="H29" s="195"/>
      <c r="I29" s="74"/>
      <c r="J29" s="74"/>
      <c r="K29" s="74"/>
      <c r="L29" s="185"/>
    </row>
    <row r="30" spans="2:12" ht="12.75" x14ac:dyDescent="0.2">
      <c r="B30" s="188" t="s">
        <v>297</v>
      </c>
      <c r="C30" s="189" t="s">
        <v>125</v>
      </c>
      <c r="D30" s="189" t="s">
        <v>123</v>
      </c>
      <c r="E30" s="190" t="s">
        <v>773</v>
      </c>
      <c r="F30" s="191">
        <f t="shared" si="0"/>
        <v>189.26666666666668</v>
      </c>
      <c r="G30" s="198"/>
      <c r="H30" s="195" t="s">
        <v>661</v>
      </c>
      <c r="I30" s="74"/>
      <c r="J30" s="74"/>
      <c r="K30" s="185"/>
      <c r="L30" s="185"/>
    </row>
    <row r="31" spans="2:12" ht="12.75" x14ac:dyDescent="0.2">
      <c r="B31" s="188" t="s">
        <v>774</v>
      </c>
      <c r="C31" s="189" t="s">
        <v>124</v>
      </c>
      <c r="D31" s="189" t="s">
        <v>131</v>
      </c>
      <c r="E31" s="190" t="s">
        <v>775</v>
      </c>
      <c r="F31" s="191">
        <f t="shared" si="0"/>
        <v>218.7</v>
      </c>
      <c r="G31" s="198"/>
      <c r="H31" s="195"/>
      <c r="I31" s="74"/>
      <c r="J31" s="74"/>
      <c r="K31" s="185"/>
      <c r="L31" s="185"/>
    </row>
    <row r="32" spans="2:12" ht="12.75" x14ac:dyDescent="0.2">
      <c r="B32" s="188" t="s">
        <v>348</v>
      </c>
      <c r="C32" s="189" t="s">
        <v>135</v>
      </c>
      <c r="D32" s="189" t="s">
        <v>123</v>
      </c>
      <c r="E32" s="190" t="s">
        <v>776</v>
      </c>
      <c r="F32" s="191">
        <f t="shared" si="0"/>
        <v>325.08333333333331</v>
      </c>
      <c r="G32" s="198"/>
      <c r="H32" s="195"/>
      <c r="I32" s="74"/>
      <c r="J32" s="74"/>
      <c r="K32" s="185"/>
      <c r="L32" s="185"/>
    </row>
    <row r="33" spans="2:18" ht="12.75" x14ac:dyDescent="0.2">
      <c r="B33" s="188" t="s">
        <v>777</v>
      </c>
      <c r="C33" s="189" t="s">
        <v>126</v>
      </c>
      <c r="D33" s="189" t="s">
        <v>123</v>
      </c>
      <c r="E33" s="190" t="s">
        <v>778</v>
      </c>
      <c r="F33" s="191">
        <f t="shared" si="0"/>
        <v>206.58333333333334</v>
      </c>
      <c r="G33" s="198"/>
      <c r="H33" s="195"/>
      <c r="I33" s="74"/>
      <c r="J33" s="74"/>
      <c r="K33" s="185"/>
      <c r="L33" s="185"/>
    </row>
    <row r="34" spans="2:18" ht="12.75" x14ac:dyDescent="0.2">
      <c r="B34" s="188" t="s">
        <v>779</v>
      </c>
      <c r="C34" s="189" t="s">
        <v>136</v>
      </c>
      <c r="D34" s="189" t="s">
        <v>155</v>
      </c>
      <c r="E34" s="190" t="s">
        <v>780</v>
      </c>
      <c r="F34" s="191">
        <f t="shared" si="0"/>
        <v>265.56666666666666</v>
      </c>
      <c r="G34" s="198"/>
      <c r="H34" s="195"/>
      <c r="I34" s="74"/>
      <c r="J34" s="74"/>
      <c r="K34" s="185"/>
      <c r="L34" s="185"/>
    </row>
    <row r="35" spans="2:18" ht="12.75" x14ac:dyDescent="0.2">
      <c r="B35" s="188" t="s">
        <v>781</v>
      </c>
      <c r="C35" s="189" t="s">
        <v>134</v>
      </c>
      <c r="D35" s="189" t="s">
        <v>123</v>
      </c>
      <c r="E35" s="190" t="s">
        <v>782</v>
      </c>
      <c r="F35" s="191">
        <f t="shared" si="0"/>
        <v>227.63333333333333</v>
      </c>
      <c r="G35" s="198"/>
      <c r="H35" s="195"/>
      <c r="I35" s="74"/>
      <c r="J35" s="74"/>
      <c r="K35" s="185"/>
      <c r="L35" s="185"/>
    </row>
    <row r="36" spans="2:18" ht="12.75" x14ac:dyDescent="0.2">
      <c r="B36" s="188" t="s">
        <v>783</v>
      </c>
      <c r="C36" s="189" t="s">
        <v>136</v>
      </c>
      <c r="D36" s="189" t="s">
        <v>123</v>
      </c>
      <c r="E36" s="190" t="s">
        <v>784</v>
      </c>
      <c r="F36" s="191">
        <f t="shared" si="0"/>
        <v>285.45</v>
      </c>
      <c r="G36" s="198"/>
      <c r="H36" s="195"/>
      <c r="I36" s="74"/>
      <c r="J36" s="74"/>
      <c r="K36" s="185"/>
      <c r="L36" s="185"/>
    </row>
    <row r="37" spans="2:18" ht="12.75" x14ac:dyDescent="0.2">
      <c r="B37" s="188" t="s">
        <v>785</v>
      </c>
      <c r="C37" s="189" t="s">
        <v>126</v>
      </c>
      <c r="D37" s="189" t="s">
        <v>139</v>
      </c>
      <c r="E37" s="190" t="s">
        <v>786</v>
      </c>
      <c r="F37" s="191">
        <f t="shared" si="0"/>
        <v>189.13333333333333</v>
      </c>
      <c r="G37" s="198"/>
      <c r="H37" s="195"/>
      <c r="I37" s="74"/>
      <c r="J37" s="74"/>
      <c r="K37" s="185"/>
      <c r="L37" s="185"/>
    </row>
    <row r="38" spans="2:18" ht="12.75" x14ac:dyDescent="0.2">
      <c r="B38" s="188" t="s">
        <v>787</v>
      </c>
      <c r="C38" s="189" t="s">
        <v>125</v>
      </c>
      <c r="D38" s="189" t="s">
        <v>151</v>
      </c>
      <c r="E38" s="190" t="s">
        <v>788</v>
      </c>
      <c r="F38" s="191">
        <f t="shared" si="0"/>
        <v>227.58333333333334</v>
      </c>
      <c r="G38" s="198"/>
      <c r="H38" s="194"/>
      <c r="I38" s="74"/>
      <c r="J38" s="74"/>
      <c r="K38" s="185"/>
      <c r="L38" s="185"/>
    </row>
    <row r="39" spans="2:18" ht="12.75" x14ac:dyDescent="0.2">
      <c r="B39" s="188" t="s">
        <v>789</v>
      </c>
      <c r="C39" s="189" t="s">
        <v>126</v>
      </c>
      <c r="D39" s="189" t="s">
        <v>131</v>
      </c>
      <c r="E39" s="190" t="s">
        <v>790</v>
      </c>
      <c r="F39" s="191">
        <f t="shared" si="0"/>
        <v>196.06666666666666</v>
      </c>
      <c r="G39" s="198"/>
      <c r="H39" s="194"/>
      <c r="I39" s="74"/>
      <c r="J39" s="74"/>
      <c r="K39" s="185"/>
      <c r="L39" s="185"/>
    </row>
    <row r="40" spans="2:18" ht="12.75" x14ac:dyDescent="0.2">
      <c r="B40" s="188" t="s">
        <v>791</v>
      </c>
      <c r="C40" s="189" t="s">
        <v>130</v>
      </c>
      <c r="D40" s="189" t="s">
        <v>157</v>
      </c>
      <c r="E40" s="190" t="s">
        <v>792</v>
      </c>
      <c r="F40" s="191">
        <f t="shared" si="0"/>
        <v>285.5</v>
      </c>
      <c r="G40" s="198"/>
      <c r="H40" s="194"/>
      <c r="I40" s="74"/>
      <c r="J40" s="74"/>
      <c r="K40" s="185"/>
      <c r="L40" s="185"/>
    </row>
    <row r="41" spans="2:18" ht="12.75" x14ac:dyDescent="0.2">
      <c r="B41" s="188" t="s">
        <v>793</v>
      </c>
      <c r="C41" s="189" t="s">
        <v>135</v>
      </c>
      <c r="D41" s="189" t="s">
        <v>123</v>
      </c>
      <c r="E41" s="190" t="s">
        <v>794</v>
      </c>
      <c r="F41" s="191">
        <f t="shared" si="0"/>
        <v>311.06666666666666</v>
      </c>
      <c r="G41" s="198"/>
      <c r="H41" s="194"/>
      <c r="I41" s="74"/>
      <c r="J41" s="74"/>
      <c r="K41" s="185"/>
      <c r="L41" s="185"/>
    </row>
    <row r="42" spans="2:18" ht="12.75" x14ac:dyDescent="0.2">
      <c r="B42" s="188" t="s">
        <v>795</v>
      </c>
      <c r="C42" s="189" t="s">
        <v>125</v>
      </c>
      <c r="D42" s="189" t="s">
        <v>155</v>
      </c>
      <c r="E42" s="190" t="s">
        <v>796</v>
      </c>
      <c r="F42" s="191">
        <f t="shared" si="0"/>
        <v>221.78333333333333</v>
      </c>
      <c r="G42" s="198"/>
      <c r="H42" s="194"/>
      <c r="I42" s="74"/>
      <c r="J42" s="74"/>
      <c r="K42" s="185"/>
      <c r="L42" s="185"/>
    </row>
    <row r="43" spans="2:18" ht="12.75" x14ac:dyDescent="0.2">
      <c r="B43" s="188" t="s">
        <v>797</v>
      </c>
      <c r="C43" s="189" t="s">
        <v>130</v>
      </c>
      <c r="D43" s="189" t="s">
        <v>157</v>
      </c>
      <c r="E43" s="190" t="s">
        <v>798</v>
      </c>
      <c r="F43" s="191">
        <f t="shared" si="0"/>
        <v>205.85</v>
      </c>
      <c r="G43" s="198"/>
      <c r="H43" s="194"/>
      <c r="I43" s="74"/>
      <c r="J43" s="74"/>
      <c r="K43" s="185"/>
      <c r="L43" s="185"/>
    </row>
    <row r="44" spans="2:18" ht="12.75" x14ac:dyDescent="0.2">
      <c r="B44" s="188" t="s">
        <v>799</v>
      </c>
      <c r="C44" s="189" t="s">
        <v>124</v>
      </c>
      <c r="D44" s="189" t="s">
        <v>314</v>
      </c>
      <c r="E44" s="190" t="s">
        <v>800</v>
      </c>
      <c r="F44" s="191">
        <f t="shared" si="0"/>
        <v>260.45</v>
      </c>
      <c r="G44" s="198"/>
      <c r="H44" s="194"/>
      <c r="I44" s="74"/>
      <c r="J44" s="74"/>
      <c r="K44" s="185"/>
      <c r="L44" s="185"/>
    </row>
    <row r="45" spans="2:18" ht="12.75" x14ac:dyDescent="0.2">
      <c r="B45" s="188" t="s">
        <v>801</v>
      </c>
      <c r="C45" s="189" t="s">
        <v>124</v>
      </c>
      <c r="D45" s="189" t="s">
        <v>123</v>
      </c>
      <c r="E45" s="190" t="s">
        <v>802</v>
      </c>
      <c r="F45" s="191">
        <f t="shared" si="0"/>
        <v>278.36666666666667</v>
      </c>
      <c r="G45" s="196"/>
      <c r="H45" s="194"/>
      <c r="I45" s="74"/>
      <c r="J45" s="74"/>
      <c r="K45" s="185"/>
      <c r="L45" s="185"/>
    </row>
    <row r="46" spans="2:18" ht="12.75" x14ac:dyDescent="0.2">
      <c r="B46" s="188" t="s">
        <v>803</v>
      </c>
      <c r="C46" s="189" t="s">
        <v>135</v>
      </c>
      <c r="D46" s="189" t="s">
        <v>132</v>
      </c>
      <c r="E46" s="190" t="s">
        <v>804</v>
      </c>
      <c r="F46" s="191">
        <f t="shared" si="0"/>
        <v>260.68333333333334</v>
      </c>
      <c r="G46" s="196"/>
      <c r="H46" s="194"/>
      <c r="I46" s="74"/>
      <c r="J46" s="74"/>
      <c r="K46" s="185"/>
      <c r="L46" s="185"/>
    </row>
    <row r="47" spans="2:18" ht="13.5" thickBot="1" x14ac:dyDescent="0.25">
      <c r="B47" s="188" t="s">
        <v>150</v>
      </c>
      <c r="C47" s="189" t="s">
        <v>124</v>
      </c>
      <c r="D47" s="189" t="s">
        <v>123</v>
      </c>
      <c r="E47" s="190" t="s">
        <v>805</v>
      </c>
      <c r="F47" s="191">
        <f t="shared" si="0"/>
        <v>240.73333333333332</v>
      </c>
      <c r="G47" s="196"/>
      <c r="H47" s="194"/>
      <c r="I47" s="74"/>
      <c r="J47" s="74"/>
      <c r="K47" s="185"/>
      <c r="L47" s="185"/>
    </row>
    <row r="48" spans="2:18" thickBot="1" x14ac:dyDescent="0.25">
      <c r="B48" s="188" t="s">
        <v>806</v>
      </c>
      <c r="C48" s="189" t="s">
        <v>130</v>
      </c>
      <c r="D48" s="189" t="s">
        <v>223</v>
      </c>
      <c r="E48" s="190" t="s">
        <v>807</v>
      </c>
      <c r="F48" s="191">
        <f t="shared" si="0"/>
        <v>255.86666666666667</v>
      </c>
      <c r="G48" s="196"/>
      <c r="H48" s="194" t="s">
        <v>6453</v>
      </c>
      <c r="I48" s="394" t="s">
        <v>659</v>
      </c>
      <c r="J48" s="396" t="s">
        <v>28</v>
      </c>
      <c r="K48" s="396" t="s">
        <v>6454</v>
      </c>
      <c r="L48" s="396" t="s">
        <v>6455</v>
      </c>
      <c r="M48" s="396" t="s">
        <v>6456</v>
      </c>
      <c r="O48" s="386" t="s">
        <v>6449</v>
      </c>
      <c r="P48" s="387" t="s">
        <v>6450</v>
      </c>
      <c r="Q48" s="387" t="s">
        <v>6451</v>
      </c>
      <c r="R48" s="388" t="s">
        <v>6452</v>
      </c>
    </row>
    <row r="49" spans="2:18" ht="12.75" x14ac:dyDescent="0.2">
      <c r="B49" s="188" t="s">
        <v>808</v>
      </c>
      <c r="C49" s="189" t="s">
        <v>126</v>
      </c>
      <c r="D49" s="189" t="s">
        <v>131</v>
      </c>
      <c r="E49" s="190" t="s">
        <v>809</v>
      </c>
      <c r="F49" s="191">
        <f t="shared" si="0"/>
        <v>275.08333333333331</v>
      </c>
      <c r="G49" s="196"/>
      <c r="H49" s="194"/>
      <c r="I49" s="398" t="s">
        <v>658</v>
      </c>
      <c r="J49" s="395">
        <v>2</v>
      </c>
      <c r="K49" s="399">
        <v>5.4600054600054604E-4</v>
      </c>
      <c r="L49" s="395">
        <v>2</v>
      </c>
      <c r="M49" s="399">
        <v>5.4600054600054604E-4</v>
      </c>
      <c r="O49" s="389">
        <v>2</v>
      </c>
      <c r="P49" s="390">
        <f t="shared" ref="P49:P63" si="1">O49/O$64</f>
        <v>5.4600054600054604E-4</v>
      </c>
      <c r="Q49" s="391">
        <f>O49</f>
        <v>2</v>
      </c>
      <c r="R49" s="390">
        <f>P49</f>
        <v>5.4600054600054604E-4</v>
      </c>
    </row>
    <row r="50" spans="2:18" ht="12.75" x14ac:dyDescent="0.2">
      <c r="B50" s="188" t="s">
        <v>810</v>
      </c>
      <c r="C50" s="189" t="s">
        <v>136</v>
      </c>
      <c r="D50" s="189" t="s">
        <v>129</v>
      </c>
      <c r="E50" s="190" t="s">
        <v>811</v>
      </c>
      <c r="F50" s="191">
        <f t="shared" si="0"/>
        <v>209.98333333333332</v>
      </c>
      <c r="G50" s="196"/>
      <c r="I50" s="398" t="s">
        <v>657</v>
      </c>
      <c r="J50" s="395">
        <v>14</v>
      </c>
      <c r="K50" s="399">
        <v>3.8220038220038218E-3</v>
      </c>
      <c r="L50" s="395">
        <v>16</v>
      </c>
      <c r="M50" s="399">
        <v>4.3680043680043683E-3</v>
      </c>
      <c r="O50" s="389">
        <v>14</v>
      </c>
      <c r="P50" s="390">
        <f t="shared" si="1"/>
        <v>3.8220038220038218E-3</v>
      </c>
      <c r="Q50" s="392">
        <f t="shared" ref="Q50:R63" si="2">Q49+O50</f>
        <v>16</v>
      </c>
      <c r="R50" s="393">
        <f t="shared" si="2"/>
        <v>4.3680043680043683E-3</v>
      </c>
    </row>
    <row r="51" spans="2:18" ht="12.75" x14ac:dyDescent="0.2">
      <c r="B51" s="188" t="s">
        <v>812</v>
      </c>
      <c r="C51" s="189" t="s">
        <v>126</v>
      </c>
      <c r="D51" s="189" t="s">
        <v>123</v>
      </c>
      <c r="E51" s="190" t="s">
        <v>813</v>
      </c>
      <c r="F51" s="191">
        <f t="shared" si="0"/>
        <v>220.88333333333333</v>
      </c>
      <c r="G51" s="196"/>
      <c r="H51" s="194"/>
      <c r="I51" s="398" t="s">
        <v>656</v>
      </c>
      <c r="J51" s="395">
        <v>96</v>
      </c>
      <c r="K51" s="399">
        <v>2.620802620802621E-2</v>
      </c>
      <c r="L51" s="395">
        <v>112</v>
      </c>
      <c r="M51" s="399">
        <v>3.0576030576030575E-2</v>
      </c>
      <c r="O51" s="389">
        <v>96</v>
      </c>
      <c r="P51" s="390">
        <f t="shared" si="1"/>
        <v>2.620802620802621E-2</v>
      </c>
      <c r="Q51" s="392">
        <f t="shared" si="2"/>
        <v>112</v>
      </c>
      <c r="R51" s="393">
        <f t="shared" si="2"/>
        <v>3.0576030576030578E-2</v>
      </c>
    </row>
    <row r="52" spans="2:18" ht="12.75" x14ac:dyDescent="0.2">
      <c r="B52" s="188" t="s">
        <v>814</v>
      </c>
      <c r="C52" s="189" t="s">
        <v>130</v>
      </c>
      <c r="D52" s="189" t="s">
        <v>157</v>
      </c>
      <c r="E52" s="190" t="s">
        <v>815</v>
      </c>
      <c r="F52" s="191">
        <f t="shared" si="0"/>
        <v>228.06666666666666</v>
      </c>
      <c r="G52" s="196"/>
      <c r="H52" s="194"/>
      <c r="I52" s="398" t="s">
        <v>655</v>
      </c>
      <c r="J52" s="395">
        <v>176</v>
      </c>
      <c r="K52" s="399">
        <v>4.8048048048048048E-2</v>
      </c>
      <c r="L52" s="395">
        <v>288</v>
      </c>
      <c r="M52" s="399">
        <v>7.8624078624078622E-2</v>
      </c>
      <c r="O52" s="389">
        <v>176</v>
      </c>
      <c r="P52" s="390">
        <f t="shared" si="1"/>
        <v>4.8048048048048048E-2</v>
      </c>
      <c r="Q52" s="392">
        <f t="shared" si="2"/>
        <v>288</v>
      </c>
      <c r="R52" s="393">
        <f t="shared" si="2"/>
        <v>7.8624078624078622E-2</v>
      </c>
    </row>
    <row r="53" spans="2:18" ht="12.75" x14ac:dyDescent="0.2">
      <c r="B53" s="188" t="s">
        <v>816</v>
      </c>
      <c r="C53" s="189" t="s">
        <v>128</v>
      </c>
      <c r="D53" s="189" t="s">
        <v>131</v>
      </c>
      <c r="E53" s="190" t="s">
        <v>817</v>
      </c>
      <c r="F53" s="191">
        <f t="shared" si="0"/>
        <v>221.23333333333332</v>
      </c>
      <c r="G53" s="196"/>
      <c r="I53" s="398" t="s">
        <v>654</v>
      </c>
      <c r="J53" s="395">
        <v>361</v>
      </c>
      <c r="K53" s="399">
        <v>9.8553098553098559E-2</v>
      </c>
      <c r="L53" s="395">
        <v>649</v>
      </c>
      <c r="M53" s="399">
        <v>0.17717717717717718</v>
      </c>
      <c r="O53" s="389">
        <v>361</v>
      </c>
      <c r="P53" s="390">
        <f t="shared" si="1"/>
        <v>9.8553098553098559E-2</v>
      </c>
      <c r="Q53" s="392">
        <f t="shared" si="2"/>
        <v>649</v>
      </c>
      <c r="R53" s="393">
        <f t="shared" si="2"/>
        <v>0.17717717717717718</v>
      </c>
    </row>
    <row r="54" spans="2:18" ht="12.75" x14ac:dyDescent="0.2">
      <c r="B54" s="188" t="s">
        <v>818</v>
      </c>
      <c r="C54" s="189" t="s">
        <v>125</v>
      </c>
      <c r="D54" s="189" t="s">
        <v>151</v>
      </c>
      <c r="E54" s="190" t="s">
        <v>819</v>
      </c>
      <c r="F54" s="191">
        <f t="shared" si="0"/>
        <v>256.78333333333336</v>
      </c>
      <c r="G54" s="196"/>
      <c r="I54" s="398" t="s">
        <v>653</v>
      </c>
      <c r="J54" s="395">
        <v>457</v>
      </c>
      <c r="K54" s="399">
        <v>0.12476112476112476</v>
      </c>
      <c r="L54" s="395">
        <v>1106</v>
      </c>
      <c r="M54" s="399">
        <v>0.30193830193830196</v>
      </c>
      <c r="O54" s="389">
        <v>457</v>
      </c>
      <c r="P54" s="390">
        <f t="shared" si="1"/>
        <v>0.12476112476112476</v>
      </c>
      <c r="Q54" s="392">
        <f t="shared" si="2"/>
        <v>1106</v>
      </c>
      <c r="R54" s="393">
        <f t="shared" si="2"/>
        <v>0.30193830193830196</v>
      </c>
    </row>
    <row r="55" spans="2:18" ht="12.75" x14ac:dyDescent="0.2">
      <c r="B55" s="188" t="s">
        <v>313</v>
      </c>
      <c r="C55" s="189" t="s">
        <v>125</v>
      </c>
      <c r="D55" s="189" t="s">
        <v>123</v>
      </c>
      <c r="E55" s="190" t="s">
        <v>820</v>
      </c>
      <c r="F55" s="191">
        <f t="shared" si="0"/>
        <v>205.26666666666668</v>
      </c>
      <c r="G55" s="196"/>
      <c r="I55" s="398" t="s">
        <v>652</v>
      </c>
      <c r="J55" s="395">
        <v>644</v>
      </c>
      <c r="K55" s="399">
        <v>0.17581217581217581</v>
      </c>
      <c r="L55" s="395">
        <v>1750</v>
      </c>
      <c r="M55" s="399">
        <v>0.47775047775047774</v>
      </c>
      <c r="O55" s="389">
        <v>644</v>
      </c>
      <c r="P55" s="390">
        <f t="shared" si="1"/>
        <v>0.17581217581217581</v>
      </c>
      <c r="Q55" s="392">
        <f t="shared" si="2"/>
        <v>1750</v>
      </c>
      <c r="R55" s="393">
        <f t="shared" si="2"/>
        <v>0.47775047775047774</v>
      </c>
    </row>
    <row r="56" spans="2:18" ht="12.75" x14ac:dyDescent="0.2">
      <c r="B56" s="188" t="s">
        <v>821</v>
      </c>
      <c r="C56" s="189" t="s">
        <v>134</v>
      </c>
      <c r="D56" s="189" t="s">
        <v>123</v>
      </c>
      <c r="E56" s="190" t="s">
        <v>822</v>
      </c>
      <c r="F56" s="191">
        <f t="shared" si="0"/>
        <v>188.26666666666668</v>
      </c>
      <c r="G56" s="196"/>
      <c r="I56" s="398" t="s">
        <v>651</v>
      </c>
      <c r="J56" s="395">
        <v>479</v>
      </c>
      <c r="K56" s="399">
        <v>0.13076713076713076</v>
      </c>
      <c r="L56" s="395">
        <v>2229</v>
      </c>
      <c r="M56" s="399">
        <v>0.6085176085176085</v>
      </c>
      <c r="O56" s="389">
        <v>479</v>
      </c>
      <c r="P56" s="390">
        <f t="shared" si="1"/>
        <v>0.13076713076713076</v>
      </c>
      <c r="Q56" s="392">
        <f t="shared" si="2"/>
        <v>2229</v>
      </c>
      <c r="R56" s="393">
        <f t="shared" si="2"/>
        <v>0.6085176085176085</v>
      </c>
    </row>
    <row r="57" spans="2:18" ht="12.75" x14ac:dyDescent="0.2">
      <c r="B57" s="188" t="s">
        <v>823</v>
      </c>
      <c r="C57" s="189" t="s">
        <v>126</v>
      </c>
      <c r="D57" s="189" t="s">
        <v>148</v>
      </c>
      <c r="E57" s="190" t="s">
        <v>824</v>
      </c>
      <c r="F57" s="191">
        <f t="shared" si="0"/>
        <v>258.43333333333334</v>
      </c>
      <c r="G57" s="197"/>
      <c r="I57" s="398" t="s">
        <v>650</v>
      </c>
      <c r="J57" s="395">
        <v>480</v>
      </c>
      <c r="K57" s="399">
        <v>0.13104013104013104</v>
      </c>
      <c r="L57" s="395">
        <v>2709</v>
      </c>
      <c r="M57" s="399">
        <v>0.73955773955773951</v>
      </c>
      <c r="O57" s="389">
        <v>480</v>
      </c>
      <c r="P57" s="390">
        <f t="shared" si="1"/>
        <v>0.13104013104013104</v>
      </c>
      <c r="Q57" s="392">
        <f t="shared" si="2"/>
        <v>2709</v>
      </c>
      <c r="R57" s="393">
        <f t="shared" si="2"/>
        <v>0.73955773955773951</v>
      </c>
    </row>
    <row r="58" spans="2:18" ht="12.75" x14ac:dyDescent="0.2">
      <c r="B58" s="188" t="s">
        <v>825</v>
      </c>
      <c r="C58" s="189" t="s">
        <v>126</v>
      </c>
      <c r="D58" s="189" t="s">
        <v>123</v>
      </c>
      <c r="E58" s="190" t="s">
        <v>826</v>
      </c>
      <c r="F58" s="191">
        <f t="shared" si="0"/>
        <v>271.5</v>
      </c>
      <c r="G58" s="196"/>
      <c r="I58" s="398" t="s">
        <v>649</v>
      </c>
      <c r="J58" s="395">
        <v>352</v>
      </c>
      <c r="K58" s="399">
        <v>9.6096096096096095E-2</v>
      </c>
      <c r="L58" s="395">
        <v>3061</v>
      </c>
      <c r="M58" s="399">
        <v>0.83565383565383566</v>
      </c>
      <c r="O58" s="389">
        <v>352</v>
      </c>
      <c r="P58" s="390">
        <f t="shared" si="1"/>
        <v>9.6096096096096095E-2</v>
      </c>
      <c r="Q58" s="392">
        <f t="shared" si="2"/>
        <v>3061</v>
      </c>
      <c r="R58" s="393">
        <f t="shared" si="2"/>
        <v>0.83565383565383566</v>
      </c>
    </row>
    <row r="59" spans="2:18" ht="12.75" x14ac:dyDescent="0.2">
      <c r="B59" s="188" t="s">
        <v>827</v>
      </c>
      <c r="C59" s="189" t="s">
        <v>126</v>
      </c>
      <c r="D59" s="189" t="s">
        <v>139</v>
      </c>
      <c r="E59" s="190" t="s">
        <v>828</v>
      </c>
      <c r="F59" s="191">
        <f t="shared" si="0"/>
        <v>219.76666666666668</v>
      </c>
      <c r="G59" s="196"/>
      <c r="I59" s="398" t="s">
        <v>648</v>
      </c>
      <c r="J59" s="395">
        <v>266</v>
      </c>
      <c r="K59" s="399">
        <v>7.2618072618072613E-2</v>
      </c>
      <c r="L59" s="395">
        <v>3327</v>
      </c>
      <c r="M59" s="399">
        <v>0.90827190827190829</v>
      </c>
      <c r="O59" s="389">
        <v>266</v>
      </c>
      <c r="P59" s="390">
        <f t="shared" si="1"/>
        <v>7.2618072618072613E-2</v>
      </c>
      <c r="Q59" s="392">
        <f t="shared" si="2"/>
        <v>3327</v>
      </c>
      <c r="R59" s="393">
        <f t="shared" si="2"/>
        <v>0.90827190827190829</v>
      </c>
    </row>
    <row r="60" spans="2:18" ht="12.75" x14ac:dyDescent="0.2">
      <c r="B60" s="188" t="s">
        <v>829</v>
      </c>
      <c r="C60" s="189" t="s">
        <v>128</v>
      </c>
      <c r="D60" s="189" t="s">
        <v>131</v>
      </c>
      <c r="E60" s="190" t="s">
        <v>830</v>
      </c>
      <c r="F60" s="191">
        <f t="shared" si="0"/>
        <v>210.03333333333333</v>
      </c>
      <c r="G60" s="197"/>
      <c r="I60" s="398" t="s">
        <v>647</v>
      </c>
      <c r="J60" s="395">
        <v>187</v>
      </c>
      <c r="K60" s="399">
        <v>5.1051051051051052E-2</v>
      </c>
      <c r="L60" s="395">
        <v>3514</v>
      </c>
      <c r="M60" s="399">
        <v>0.9593229593229593</v>
      </c>
      <c r="O60" s="389">
        <v>187</v>
      </c>
      <c r="P60" s="390">
        <f t="shared" si="1"/>
        <v>5.1051051051051052E-2</v>
      </c>
      <c r="Q60" s="392">
        <f t="shared" si="2"/>
        <v>3514</v>
      </c>
      <c r="R60" s="393">
        <f t="shared" si="2"/>
        <v>0.9593229593229593</v>
      </c>
    </row>
    <row r="61" spans="2:18" ht="12.75" x14ac:dyDescent="0.2">
      <c r="B61" s="188" t="s">
        <v>831</v>
      </c>
      <c r="C61" s="189" t="s">
        <v>124</v>
      </c>
      <c r="D61" s="189" t="s">
        <v>123</v>
      </c>
      <c r="E61" s="190" t="s">
        <v>832</v>
      </c>
      <c r="F61" s="191">
        <f t="shared" si="0"/>
        <v>203.53333333333333</v>
      </c>
      <c r="G61" s="197"/>
      <c r="I61" s="398" t="s">
        <v>646</v>
      </c>
      <c r="J61" s="395">
        <v>102</v>
      </c>
      <c r="K61" s="399">
        <v>2.7846027846027847E-2</v>
      </c>
      <c r="L61" s="395">
        <v>3616</v>
      </c>
      <c r="M61" s="399">
        <v>0.98716898716898716</v>
      </c>
      <c r="O61" s="389">
        <v>102</v>
      </c>
      <c r="P61" s="390">
        <f t="shared" si="1"/>
        <v>2.7846027846027847E-2</v>
      </c>
      <c r="Q61" s="392">
        <f t="shared" si="2"/>
        <v>3616</v>
      </c>
      <c r="R61" s="393">
        <f t="shared" si="2"/>
        <v>0.98716898716898716</v>
      </c>
    </row>
    <row r="62" spans="2:18" ht="12.75" x14ac:dyDescent="0.2">
      <c r="B62" s="188" t="s">
        <v>833</v>
      </c>
      <c r="C62" s="189" t="s">
        <v>142</v>
      </c>
      <c r="D62" s="189" t="s">
        <v>123</v>
      </c>
      <c r="E62" s="190" t="s">
        <v>834</v>
      </c>
      <c r="F62" s="191">
        <f t="shared" si="0"/>
        <v>254.98333333333332</v>
      </c>
      <c r="G62" s="197"/>
      <c r="I62" s="398" t="s">
        <v>645</v>
      </c>
      <c r="J62" s="395">
        <v>44</v>
      </c>
      <c r="K62" s="399">
        <v>1.2012012012012012E-2</v>
      </c>
      <c r="L62" s="395">
        <v>3660</v>
      </c>
      <c r="M62" s="399">
        <v>0.99918099918099923</v>
      </c>
      <c r="O62" s="389">
        <v>44</v>
      </c>
      <c r="P62" s="390">
        <f t="shared" si="1"/>
        <v>1.2012012012012012E-2</v>
      </c>
      <c r="Q62" s="392">
        <f t="shared" si="2"/>
        <v>3660</v>
      </c>
      <c r="R62" s="393">
        <f t="shared" si="2"/>
        <v>0.99918099918099912</v>
      </c>
    </row>
    <row r="63" spans="2:18" ht="12.75" x14ac:dyDescent="0.2">
      <c r="B63" s="188" t="s">
        <v>835</v>
      </c>
      <c r="C63" s="189" t="s">
        <v>126</v>
      </c>
      <c r="D63" s="189" t="s">
        <v>151</v>
      </c>
      <c r="E63" s="190" t="s">
        <v>836</v>
      </c>
      <c r="F63" s="191">
        <f t="shared" si="0"/>
        <v>234.05</v>
      </c>
      <c r="G63" s="197"/>
      <c r="I63" s="398" t="s">
        <v>643</v>
      </c>
      <c r="J63" s="395">
        <v>3</v>
      </c>
      <c r="K63" s="399">
        <v>8.1900081900081905E-4</v>
      </c>
      <c r="L63" s="395">
        <v>3663</v>
      </c>
      <c r="M63" s="399">
        <v>1</v>
      </c>
      <c r="O63" s="389">
        <v>3</v>
      </c>
      <c r="P63" s="390">
        <f t="shared" si="1"/>
        <v>8.1900081900081905E-4</v>
      </c>
      <c r="Q63" s="392">
        <f t="shared" si="2"/>
        <v>3663</v>
      </c>
      <c r="R63" s="393">
        <f t="shared" si="2"/>
        <v>0.99999999999999989</v>
      </c>
    </row>
    <row r="64" spans="2:18" ht="12.75" x14ac:dyDescent="0.2">
      <c r="B64" s="188" t="s">
        <v>837</v>
      </c>
      <c r="C64" s="189" t="s">
        <v>125</v>
      </c>
      <c r="D64" s="189" t="s">
        <v>129</v>
      </c>
      <c r="E64" s="190" t="s">
        <v>838</v>
      </c>
      <c r="F64" s="191">
        <f t="shared" si="0"/>
        <v>228.38333333333333</v>
      </c>
      <c r="G64" s="197"/>
      <c r="I64" s="398" t="s">
        <v>44</v>
      </c>
      <c r="J64" s="395">
        <v>3663</v>
      </c>
      <c r="K64" s="399">
        <v>1</v>
      </c>
      <c r="L64" s="395"/>
      <c r="M64" s="397"/>
      <c r="O64" s="391">
        <f>SUM(O49:O63)</f>
        <v>3663</v>
      </c>
      <c r="P64" s="393">
        <f>SUM(P49:P63)</f>
        <v>0.99999999999999989</v>
      </c>
      <c r="Q64" s="392"/>
      <c r="R64" s="393"/>
    </row>
    <row r="65" spans="2:12" ht="12.75" x14ac:dyDescent="0.2">
      <c r="B65" s="188" t="s">
        <v>839</v>
      </c>
      <c r="C65" s="189" t="s">
        <v>136</v>
      </c>
      <c r="D65" s="189" t="s">
        <v>123</v>
      </c>
      <c r="E65" s="190" t="s">
        <v>840</v>
      </c>
      <c r="F65" s="191">
        <f t="shared" si="0"/>
        <v>264.73333333333335</v>
      </c>
      <c r="G65" s="197"/>
      <c r="I65" s="74"/>
      <c r="J65" s="74"/>
      <c r="K65" s="74"/>
      <c r="L65" s="185"/>
    </row>
    <row r="66" spans="2:12" ht="12.75" x14ac:dyDescent="0.2">
      <c r="B66" s="188" t="s">
        <v>841</v>
      </c>
      <c r="C66" s="189" t="s">
        <v>124</v>
      </c>
      <c r="D66" s="189" t="s">
        <v>314</v>
      </c>
      <c r="E66" s="190" t="s">
        <v>842</v>
      </c>
      <c r="F66" s="191">
        <f t="shared" si="0"/>
        <v>170.15</v>
      </c>
      <c r="G66" s="197"/>
      <c r="I66" s="74"/>
      <c r="J66" s="74"/>
      <c r="K66" s="185"/>
      <c r="L66" s="185"/>
    </row>
    <row r="67" spans="2:12" ht="12.75" x14ac:dyDescent="0.2">
      <c r="B67" s="188" t="s">
        <v>843</v>
      </c>
      <c r="C67" s="189" t="s">
        <v>130</v>
      </c>
      <c r="D67" s="189" t="s">
        <v>123</v>
      </c>
      <c r="E67" s="190" t="s">
        <v>844</v>
      </c>
      <c r="F67" s="191">
        <f t="shared" si="0"/>
        <v>226.38333333333333</v>
      </c>
      <c r="G67" s="197"/>
      <c r="I67" s="74"/>
      <c r="J67" s="74"/>
      <c r="K67" s="185"/>
      <c r="L67" s="185"/>
    </row>
    <row r="68" spans="2:12" ht="12.75" x14ac:dyDescent="0.2">
      <c r="B68" s="188" t="s">
        <v>845</v>
      </c>
      <c r="C68" s="189" t="s">
        <v>135</v>
      </c>
      <c r="D68" s="189" t="s">
        <v>155</v>
      </c>
      <c r="E68" s="190" t="s">
        <v>846</v>
      </c>
      <c r="F68" s="191">
        <f t="shared" si="0"/>
        <v>245.86666666666667</v>
      </c>
      <c r="G68" s="197"/>
      <c r="I68" s="74"/>
      <c r="J68" s="74"/>
      <c r="K68" s="185"/>
      <c r="L68" s="185"/>
    </row>
    <row r="69" spans="2:12" ht="12.75" x14ac:dyDescent="0.2">
      <c r="B69" s="188" t="s">
        <v>847</v>
      </c>
      <c r="C69" s="189" t="s">
        <v>126</v>
      </c>
      <c r="D69" s="189" t="s">
        <v>123</v>
      </c>
      <c r="E69" s="190" t="s">
        <v>848</v>
      </c>
      <c r="F69" s="191">
        <f t="shared" si="0"/>
        <v>206.93333333333334</v>
      </c>
      <c r="G69" s="197"/>
      <c r="I69" s="74"/>
      <c r="J69" s="74"/>
      <c r="K69" s="185"/>
      <c r="L69" s="185"/>
    </row>
    <row r="70" spans="2:12" ht="12.75" x14ac:dyDescent="0.2">
      <c r="B70" s="188" t="s">
        <v>849</v>
      </c>
      <c r="C70" s="189" t="s">
        <v>134</v>
      </c>
      <c r="D70" s="189" t="s">
        <v>123</v>
      </c>
      <c r="E70" s="190" t="s">
        <v>850</v>
      </c>
      <c r="F70" s="191">
        <f t="shared" si="0"/>
        <v>261.85000000000002</v>
      </c>
      <c r="G70" s="197"/>
      <c r="I70" s="74"/>
      <c r="J70" s="74"/>
      <c r="K70" s="185"/>
      <c r="L70" s="185"/>
    </row>
    <row r="71" spans="2:12" ht="12.75" x14ac:dyDescent="0.2">
      <c r="B71" s="188" t="s">
        <v>851</v>
      </c>
      <c r="C71" s="189" t="s">
        <v>142</v>
      </c>
      <c r="D71" s="189" t="s">
        <v>152</v>
      </c>
      <c r="E71" s="190" t="s">
        <v>852</v>
      </c>
      <c r="F71" s="191">
        <f t="shared" si="0"/>
        <v>259.58333333333331</v>
      </c>
      <c r="G71" s="197"/>
      <c r="I71" s="74"/>
      <c r="J71" s="74"/>
      <c r="K71" s="185"/>
      <c r="L71" s="185"/>
    </row>
    <row r="72" spans="2:12" ht="12.75" x14ac:dyDescent="0.2">
      <c r="B72" s="188" t="s">
        <v>853</v>
      </c>
      <c r="C72" s="189" t="s">
        <v>126</v>
      </c>
      <c r="D72" s="189" t="s">
        <v>152</v>
      </c>
      <c r="E72" s="190" t="s">
        <v>854</v>
      </c>
      <c r="F72" s="191">
        <f t="shared" si="0"/>
        <v>215.7</v>
      </c>
      <c r="G72" s="197"/>
      <c r="I72" s="74"/>
      <c r="J72" s="74"/>
      <c r="K72" s="185"/>
      <c r="L72" s="185"/>
    </row>
    <row r="73" spans="2:12" ht="12.75" x14ac:dyDescent="0.2">
      <c r="B73" s="188" t="s">
        <v>855</v>
      </c>
      <c r="C73" s="189" t="s">
        <v>125</v>
      </c>
      <c r="D73" s="189" t="s">
        <v>123</v>
      </c>
      <c r="E73" s="190" t="s">
        <v>856</v>
      </c>
      <c r="F73" s="191">
        <f t="shared" si="0"/>
        <v>197.8</v>
      </c>
      <c r="G73" s="197"/>
      <c r="H73" s="194"/>
      <c r="I73" s="74"/>
      <c r="J73" s="74"/>
      <c r="K73" s="185"/>
      <c r="L73" s="185"/>
    </row>
    <row r="74" spans="2:12" ht="12.75" x14ac:dyDescent="0.2">
      <c r="B74" s="188" t="s">
        <v>857</v>
      </c>
      <c r="C74" s="189" t="s">
        <v>134</v>
      </c>
      <c r="D74" s="189" t="s">
        <v>123</v>
      </c>
      <c r="E74" s="190" t="s">
        <v>858</v>
      </c>
      <c r="F74" s="191">
        <f t="shared" si="0"/>
        <v>250.5</v>
      </c>
      <c r="G74" s="197"/>
      <c r="H74" s="194"/>
      <c r="I74" s="74"/>
      <c r="J74" s="74"/>
      <c r="K74" s="185"/>
      <c r="L74" s="185"/>
    </row>
    <row r="75" spans="2:12" ht="12.75" x14ac:dyDescent="0.2">
      <c r="B75" s="188" t="s">
        <v>859</v>
      </c>
      <c r="C75" s="189" t="s">
        <v>130</v>
      </c>
      <c r="D75" s="189" t="s">
        <v>123</v>
      </c>
      <c r="E75" s="190" t="s">
        <v>860</v>
      </c>
      <c r="F75" s="191">
        <f t="shared" ref="F75:F138" si="3">HOUR(E75)*60+MINUTE(E75)+SECOND(E75)/60</f>
        <v>283.55</v>
      </c>
      <c r="G75" s="197"/>
      <c r="H75" s="194"/>
      <c r="I75" s="74"/>
      <c r="J75" s="74"/>
      <c r="K75" s="185"/>
      <c r="L75" s="185"/>
    </row>
    <row r="76" spans="2:12" ht="12.75" x14ac:dyDescent="0.2">
      <c r="B76" s="188" t="s">
        <v>861</v>
      </c>
      <c r="C76" s="189" t="s">
        <v>125</v>
      </c>
      <c r="D76" s="189" t="s">
        <v>123</v>
      </c>
      <c r="E76" s="190" t="s">
        <v>862</v>
      </c>
      <c r="F76" s="191">
        <f t="shared" si="3"/>
        <v>251.13333333333333</v>
      </c>
      <c r="G76" s="197"/>
      <c r="H76" s="194"/>
      <c r="I76" s="74"/>
      <c r="J76" s="74"/>
      <c r="K76" s="185"/>
      <c r="L76" s="185"/>
    </row>
    <row r="77" spans="2:12" ht="12.75" x14ac:dyDescent="0.2">
      <c r="B77" s="188" t="s">
        <v>863</v>
      </c>
      <c r="C77" s="189" t="s">
        <v>128</v>
      </c>
      <c r="D77" s="189" t="s">
        <v>187</v>
      </c>
      <c r="E77" s="190" t="s">
        <v>864</v>
      </c>
      <c r="F77" s="191">
        <f t="shared" si="3"/>
        <v>271.05</v>
      </c>
      <c r="G77" s="197"/>
      <c r="H77" s="194"/>
      <c r="I77" s="74"/>
      <c r="J77" s="74"/>
      <c r="K77" s="185"/>
      <c r="L77" s="185"/>
    </row>
    <row r="78" spans="2:12" ht="12.75" x14ac:dyDescent="0.2">
      <c r="B78" s="188" t="s">
        <v>865</v>
      </c>
      <c r="C78" s="189" t="s">
        <v>124</v>
      </c>
      <c r="D78" s="189" t="s">
        <v>123</v>
      </c>
      <c r="E78" s="190" t="s">
        <v>866</v>
      </c>
      <c r="F78" s="191">
        <f t="shared" si="3"/>
        <v>231.6</v>
      </c>
      <c r="G78" s="197"/>
      <c r="H78" s="194"/>
      <c r="I78" s="74"/>
      <c r="J78" s="74"/>
      <c r="K78" s="185"/>
      <c r="L78" s="185"/>
    </row>
    <row r="79" spans="2:12" ht="12.75" x14ac:dyDescent="0.2">
      <c r="B79" s="188" t="s">
        <v>448</v>
      </c>
      <c r="C79" s="189" t="s">
        <v>125</v>
      </c>
      <c r="D79" s="189" t="s">
        <v>123</v>
      </c>
      <c r="E79" s="190" t="s">
        <v>867</v>
      </c>
      <c r="F79" s="191">
        <f t="shared" si="3"/>
        <v>258.7</v>
      </c>
      <c r="G79" s="197"/>
      <c r="H79" s="194"/>
      <c r="I79" s="74"/>
      <c r="J79" s="74"/>
      <c r="K79" s="185"/>
      <c r="L79" s="185"/>
    </row>
    <row r="80" spans="2:12" ht="12.75" x14ac:dyDescent="0.2">
      <c r="B80" s="188" t="s">
        <v>868</v>
      </c>
      <c r="C80" s="189" t="s">
        <v>134</v>
      </c>
      <c r="D80" s="189" t="s">
        <v>131</v>
      </c>
      <c r="E80" s="190" t="s">
        <v>869</v>
      </c>
      <c r="F80" s="191">
        <f t="shared" si="3"/>
        <v>178.2</v>
      </c>
      <c r="G80" s="196"/>
      <c r="H80" s="194"/>
      <c r="I80" s="74"/>
      <c r="J80" s="74"/>
      <c r="K80" s="185"/>
      <c r="L80" s="185"/>
    </row>
    <row r="81" spans="2:12" ht="12.75" x14ac:dyDescent="0.2">
      <c r="B81" s="188" t="s">
        <v>870</v>
      </c>
      <c r="C81" s="189" t="s">
        <v>142</v>
      </c>
      <c r="D81" s="189" t="s">
        <v>123</v>
      </c>
      <c r="E81" s="190" t="s">
        <v>871</v>
      </c>
      <c r="F81" s="191">
        <f t="shared" si="3"/>
        <v>284.06666666666666</v>
      </c>
      <c r="G81" s="196"/>
      <c r="H81" s="194"/>
      <c r="I81" s="74"/>
      <c r="J81" s="74"/>
      <c r="K81" s="185"/>
      <c r="L81" s="185"/>
    </row>
    <row r="82" spans="2:12" ht="12.75" x14ac:dyDescent="0.2">
      <c r="B82" s="188" t="s">
        <v>872</v>
      </c>
      <c r="C82" s="189" t="s">
        <v>128</v>
      </c>
      <c r="D82" s="189" t="s">
        <v>131</v>
      </c>
      <c r="E82" s="190" t="s">
        <v>873</v>
      </c>
      <c r="F82" s="191">
        <f t="shared" si="3"/>
        <v>217.66666666666666</v>
      </c>
      <c r="G82" s="196"/>
      <c r="H82" s="194"/>
      <c r="I82" s="74"/>
      <c r="J82" s="74"/>
      <c r="K82" s="185"/>
      <c r="L82" s="185"/>
    </row>
    <row r="83" spans="2:12" ht="12.75" x14ac:dyDescent="0.2">
      <c r="B83" s="188" t="s">
        <v>273</v>
      </c>
      <c r="C83" s="189" t="s">
        <v>125</v>
      </c>
      <c r="D83" s="189" t="s">
        <v>123</v>
      </c>
      <c r="E83" s="190" t="s">
        <v>874</v>
      </c>
      <c r="F83" s="191">
        <f t="shared" si="3"/>
        <v>256.16666666666669</v>
      </c>
      <c r="G83" s="196"/>
      <c r="H83" s="194"/>
      <c r="I83" s="74"/>
      <c r="J83" s="74"/>
      <c r="K83" s="185"/>
      <c r="L83" s="185"/>
    </row>
    <row r="84" spans="2:12" ht="12.75" x14ac:dyDescent="0.2">
      <c r="B84" s="188" t="s">
        <v>875</v>
      </c>
      <c r="C84" s="189" t="s">
        <v>126</v>
      </c>
      <c r="D84" s="189" t="s">
        <v>123</v>
      </c>
      <c r="E84" s="190" t="s">
        <v>876</v>
      </c>
      <c r="F84" s="191">
        <f t="shared" si="3"/>
        <v>282.98333333333335</v>
      </c>
      <c r="G84" s="196"/>
      <c r="H84" s="194"/>
      <c r="I84" s="74"/>
      <c r="J84" s="74"/>
      <c r="K84" s="185"/>
      <c r="L84" s="185"/>
    </row>
    <row r="85" spans="2:12" ht="12.75" x14ac:dyDescent="0.2">
      <c r="B85" s="188" t="s">
        <v>877</v>
      </c>
      <c r="C85" s="189" t="s">
        <v>130</v>
      </c>
      <c r="D85" s="189" t="s">
        <v>123</v>
      </c>
      <c r="E85" s="190" t="s">
        <v>878</v>
      </c>
      <c r="F85" s="191">
        <f t="shared" si="3"/>
        <v>227.45</v>
      </c>
      <c r="G85" s="196"/>
      <c r="H85" s="194"/>
      <c r="I85" s="74"/>
      <c r="J85" s="74"/>
      <c r="K85" s="185"/>
      <c r="L85" s="185"/>
    </row>
    <row r="86" spans="2:12" ht="12.75" x14ac:dyDescent="0.2">
      <c r="B86" s="188" t="s">
        <v>879</v>
      </c>
      <c r="C86" s="189" t="s">
        <v>124</v>
      </c>
      <c r="D86" s="189" t="s">
        <v>123</v>
      </c>
      <c r="E86" s="190" t="s">
        <v>880</v>
      </c>
      <c r="F86" s="191">
        <f t="shared" si="3"/>
        <v>226.8</v>
      </c>
      <c r="G86" s="196"/>
      <c r="H86" s="194"/>
      <c r="I86" s="74"/>
      <c r="J86" s="74"/>
      <c r="K86" s="185"/>
      <c r="L86" s="185"/>
    </row>
    <row r="87" spans="2:12" ht="12.75" x14ac:dyDescent="0.2">
      <c r="B87" s="188" t="s">
        <v>881</v>
      </c>
      <c r="C87" s="189" t="s">
        <v>126</v>
      </c>
      <c r="D87" s="189" t="s">
        <v>123</v>
      </c>
      <c r="E87" s="190" t="s">
        <v>882</v>
      </c>
      <c r="F87" s="191">
        <f t="shared" si="3"/>
        <v>227.15</v>
      </c>
      <c r="G87" s="196"/>
      <c r="H87" s="194"/>
      <c r="I87" s="74"/>
      <c r="J87" s="74"/>
      <c r="K87" s="185"/>
      <c r="L87" s="185"/>
    </row>
    <row r="88" spans="2:12" ht="12.75" x14ac:dyDescent="0.2">
      <c r="B88" s="188" t="s">
        <v>883</v>
      </c>
      <c r="C88" s="189" t="s">
        <v>134</v>
      </c>
      <c r="D88" s="189" t="s">
        <v>131</v>
      </c>
      <c r="E88" s="190" t="s">
        <v>884</v>
      </c>
      <c r="F88" s="191">
        <f t="shared" si="3"/>
        <v>210.85</v>
      </c>
      <c r="G88" s="196"/>
      <c r="H88" s="194"/>
      <c r="I88" s="74"/>
      <c r="J88" s="74"/>
      <c r="K88" s="185"/>
      <c r="L88" s="185"/>
    </row>
    <row r="89" spans="2:12" ht="12.75" x14ac:dyDescent="0.2">
      <c r="B89" s="188" t="s">
        <v>885</v>
      </c>
      <c r="C89" s="189" t="s">
        <v>128</v>
      </c>
      <c r="D89" s="189" t="s">
        <v>123</v>
      </c>
      <c r="E89" s="190" t="s">
        <v>886</v>
      </c>
      <c r="F89" s="191">
        <f t="shared" si="3"/>
        <v>247.4</v>
      </c>
      <c r="G89" s="196"/>
      <c r="H89" s="194"/>
      <c r="I89" s="74"/>
      <c r="J89" s="74"/>
      <c r="K89" s="185"/>
      <c r="L89" s="185"/>
    </row>
    <row r="90" spans="2:12" ht="12.75" x14ac:dyDescent="0.2">
      <c r="B90" s="188" t="s">
        <v>887</v>
      </c>
      <c r="C90" s="189" t="s">
        <v>142</v>
      </c>
      <c r="D90" s="189" t="s">
        <v>123</v>
      </c>
      <c r="E90" s="190" t="s">
        <v>888</v>
      </c>
      <c r="F90" s="191">
        <f t="shared" si="3"/>
        <v>250.9</v>
      </c>
      <c r="G90" s="196"/>
      <c r="H90" s="194"/>
      <c r="I90" s="74"/>
      <c r="J90" s="74"/>
      <c r="K90" s="185"/>
      <c r="L90" s="185"/>
    </row>
    <row r="91" spans="2:12" ht="12.75" x14ac:dyDescent="0.2">
      <c r="B91" s="188" t="s">
        <v>889</v>
      </c>
      <c r="C91" s="189" t="s">
        <v>135</v>
      </c>
      <c r="D91" s="189" t="s">
        <v>123</v>
      </c>
      <c r="E91" s="190" t="s">
        <v>890</v>
      </c>
      <c r="F91" s="191">
        <f t="shared" si="3"/>
        <v>284.66666666666669</v>
      </c>
      <c r="G91" s="196"/>
      <c r="H91" s="194"/>
      <c r="I91" s="74"/>
      <c r="J91" s="74"/>
      <c r="K91" s="185"/>
      <c r="L91" s="185"/>
    </row>
    <row r="92" spans="2:12" ht="12.75" x14ac:dyDescent="0.2">
      <c r="B92" s="188" t="s">
        <v>891</v>
      </c>
      <c r="C92" s="189" t="s">
        <v>134</v>
      </c>
      <c r="D92" s="189" t="s">
        <v>588</v>
      </c>
      <c r="E92" s="190" t="s">
        <v>892</v>
      </c>
      <c r="F92" s="191">
        <f t="shared" si="3"/>
        <v>244.01666666666668</v>
      </c>
      <c r="G92" s="196"/>
      <c r="H92" s="194"/>
      <c r="I92" s="74"/>
      <c r="J92" s="74"/>
      <c r="K92" s="185"/>
      <c r="L92" s="185"/>
    </row>
    <row r="93" spans="2:12" ht="12.75" x14ac:dyDescent="0.2">
      <c r="B93" s="188" t="s">
        <v>893</v>
      </c>
      <c r="C93" s="189" t="s">
        <v>142</v>
      </c>
      <c r="D93" s="189" t="s">
        <v>123</v>
      </c>
      <c r="E93" s="190" t="s">
        <v>894</v>
      </c>
      <c r="F93" s="191">
        <f t="shared" si="3"/>
        <v>307.35000000000002</v>
      </c>
      <c r="G93" s="196"/>
      <c r="H93" s="194"/>
      <c r="I93" s="74"/>
      <c r="J93" s="74"/>
      <c r="K93" s="185"/>
      <c r="L93" s="185"/>
    </row>
    <row r="94" spans="2:12" ht="12.75" x14ac:dyDescent="0.2">
      <c r="B94" s="188" t="s">
        <v>284</v>
      </c>
      <c r="C94" s="189" t="s">
        <v>125</v>
      </c>
      <c r="D94" s="189" t="s">
        <v>123</v>
      </c>
      <c r="E94" s="190" t="s">
        <v>895</v>
      </c>
      <c r="F94" s="191">
        <f t="shared" si="3"/>
        <v>188.71666666666667</v>
      </c>
      <c r="G94" s="196"/>
      <c r="H94" s="194"/>
      <c r="I94" s="74"/>
      <c r="J94" s="74"/>
      <c r="K94" s="185"/>
      <c r="L94" s="185"/>
    </row>
    <row r="95" spans="2:12" ht="12.75" x14ac:dyDescent="0.2">
      <c r="B95" s="188" t="s">
        <v>896</v>
      </c>
      <c r="C95" s="189" t="s">
        <v>134</v>
      </c>
      <c r="D95" s="189" t="s">
        <v>123</v>
      </c>
      <c r="E95" s="190" t="s">
        <v>897</v>
      </c>
      <c r="F95" s="191">
        <f t="shared" si="3"/>
        <v>229.16666666666666</v>
      </c>
      <c r="G95" s="196"/>
      <c r="H95" s="194"/>
      <c r="I95" s="74"/>
      <c r="J95" s="74"/>
      <c r="K95" s="185"/>
      <c r="L95" s="185"/>
    </row>
    <row r="96" spans="2:12" ht="12.75" x14ac:dyDescent="0.2">
      <c r="B96" s="188" t="s">
        <v>548</v>
      </c>
      <c r="C96" s="189" t="s">
        <v>125</v>
      </c>
      <c r="D96" s="189" t="s">
        <v>123</v>
      </c>
      <c r="E96" s="190" t="s">
        <v>898</v>
      </c>
      <c r="F96" s="191">
        <f t="shared" si="3"/>
        <v>298.71666666666664</v>
      </c>
      <c r="G96" s="196"/>
      <c r="H96" s="194"/>
      <c r="I96" s="74"/>
      <c r="J96" s="74"/>
      <c r="K96" s="185"/>
      <c r="L96" s="185"/>
    </row>
    <row r="97" spans="2:12" ht="12.75" x14ac:dyDescent="0.2">
      <c r="B97" s="188" t="s">
        <v>899</v>
      </c>
      <c r="C97" s="189" t="s">
        <v>125</v>
      </c>
      <c r="D97" s="189" t="s">
        <v>123</v>
      </c>
      <c r="E97" s="190" t="s">
        <v>900</v>
      </c>
      <c r="F97" s="191">
        <f t="shared" si="3"/>
        <v>288.21666666666664</v>
      </c>
      <c r="G97" s="196"/>
      <c r="H97" s="194"/>
      <c r="I97" s="74"/>
      <c r="J97" s="74"/>
      <c r="K97" s="185"/>
      <c r="L97" s="185"/>
    </row>
    <row r="98" spans="2:12" ht="12.75" x14ac:dyDescent="0.2">
      <c r="B98" s="188" t="s">
        <v>901</v>
      </c>
      <c r="C98" s="189" t="s">
        <v>126</v>
      </c>
      <c r="D98" s="189" t="s">
        <v>187</v>
      </c>
      <c r="E98" s="190" t="s">
        <v>902</v>
      </c>
      <c r="F98" s="191">
        <f t="shared" si="3"/>
        <v>230.96666666666667</v>
      </c>
      <c r="G98" s="196"/>
      <c r="H98" s="194"/>
      <c r="I98" s="74"/>
      <c r="J98" s="74"/>
      <c r="K98" s="185"/>
      <c r="L98" s="185"/>
    </row>
    <row r="99" spans="2:12" ht="12.75" x14ac:dyDescent="0.2">
      <c r="B99" s="188" t="s">
        <v>903</v>
      </c>
      <c r="C99" s="189" t="s">
        <v>142</v>
      </c>
      <c r="D99" s="189" t="s">
        <v>123</v>
      </c>
      <c r="E99" s="190" t="s">
        <v>904</v>
      </c>
      <c r="F99" s="191">
        <f t="shared" si="3"/>
        <v>246.55</v>
      </c>
      <c r="G99" s="196"/>
      <c r="H99" s="194"/>
      <c r="I99" s="74"/>
      <c r="J99" s="74"/>
      <c r="K99" s="185"/>
      <c r="L99" s="185"/>
    </row>
    <row r="100" spans="2:12" ht="12.75" x14ac:dyDescent="0.2">
      <c r="B100" s="188" t="s">
        <v>905</v>
      </c>
      <c r="C100" s="189" t="s">
        <v>126</v>
      </c>
      <c r="D100" s="189" t="s">
        <v>132</v>
      </c>
      <c r="E100" s="190" t="s">
        <v>906</v>
      </c>
      <c r="F100" s="191">
        <f t="shared" si="3"/>
        <v>167.63333333333333</v>
      </c>
      <c r="G100" s="196"/>
      <c r="H100" s="194"/>
      <c r="I100" s="74"/>
      <c r="J100" s="74"/>
      <c r="K100" s="185"/>
      <c r="L100" s="185"/>
    </row>
    <row r="101" spans="2:12" ht="12.75" x14ac:dyDescent="0.2">
      <c r="B101" s="188" t="s">
        <v>907</v>
      </c>
      <c r="C101" s="189" t="s">
        <v>124</v>
      </c>
      <c r="D101" s="189" t="s">
        <v>131</v>
      </c>
      <c r="E101" s="190" t="s">
        <v>908</v>
      </c>
      <c r="F101" s="191">
        <f t="shared" si="3"/>
        <v>231.11666666666667</v>
      </c>
      <c r="G101" s="196"/>
      <c r="H101" s="194"/>
      <c r="I101" s="74"/>
      <c r="J101" s="74"/>
      <c r="K101" s="185"/>
      <c r="L101" s="185"/>
    </row>
    <row r="102" spans="2:12" ht="12.75" x14ac:dyDescent="0.2">
      <c r="B102" s="188" t="s">
        <v>909</v>
      </c>
      <c r="C102" s="189" t="s">
        <v>124</v>
      </c>
      <c r="D102" s="189" t="s">
        <v>129</v>
      </c>
      <c r="E102" s="190" t="s">
        <v>910</v>
      </c>
      <c r="F102" s="191">
        <f t="shared" si="3"/>
        <v>234.81666666666666</v>
      </c>
      <c r="G102" s="196"/>
      <c r="H102" s="194"/>
      <c r="I102" s="74"/>
      <c r="J102" s="74"/>
      <c r="K102" s="185"/>
      <c r="L102" s="185"/>
    </row>
    <row r="103" spans="2:12" ht="12.75" x14ac:dyDescent="0.2">
      <c r="B103" s="188" t="s">
        <v>911</v>
      </c>
      <c r="C103" s="189" t="s">
        <v>134</v>
      </c>
      <c r="D103" s="189" t="s">
        <v>446</v>
      </c>
      <c r="E103" s="190" t="s">
        <v>912</v>
      </c>
      <c r="F103" s="191">
        <f t="shared" si="3"/>
        <v>256.64999999999998</v>
      </c>
      <c r="G103" s="196"/>
      <c r="H103" s="194"/>
      <c r="I103" s="74"/>
      <c r="J103" s="74"/>
      <c r="K103" s="185"/>
      <c r="L103" s="185"/>
    </row>
    <row r="104" spans="2:12" ht="12.75" x14ac:dyDescent="0.2">
      <c r="B104" s="188" t="s">
        <v>913</v>
      </c>
      <c r="C104" s="189" t="s">
        <v>135</v>
      </c>
      <c r="D104" s="189" t="s">
        <v>123</v>
      </c>
      <c r="E104" s="190" t="s">
        <v>914</v>
      </c>
      <c r="F104" s="191">
        <f t="shared" si="3"/>
        <v>311.26666666666665</v>
      </c>
      <c r="G104" s="196"/>
      <c r="H104" s="194"/>
      <c r="I104" s="74"/>
      <c r="J104" s="74"/>
      <c r="K104" s="185"/>
      <c r="L104" s="185"/>
    </row>
    <row r="105" spans="2:12" ht="12.75" x14ac:dyDescent="0.2">
      <c r="B105" s="188" t="s">
        <v>915</v>
      </c>
      <c r="C105" s="189" t="s">
        <v>124</v>
      </c>
      <c r="D105" s="189" t="s">
        <v>123</v>
      </c>
      <c r="E105" s="190" t="s">
        <v>916</v>
      </c>
      <c r="F105" s="191">
        <f t="shared" si="3"/>
        <v>236.48333333333332</v>
      </c>
      <c r="G105" s="196"/>
      <c r="H105" s="194"/>
      <c r="I105" s="74"/>
      <c r="J105" s="74"/>
      <c r="K105" s="185"/>
      <c r="L105" s="185"/>
    </row>
    <row r="106" spans="2:12" ht="12.75" x14ac:dyDescent="0.2">
      <c r="B106" s="188" t="s">
        <v>917</v>
      </c>
      <c r="C106" s="189" t="s">
        <v>126</v>
      </c>
      <c r="D106" s="189" t="s">
        <v>123</v>
      </c>
      <c r="E106" s="190" t="s">
        <v>918</v>
      </c>
      <c r="F106" s="191">
        <f t="shared" si="3"/>
        <v>300.83333333333331</v>
      </c>
      <c r="G106" s="196"/>
      <c r="H106" s="194"/>
      <c r="I106" s="74"/>
      <c r="J106" s="74"/>
      <c r="K106" s="185"/>
      <c r="L106" s="185"/>
    </row>
    <row r="107" spans="2:12" ht="12.75" x14ac:dyDescent="0.2">
      <c r="B107" s="188" t="s">
        <v>513</v>
      </c>
      <c r="C107" s="189" t="s">
        <v>125</v>
      </c>
      <c r="D107" s="189" t="s">
        <v>123</v>
      </c>
      <c r="E107" s="190" t="s">
        <v>919</v>
      </c>
      <c r="F107" s="191">
        <f t="shared" si="3"/>
        <v>203.23333333333332</v>
      </c>
      <c r="G107" s="196"/>
      <c r="H107" s="194"/>
      <c r="I107" s="74"/>
      <c r="J107" s="74"/>
      <c r="K107" s="185"/>
      <c r="L107" s="185"/>
    </row>
    <row r="108" spans="2:12" ht="12.75" x14ac:dyDescent="0.2">
      <c r="B108" s="188" t="s">
        <v>920</v>
      </c>
      <c r="C108" s="189" t="s">
        <v>130</v>
      </c>
      <c r="D108" s="189" t="s">
        <v>131</v>
      </c>
      <c r="E108" s="190" t="s">
        <v>921</v>
      </c>
      <c r="F108" s="191">
        <f t="shared" si="3"/>
        <v>259.71666666666664</v>
      </c>
      <c r="G108" s="196"/>
      <c r="H108" s="194"/>
      <c r="I108" s="74"/>
      <c r="J108" s="74"/>
      <c r="K108" s="185"/>
      <c r="L108" s="185"/>
    </row>
    <row r="109" spans="2:12" ht="12.75" x14ac:dyDescent="0.2">
      <c r="B109" s="188" t="s">
        <v>922</v>
      </c>
      <c r="C109" s="189" t="s">
        <v>124</v>
      </c>
      <c r="D109" s="189" t="s">
        <v>223</v>
      </c>
      <c r="E109" s="190" t="s">
        <v>923</v>
      </c>
      <c r="F109" s="191">
        <f t="shared" si="3"/>
        <v>282.58333333333331</v>
      </c>
      <c r="G109" s="196"/>
      <c r="H109" s="194"/>
      <c r="I109" s="74"/>
      <c r="J109" s="74"/>
      <c r="K109" s="185"/>
      <c r="L109" s="185"/>
    </row>
    <row r="110" spans="2:12" ht="12.75" x14ac:dyDescent="0.2">
      <c r="B110" s="188" t="s">
        <v>924</v>
      </c>
      <c r="C110" s="189" t="s">
        <v>134</v>
      </c>
      <c r="D110" s="189" t="s">
        <v>123</v>
      </c>
      <c r="E110" s="190" t="s">
        <v>925</v>
      </c>
      <c r="F110" s="191">
        <f t="shared" si="3"/>
        <v>279.78333333333336</v>
      </c>
      <c r="G110" s="196"/>
      <c r="H110" s="194"/>
      <c r="I110" s="74"/>
      <c r="J110" s="74"/>
      <c r="K110" s="185"/>
      <c r="L110" s="185"/>
    </row>
    <row r="111" spans="2:12" ht="12.75" x14ac:dyDescent="0.2">
      <c r="B111" s="188" t="s">
        <v>926</v>
      </c>
      <c r="C111" s="189" t="s">
        <v>130</v>
      </c>
      <c r="D111" s="189" t="s">
        <v>123</v>
      </c>
      <c r="E111" s="190" t="s">
        <v>927</v>
      </c>
      <c r="F111" s="191">
        <f t="shared" si="3"/>
        <v>189.88333333333333</v>
      </c>
      <c r="G111" s="196"/>
      <c r="H111" s="194"/>
      <c r="I111" s="74"/>
      <c r="J111" s="74"/>
      <c r="K111" s="185"/>
      <c r="L111" s="185"/>
    </row>
    <row r="112" spans="2:12" ht="12.75" x14ac:dyDescent="0.2">
      <c r="B112" s="188" t="s">
        <v>928</v>
      </c>
      <c r="C112" s="189" t="s">
        <v>249</v>
      </c>
      <c r="D112" s="189" t="s">
        <v>132</v>
      </c>
      <c r="E112" s="190" t="s">
        <v>929</v>
      </c>
      <c r="F112" s="191">
        <f t="shared" si="3"/>
        <v>223.9</v>
      </c>
      <c r="G112" s="196"/>
      <c r="H112" s="194"/>
      <c r="I112" s="74"/>
      <c r="J112" s="74"/>
      <c r="K112" s="185"/>
      <c r="L112" s="185"/>
    </row>
    <row r="113" spans="2:12" ht="12.75" x14ac:dyDescent="0.2">
      <c r="B113" s="188" t="s">
        <v>625</v>
      </c>
      <c r="C113" s="189" t="s">
        <v>126</v>
      </c>
      <c r="D113" s="189" t="s">
        <v>123</v>
      </c>
      <c r="E113" s="190" t="s">
        <v>930</v>
      </c>
      <c r="F113" s="191">
        <f t="shared" si="3"/>
        <v>189.58333333333334</v>
      </c>
      <c r="G113" s="196"/>
      <c r="H113" s="194"/>
      <c r="I113" s="74"/>
      <c r="J113" s="74"/>
      <c r="K113" s="185"/>
      <c r="L113" s="185"/>
    </row>
    <row r="114" spans="2:12" ht="12.75" x14ac:dyDescent="0.2">
      <c r="B114" s="188" t="s">
        <v>931</v>
      </c>
      <c r="C114" s="189" t="s">
        <v>125</v>
      </c>
      <c r="D114" s="189" t="s">
        <v>131</v>
      </c>
      <c r="E114" s="190" t="s">
        <v>932</v>
      </c>
      <c r="F114" s="191">
        <f t="shared" si="3"/>
        <v>233.25</v>
      </c>
      <c r="G114" s="196"/>
      <c r="H114" s="194"/>
      <c r="I114" s="74"/>
      <c r="J114" s="74"/>
      <c r="K114" s="185"/>
      <c r="L114" s="185"/>
    </row>
    <row r="115" spans="2:12" ht="12.75" x14ac:dyDescent="0.2">
      <c r="B115" s="188" t="s">
        <v>933</v>
      </c>
      <c r="C115" s="189" t="s">
        <v>124</v>
      </c>
      <c r="D115" s="189" t="s">
        <v>160</v>
      </c>
      <c r="E115" s="190" t="s">
        <v>934</v>
      </c>
      <c r="F115" s="191">
        <f t="shared" si="3"/>
        <v>184.83333333333334</v>
      </c>
      <c r="G115" s="196"/>
      <c r="H115" s="194"/>
      <c r="I115" s="74"/>
      <c r="J115" s="74"/>
      <c r="K115" s="185"/>
      <c r="L115" s="185"/>
    </row>
    <row r="116" spans="2:12" ht="12.75" x14ac:dyDescent="0.2">
      <c r="B116" s="188" t="s">
        <v>935</v>
      </c>
      <c r="C116" s="189" t="s">
        <v>124</v>
      </c>
      <c r="D116" s="189" t="s">
        <v>123</v>
      </c>
      <c r="E116" s="190" t="s">
        <v>936</v>
      </c>
      <c r="F116" s="191">
        <f t="shared" si="3"/>
        <v>262.5</v>
      </c>
      <c r="G116" s="196"/>
      <c r="H116" s="194"/>
      <c r="I116" s="74"/>
      <c r="J116" s="74"/>
      <c r="K116" s="185"/>
      <c r="L116" s="185"/>
    </row>
    <row r="117" spans="2:12" ht="12.75" x14ac:dyDescent="0.2">
      <c r="B117" s="188" t="s">
        <v>937</v>
      </c>
      <c r="C117" s="189" t="s">
        <v>124</v>
      </c>
      <c r="D117" s="189" t="s">
        <v>123</v>
      </c>
      <c r="E117" s="190" t="s">
        <v>938</v>
      </c>
      <c r="F117" s="191">
        <f t="shared" si="3"/>
        <v>221.53333333333333</v>
      </c>
      <c r="G117" s="196"/>
      <c r="H117" s="194"/>
      <c r="I117" s="74"/>
      <c r="J117" s="74"/>
      <c r="K117" s="185"/>
      <c r="L117" s="185"/>
    </row>
    <row r="118" spans="2:12" ht="12.75" x14ac:dyDescent="0.2">
      <c r="B118" s="188" t="s">
        <v>583</v>
      </c>
      <c r="C118" s="189" t="s">
        <v>125</v>
      </c>
      <c r="D118" s="189" t="s">
        <v>123</v>
      </c>
      <c r="E118" s="190" t="s">
        <v>939</v>
      </c>
      <c r="F118" s="191">
        <f t="shared" si="3"/>
        <v>286.91666666666669</v>
      </c>
      <c r="G118" s="196"/>
      <c r="H118" s="194"/>
      <c r="I118" s="74"/>
      <c r="J118" s="74"/>
      <c r="K118" s="185"/>
      <c r="L118" s="185"/>
    </row>
    <row r="119" spans="2:12" ht="12.75" x14ac:dyDescent="0.2">
      <c r="B119" s="188" t="s">
        <v>940</v>
      </c>
      <c r="C119" s="189" t="s">
        <v>124</v>
      </c>
      <c r="D119" s="189" t="s">
        <v>123</v>
      </c>
      <c r="E119" s="190" t="s">
        <v>941</v>
      </c>
      <c r="F119" s="191">
        <f t="shared" si="3"/>
        <v>222.2</v>
      </c>
      <c r="G119" s="196"/>
      <c r="H119" s="194"/>
      <c r="I119" s="74"/>
      <c r="J119" s="74"/>
      <c r="K119" s="185"/>
      <c r="L119" s="185"/>
    </row>
    <row r="120" spans="2:12" ht="12.75" x14ac:dyDescent="0.2">
      <c r="B120" s="188" t="s">
        <v>942</v>
      </c>
      <c r="C120" s="189" t="s">
        <v>125</v>
      </c>
      <c r="D120" s="189" t="s">
        <v>123</v>
      </c>
      <c r="E120" s="190" t="s">
        <v>943</v>
      </c>
      <c r="F120" s="191">
        <f t="shared" si="3"/>
        <v>258.18333333333334</v>
      </c>
      <c r="G120" s="196"/>
      <c r="H120" s="194"/>
      <c r="I120" s="74"/>
      <c r="J120" s="74"/>
      <c r="K120" s="185"/>
      <c r="L120" s="185"/>
    </row>
    <row r="121" spans="2:12" ht="12.75" x14ac:dyDescent="0.2">
      <c r="B121" s="188" t="s">
        <v>944</v>
      </c>
      <c r="C121" s="189" t="s">
        <v>134</v>
      </c>
      <c r="D121" s="189" t="s">
        <v>174</v>
      </c>
      <c r="E121" s="190" t="s">
        <v>945</v>
      </c>
      <c r="F121" s="191">
        <f t="shared" si="3"/>
        <v>207.4</v>
      </c>
      <c r="G121" s="196"/>
      <c r="H121" s="194"/>
      <c r="I121" s="74"/>
      <c r="J121" s="74"/>
      <c r="K121" s="185"/>
      <c r="L121" s="185"/>
    </row>
    <row r="122" spans="2:12" ht="12.75" x14ac:dyDescent="0.2">
      <c r="B122" s="188" t="s">
        <v>219</v>
      </c>
      <c r="C122" s="189" t="s">
        <v>142</v>
      </c>
      <c r="D122" s="189" t="s">
        <v>123</v>
      </c>
      <c r="E122" s="190" t="s">
        <v>946</v>
      </c>
      <c r="F122" s="191">
        <f t="shared" si="3"/>
        <v>224.13333333333333</v>
      </c>
      <c r="G122" s="196"/>
      <c r="H122" s="194"/>
      <c r="I122" s="74"/>
      <c r="J122" s="74"/>
      <c r="K122" s="185"/>
      <c r="L122" s="185"/>
    </row>
    <row r="123" spans="2:12" ht="12.75" x14ac:dyDescent="0.2">
      <c r="B123" s="188" t="s">
        <v>947</v>
      </c>
      <c r="C123" s="189" t="s">
        <v>126</v>
      </c>
      <c r="D123" s="189" t="s">
        <v>123</v>
      </c>
      <c r="E123" s="190" t="s">
        <v>948</v>
      </c>
      <c r="F123" s="191">
        <f t="shared" si="3"/>
        <v>269.14999999999998</v>
      </c>
      <c r="G123" s="196"/>
      <c r="H123" s="194"/>
      <c r="I123" s="74"/>
      <c r="J123" s="74"/>
      <c r="K123" s="185"/>
      <c r="L123" s="185"/>
    </row>
    <row r="124" spans="2:12" ht="12.75" x14ac:dyDescent="0.2">
      <c r="B124" s="188" t="s">
        <v>949</v>
      </c>
      <c r="C124" s="189" t="s">
        <v>136</v>
      </c>
      <c r="D124" s="189" t="s">
        <v>155</v>
      </c>
      <c r="E124" s="190" t="s">
        <v>950</v>
      </c>
      <c r="F124" s="191">
        <f t="shared" si="3"/>
        <v>234.65</v>
      </c>
      <c r="G124" s="196"/>
      <c r="H124" s="194"/>
      <c r="I124" s="74"/>
      <c r="J124" s="74"/>
      <c r="K124" s="185"/>
      <c r="L124" s="185"/>
    </row>
    <row r="125" spans="2:12" ht="12.75" x14ac:dyDescent="0.2">
      <c r="B125" s="188" t="s">
        <v>951</v>
      </c>
      <c r="C125" s="189" t="s">
        <v>125</v>
      </c>
      <c r="D125" s="189" t="s">
        <v>123</v>
      </c>
      <c r="E125" s="190" t="s">
        <v>952</v>
      </c>
      <c r="F125" s="191">
        <f t="shared" si="3"/>
        <v>299.26666666666665</v>
      </c>
      <c r="G125" s="196"/>
      <c r="H125" s="194"/>
      <c r="I125" s="74"/>
      <c r="J125" s="74"/>
      <c r="K125" s="185"/>
      <c r="L125" s="185"/>
    </row>
    <row r="126" spans="2:12" ht="12.75" x14ac:dyDescent="0.2">
      <c r="B126" s="188" t="s">
        <v>953</v>
      </c>
      <c r="C126" s="189" t="s">
        <v>134</v>
      </c>
      <c r="D126" s="189" t="s">
        <v>123</v>
      </c>
      <c r="E126" s="190" t="s">
        <v>954</v>
      </c>
      <c r="F126" s="191">
        <f t="shared" si="3"/>
        <v>228.5</v>
      </c>
      <c r="G126" s="196"/>
      <c r="H126" s="194"/>
      <c r="I126" s="74"/>
      <c r="J126" s="74"/>
      <c r="K126" s="185"/>
      <c r="L126" s="185"/>
    </row>
    <row r="127" spans="2:12" ht="12.75" x14ac:dyDescent="0.2">
      <c r="B127" s="188" t="s">
        <v>322</v>
      </c>
      <c r="C127" s="189" t="s">
        <v>124</v>
      </c>
      <c r="D127" s="189" t="s">
        <v>123</v>
      </c>
      <c r="E127" s="190" t="s">
        <v>955</v>
      </c>
      <c r="F127" s="191">
        <f t="shared" si="3"/>
        <v>303.76666666666665</v>
      </c>
      <c r="G127" s="196"/>
      <c r="H127" s="194"/>
      <c r="I127" s="74"/>
      <c r="J127" s="74"/>
      <c r="K127" s="185"/>
      <c r="L127" s="185"/>
    </row>
    <row r="128" spans="2:12" ht="12.75" x14ac:dyDescent="0.2">
      <c r="B128" s="188" t="s">
        <v>956</v>
      </c>
      <c r="C128" s="189" t="s">
        <v>126</v>
      </c>
      <c r="D128" s="189" t="s">
        <v>133</v>
      </c>
      <c r="E128" s="190" t="s">
        <v>957</v>
      </c>
      <c r="F128" s="191">
        <f t="shared" si="3"/>
        <v>203.08333333333334</v>
      </c>
      <c r="G128" s="196"/>
      <c r="H128" s="194"/>
      <c r="I128" s="74"/>
      <c r="J128" s="74"/>
      <c r="K128" s="185"/>
      <c r="L128" s="185"/>
    </row>
    <row r="129" spans="2:12" ht="12.75" x14ac:dyDescent="0.2">
      <c r="B129" s="188" t="s">
        <v>958</v>
      </c>
      <c r="C129" s="189" t="s">
        <v>130</v>
      </c>
      <c r="D129" s="189" t="s">
        <v>123</v>
      </c>
      <c r="E129" s="190" t="s">
        <v>959</v>
      </c>
      <c r="F129" s="191">
        <f t="shared" si="3"/>
        <v>230.18333333333334</v>
      </c>
      <c r="G129" s="196"/>
      <c r="H129" s="194"/>
      <c r="I129" s="74"/>
      <c r="J129" s="74"/>
      <c r="K129" s="185"/>
      <c r="L129" s="185"/>
    </row>
    <row r="130" spans="2:12" ht="12.75" x14ac:dyDescent="0.2">
      <c r="B130" s="188" t="s">
        <v>960</v>
      </c>
      <c r="C130" s="189" t="s">
        <v>125</v>
      </c>
      <c r="D130" s="189" t="s">
        <v>123</v>
      </c>
      <c r="E130" s="190" t="s">
        <v>961</v>
      </c>
      <c r="F130" s="191">
        <f t="shared" si="3"/>
        <v>283.11666666666667</v>
      </c>
      <c r="G130" s="196"/>
      <c r="H130" s="194"/>
      <c r="I130" s="74"/>
      <c r="J130" s="74"/>
      <c r="K130" s="185"/>
      <c r="L130" s="185"/>
    </row>
    <row r="131" spans="2:12" ht="12.75" x14ac:dyDescent="0.2">
      <c r="B131" s="188" t="s">
        <v>962</v>
      </c>
      <c r="C131" s="189" t="s">
        <v>130</v>
      </c>
      <c r="D131" s="189" t="s">
        <v>139</v>
      </c>
      <c r="E131" s="190" t="s">
        <v>963</v>
      </c>
      <c r="F131" s="191">
        <f t="shared" si="3"/>
        <v>314.45</v>
      </c>
      <c r="G131" s="196"/>
      <c r="H131" s="194"/>
      <c r="I131" s="74"/>
      <c r="J131" s="74"/>
      <c r="K131" s="185"/>
      <c r="L131" s="185"/>
    </row>
    <row r="132" spans="2:12" ht="12.75" x14ac:dyDescent="0.2">
      <c r="B132" s="188" t="s">
        <v>382</v>
      </c>
      <c r="C132" s="189" t="s">
        <v>136</v>
      </c>
      <c r="D132" s="189" t="s">
        <v>123</v>
      </c>
      <c r="E132" s="190" t="s">
        <v>964</v>
      </c>
      <c r="F132" s="191">
        <f t="shared" si="3"/>
        <v>331.68333333333334</v>
      </c>
      <c r="G132" s="196"/>
      <c r="H132" s="194"/>
      <c r="I132" s="74"/>
      <c r="J132" s="74"/>
      <c r="K132" s="185"/>
      <c r="L132" s="185"/>
    </row>
    <row r="133" spans="2:12" ht="12.75" x14ac:dyDescent="0.2">
      <c r="B133" s="188" t="s">
        <v>965</v>
      </c>
      <c r="C133" s="189" t="s">
        <v>126</v>
      </c>
      <c r="D133" s="189" t="s">
        <v>123</v>
      </c>
      <c r="E133" s="190" t="s">
        <v>966</v>
      </c>
      <c r="F133" s="191">
        <f t="shared" si="3"/>
        <v>332.3</v>
      </c>
      <c r="G133" s="196"/>
      <c r="H133" s="194"/>
      <c r="I133" s="74"/>
      <c r="J133" s="74"/>
      <c r="K133" s="185"/>
      <c r="L133" s="185"/>
    </row>
    <row r="134" spans="2:12" ht="12.75" x14ac:dyDescent="0.2">
      <c r="B134" s="188" t="s">
        <v>967</v>
      </c>
      <c r="C134" s="189" t="s">
        <v>134</v>
      </c>
      <c r="D134" s="189" t="s">
        <v>131</v>
      </c>
      <c r="E134" s="190" t="s">
        <v>968</v>
      </c>
      <c r="F134" s="191">
        <f t="shared" si="3"/>
        <v>218.68333333333334</v>
      </c>
      <c r="G134" s="196"/>
      <c r="H134" s="194"/>
      <c r="I134" s="74"/>
      <c r="J134" s="74"/>
      <c r="K134" s="185"/>
      <c r="L134" s="185"/>
    </row>
    <row r="135" spans="2:12" ht="12.75" x14ac:dyDescent="0.2">
      <c r="B135" s="188" t="s">
        <v>969</v>
      </c>
      <c r="C135" s="189" t="s">
        <v>135</v>
      </c>
      <c r="D135" s="189" t="s">
        <v>123</v>
      </c>
      <c r="E135" s="190" t="s">
        <v>970</v>
      </c>
      <c r="F135" s="191">
        <f t="shared" si="3"/>
        <v>253.05</v>
      </c>
      <c r="G135" s="196"/>
      <c r="H135" s="194"/>
      <c r="I135" s="74"/>
      <c r="J135" s="74"/>
      <c r="K135" s="185"/>
      <c r="L135" s="185"/>
    </row>
    <row r="136" spans="2:12" ht="12.75" x14ac:dyDescent="0.2">
      <c r="B136" s="188" t="s">
        <v>971</v>
      </c>
      <c r="C136" s="189" t="s">
        <v>249</v>
      </c>
      <c r="D136" s="189" t="s">
        <v>131</v>
      </c>
      <c r="E136" s="190" t="s">
        <v>972</v>
      </c>
      <c r="F136" s="191">
        <f t="shared" si="3"/>
        <v>286.16666666666669</v>
      </c>
      <c r="G136" s="196"/>
      <c r="H136" s="194"/>
      <c r="I136" s="74"/>
      <c r="J136" s="74"/>
      <c r="K136" s="185"/>
      <c r="L136" s="185"/>
    </row>
    <row r="137" spans="2:12" ht="12.75" x14ac:dyDescent="0.2">
      <c r="B137" s="188" t="s">
        <v>973</v>
      </c>
      <c r="C137" s="189" t="s">
        <v>126</v>
      </c>
      <c r="D137" s="189" t="s">
        <v>123</v>
      </c>
      <c r="E137" s="190" t="s">
        <v>974</v>
      </c>
      <c r="F137" s="191">
        <f t="shared" si="3"/>
        <v>288.25</v>
      </c>
      <c r="G137" s="196"/>
      <c r="H137" s="194"/>
      <c r="I137" s="74"/>
      <c r="J137" s="74"/>
      <c r="K137" s="185"/>
      <c r="L137" s="185"/>
    </row>
    <row r="138" spans="2:12" ht="12.75" x14ac:dyDescent="0.2">
      <c r="B138" s="188" t="s">
        <v>975</v>
      </c>
      <c r="C138" s="189" t="s">
        <v>142</v>
      </c>
      <c r="D138" s="189" t="s">
        <v>148</v>
      </c>
      <c r="E138" s="190" t="s">
        <v>976</v>
      </c>
      <c r="F138" s="191">
        <f t="shared" si="3"/>
        <v>202.43333333333334</v>
      </c>
      <c r="G138" s="196"/>
      <c r="H138" s="194"/>
      <c r="I138" s="74"/>
      <c r="J138" s="74"/>
      <c r="K138" s="185"/>
      <c r="L138" s="185"/>
    </row>
    <row r="139" spans="2:12" ht="12.75" x14ac:dyDescent="0.2">
      <c r="B139" s="188" t="s">
        <v>977</v>
      </c>
      <c r="C139" s="189" t="s">
        <v>130</v>
      </c>
      <c r="D139" s="189" t="s">
        <v>160</v>
      </c>
      <c r="E139" s="190" t="s">
        <v>978</v>
      </c>
      <c r="F139" s="191">
        <f t="shared" ref="F139:F202" si="4">HOUR(E139)*60+MINUTE(E139)+SECOND(E139)/60</f>
        <v>224.26666666666668</v>
      </c>
      <c r="G139" s="196"/>
      <c r="H139" s="194"/>
      <c r="I139" s="74"/>
      <c r="J139" s="74"/>
      <c r="K139" s="185"/>
      <c r="L139" s="185"/>
    </row>
    <row r="140" spans="2:12" ht="12.75" x14ac:dyDescent="0.2">
      <c r="B140" s="188" t="s">
        <v>979</v>
      </c>
      <c r="C140" s="189" t="s">
        <v>128</v>
      </c>
      <c r="D140" s="189" t="s">
        <v>131</v>
      </c>
      <c r="E140" s="190" t="s">
        <v>980</v>
      </c>
      <c r="F140" s="191">
        <f t="shared" si="4"/>
        <v>174.01666666666668</v>
      </c>
      <c r="G140" s="196"/>
      <c r="H140" s="194"/>
      <c r="I140" s="74"/>
      <c r="J140" s="74"/>
      <c r="K140" s="185"/>
      <c r="L140" s="185"/>
    </row>
    <row r="141" spans="2:12" ht="12.75" x14ac:dyDescent="0.2">
      <c r="B141" s="188" t="s">
        <v>299</v>
      </c>
      <c r="C141" s="189" t="s">
        <v>140</v>
      </c>
      <c r="D141" s="189" t="s">
        <v>123</v>
      </c>
      <c r="E141" s="190" t="s">
        <v>981</v>
      </c>
      <c r="F141" s="191">
        <f t="shared" si="4"/>
        <v>242.75</v>
      </c>
      <c r="G141" s="196"/>
      <c r="H141" s="194"/>
      <c r="I141" s="74"/>
      <c r="J141" s="74"/>
      <c r="K141" s="185"/>
      <c r="L141" s="185"/>
    </row>
    <row r="142" spans="2:12" ht="12.75" x14ac:dyDescent="0.2">
      <c r="B142" s="188" t="s">
        <v>982</v>
      </c>
      <c r="C142" s="189" t="s">
        <v>136</v>
      </c>
      <c r="D142" s="189" t="s">
        <v>155</v>
      </c>
      <c r="E142" s="190" t="s">
        <v>983</v>
      </c>
      <c r="F142" s="191">
        <f t="shared" si="4"/>
        <v>330.18333333333334</v>
      </c>
      <c r="G142" s="196"/>
      <c r="H142" s="194"/>
      <c r="I142" s="74"/>
      <c r="J142" s="74"/>
      <c r="K142" s="185"/>
      <c r="L142" s="185"/>
    </row>
    <row r="143" spans="2:12" ht="12.75" x14ac:dyDescent="0.2">
      <c r="B143" s="188" t="s">
        <v>984</v>
      </c>
      <c r="C143" s="189" t="s">
        <v>134</v>
      </c>
      <c r="D143" s="189" t="s">
        <v>131</v>
      </c>
      <c r="E143" s="190" t="s">
        <v>985</v>
      </c>
      <c r="F143" s="191">
        <f t="shared" si="4"/>
        <v>207.75</v>
      </c>
      <c r="G143" s="196"/>
      <c r="H143" s="194"/>
      <c r="I143" s="74"/>
      <c r="J143" s="74"/>
      <c r="K143" s="185"/>
      <c r="L143" s="185"/>
    </row>
    <row r="144" spans="2:12" ht="12.75" x14ac:dyDescent="0.2">
      <c r="B144" s="188" t="s">
        <v>986</v>
      </c>
      <c r="C144" s="189" t="s">
        <v>124</v>
      </c>
      <c r="D144" s="189" t="s">
        <v>156</v>
      </c>
      <c r="E144" s="190" t="s">
        <v>987</v>
      </c>
      <c r="F144" s="191">
        <f t="shared" si="4"/>
        <v>233.85</v>
      </c>
      <c r="G144" s="196"/>
      <c r="H144" s="194"/>
      <c r="I144" s="74"/>
      <c r="J144" s="74"/>
      <c r="K144" s="185"/>
      <c r="L144" s="185"/>
    </row>
    <row r="145" spans="2:12" ht="12.75" x14ac:dyDescent="0.2">
      <c r="B145" s="188" t="s">
        <v>988</v>
      </c>
      <c r="C145" s="189" t="s">
        <v>128</v>
      </c>
      <c r="D145" s="189" t="s">
        <v>123</v>
      </c>
      <c r="E145" s="190" t="s">
        <v>989</v>
      </c>
      <c r="F145" s="191">
        <f t="shared" si="4"/>
        <v>285.63333333333333</v>
      </c>
      <c r="G145" s="196"/>
      <c r="H145" s="194"/>
      <c r="I145" s="74"/>
      <c r="J145" s="74"/>
      <c r="K145" s="185"/>
      <c r="L145" s="185"/>
    </row>
    <row r="146" spans="2:12" ht="12.75" x14ac:dyDescent="0.2">
      <c r="B146" s="188" t="s">
        <v>990</v>
      </c>
      <c r="C146" s="189" t="s">
        <v>128</v>
      </c>
      <c r="D146" s="189" t="s">
        <v>123</v>
      </c>
      <c r="E146" s="190" t="s">
        <v>991</v>
      </c>
      <c r="F146" s="191">
        <f t="shared" si="4"/>
        <v>258.8</v>
      </c>
      <c r="G146" s="196"/>
      <c r="H146" s="194"/>
      <c r="I146" s="74"/>
      <c r="J146" s="74"/>
      <c r="K146" s="185"/>
      <c r="L146" s="185"/>
    </row>
    <row r="147" spans="2:12" ht="12.75" x14ac:dyDescent="0.2">
      <c r="B147" s="188" t="s">
        <v>291</v>
      </c>
      <c r="C147" s="189" t="s">
        <v>142</v>
      </c>
      <c r="D147" s="189" t="s">
        <v>123</v>
      </c>
      <c r="E147" s="190" t="s">
        <v>992</v>
      </c>
      <c r="F147" s="191">
        <f t="shared" si="4"/>
        <v>289.48333333333335</v>
      </c>
      <c r="G147" s="196"/>
      <c r="H147" s="194"/>
      <c r="I147" s="74"/>
      <c r="J147" s="74"/>
      <c r="K147" s="185"/>
      <c r="L147" s="185"/>
    </row>
    <row r="148" spans="2:12" ht="12.75" x14ac:dyDescent="0.2">
      <c r="B148" s="188" t="s">
        <v>993</v>
      </c>
      <c r="C148" s="189" t="s">
        <v>135</v>
      </c>
      <c r="D148" s="189" t="s">
        <v>139</v>
      </c>
      <c r="E148" s="190" t="s">
        <v>994</v>
      </c>
      <c r="F148" s="191">
        <f t="shared" si="4"/>
        <v>298.68333333333334</v>
      </c>
      <c r="G148" s="196"/>
      <c r="H148" s="194"/>
      <c r="I148" s="74"/>
      <c r="J148" s="74"/>
      <c r="K148" s="185"/>
      <c r="L148" s="185"/>
    </row>
    <row r="149" spans="2:12" ht="12.75" x14ac:dyDescent="0.2">
      <c r="B149" s="188" t="s">
        <v>537</v>
      </c>
      <c r="C149" s="189" t="s">
        <v>142</v>
      </c>
      <c r="D149" s="189" t="s">
        <v>123</v>
      </c>
      <c r="E149" s="190" t="s">
        <v>995</v>
      </c>
      <c r="F149" s="191">
        <f t="shared" si="4"/>
        <v>265.39999999999998</v>
      </c>
      <c r="G149" s="196"/>
      <c r="H149" s="194"/>
      <c r="I149" s="74"/>
      <c r="J149" s="74"/>
      <c r="K149" s="185"/>
      <c r="L149" s="185"/>
    </row>
    <row r="150" spans="2:12" ht="12.75" x14ac:dyDescent="0.2">
      <c r="B150" s="188" t="s">
        <v>996</v>
      </c>
      <c r="C150" s="189" t="s">
        <v>125</v>
      </c>
      <c r="D150" s="189" t="s">
        <v>148</v>
      </c>
      <c r="E150" s="190" t="s">
        <v>997</v>
      </c>
      <c r="F150" s="191">
        <f t="shared" si="4"/>
        <v>205.98333333333332</v>
      </c>
      <c r="G150" s="196"/>
      <c r="H150" s="194"/>
      <c r="I150" s="74"/>
      <c r="J150" s="74"/>
      <c r="K150" s="185"/>
      <c r="L150" s="185"/>
    </row>
    <row r="151" spans="2:12" ht="12.75" x14ac:dyDescent="0.2">
      <c r="B151" s="188" t="s">
        <v>998</v>
      </c>
      <c r="C151" s="189" t="s">
        <v>134</v>
      </c>
      <c r="D151" s="189" t="s">
        <v>123</v>
      </c>
      <c r="E151" s="190" t="s">
        <v>999</v>
      </c>
      <c r="F151" s="191">
        <f t="shared" si="4"/>
        <v>252.23333333333332</v>
      </c>
      <c r="G151" s="196"/>
      <c r="H151" s="194"/>
      <c r="I151" s="74"/>
      <c r="J151" s="74"/>
      <c r="K151" s="185"/>
      <c r="L151" s="185"/>
    </row>
    <row r="152" spans="2:12" ht="12.75" x14ac:dyDescent="0.2">
      <c r="B152" s="188" t="s">
        <v>1000</v>
      </c>
      <c r="C152" s="189" t="s">
        <v>142</v>
      </c>
      <c r="D152" s="189" t="s">
        <v>123</v>
      </c>
      <c r="E152" s="190" t="s">
        <v>1001</v>
      </c>
      <c r="F152" s="191">
        <f t="shared" si="4"/>
        <v>229.03333333333333</v>
      </c>
      <c r="G152" s="196"/>
      <c r="H152" s="194"/>
      <c r="I152" s="74"/>
      <c r="J152" s="74"/>
      <c r="K152" s="185"/>
      <c r="L152" s="185"/>
    </row>
    <row r="153" spans="2:12" ht="12.75" x14ac:dyDescent="0.2">
      <c r="B153" s="188" t="s">
        <v>1002</v>
      </c>
      <c r="C153" s="189" t="s">
        <v>134</v>
      </c>
      <c r="D153" s="189" t="s">
        <v>160</v>
      </c>
      <c r="E153" s="190" t="s">
        <v>1003</v>
      </c>
      <c r="F153" s="191">
        <f t="shared" si="4"/>
        <v>302.86666666666667</v>
      </c>
      <c r="G153" s="196"/>
      <c r="H153" s="194"/>
      <c r="I153" s="74"/>
      <c r="J153" s="74"/>
      <c r="K153" s="185"/>
      <c r="L153" s="185"/>
    </row>
    <row r="154" spans="2:12" ht="12.75" x14ac:dyDescent="0.2">
      <c r="B154" s="188" t="s">
        <v>559</v>
      </c>
      <c r="C154" s="189" t="s">
        <v>130</v>
      </c>
      <c r="D154" s="189" t="s">
        <v>123</v>
      </c>
      <c r="E154" s="190" t="s">
        <v>1004</v>
      </c>
      <c r="F154" s="191">
        <f t="shared" si="4"/>
        <v>349.06666666666666</v>
      </c>
      <c r="G154" s="196"/>
      <c r="H154" s="194"/>
      <c r="I154" s="74"/>
      <c r="J154" s="74"/>
      <c r="K154" s="185"/>
      <c r="L154" s="185"/>
    </row>
    <row r="155" spans="2:12" ht="12.75" x14ac:dyDescent="0.2">
      <c r="B155" s="188" t="s">
        <v>213</v>
      </c>
      <c r="C155" s="189" t="s">
        <v>125</v>
      </c>
      <c r="D155" s="189" t="s">
        <v>123</v>
      </c>
      <c r="E155" s="190" t="s">
        <v>1005</v>
      </c>
      <c r="F155" s="191">
        <f t="shared" si="4"/>
        <v>298.76666666666665</v>
      </c>
      <c r="G155" s="196"/>
      <c r="H155" s="194"/>
      <c r="I155" s="74"/>
      <c r="J155" s="74"/>
      <c r="K155" s="185"/>
      <c r="L155" s="185"/>
    </row>
    <row r="156" spans="2:12" ht="12.75" x14ac:dyDescent="0.2">
      <c r="B156" s="188" t="s">
        <v>534</v>
      </c>
      <c r="C156" s="189" t="s">
        <v>124</v>
      </c>
      <c r="D156" s="189" t="s">
        <v>123</v>
      </c>
      <c r="E156" s="190" t="s">
        <v>1006</v>
      </c>
      <c r="F156" s="191">
        <f t="shared" si="4"/>
        <v>240.11666666666667</v>
      </c>
      <c r="G156" s="196"/>
      <c r="H156" s="194"/>
      <c r="I156" s="74"/>
      <c r="J156" s="74"/>
      <c r="K156" s="185"/>
      <c r="L156" s="185"/>
    </row>
    <row r="157" spans="2:12" ht="12.75" x14ac:dyDescent="0.2">
      <c r="B157" s="188" t="s">
        <v>1007</v>
      </c>
      <c r="C157" s="189" t="s">
        <v>130</v>
      </c>
      <c r="D157" s="189" t="s">
        <v>123</v>
      </c>
      <c r="E157" s="190" t="s">
        <v>1008</v>
      </c>
      <c r="F157" s="191">
        <f t="shared" si="4"/>
        <v>223.48333333333332</v>
      </c>
      <c r="G157" s="196"/>
      <c r="H157" s="194"/>
      <c r="I157" s="74"/>
      <c r="J157" s="74"/>
      <c r="K157" s="185"/>
      <c r="L157" s="185"/>
    </row>
    <row r="158" spans="2:12" ht="12.75" x14ac:dyDescent="0.2">
      <c r="B158" s="188" t="s">
        <v>275</v>
      </c>
      <c r="C158" s="189" t="s">
        <v>142</v>
      </c>
      <c r="D158" s="189" t="s">
        <v>123</v>
      </c>
      <c r="E158" s="190" t="s">
        <v>1009</v>
      </c>
      <c r="F158" s="191">
        <f t="shared" si="4"/>
        <v>247.66666666666666</v>
      </c>
      <c r="G158" s="196"/>
      <c r="H158" s="194"/>
      <c r="I158" s="74"/>
      <c r="J158" s="74"/>
      <c r="K158" s="185"/>
      <c r="L158" s="185"/>
    </row>
    <row r="159" spans="2:12" ht="12.75" x14ac:dyDescent="0.2">
      <c r="B159" s="188" t="s">
        <v>1010</v>
      </c>
      <c r="C159" s="189" t="s">
        <v>134</v>
      </c>
      <c r="D159" s="189" t="s">
        <v>131</v>
      </c>
      <c r="E159" s="190" t="s">
        <v>1011</v>
      </c>
      <c r="F159" s="191">
        <f t="shared" si="4"/>
        <v>176.95</v>
      </c>
      <c r="G159" s="196"/>
      <c r="H159" s="194"/>
      <c r="I159" s="74"/>
      <c r="J159" s="74"/>
      <c r="K159" s="185"/>
      <c r="L159" s="185"/>
    </row>
    <row r="160" spans="2:12" ht="12.75" x14ac:dyDescent="0.2">
      <c r="B160" s="188" t="s">
        <v>280</v>
      </c>
      <c r="C160" s="189" t="s">
        <v>124</v>
      </c>
      <c r="D160" s="189" t="s">
        <v>123</v>
      </c>
      <c r="E160" s="190" t="s">
        <v>1012</v>
      </c>
      <c r="F160" s="191">
        <f t="shared" si="4"/>
        <v>245.93333333333334</v>
      </c>
      <c r="G160" s="196"/>
      <c r="H160" s="194"/>
      <c r="I160" s="74"/>
      <c r="J160" s="74"/>
      <c r="K160" s="185"/>
      <c r="L160" s="185"/>
    </row>
    <row r="161" spans="2:12" ht="12.75" x14ac:dyDescent="0.2">
      <c r="B161" s="188" t="s">
        <v>1013</v>
      </c>
      <c r="C161" s="189" t="s">
        <v>130</v>
      </c>
      <c r="D161" s="189" t="s">
        <v>173</v>
      </c>
      <c r="E161" s="190" t="s">
        <v>1014</v>
      </c>
      <c r="F161" s="191">
        <f t="shared" si="4"/>
        <v>157.33333333333334</v>
      </c>
      <c r="G161" s="196"/>
      <c r="H161" s="194"/>
      <c r="I161" s="74"/>
      <c r="J161" s="74"/>
      <c r="K161" s="185"/>
      <c r="L161" s="185"/>
    </row>
    <row r="162" spans="2:12" ht="12.75" x14ac:dyDescent="0.2">
      <c r="B162" s="188" t="s">
        <v>1015</v>
      </c>
      <c r="C162" s="189" t="s">
        <v>134</v>
      </c>
      <c r="D162" s="189" t="s">
        <v>123</v>
      </c>
      <c r="E162" s="190" t="s">
        <v>1016</v>
      </c>
      <c r="F162" s="191">
        <f t="shared" si="4"/>
        <v>268.36666666666667</v>
      </c>
      <c r="G162" s="196"/>
      <c r="H162" s="194"/>
      <c r="I162" s="74"/>
      <c r="J162" s="74"/>
      <c r="K162" s="185"/>
      <c r="L162" s="185"/>
    </row>
    <row r="163" spans="2:12" ht="12.75" x14ac:dyDescent="0.2">
      <c r="B163" s="188" t="s">
        <v>1017</v>
      </c>
      <c r="C163" s="189" t="s">
        <v>134</v>
      </c>
      <c r="D163" s="189" t="s">
        <v>132</v>
      </c>
      <c r="E163" s="190" t="s">
        <v>1018</v>
      </c>
      <c r="F163" s="191">
        <f t="shared" si="4"/>
        <v>275.05</v>
      </c>
      <c r="G163" s="196"/>
      <c r="H163" s="194"/>
      <c r="I163" s="74"/>
      <c r="J163" s="74"/>
      <c r="K163" s="185"/>
      <c r="L163" s="185"/>
    </row>
    <row r="164" spans="2:12" ht="12.75" x14ac:dyDescent="0.2">
      <c r="B164" s="188" t="s">
        <v>1019</v>
      </c>
      <c r="C164" s="189" t="s">
        <v>136</v>
      </c>
      <c r="D164" s="189" t="s">
        <v>212</v>
      </c>
      <c r="E164" s="190" t="s">
        <v>1020</v>
      </c>
      <c r="F164" s="191">
        <f t="shared" si="4"/>
        <v>234.76666666666668</v>
      </c>
      <c r="G164" s="196"/>
      <c r="H164" s="194"/>
      <c r="I164" s="74"/>
      <c r="J164" s="74"/>
      <c r="K164" s="185"/>
      <c r="L164" s="185"/>
    </row>
    <row r="165" spans="2:12" ht="12.75" x14ac:dyDescent="0.2">
      <c r="B165" s="188" t="s">
        <v>1021</v>
      </c>
      <c r="C165" s="189" t="s">
        <v>126</v>
      </c>
      <c r="D165" s="189" t="s">
        <v>139</v>
      </c>
      <c r="E165" s="190" t="s">
        <v>1022</v>
      </c>
      <c r="F165" s="191">
        <f t="shared" si="4"/>
        <v>220.33333333333334</v>
      </c>
      <c r="G165" s="196"/>
      <c r="I165" s="74"/>
      <c r="J165" s="74"/>
      <c r="K165" s="185"/>
      <c r="L165" s="185"/>
    </row>
    <row r="166" spans="2:12" ht="12.75" x14ac:dyDescent="0.2">
      <c r="B166" s="188" t="s">
        <v>1023</v>
      </c>
      <c r="C166" s="189" t="s">
        <v>124</v>
      </c>
      <c r="D166" s="189" t="s">
        <v>165</v>
      </c>
      <c r="E166" s="190" t="s">
        <v>1024</v>
      </c>
      <c r="F166" s="191">
        <f t="shared" si="4"/>
        <v>225.21666666666667</v>
      </c>
      <c r="G166" s="196"/>
      <c r="I166" s="74"/>
      <c r="J166" s="74"/>
      <c r="K166" s="185"/>
      <c r="L166" s="185"/>
    </row>
    <row r="167" spans="2:12" ht="12.75" x14ac:dyDescent="0.2">
      <c r="B167" s="188" t="s">
        <v>245</v>
      </c>
      <c r="C167" s="189" t="s">
        <v>135</v>
      </c>
      <c r="D167" s="189" t="s">
        <v>123</v>
      </c>
      <c r="E167" s="190" t="s">
        <v>1025</v>
      </c>
      <c r="F167" s="191">
        <f t="shared" si="4"/>
        <v>216.65</v>
      </c>
      <c r="G167" s="196"/>
      <c r="I167" s="74"/>
      <c r="J167" s="74"/>
      <c r="K167" s="185"/>
      <c r="L167" s="185"/>
    </row>
    <row r="168" spans="2:12" ht="12.75" x14ac:dyDescent="0.2">
      <c r="B168" s="188" t="s">
        <v>308</v>
      </c>
      <c r="C168" s="189" t="s">
        <v>130</v>
      </c>
      <c r="D168" s="189" t="s">
        <v>123</v>
      </c>
      <c r="E168" s="190" t="s">
        <v>1026</v>
      </c>
      <c r="F168" s="191">
        <f t="shared" si="4"/>
        <v>252.05</v>
      </c>
      <c r="G168" s="196"/>
      <c r="I168" s="74"/>
      <c r="J168" s="74"/>
      <c r="K168" s="185"/>
      <c r="L168" s="185"/>
    </row>
    <row r="169" spans="2:12" ht="12.75" x14ac:dyDescent="0.2">
      <c r="B169" s="188" t="s">
        <v>1027</v>
      </c>
      <c r="C169" s="189" t="s">
        <v>126</v>
      </c>
      <c r="D169" s="189" t="s">
        <v>139</v>
      </c>
      <c r="E169" s="190" t="s">
        <v>1028</v>
      </c>
      <c r="F169" s="191">
        <f t="shared" si="4"/>
        <v>243.48333333333332</v>
      </c>
      <c r="G169" s="196"/>
      <c r="I169" s="74"/>
      <c r="J169" s="74"/>
      <c r="K169" s="185"/>
      <c r="L169" s="185"/>
    </row>
    <row r="170" spans="2:12" ht="12.75" x14ac:dyDescent="0.2">
      <c r="B170" s="188" t="s">
        <v>1029</v>
      </c>
      <c r="C170" s="189" t="s">
        <v>124</v>
      </c>
      <c r="D170" s="189" t="s">
        <v>123</v>
      </c>
      <c r="E170" s="190" t="s">
        <v>1030</v>
      </c>
      <c r="F170" s="191">
        <f t="shared" si="4"/>
        <v>262.51666666666665</v>
      </c>
      <c r="G170" s="196"/>
      <c r="I170" s="74"/>
      <c r="J170" s="74"/>
      <c r="K170" s="185"/>
      <c r="L170" s="185"/>
    </row>
    <row r="171" spans="2:12" ht="12.75" x14ac:dyDescent="0.2">
      <c r="B171" s="188" t="s">
        <v>1031</v>
      </c>
      <c r="C171" s="189" t="s">
        <v>125</v>
      </c>
      <c r="D171" s="189" t="s">
        <v>123</v>
      </c>
      <c r="E171" s="190" t="s">
        <v>1032</v>
      </c>
      <c r="F171" s="191">
        <f t="shared" si="4"/>
        <v>254.08333333333334</v>
      </c>
      <c r="G171" s="196"/>
      <c r="I171" s="74"/>
      <c r="J171" s="74"/>
      <c r="K171" s="185"/>
      <c r="L171" s="185"/>
    </row>
    <row r="172" spans="2:12" ht="12.75" x14ac:dyDescent="0.2">
      <c r="B172" s="188" t="s">
        <v>1033</v>
      </c>
      <c r="C172" s="189" t="s">
        <v>128</v>
      </c>
      <c r="D172" s="189" t="s">
        <v>131</v>
      </c>
      <c r="E172" s="190" t="s">
        <v>1034</v>
      </c>
      <c r="F172" s="191">
        <f t="shared" si="4"/>
        <v>217.73333333333332</v>
      </c>
      <c r="G172" s="197"/>
      <c r="I172" s="74"/>
      <c r="J172" s="74"/>
      <c r="K172" s="185"/>
      <c r="L172" s="185"/>
    </row>
    <row r="173" spans="2:12" ht="12.75" x14ac:dyDescent="0.2">
      <c r="B173" s="188" t="s">
        <v>484</v>
      </c>
      <c r="C173" s="189" t="s">
        <v>125</v>
      </c>
      <c r="D173" s="189" t="s">
        <v>123</v>
      </c>
      <c r="E173" s="190" t="s">
        <v>1035</v>
      </c>
      <c r="F173" s="191">
        <f t="shared" si="4"/>
        <v>239.6</v>
      </c>
      <c r="G173" s="197"/>
      <c r="I173" s="74"/>
      <c r="J173" s="74"/>
      <c r="K173" s="185"/>
      <c r="L173" s="185"/>
    </row>
    <row r="174" spans="2:12" ht="12.75" x14ac:dyDescent="0.2">
      <c r="B174" s="188" t="s">
        <v>1036</v>
      </c>
      <c r="C174" s="189" t="s">
        <v>124</v>
      </c>
      <c r="D174" s="189" t="s">
        <v>123</v>
      </c>
      <c r="E174" s="190" t="s">
        <v>1037</v>
      </c>
      <c r="F174" s="191">
        <f t="shared" si="4"/>
        <v>224.6</v>
      </c>
      <c r="G174" s="197"/>
      <c r="I174" s="74"/>
      <c r="J174" s="74"/>
      <c r="K174" s="185"/>
      <c r="L174" s="185"/>
    </row>
    <row r="175" spans="2:12" ht="12.75" x14ac:dyDescent="0.2">
      <c r="B175" s="188" t="s">
        <v>612</v>
      </c>
      <c r="C175" s="189" t="s">
        <v>228</v>
      </c>
      <c r="D175" s="189" t="s">
        <v>123</v>
      </c>
      <c r="E175" s="190" t="s">
        <v>1038</v>
      </c>
      <c r="F175" s="191">
        <f t="shared" si="4"/>
        <v>298.75</v>
      </c>
      <c r="G175" s="197"/>
      <c r="I175" s="74"/>
      <c r="J175" s="74"/>
      <c r="K175" s="185"/>
      <c r="L175" s="185"/>
    </row>
    <row r="176" spans="2:12" ht="12.75" x14ac:dyDescent="0.2">
      <c r="B176" s="188" t="s">
        <v>1039</v>
      </c>
      <c r="C176" s="189" t="s">
        <v>128</v>
      </c>
      <c r="D176" s="189" t="s">
        <v>131</v>
      </c>
      <c r="E176" s="190" t="s">
        <v>1040</v>
      </c>
      <c r="F176" s="191">
        <f t="shared" si="4"/>
        <v>249.95</v>
      </c>
      <c r="G176" s="197"/>
      <c r="I176" s="74"/>
      <c r="J176" s="74"/>
      <c r="K176" s="185"/>
      <c r="L176" s="185"/>
    </row>
    <row r="177" spans="2:12" ht="12.75" x14ac:dyDescent="0.2">
      <c r="B177" s="188" t="s">
        <v>1041</v>
      </c>
      <c r="C177" s="189" t="s">
        <v>125</v>
      </c>
      <c r="D177" s="189" t="s">
        <v>123</v>
      </c>
      <c r="E177" s="190" t="s">
        <v>1042</v>
      </c>
      <c r="F177" s="191">
        <f t="shared" si="4"/>
        <v>223.68333333333334</v>
      </c>
      <c r="G177" s="197"/>
      <c r="I177" s="74"/>
      <c r="J177" s="74"/>
      <c r="K177" s="185"/>
      <c r="L177" s="185"/>
    </row>
    <row r="178" spans="2:12" ht="12.75" x14ac:dyDescent="0.2">
      <c r="B178" s="188" t="s">
        <v>1043</v>
      </c>
      <c r="C178" s="189" t="s">
        <v>125</v>
      </c>
      <c r="D178" s="189" t="s">
        <v>123</v>
      </c>
      <c r="E178" s="190" t="s">
        <v>1044</v>
      </c>
      <c r="F178" s="191">
        <f t="shared" si="4"/>
        <v>290</v>
      </c>
      <c r="G178" s="197"/>
      <c r="I178" s="74"/>
      <c r="J178" s="74"/>
      <c r="K178" s="185"/>
      <c r="L178" s="185"/>
    </row>
    <row r="179" spans="2:12" ht="12.75" x14ac:dyDescent="0.2">
      <c r="B179" s="188" t="s">
        <v>1045</v>
      </c>
      <c r="C179" s="189" t="s">
        <v>128</v>
      </c>
      <c r="D179" s="189" t="s">
        <v>173</v>
      </c>
      <c r="E179" s="190" t="s">
        <v>1046</v>
      </c>
      <c r="F179" s="191">
        <f t="shared" si="4"/>
        <v>212.9</v>
      </c>
      <c r="G179" s="197"/>
      <c r="I179" s="74"/>
      <c r="J179" s="74"/>
      <c r="K179" s="185"/>
      <c r="L179" s="185"/>
    </row>
    <row r="180" spans="2:12" ht="12.75" x14ac:dyDescent="0.2">
      <c r="B180" s="188" t="s">
        <v>1047</v>
      </c>
      <c r="C180" s="189" t="s">
        <v>125</v>
      </c>
      <c r="D180" s="189" t="s">
        <v>123</v>
      </c>
      <c r="E180" s="190" t="s">
        <v>1048</v>
      </c>
      <c r="F180" s="191">
        <f t="shared" si="4"/>
        <v>251.36666666666667</v>
      </c>
      <c r="G180" s="197"/>
      <c r="I180" s="74"/>
      <c r="J180" s="74"/>
      <c r="K180" s="185"/>
      <c r="L180" s="185"/>
    </row>
    <row r="181" spans="2:12" ht="12.75" x14ac:dyDescent="0.2">
      <c r="B181" s="188" t="s">
        <v>1049</v>
      </c>
      <c r="C181" s="189" t="s">
        <v>134</v>
      </c>
      <c r="D181" s="189" t="s">
        <v>123</v>
      </c>
      <c r="E181" s="190" t="s">
        <v>1050</v>
      </c>
      <c r="F181" s="191">
        <f t="shared" si="4"/>
        <v>243.38333333333333</v>
      </c>
      <c r="G181" s="197"/>
      <c r="I181" s="74"/>
      <c r="J181" s="74"/>
      <c r="K181" s="185"/>
      <c r="L181" s="185"/>
    </row>
    <row r="182" spans="2:12" ht="12.75" x14ac:dyDescent="0.2">
      <c r="B182" s="188" t="s">
        <v>1051</v>
      </c>
      <c r="C182" s="189" t="s">
        <v>136</v>
      </c>
      <c r="D182" s="189" t="s">
        <v>141</v>
      </c>
      <c r="E182" s="190" t="s">
        <v>1052</v>
      </c>
      <c r="F182" s="191">
        <f t="shared" si="4"/>
        <v>235.08333333333334</v>
      </c>
      <c r="G182" s="197"/>
      <c r="I182" s="74"/>
      <c r="J182" s="74"/>
      <c r="K182" s="185"/>
      <c r="L182" s="185"/>
    </row>
    <row r="183" spans="2:12" ht="12.75" x14ac:dyDescent="0.2">
      <c r="B183" s="188" t="s">
        <v>1053</v>
      </c>
      <c r="C183" s="189" t="s">
        <v>140</v>
      </c>
      <c r="D183" s="189" t="s">
        <v>450</v>
      </c>
      <c r="E183" s="190" t="s">
        <v>1054</v>
      </c>
      <c r="F183" s="191">
        <f t="shared" si="4"/>
        <v>244.06666666666666</v>
      </c>
      <c r="G183" s="197"/>
      <c r="I183" s="74"/>
      <c r="J183" s="74"/>
      <c r="K183" s="185"/>
      <c r="L183" s="185"/>
    </row>
    <row r="184" spans="2:12" ht="12.75" x14ac:dyDescent="0.2">
      <c r="B184" s="188" t="s">
        <v>1055</v>
      </c>
      <c r="C184" s="189" t="s">
        <v>142</v>
      </c>
      <c r="D184" s="189" t="s">
        <v>139</v>
      </c>
      <c r="E184" s="190" t="s">
        <v>1056</v>
      </c>
      <c r="F184" s="191">
        <f t="shared" si="4"/>
        <v>172.03333333333333</v>
      </c>
      <c r="G184" s="197"/>
      <c r="I184" s="74"/>
      <c r="J184" s="74"/>
      <c r="K184" s="185"/>
      <c r="L184" s="185"/>
    </row>
    <row r="185" spans="2:12" ht="12.75" x14ac:dyDescent="0.2">
      <c r="B185" s="188" t="s">
        <v>1057</v>
      </c>
      <c r="C185" s="189" t="s">
        <v>134</v>
      </c>
      <c r="D185" s="189" t="s">
        <v>131</v>
      </c>
      <c r="E185" s="190" t="s">
        <v>1058</v>
      </c>
      <c r="F185" s="191">
        <f t="shared" si="4"/>
        <v>225.23333333333332</v>
      </c>
      <c r="G185" s="197"/>
      <c r="I185" s="74"/>
      <c r="J185" s="74"/>
      <c r="K185" s="185"/>
      <c r="L185" s="185"/>
    </row>
    <row r="186" spans="2:12" ht="12.75" x14ac:dyDescent="0.2">
      <c r="B186" s="188" t="s">
        <v>1059</v>
      </c>
      <c r="C186" s="189" t="s">
        <v>130</v>
      </c>
      <c r="D186" s="189" t="s">
        <v>208</v>
      </c>
      <c r="E186" s="190" t="s">
        <v>1060</v>
      </c>
      <c r="F186" s="191">
        <f t="shared" si="4"/>
        <v>184.38333333333333</v>
      </c>
      <c r="G186" s="197"/>
      <c r="I186" s="74"/>
      <c r="J186" s="74"/>
      <c r="K186" s="185"/>
      <c r="L186" s="185"/>
    </row>
    <row r="187" spans="2:12" ht="12.75" x14ac:dyDescent="0.2">
      <c r="B187" s="188" t="s">
        <v>398</v>
      </c>
      <c r="C187" s="189" t="s">
        <v>142</v>
      </c>
      <c r="D187" s="189" t="s">
        <v>123</v>
      </c>
      <c r="E187" s="190" t="s">
        <v>1061</v>
      </c>
      <c r="F187" s="191">
        <f t="shared" si="4"/>
        <v>274.36666666666667</v>
      </c>
      <c r="G187" s="197"/>
      <c r="I187" s="74"/>
      <c r="J187" s="74"/>
      <c r="K187" s="185"/>
      <c r="L187" s="185"/>
    </row>
    <row r="188" spans="2:12" ht="12.75" x14ac:dyDescent="0.2">
      <c r="B188" s="188" t="s">
        <v>1062</v>
      </c>
      <c r="C188" s="189" t="s">
        <v>134</v>
      </c>
      <c r="D188" s="189" t="s">
        <v>139</v>
      </c>
      <c r="E188" s="190" t="s">
        <v>1063</v>
      </c>
      <c r="F188" s="191">
        <f t="shared" si="4"/>
        <v>296.98333333333335</v>
      </c>
      <c r="G188" s="197"/>
      <c r="I188" s="74"/>
      <c r="J188" s="74"/>
      <c r="K188" s="185"/>
      <c r="L188" s="185"/>
    </row>
    <row r="189" spans="2:12" ht="12.75" x14ac:dyDescent="0.2">
      <c r="B189" s="188" t="s">
        <v>1064</v>
      </c>
      <c r="C189" s="189" t="s">
        <v>124</v>
      </c>
      <c r="D189" s="189" t="s">
        <v>149</v>
      </c>
      <c r="E189" s="190" t="s">
        <v>1065</v>
      </c>
      <c r="F189" s="191">
        <f t="shared" si="4"/>
        <v>207.96666666666667</v>
      </c>
      <c r="G189" s="197"/>
      <c r="I189" s="74"/>
      <c r="J189" s="74"/>
      <c r="K189" s="185"/>
      <c r="L189" s="185"/>
    </row>
    <row r="190" spans="2:12" ht="12.75" x14ac:dyDescent="0.2">
      <c r="B190" s="188" t="s">
        <v>1066</v>
      </c>
      <c r="C190" s="189" t="s">
        <v>249</v>
      </c>
      <c r="D190" s="189" t="s">
        <v>123</v>
      </c>
      <c r="E190" s="190" t="s">
        <v>1067</v>
      </c>
      <c r="F190" s="191">
        <f t="shared" si="4"/>
        <v>263</v>
      </c>
      <c r="G190" s="197"/>
      <c r="I190" s="74"/>
      <c r="J190" s="74"/>
      <c r="K190" s="185"/>
      <c r="L190" s="185"/>
    </row>
    <row r="191" spans="2:12" ht="12.75" x14ac:dyDescent="0.2">
      <c r="B191" s="188" t="s">
        <v>285</v>
      </c>
      <c r="C191" s="189" t="s">
        <v>124</v>
      </c>
      <c r="D191" s="189" t="s">
        <v>123</v>
      </c>
      <c r="E191" s="190" t="s">
        <v>1068</v>
      </c>
      <c r="F191" s="191">
        <f t="shared" si="4"/>
        <v>248.01666666666668</v>
      </c>
      <c r="G191" s="197"/>
      <c r="I191" s="74"/>
      <c r="J191" s="74"/>
      <c r="K191" s="185"/>
      <c r="L191" s="185"/>
    </row>
    <row r="192" spans="2:12" ht="12.75" x14ac:dyDescent="0.2">
      <c r="B192" s="188" t="s">
        <v>357</v>
      </c>
      <c r="C192" s="189" t="s">
        <v>142</v>
      </c>
      <c r="D192" s="189" t="s">
        <v>123</v>
      </c>
      <c r="E192" s="190" t="s">
        <v>1069</v>
      </c>
      <c r="F192" s="191">
        <f t="shared" si="4"/>
        <v>322.61666666666667</v>
      </c>
      <c r="G192" s="197"/>
      <c r="I192" s="74"/>
      <c r="J192" s="74"/>
      <c r="K192" s="185"/>
      <c r="L192" s="185"/>
    </row>
    <row r="193" spans="2:12" ht="12.75" x14ac:dyDescent="0.2">
      <c r="B193" s="188" t="s">
        <v>1070</v>
      </c>
      <c r="C193" s="189" t="s">
        <v>124</v>
      </c>
      <c r="D193" s="189" t="s">
        <v>149</v>
      </c>
      <c r="E193" s="190" t="s">
        <v>1071</v>
      </c>
      <c r="F193" s="191">
        <f t="shared" si="4"/>
        <v>227.18333333333334</v>
      </c>
      <c r="G193" s="197"/>
      <c r="I193" s="74"/>
      <c r="J193" s="74"/>
      <c r="K193" s="185"/>
      <c r="L193" s="185"/>
    </row>
    <row r="194" spans="2:12" ht="12.75" x14ac:dyDescent="0.2">
      <c r="B194" s="188" t="s">
        <v>1072</v>
      </c>
      <c r="C194" s="189" t="s">
        <v>140</v>
      </c>
      <c r="D194" s="189" t="s">
        <v>172</v>
      </c>
      <c r="E194" s="190" t="s">
        <v>1073</v>
      </c>
      <c r="F194" s="191">
        <f t="shared" si="4"/>
        <v>239.85</v>
      </c>
      <c r="G194" s="197"/>
      <c r="I194" s="74"/>
      <c r="J194" s="74"/>
      <c r="K194" s="185"/>
      <c r="L194" s="185"/>
    </row>
    <row r="195" spans="2:12" ht="12.75" x14ac:dyDescent="0.2">
      <c r="B195" s="188" t="s">
        <v>1074</v>
      </c>
      <c r="C195" s="189" t="s">
        <v>125</v>
      </c>
      <c r="D195" s="189" t="s">
        <v>123</v>
      </c>
      <c r="E195" s="190" t="s">
        <v>1075</v>
      </c>
      <c r="F195" s="191">
        <f t="shared" si="4"/>
        <v>262.75</v>
      </c>
      <c r="G195" s="197"/>
      <c r="I195" s="74"/>
      <c r="J195" s="74"/>
      <c r="K195" s="185"/>
      <c r="L195" s="185"/>
    </row>
    <row r="196" spans="2:12" ht="12.75" x14ac:dyDescent="0.2">
      <c r="B196" s="188" t="s">
        <v>1076</v>
      </c>
      <c r="C196" s="189" t="s">
        <v>134</v>
      </c>
      <c r="D196" s="189" t="s">
        <v>208</v>
      </c>
      <c r="E196" s="190" t="s">
        <v>1077</v>
      </c>
      <c r="F196" s="191">
        <f t="shared" si="4"/>
        <v>227.43333333333334</v>
      </c>
      <c r="G196" s="197"/>
      <c r="I196" s="74"/>
      <c r="J196" s="74"/>
      <c r="K196" s="185"/>
      <c r="L196" s="185"/>
    </row>
    <row r="197" spans="2:12" ht="12.75" x14ac:dyDescent="0.2">
      <c r="B197" s="188" t="s">
        <v>465</v>
      </c>
      <c r="C197" s="189" t="s">
        <v>130</v>
      </c>
      <c r="D197" s="189" t="s">
        <v>123</v>
      </c>
      <c r="E197" s="190" t="s">
        <v>1078</v>
      </c>
      <c r="F197" s="191">
        <f t="shared" si="4"/>
        <v>254.95</v>
      </c>
      <c r="G197" s="197"/>
      <c r="I197" s="74"/>
      <c r="J197" s="74"/>
      <c r="K197" s="185"/>
      <c r="L197" s="185"/>
    </row>
    <row r="198" spans="2:12" ht="12.75" x14ac:dyDescent="0.2">
      <c r="B198" s="188" t="s">
        <v>237</v>
      </c>
      <c r="C198" s="189" t="s">
        <v>125</v>
      </c>
      <c r="D198" s="189" t="s">
        <v>123</v>
      </c>
      <c r="E198" s="190" t="s">
        <v>1079</v>
      </c>
      <c r="F198" s="191">
        <f t="shared" si="4"/>
        <v>225.78333333333333</v>
      </c>
      <c r="G198" s="197"/>
      <c r="I198" s="74"/>
      <c r="J198" s="74"/>
      <c r="K198" s="185"/>
      <c r="L198" s="185"/>
    </row>
    <row r="199" spans="2:12" ht="12.75" x14ac:dyDescent="0.2">
      <c r="B199" s="188" t="s">
        <v>1080</v>
      </c>
      <c r="C199" s="189" t="s">
        <v>124</v>
      </c>
      <c r="D199" s="189" t="s">
        <v>148</v>
      </c>
      <c r="E199" s="190" t="s">
        <v>1081</v>
      </c>
      <c r="F199" s="191">
        <f t="shared" si="4"/>
        <v>223.71666666666667</v>
      </c>
      <c r="G199" s="197"/>
      <c r="I199" s="74"/>
      <c r="J199" s="74"/>
      <c r="K199" s="185"/>
      <c r="L199" s="185"/>
    </row>
    <row r="200" spans="2:12" ht="12.75" x14ac:dyDescent="0.2">
      <c r="B200" s="188" t="s">
        <v>1082</v>
      </c>
      <c r="C200" s="189" t="s">
        <v>130</v>
      </c>
      <c r="D200" s="189" t="s">
        <v>139</v>
      </c>
      <c r="E200" s="190" t="s">
        <v>1083</v>
      </c>
      <c r="F200" s="191">
        <f t="shared" si="4"/>
        <v>213.18333333333334</v>
      </c>
      <c r="G200" s="197"/>
      <c r="I200" s="74"/>
      <c r="J200" s="74"/>
      <c r="K200" s="185"/>
      <c r="L200" s="185"/>
    </row>
    <row r="201" spans="2:12" ht="12.75" x14ac:dyDescent="0.2">
      <c r="B201" s="188" t="s">
        <v>1084</v>
      </c>
      <c r="C201" s="189" t="s">
        <v>125</v>
      </c>
      <c r="D201" s="189" t="s">
        <v>148</v>
      </c>
      <c r="E201" s="190" t="s">
        <v>1085</v>
      </c>
      <c r="F201" s="191">
        <f t="shared" si="4"/>
        <v>241.88333333333333</v>
      </c>
      <c r="G201" s="197"/>
      <c r="I201" s="74"/>
      <c r="J201" s="74"/>
      <c r="K201" s="185"/>
      <c r="L201" s="185"/>
    </row>
    <row r="202" spans="2:12" ht="12.75" x14ac:dyDescent="0.2">
      <c r="B202" s="188" t="s">
        <v>1086</v>
      </c>
      <c r="C202" s="189" t="s">
        <v>249</v>
      </c>
      <c r="D202" s="189" t="s">
        <v>123</v>
      </c>
      <c r="E202" s="190" t="s">
        <v>1087</v>
      </c>
      <c r="F202" s="191">
        <f t="shared" si="4"/>
        <v>220.76666666666668</v>
      </c>
      <c r="G202" s="197"/>
      <c r="I202" s="74"/>
      <c r="J202" s="74"/>
      <c r="K202" s="185"/>
      <c r="L202" s="185"/>
    </row>
    <row r="203" spans="2:12" ht="12.75" x14ac:dyDescent="0.2">
      <c r="B203" s="188" t="s">
        <v>1088</v>
      </c>
      <c r="C203" s="189" t="s">
        <v>142</v>
      </c>
      <c r="D203" s="189" t="s">
        <v>123</v>
      </c>
      <c r="E203" s="190" t="s">
        <v>1089</v>
      </c>
      <c r="F203" s="191">
        <f t="shared" ref="F203:F266" si="5">HOUR(E203)*60+MINUTE(E203)+SECOND(E203)/60</f>
        <v>287.13333333333333</v>
      </c>
      <c r="G203" s="197"/>
      <c r="I203" s="74"/>
      <c r="J203" s="74"/>
      <c r="K203" s="185"/>
      <c r="L203" s="185"/>
    </row>
    <row r="204" spans="2:12" ht="12.75" x14ac:dyDescent="0.2">
      <c r="B204" s="188" t="s">
        <v>1090</v>
      </c>
      <c r="C204" s="189" t="s">
        <v>134</v>
      </c>
      <c r="D204" s="189" t="s">
        <v>188</v>
      </c>
      <c r="E204" s="190" t="s">
        <v>1091</v>
      </c>
      <c r="F204" s="191">
        <f t="shared" si="5"/>
        <v>303.48333333333335</v>
      </c>
      <c r="G204" s="197"/>
      <c r="I204" s="74"/>
      <c r="J204" s="74"/>
      <c r="K204" s="185"/>
      <c r="L204" s="185"/>
    </row>
    <row r="205" spans="2:12" ht="12.75" x14ac:dyDescent="0.2">
      <c r="B205" s="188" t="s">
        <v>1092</v>
      </c>
      <c r="C205" s="189" t="s">
        <v>125</v>
      </c>
      <c r="D205" s="189" t="s">
        <v>174</v>
      </c>
      <c r="E205" s="190" t="s">
        <v>1093</v>
      </c>
      <c r="F205" s="191">
        <f t="shared" si="5"/>
        <v>229.11666666666667</v>
      </c>
      <c r="G205" s="197"/>
      <c r="I205" s="74"/>
      <c r="J205" s="74"/>
      <c r="K205" s="185"/>
      <c r="L205" s="185"/>
    </row>
    <row r="206" spans="2:12" ht="12.75" x14ac:dyDescent="0.2">
      <c r="B206" s="188" t="s">
        <v>1094</v>
      </c>
      <c r="C206" s="189" t="s">
        <v>124</v>
      </c>
      <c r="D206" s="189" t="s">
        <v>132</v>
      </c>
      <c r="E206" s="190" t="s">
        <v>1095</v>
      </c>
      <c r="F206" s="191">
        <f t="shared" si="5"/>
        <v>162.53333333333333</v>
      </c>
      <c r="G206" s="197"/>
      <c r="I206" s="74"/>
      <c r="J206" s="74"/>
      <c r="K206" s="185"/>
      <c r="L206" s="185"/>
    </row>
    <row r="207" spans="2:12" ht="12.75" x14ac:dyDescent="0.2">
      <c r="B207" s="188" t="s">
        <v>1096</v>
      </c>
      <c r="C207" s="189" t="s">
        <v>142</v>
      </c>
      <c r="D207" s="189" t="s">
        <v>131</v>
      </c>
      <c r="E207" s="190" t="s">
        <v>1097</v>
      </c>
      <c r="F207" s="191">
        <f t="shared" si="5"/>
        <v>296.14999999999998</v>
      </c>
      <c r="G207" s="197"/>
      <c r="I207" s="74"/>
      <c r="J207" s="74"/>
      <c r="K207" s="185"/>
      <c r="L207" s="185"/>
    </row>
    <row r="208" spans="2:12" ht="12.75" x14ac:dyDescent="0.2">
      <c r="B208" s="188" t="s">
        <v>1098</v>
      </c>
      <c r="C208" s="189" t="s">
        <v>142</v>
      </c>
      <c r="D208" s="189" t="s">
        <v>123</v>
      </c>
      <c r="E208" s="190" t="s">
        <v>1099</v>
      </c>
      <c r="F208" s="191">
        <f t="shared" si="5"/>
        <v>261.23333333333335</v>
      </c>
      <c r="G208" s="197"/>
      <c r="I208" s="74"/>
      <c r="J208" s="74"/>
      <c r="K208" s="185"/>
      <c r="L208" s="185"/>
    </row>
    <row r="209" spans="2:12" ht="12.75" x14ac:dyDescent="0.2">
      <c r="B209" s="188" t="s">
        <v>1100</v>
      </c>
      <c r="C209" s="189" t="s">
        <v>128</v>
      </c>
      <c r="D209" s="189" t="s">
        <v>123</v>
      </c>
      <c r="E209" s="190" t="s">
        <v>1101</v>
      </c>
      <c r="F209" s="191">
        <f t="shared" si="5"/>
        <v>330.48333333333335</v>
      </c>
      <c r="G209" s="197"/>
      <c r="I209" s="74"/>
      <c r="J209" s="74"/>
      <c r="K209" s="185"/>
      <c r="L209" s="185"/>
    </row>
    <row r="210" spans="2:12" ht="12.75" x14ac:dyDescent="0.2">
      <c r="B210" s="188" t="s">
        <v>1102</v>
      </c>
      <c r="C210" s="189" t="s">
        <v>142</v>
      </c>
      <c r="D210" s="189" t="s">
        <v>123</v>
      </c>
      <c r="E210" s="190" t="s">
        <v>1103</v>
      </c>
      <c r="F210" s="191">
        <f t="shared" si="5"/>
        <v>227.5</v>
      </c>
      <c r="G210" s="197"/>
      <c r="I210" s="74"/>
      <c r="J210" s="74"/>
      <c r="K210" s="185"/>
      <c r="L210" s="185"/>
    </row>
    <row r="211" spans="2:12" ht="12.75" x14ac:dyDescent="0.2">
      <c r="B211" s="188" t="s">
        <v>1104</v>
      </c>
      <c r="C211" s="189" t="s">
        <v>134</v>
      </c>
      <c r="D211" s="189" t="s">
        <v>169</v>
      </c>
      <c r="E211" s="190" t="s">
        <v>1105</v>
      </c>
      <c r="F211" s="191">
        <f t="shared" si="5"/>
        <v>238.8</v>
      </c>
      <c r="G211" s="197"/>
      <c r="I211" s="74"/>
      <c r="J211" s="74"/>
      <c r="K211" s="185"/>
      <c r="L211" s="185"/>
    </row>
    <row r="212" spans="2:12" ht="12.75" x14ac:dyDescent="0.2">
      <c r="B212" s="188" t="s">
        <v>1106</v>
      </c>
      <c r="C212" s="189" t="s">
        <v>125</v>
      </c>
      <c r="D212" s="189" t="s">
        <v>123</v>
      </c>
      <c r="E212" s="190" t="s">
        <v>1107</v>
      </c>
      <c r="F212" s="191">
        <f t="shared" si="5"/>
        <v>182.51666666666668</v>
      </c>
      <c r="G212" s="197"/>
      <c r="I212" s="74"/>
      <c r="J212" s="74"/>
      <c r="K212" s="185"/>
      <c r="L212" s="185"/>
    </row>
    <row r="213" spans="2:12" ht="12.75" x14ac:dyDescent="0.2">
      <c r="B213" s="188" t="s">
        <v>1108</v>
      </c>
      <c r="C213" s="189" t="s">
        <v>134</v>
      </c>
      <c r="D213" s="189" t="s">
        <v>123</v>
      </c>
      <c r="E213" s="190" t="s">
        <v>1109</v>
      </c>
      <c r="F213" s="191">
        <f t="shared" si="5"/>
        <v>322.3</v>
      </c>
      <c r="G213" s="197"/>
      <c r="I213" s="74"/>
      <c r="J213" s="74"/>
      <c r="K213" s="185"/>
      <c r="L213" s="185"/>
    </row>
    <row r="214" spans="2:12" ht="12.75" x14ac:dyDescent="0.2">
      <c r="B214" s="188" t="s">
        <v>1110</v>
      </c>
      <c r="C214" s="189" t="s">
        <v>249</v>
      </c>
      <c r="D214" s="189" t="s">
        <v>131</v>
      </c>
      <c r="E214" s="190" t="s">
        <v>1111</v>
      </c>
      <c r="F214" s="191">
        <f t="shared" si="5"/>
        <v>236.36666666666667</v>
      </c>
      <c r="G214" s="197"/>
      <c r="I214" s="74"/>
      <c r="J214" s="74"/>
      <c r="K214" s="185"/>
      <c r="L214" s="185"/>
    </row>
    <row r="215" spans="2:12" ht="12.75" x14ac:dyDescent="0.2">
      <c r="B215" s="188" t="s">
        <v>1112</v>
      </c>
      <c r="C215" s="189" t="s">
        <v>128</v>
      </c>
      <c r="D215" s="189" t="s">
        <v>131</v>
      </c>
      <c r="E215" s="190" t="s">
        <v>1113</v>
      </c>
      <c r="F215" s="191">
        <f t="shared" si="5"/>
        <v>237.53333333333333</v>
      </c>
      <c r="G215" s="197"/>
      <c r="I215" s="74"/>
      <c r="J215" s="74"/>
      <c r="K215" s="185"/>
      <c r="L215" s="185"/>
    </row>
    <row r="216" spans="2:12" ht="12.75" x14ac:dyDescent="0.2">
      <c r="B216" s="188" t="s">
        <v>1114</v>
      </c>
      <c r="C216" s="189" t="s">
        <v>126</v>
      </c>
      <c r="D216" s="189" t="s">
        <v>133</v>
      </c>
      <c r="E216" s="190" t="s">
        <v>1115</v>
      </c>
      <c r="F216" s="191">
        <f t="shared" si="5"/>
        <v>248.91666666666666</v>
      </c>
      <c r="G216" s="197"/>
      <c r="I216" s="74"/>
      <c r="J216" s="74"/>
      <c r="K216" s="185"/>
      <c r="L216" s="185"/>
    </row>
    <row r="217" spans="2:12" ht="12.75" x14ac:dyDescent="0.2">
      <c r="B217" s="188" t="s">
        <v>1116</v>
      </c>
      <c r="C217" s="189" t="s">
        <v>134</v>
      </c>
      <c r="D217" s="189" t="s">
        <v>165</v>
      </c>
      <c r="E217" s="190" t="s">
        <v>854</v>
      </c>
      <c r="F217" s="191">
        <f t="shared" si="5"/>
        <v>215.7</v>
      </c>
      <c r="G217" s="197"/>
      <c r="I217" s="74"/>
      <c r="J217" s="74"/>
      <c r="K217" s="185"/>
      <c r="L217" s="185"/>
    </row>
    <row r="218" spans="2:12" ht="12.75" x14ac:dyDescent="0.2">
      <c r="B218" s="188" t="s">
        <v>1117</v>
      </c>
      <c r="C218" s="189" t="s">
        <v>142</v>
      </c>
      <c r="D218" s="189" t="s">
        <v>314</v>
      </c>
      <c r="E218" s="190" t="s">
        <v>1118</v>
      </c>
      <c r="F218" s="191">
        <f t="shared" si="5"/>
        <v>240.68333333333334</v>
      </c>
      <c r="G218" s="197"/>
      <c r="I218" s="74"/>
      <c r="J218" s="74"/>
      <c r="K218" s="185"/>
      <c r="L218" s="185"/>
    </row>
    <row r="219" spans="2:12" ht="12.75" x14ac:dyDescent="0.2">
      <c r="B219" s="188" t="s">
        <v>1119</v>
      </c>
      <c r="C219" s="189" t="s">
        <v>142</v>
      </c>
      <c r="D219" s="189" t="s">
        <v>123</v>
      </c>
      <c r="E219" s="190" t="s">
        <v>1120</v>
      </c>
      <c r="F219" s="191">
        <f t="shared" si="5"/>
        <v>256.55</v>
      </c>
      <c r="G219" s="197"/>
      <c r="I219" s="74"/>
      <c r="J219" s="74"/>
      <c r="K219" s="185"/>
      <c r="L219" s="185"/>
    </row>
    <row r="220" spans="2:12" ht="12.75" x14ac:dyDescent="0.2">
      <c r="B220" s="188" t="s">
        <v>1121</v>
      </c>
      <c r="C220" s="189" t="s">
        <v>142</v>
      </c>
      <c r="D220" s="189" t="s">
        <v>123</v>
      </c>
      <c r="E220" s="190" t="s">
        <v>1122</v>
      </c>
      <c r="F220" s="191">
        <f t="shared" si="5"/>
        <v>259.31666666666666</v>
      </c>
      <c r="G220" s="197"/>
      <c r="I220" s="74"/>
      <c r="J220" s="74"/>
      <c r="K220" s="185"/>
      <c r="L220" s="185"/>
    </row>
    <row r="221" spans="2:12" ht="12.75" x14ac:dyDescent="0.2">
      <c r="B221" s="188" t="s">
        <v>216</v>
      </c>
      <c r="C221" s="189" t="s">
        <v>125</v>
      </c>
      <c r="D221" s="189" t="s">
        <v>123</v>
      </c>
      <c r="E221" s="190" t="s">
        <v>1123</v>
      </c>
      <c r="F221" s="191">
        <f t="shared" si="5"/>
        <v>245.73333333333332</v>
      </c>
      <c r="G221" s="197"/>
      <c r="I221" s="74"/>
      <c r="J221" s="74"/>
      <c r="K221" s="185"/>
      <c r="L221" s="185"/>
    </row>
    <row r="222" spans="2:12" ht="12.75" x14ac:dyDescent="0.2">
      <c r="B222" s="188" t="s">
        <v>1124</v>
      </c>
      <c r="C222" s="189" t="s">
        <v>128</v>
      </c>
      <c r="D222" s="189" t="s">
        <v>174</v>
      </c>
      <c r="E222" s="190" t="s">
        <v>1125</v>
      </c>
      <c r="F222" s="191">
        <f t="shared" si="5"/>
        <v>220.16666666666666</v>
      </c>
      <c r="G222" s="197"/>
      <c r="I222" s="74"/>
      <c r="J222" s="74"/>
      <c r="K222" s="185"/>
      <c r="L222" s="185"/>
    </row>
    <row r="223" spans="2:12" ht="12.75" x14ac:dyDescent="0.2">
      <c r="B223" s="188" t="s">
        <v>1126</v>
      </c>
      <c r="C223" s="189" t="s">
        <v>124</v>
      </c>
      <c r="D223" s="189" t="s">
        <v>123</v>
      </c>
      <c r="E223" s="190" t="s">
        <v>1127</v>
      </c>
      <c r="F223" s="191">
        <f t="shared" si="5"/>
        <v>237.85</v>
      </c>
      <c r="G223" s="197"/>
      <c r="I223" s="74"/>
      <c r="J223" s="74"/>
      <c r="K223" s="185"/>
      <c r="L223" s="185"/>
    </row>
    <row r="224" spans="2:12" ht="12.75" x14ac:dyDescent="0.2">
      <c r="B224" s="188" t="s">
        <v>1128</v>
      </c>
      <c r="C224" s="189" t="s">
        <v>134</v>
      </c>
      <c r="D224" s="189" t="s">
        <v>123</v>
      </c>
      <c r="E224" s="190" t="s">
        <v>1129</v>
      </c>
      <c r="F224" s="191">
        <f t="shared" si="5"/>
        <v>283.16666666666669</v>
      </c>
      <c r="G224" s="197"/>
      <c r="I224" s="74"/>
      <c r="J224" s="74"/>
      <c r="K224" s="185"/>
      <c r="L224" s="185"/>
    </row>
    <row r="225" spans="2:12" ht="12.75" x14ac:dyDescent="0.2">
      <c r="B225" s="188" t="s">
        <v>1130</v>
      </c>
      <c r="C225" s="189" t="s">
        <v>135</v>
      </c>
      <c r="D225" s="189" t="s">
        <v>173</v>
      </c>
      <c r="E225" s="190" t="s">
        <v>1131</v>
      </c>
      <c r="F225" s="191">
        <f t="shared" si="5"/>
        <v>202.16666666666666</v>
      </c>
      <c r="G225" s="197"/>
      <c r="I225" s="74"/>
      <c r="J225" s="74"/>
      <c r="K225" s="185"/>
      <c r="L225" s="185"/>
    </row>
    <row r="226" spans="2:12" ht="12.75" x14ac:dyDescent="0.2">
      <c r="B226" s="188" t="s">
        <v>1132</v>
      </c>
      <c r="C226" s="189" t="s">
        <v>125</v>
      </c>
      <c r="D226" s="189" t="s">
        <v>123</v>
      </c>
      <c r="E226" s="190" t="s">
        <v>1133</v>
      </c>
      <c r="F226" s="191">
        <f t="shared" si="5"/>
        <v>213.26666666666668</v>
      </c>
      <c r="G226" s="197"/>
      <c r="I226" s="74"/>
      <c r="J226" s="74"/>
      <c r="K226" s="185"/>
      <c r="L226" s="185"/>
    </row>
    <row r="227" spans="2:12" ht="12.75" x14ac:dyDescent="0.2">
      <c r="B227" s="188" t="s">
        <v>472</v>
      </c>
      <c r="C227" s="189" t="s">
        <v>130</v>
      </c>
      <c r="D227" s="189" t="s">
        <v>123</v>
      </c>
      <c r="E227" s="190" t="s">
        <v>1134</v>
      </c>
      <c r="F227" s="191">
        <f t="shared" si="5"/>
        <v>322.56666666666666</v>
      </c>
      <c r="G227" s="197"/>
      <c r="I227" s="74"/>
      <c r="J227" s="74"/>
      <c r="K227" s="185"/>
      <c r="L227" s="185"/>
    </row>
    <row r="228" spans="2:12" ht="12.75" x14ac:dyDescent="0.2">
      <c r="B228" s="188" t="s">
        <v>1135</v>
      </c>
      <c r="C228" s="189" t="s">
        <v>124</v>
      </c>
      <c r="D228" s="189" t="s">
        <v>156</v>
      </c>
      <c r="E228" s="190" t="s">
        <v>1136</v>
      </c>
      <c r="F228" s="191">
        <f t="shared" si="5"/>
        <v>233.86666666666667</v>
      </c>
      <c r="G228" s="197"/>
      <c r="I228" s="74"/>
      <c r="J228" s="74"/>
      <c r="K228" s="185"/>
      <c r="L228" s="185"/>
    </row>
    <row r="229" spans="2:12" ht="12.75" x14ac:dyDescent="0.2">
      <c r="B229" s="188" t="s">
        <v>1137</v>
      </c>
      <c r="C229" s="189" t="s">
        <v>134</v>
      </c>
      <c r="D229" s="189" t="s">
        <v>148</v>
      </c>
      <c r="E229" s="190" t="s">
        <v>1138</v>
      </c>
      <c r="F229" s="191">
        <f t="shared" si="5"/>
        <v>236.8</v>
      </c>
      <c r="G229" s="197"/>
      <c r="I229" s="74"/>
      <c r="J229" s="74"/>
      <c r="K229" s="185"/>
      <c r="L229" s="185"/>
    </row>
    <row r="230" spans="2:12" ht="12.75" x14ac:dyDescent="0.2">
      <c r="B230" s="188" t="s">
        <v>1139</v>
      </c>
      <c r="C230" s="189" t="s">
        <v>125</v>
      </c>
      <c r="D230" s="189" t="s">
        <v>123</v>
      </c>
      <c r="E230" s="190" t="s">
        <v>1140</v>
      </c>
      <c r="F230" s="191">
        <f t="shared" si="5"/>
        <v>246.43333333333334</v>
      </c>
      <c r="G230" s="197"/>
      <c r="I230" s="74"/>
      <c r="J230" s="74"/>
      <c r="K230" s="185"/>
      <c r="L230" s="185"/>
    </row>
    <row r="231" spans="2:12" ht="12.75" x14ac:dyDescent="0.2">
      <c r="B231" s="188" t="s">
        <v>597</v>
      </c>
      <c r="C231" s="189" t="s">
        <v>142</v>
      </c>
      <c r="D231" s="189" t="s">
        <v>123</v>
      </c>
      <c r="E231" s="190" t="s">
        <v>1141</v>
      </c>
      <c r="F231" s="191">
        <f t="shared" si="5"/>
        <v>248.73333333333332</v>
      </c>
      <c r="G231" s="197"/>
      <c r="I231" s="74"/>
      <c r="J231" s="74"/>
      <c r="K231" s="185"/>
      <c r="L231" s="185"/>
    </row>
    <row r="232" spans="2:12" ht="12.75" x14ac:dyDescent="0.2">
      <c r="B232" s="188" t="s">
        <v>1142</v>
      </c>
      <c r="C232" s="189" t="s">
        <v>124</v>
      </c>
      <c r="D232" s="189" t="s">
        <v>171</v>
      </c>
      <c r="E232" s="190" t="s">
        <v>1143</v>
      </c>
      <c r="F232" s="191">
        <f t="shared" si="5"/>
        <v>193.85</v>
      </c>
      <c r="G232" s="197"/>
      <c r="I232" s="74"/>
      <c r="J232" s="74"/>
      <c r="K232" s="185"/>
      <c r="L232" s="185"/>
    </row>
    <row r="233" spans="2:12" ht="12.75" x14ac:dyDescent="0.2">
      <c r="B233" s="188" t="s">
        <v>1144</v>
      </c>
      <c r="C233" s="189" t="s">
        <v>126</v>
      </c>
      <c r="D233" s="189" t="s">
        <v>131</v>
      </c>
      <c r="E233" s="190" t="s">
        <v>1145</v>
      </c>
      <c r="F233" s="191">
        <f t="shared" si="5"/>
        <v>216.56666666666666</v>
      </c>
      <c r="G233" s="197"/>
      <c r="I233" s="74"/>
      <c r="J233" s="74"/>
      <c r="K233" s="185"/>
      <c r="L233" s="185"/>
    </row>
    <row r="234" spans="2:12" ht="12.75" x14ac:dyDescent="0.2">
      <c r="B234" s="188" t="s">
        <v>1146</v>
      </c>
      <c r="C234" s="189" t="s">
        <v>136</v>
      </c>
      <c r="D234" s="189" t="s">
        <v>157</v>
      </c>
      <c r="E234" s="190" t="s">
        <v>1147</v>
      </c>
      <c r="F234" s="191">
        <f t="shared" si="5"/>
        <v>262.81666666666666</v>
      </c>
      <c r="G234" s="197"/>
      <c r="I234" s="74"/>
      <c r="J234" s="74"/>
      <c r="K234" s="185"/>
      <c r="L234" s="185"/>
    </row>
    <row r="235" spans="2:12" ht="12.75" x14ac:dyDescent="0.2">
      <c r="B235" s="188" t="s">
        <v>1148</v>
      </c>
      <c r="C235" s="189" t="s">
        <v>125</v>
      </c>
      <c r="D235" s="189" t="s">
        <v>123</v>
      </c>
      <c r="E235" s="190" t="s">
        <v>1149</v>
      </c>
      <c r="F235" s="191">
        <f t="shared" si="5"/>
        <v>230.7</v>
      </c>
      <c r="G235" s="197"/>
      <c r="I235" s="74"/>
      <c r="J235" s="74"/>
      <c r="K235" s="185"/>
      <c r="L235" s="185"/>
    </row>
    <row r="236" spans="2:12" ht="12.75" x14ac:dyDescent="0.2">
      <c r="B236" s="188" t="s">
        <v>456</v>
      </c>
      <c r="C236" s="189" t="s">
        <v>136</v>
      </c>
      <c r="D236" s="189" t="s">
        <v>123</v>
      </c>
      <c r="E236" s="190" t="s">
        <v>908</v>
      </c>
      <c r="F236" s="191">
        <f t="shared" si="5"/>
        <v>231.11666666666667</v>
      </c>
      <c r="G236" s="197"/>
      <c r="I236" s="74"/>
      <c r="J236" s="74"/>
      <c r="K236" s="185"/>
      <c r="L236" s="185"/>
    </row>
    <row r="237" spans="2:12" ht="12.75" x14ac:dyDescent="0.2">
      <c r="B237" s="188" t="s">
        <v>196</v>
      </c>
      <c r="C237" s="189" t="s">
        <v>142</v>
      </c>
      <c r="D237" s="189" t="s">
        <v>123</v>
      </c>
      <c r="E237" s="190" t="s">
        <v>1150</v>
      </c>
      <c r="F237" s="191">
        <f t="shared" si="5"/>
        <v>296.95</v>
      </c>
      <c r="G237" s="197"/>
      <c r="I237" s="74"/>
      <c r="J237" s="74"/>
      <c r="K237" s="185"/>
      <c r="L237" s="185"/>
    </row>
    <row r="238" spans="2:12" ht="12.75" x14ac:dyDescent="0.2">
      <c r="B238" s="188" t="s">
        <v>1151</v>
      </c>
      <c r="C238" s="189" t="s">
        <v>128</v>
      </c>
      <c r="D238" s="189" t="s">
        <v>129</v>
      </c>
      <c r="E238" s="190" t="s">
        <v>1152</v>
      </c>
      <c r="F238" s="191">
        <f t="shared" si="5"/>
        <v>213.93333333333334</v>
      </c>
      <c r="G238" s="197"/>
      <c r="I238" s="74"/>
      <c r="J238" s="74"/>
      <c r="K238" s="185"/>
      <c r="L238" s="185"/>
    </row>
    <row r="239" spans="2:12" ht="12.75" x14ac:dyDescent="0.2">
      <c r="B239" s="188" t="s">
        <v>1153</v>
      </c>
      <c r="C239" s="189" t="s">
        <v>125</v>
      </c>
      <c r="D239" s="189" t="s">
        <v>123</v>
      </c>
      <c r="E239" s="190" t="s">
        <v>1154</v>
      </c>
      <c r="F239" s="191">
        <f t="shared" si="5"/>
        <v>312.5</v>
      </c>
      <c r="G239" s="197"/>
      <c r="I239" s="74"/>
      <c r="J239" s="74"/>
      <c r="K239" s="185"/>
      <c r="L239" s="185"/>
    </row>
    <row r="240" spans="2:12" ht="12.75" x14ac:dyDescent="0.2">
      <c r="B240" s="188" t="s">
        <v>471</v>
      </c>
      <c r="C240" s="189" t="s">
        <v>130</v>
      </c>
      <c r="D240" s="189" t="s">
        <v>123</v>
      </c>
      <c r="E240" s="190" t="s">
        <v>1155</v>
      </c>
      <c r="F240" s="191">
        <f t="shared" si="5"/>
        <v>212.1</v>
      </c>
      <c r="G240" s="197"/>
      <c r="I240" s="74"/>
      <c r="J240" s="74"/>
      <c r="K240" s="185"/>
      <c r="L240" s="185"/>
    </row>
    <row r="241" spans="2:12" ht="12.75" x14ac:dyDescent="0.2">
      <c r="B241" s="188" t="s">
        <v>1156</v>
      </c>
      <c r="C241" s="189" t="s">
        <v>140</v>
      </c>
      <c r="D241" s="189" t="s">
        <v>165</v>
      </c>
      <c r="E241" s="190" t="s">
        <v>1157</v>
      </c>
      <c r="F241" s="191">
        <f t="shared" si="5"/>
        <v>273.73333333333335</v>
      </c>
      <c r="G241" s="197"/>
      <c r="I241" s="74"/>
      <c r="J241" s="74"/>
      <c r="K241" s="185"/>
      <c r="L241" s="185"/>
    </row>
    <row r="242" spans="2:12" ht="12.75" x14ac:dyDescent="0.2">
      <c r="B242" s="188" t="s">
        <v>1158</v>
      </c>
      <c r="C242" s="189" t="s">
        <v>135</v>
      </c>
      <c r="D242" s="189" t="s">
        <v>148</v>
      </c>
      <c r="E242" s="190" t="s">
        <v>1159</v>
      </c>
      <c r="F242" s="191">
        <f t="shared" si="5"/>
        <v>273.03333333333336</v>
      </c>
      <c r="G242" s="197"/>
      <c r="I242" s="74"/>
      <c r="J242" s="74"/>
      <c r="K242" s="185"/>
      <c r="L242" s="185"/>
    </row>
    <row r="243" spans="2:12" ht="12.75" x14ac:dyDescent="0.2">
      <c r="B243" s="188" t="s">
        <v>443</v>
      </c>
      <c r="C243" s="189" t="s">
        <v>126</v>
      </c>
      <c r="D243" s="189" t="s">
        <v>123</v>
      </c>
      <c r="E243" s="190" t="s">
        <v>1160</v>
      </c>
      <c r="F243" s="191">
        <f t="shared" si="5"/>
        <v>152.71666666666667</v>
      </c>
      <c r="G243" s="197"/>
      <c r="I243" s="74"/>
      <c r="J243" s="74"/>
      <c r="K243" s="185"/>
      <c r="L243" s="185"/>
    </row>
    <row r="244" spans="2:12" ht="12.75" x14ac:dyDescent="0.2">
      <c r="B244" s="188" t="s">
        <v>1161</v>
      </c>
      <c r="C244" s="189" t="s">
        <v>130</v>
      </c>
      <c r="D244" s="189" t="s">
        <v>210</v>
      </c>
      <c r="E244" s="190" t="s">
        <v>1162</v>
      </c>
      <c r="F244" s="191">
        <f t="shared" si="5"/>
        <v>190.83333333333334</v>
      </c>
      <c r="G244" s="197"/>
      <c r="I244" s="74"/>
      <c r="J244" s="74"/>
      <c r="K244" s="185"/>
      <c r="L244" s="185"/>
    </row>
    <row r="245" spans="2:12" ht="12.75" x14ac:dyDescent="0.2">
      <c r="B245" s="188" t="s">
        <v>545</v>
      </c>
      <c r="C245" s="189" t="s">
        <v>142</v>
      </c>
      <c r="D245" s="189" t="s">
        <v>123</v>
      </c>
      <c r="E245" s="190" t="s">
        <v>1163</v>
      </c>
      <c r="F245" s="191">
        <f t="shared" si="5"/>
        <v>220.23333333333332</v>
      </c>
      <c r="G245" s="197"/>
      <c r="I245" s="74"/>
      <c r="J245" s="74"/>
      <c r="K245" s="185"/>
      <c r="L245" s="185"/>
    </row>
    <row r="246" spans="2:12" ht="12.75" x14ac:dyDescent="0.2">
      <c r="B246" s="188" t="s">
        <v>1164</v>
      </c>
      <c r="C246" s="189" t="s">
        <v>125</v>
      </c>
      <c r="D246" s="189" t="s">
        <v>123</v>
      </c>
      <c r="E246" s="190" t="s">
        <v>1165</v>
      </c>
      <c r="F246" s="191">
        <f t="shared" si="5"/>
        <v>261.21666666666664</v>
      </c>
      <c r="G246" s="197"/>
      <c r="I246" s="74"/>
      <c r="J246" s="74"/>
      <c r="K246" s="185"/>
      <c r="L246" s="185"/>
    </row>
    <row r="247" spans="2:12" ht="12.75" x14ac:dyDescent="0.2">
      <c r="B247" s="188" t="s">
        <v>1166</v>
      </c>
      <c r="C247" s="189" t="s">
        <v>124</v>
      </c>
      <c r="D247" s="189" t="s">
        <v>123</v>
      </c>
      <c r="E247" s="190" t="s">
        <v>1167</v>
      </c>
      <c r="F247" s="191">
        <f t="shared" si="5"/>
        <v>195.73333333333332</v>
      </c>
      <c r="G247" s="197"/>
      <c r="I247" s="74"/>
      <c r="J247" s="74"/>
      <c r="K247" s="185"/>
      <c r="L247" s="185"/>
    </row>
    <row r="248" spans="2:12" ht="12.75" x14ac:dyDescent="0.2">
      <c r="B248" s="188" t="s">
        <v>551</v>
      </c>
      <c r="C248" s="189" t="s">
        <v>134</v>
      </c>
      <c r="D248" s="189" t="s">
        <v>123</v>
      </c>
      <c r="E248" s="190" t="s">
        <v>1168</v>
      </c>
      <c r="F248" s="191">
        <f t="shared" si="5"/>
        <v>233.76666666666668</v>
      </c>
      <c r="G248" s="197"/>
      <c r="I248" s="74"/>
      <c r="J248" s="74"/>
      <c r="K248" s="185"/>
      <c r="L248" s="185"/>
    </row>
    <row r="249" spans="2:12" ht="12.75" x14ac:dyDescent="0.2">
      <c r="B249" s="188" t="s">
        <v>1169</v>
      </c>
      <c r="C249" s="189" t="s">
        <v>135</v>
      </c>
      <c r="D249" s="189" t="s">
        <v>132</v>
      </c>
      <c r="E249" s="190" t="s">
        <v>1170</v>
      </c>
      <c r="F249" s="191">
        <f t="shared" si="5"/>
        <v>279.35000000000002</v>
      </c>
      <c r="G249" s="197"/>
      <c r="I249" s="74"/>
      <c r="J249" s="74"/>
      <c r="K249" s="185"/>
      <c r="L249" s="185"/>
    </row>
    <row r="250" spans="2:12" ht="12.75" x14ac:dyDescent="0.2">
      <c r="B250" s="188" t="s">
        <v>1171</v>
      </c>
      <c r="C250" s="189" t="s">
        <v>130</v>
      </c>
      <c r="D250" s="189" t="s">
        <v>123</v>
      </c>
      <c r="E250" s="190" t="s">
        <v>1172</v>
      </c>
      <c r="F250" s="191">
        <f t="shared" si="5"/>
        <v>303.78333333333336</v>
      </c>
      <c r="G250" s="197"/>
      <c r="I250" s="74"/>
      <c r="J250" s="74"/>
      <c r="K250" s="185"/>
      <c r="L250" s="185"/>
    </row>
    <row r="251" spans="2:12" ht="12.75" x14ac:dyDescent="0.2">
      <c r="B251" s="188" t="s">
        <v>1173</v>
      </c>
      <c r="C251" s="189" t="s">
        <v>125</v>
      </c>
      <c r="D251" s="189" t="s">
        <v>123</v>
      </c>
      <c r="E251" s="190" t="s">
        <v>1174</v>
      </c>
      <c r="F251" s="191">
        <f t="shared" si="5"/>
        <v>253.73333333333332</v>
      </c>
      <c r="G251" s="197"/>
      <c r="I251" s="74"/>
      <c r="J251" s="74"/>
      <c r="K251" s="185"/>
      <c r="L251" s="185"/>
    </row>
    <row r="252" spans="2:12" ht="12.75" x14ac:dyDescent="0.2">
      <c r="B252" s="188" t="s">
        <v>1175</v>
      </c>
      <c r="C252" s="189" t="s">
        <v>126</v>
      </c>
      <c r="D252" s="189" t="s">
        <v>187</v>
      </c>
      <c r="E252" s="190" t="s">
        <v>746</v>
      </c>
      <c r="F252" s="191">
        <f t="shared" si="5"/>
        <v>264.14999999999998</v>
      </c>
      <c r="G252" s="197"/>
      <c r="I252" s="74"/>
      <c r="J252" s="74"/>
      <c r="K252" s="185"/>
      <c r="L252" s="185"/>
    </row>
    <row r="253" spans="2:12" ht="12.75" x14ac:dyDescent="0.2">
      <c r="B253" s="188" t="s">
        <v>1176</v>
      </c>
      <c r="C253" s="189" t="s">
        <v>134</v>
      </c>
      <c r="D253" s="189" t="s">
        <v>160</v>
      </c>
      <c r="E253" s="190" t="s">
        <v>1177</v>
      </c>
      <c r="F253" s="191">
        <f t="shared" si="5"/>
        <v>237.76666666666668</v>
      </c>
      <c r="G253" s="197"/>
      <c r="I253" s="74"/>
      <c r="J253" s="74"/>
      <c r="K253" s="185"/>
      <c r="L253" s="185"/>
    </row>
    <row r="254" spans="2:12" ht="12.75" x14ac:dyDescent="0.2">
      <c r="B254" s="188" t="s">
        <v>343</v>
      </c>
      <c r="C254" s="189" t="s">
        <v>135</v>
      </c>
      <c r="D254" s="189" t="s">
        <v>123</v>
      </c>
      <c r="E254" s="190" t="s">
        <v>1178</v>
      </c>
      <c r="F254" s="191">
        <f t="shared" si="5"/>
        <v>253.63333333333333</v>
      </c>
      <c r="G254" s="197"/>
      <c r="I254" s="74"/>
      <c r="J254" s="74"/>
      <c r="K254" s="185"/>
      <c r="L254" s="185"/>
    </row>
    <row r="255" spans="2:12" ht="12.75" x14ac:dyDescent="0.2">
      <c r="B255" s="188" t="s">
        <v>1179</v>
      </c>
      <c r="C255" s="189" t="s">
        <v>124</v>
      </c>
      <c r="D255" s="189" t="s">
        <v>141</v>
      </c>
      <c r="E255" s="190" t="s">
        <v>1180</v>
      </c>
      <c r="F255" s="191">
        <f t="shared" si="5"/>
        <v>222.13333333333333</v>
      </c>
      <c r="G255" s="197"/>
      <c r="I255" s="74"/>
      <c r="J255" s="74"/>
      <c r="K255" s="185"/>
      <c r="L255" s="185"/>
    </row>
    <row r="256" spans="2:12" ht="12.75" x14ac:dyDescent="0.2">
      <c r="B256" s="188" t="s">
        <v>1181</v>
      </c>
      <c r="C256" s="189" t="s">
        <v>126</v>
      </c>
      <c r="D256" s="189" t="s">
        <v>123</v>
      </c>
      <c r="E256" s="190" t="s">
        <v>1182</v>
      </c>
      <c r="F256" s="191">
        <f t="shared" si="5"/>
        <v>224.88333333333333</v>
      </c>
      <c r="G256" s="197"/>
      <c r="I256" s="74"/>
      <c r="J256" s="74"/>
      <c r="K256" s="185"/>
      <c r="L256" s="185"/>
    </row>
    <row r="257" spans="2:12" ht="12.75" x14ac:dyDescent="0.2">
      <c r="B257" s="188" t="s">
        <v>1183</v>
      </c>
      <c r="C257" s="189" t="s">
        <v>142</v>
      </c>
      <c r="D257" s="189" t="s">
        <v>129</v>
      </c>
      <c r="E257" s="190" t="s">
        <v>1184</v>
      </c>
      <c r="F257" s="191">
        <f t="shared" si="5"/>
        <v>211.83333333333334</v>
      </c>
      <c r="G257" s="197"/>
      <c r="I257" s="74"/>
      <c r="J257" s="74"/>
      <c r="K257" s="185"/>
      <c r="L257" s="185"/>
    </row>
    <row r="258" spans="2:12" ht="12.75" x14ac:dyDescent="0.2">
      <c r="B258" s="188" t="s">
        <v>762</v>
      </c>
      <c r="C258" s="189" t="s">
        <v>125</v>
      </c>
      <c r="D258" s="189" t="s">
        <v>169</v>
      </c>
      <c r="E258" s="190" t="s">
        <v>763</v>
      </c>
      <c r="F258" s="191">
        <f t="shared" si="5"/>
        <v>203.56666666666666</v>
      </c>
      <c r="G258" s="197"/>
      <c r="I258" s="74"/>
      <c r="J258" s="74"/>
      <c r="K258" s="185"/>
      <c r="L258" s="185"/>
    </row>
    <row r="259" spans="2:12" ht="12.75" x14ac:dyDescent="0.2">
      <c r="B259" s="188" t="s">
        <v>1185</v>
      </c>
      <c r="C259" s="189" t="s">
        <v>128</v>
      </c>
      <c r="D259" s="189" t="s">
        <v>123</v>
      </c>
      <c r="E259" s="190" t="s">
        <v>778</v>
      </c>
      <c r="F259" s="191">
        <f t="shared" si="5"/>
        <v>206.58333333333334</v>
      </c>
      <c r="G259" s="197"/>
      <c r="I259" s="74"/>
      <c r="J259" s="74"/>
      <c r="K259" s="185"/>
      <c r="L259" s="185"/>
    </row>
    <row r="260" spans="2:12" ht="12.75" x14ac:dyDescent="0.2">
      <c r="B260" s="188" t="s">
        <v>1186</v>
      </c>
      <c r="C260" s="189" t="s">
        <v>124</v>
      </c>
      <c r="D260" s="189" t="s">
        <v>152</v>
      </c>
      <c r="E260" s="190" t="s">
        <v>1187</v>
      </c>
      <c r="F260" s="191">
        <f t="shared" si="5"/>
        <v>212.36666666666667</v>
      </c>
      <c r="G260" s="197"/>
      <c r="I260" s="74"/>
      <c r="J260" s="74"/>
      <c r="K260" s="185"/>
      <c r="L260" s="185"/>
    </row>
    <row r="261" spans="2:12" ht="12.75" x14ac:dyDescent="0.2">
      <c r="B261" s="188" t="s">
        <v>1188</v>
      </c>
      <c r="C261" s="189" t="s">
        <v>124</v>
      </c>
      <c r="D261" s="189" t="s">
        <v>131</v>
      </c>
      <c r="E261" s="190" t="s">
        <v>1189</v>
      </c>
      <c r="F261" s="191">
        <f t="shared" si="5"/>
        <v>232.16666666666666</v>
      </c>
      <c r="G261" s="197"/>
      <c r="I261" s="74"/>
      <c r="J261" s="74"/>
      <c r="K261" s="185"/>
      <c r="L261" s="185"/>
    </row>
    <row r="262" spans="2:12" ht="12.75" x14ac:dyDescent="0.2">
      <c r="B262" s="188" t="s">
        <v>1190</v>
      </c>
      <c r="C262" s="189" t="s">
        <v>126</v>
      </c>
      <c r="D262" s="189" t="s">
        <v>151</v>
      </c>
      <c r="E262" s="190" t="s">
        <v>1191</v>
      </c>
      <c r="F262" s="191">
        <f t="shared" si="5"/>
        <v>203.2</v>
      </c>
      <c r="G262" s="197"/>
      <c r="I262" s="74"/>
      <c r="J262" s="74"/>
      <c r="K262" s="185"/>
      <c r="L262" s="185"/>
    </row>
    <row r="263" spans="2:12" ht="12.75" x14ac:dyDescent="0.2">
      <c r="B263" s="188" t="s">
        <v>1192</v>
      </c>
      <c r="C263" s="189" t="s">
        <v>128</v>
      </c>
      <c r="D263" s="189" t="s">
        <v>123</v>
      </c>
      <c r="E263" s="190" t="s">
        <v>884</v>
      </c>
      <c r="F263" s="191">
        <f t="shared" si="5"/>
        <v>210.85</v>
      </c>
      <c r="G263" s="197"/>
      <c r="I263" s="74"/>
      <c r="J263" s="74"/>
      <c r="K263" s="185"/>
      <c r="L263" s="185"/>
    </row>
    <row r="264" spans="2:12" ht="12.75" x14ac:dyDescent="0.2">
      <c r="B264" s="188" t="s">
        <v>1193</v>
      </c>
      <c r="C264" s="189" t="s">
        <v>134</v>
      </c>
      <c r="D264" s="189" t="s">
        <v>148</v>
      </c>
      <c r="E264" s="190" t="s">
        <v>1194</v>
      </c>
      <c r="F264" s="191">
        <f t="shared" si="5"/>
        <v>219.75</v>
      </c>
      <c r="G264" s="197"/>
      <c r="I264" s="74"/>
      <c r="J264" s="74"/>
      <c r="K264" s="185"/>
      <c r="L264" s="185"/>
    </row>
    <row r="265" spans="2:12" ht="12.75" x14ac:dyDescent="0.2">
      <c r="B265" s="188" t="s">
        <v>1195</v>
      </c>
      <c r="C265" s="189" t="s">
        <v>130</v>
      </c>
      <c r="D265" s="189" t="s">
        <v>123</v>
      </c>
      <c r="E265" s="190" t="s">
        <v>1196</v>
      </c>
      <c r="F265" s="191">
        <f t="shared" si="5"/>
        <v>252.51666666666668</v>
      </c>
      <c r="G265" s="197"/>
      <c r="I265" s="74"/>
      <c r="J265" s="74"/>
      <c r="K265" s="185"/>
      <c r="L265" s="185"/>
    </row>
    <row r="266" spans="2:12" ht="12.75" x14ac:dyDescent="0.2">
      <c r="B266" s="188" t="s">
        <v>1197</v>
      </c>
      <c r="C266" s="189" t="s">
        <v>130</v>
      </c>
      <c r="D266" s="189" t="s">
        <v>123</v>
      </c>
      <c r="E266" s="190" t="s">
        <v>1198</v>
      </c>
      <c r="F266" s="191">
        <f t="shared" si="5"/>
        <v>213.16666666666666</v>
      </c>
      <c r="G266" s="197"/>
      <c r="I266" s="74"/>
      <c r="J266" s="74"/>
      <c r="K266" s="185"/>
      <c r="L266" s="185"/>
    </row>
    <row r="267" spans="2:12" ht="12.75" x14ac:dyDescent="0.2">
      <c r="B267" s="188" t="s">
        <v>1199</v>
      </c>
      <c r="C267" s="189" t="s">
        <v>128</v>
      </c>
      <c r="D267" s="189" t="s">
        <v>132</v>
      </c>
      <c r="E267" s="190" t="s">
        <v>1200</v>
      </c>
      <c r="F267" s="191">
        <f t="shared" ref="F267:F330" si="6">HOUR(E267)*60+MINUTE(E267)+SECOND(E267)/60</f>
        <v>309.81666666666666</v>
      </c>
      <c r="G267" s="197"/>
      <c r="I267" s="74"/>
      <c r="J267" s="74"/>
      <c r="K267" s="185"/>
      <c r="L267" s="185"/>
    </row>
    <row r="268" spans="2:12" ht="12.75" x14ac:dyDescent="0.2">
      <c r="B268" s="188" t="s">
        <v>1201</v>
      </c>
      <c r="C268" s="189" t="s">
        <v>125</v>
      </c>
      <c r="D268" s="189" t="s">
        <v>165</v>
      </c>
      <c r="E268" s="190" t="s">
        <v>1202</v>
      </c>
      <c r="F268" s="191">
        <f t="shared" si="6"/>
        <v>226.68333333333334</v>
      </c>
      <c r="G268" s="197"/>
      <c r="I268" s="74"/>
      <c r="J268" s="74"/>
      <c r="K268" s="185"/>
      <c r="L268" s="185"/>
    </row>
    <row r="269" spans="2:12" ht="12.75" x14ac:dyDescent="0.2">
      <c r="B269" s="188" t="s">
        <v>1203</v>
      </c>
      <c r="C269" s="189" t="s">
        <v>126</v>
      </c>
      <c r="D269" s="189" t="s">
        <v>123</v>
      </c>
      <c r="E269" s="190" t="s">
        <v>1204</v>
      </c>
      <c r="F269" s="191">
        <f t="shared" si="6"/>
        <v>241.31666666666666</v>
      </c>
      <c r="G269" s="197"/>
      <c r="I269" s="74"/>
      <c r="J269" s="74"/>
      <c r="K269" s="185"/>
      <c r="L269" s="185"/>
    </row>
    <row r="270" spans="2:12" ht="12.75" x14ac:dyDescent="0.2">
      <c r="B270" s="188" t="s">
        <v>1205</v>
      </c>
      <c r="C270" s="189" t="s">
        <v>130</v>
      </c>
      <c r="D270" s="189" t="s">
        <v>123</v>
      </c>
      <c r="E270" s="190" t="s">
        <v>1206</v>
      </c>
      <c r="F270" s="191">
        <f t="shared" si="6"/>
        <v>217.9</v>
      </c>
      <c r="G270" s="197"/>
      <c r="I270" s="74"/>
      <c r="J270" s="74"/>
      <c r="K270" s="185"/>
      <c r="L270" s="185"/>
    </row>
    <row r="271" spans="2:12" ht="12.75" x14ac:dyDescent="0.2">
      <c r="B271" s="188" t="s">
        <v>1207</v>
      </c>
      <c r="C271" s="189" t="s">
        <v>126</v>
      </c>
      <c r="D271" s="189" t="s">
        <v>131</v>
      </c>
      <c r="E271" s="190" t="s">
        <v>1208</v>
      </c>
      <c r="F271" s="191">
        <f t="shared" si="6"/>
        <v>221.28333333333333</v>
      </c>
      <c r="G271" s="197"/>
      <c r="I271" s="74"/>
      <c r="J271" s="74"/>
      <c r="K271" s="185"/>
      <c r="L271" s="185"/>
    </row>
    <row r="272" spans="2:12" ht="12.75" x14ac:dyDescent="0.2">
      <c r="B272" s="188" t="s">
        <v>1209</v>
      </c>
      <c r="C272" s="189" t="s">
        <v>136</v>
      </c>
      <c r="D272" s="189" t="s">
        <v>123</v>
      </c>
      <c r="E272" s="190" t="s">
        <v>1210</v>
      </c>
      <c r="F272" s="191">
        <f t="shared" si="6"/>
        <v>240.2</v>
      </c>
      <c r="G272" s="197"/>
      <c r="I272" s="74"/>
      <c r="J272" s="74"/>
      <c r="K272" s="185"/>
      <c r="L272" s="185"/>
    </row>
    <row r="273" spans="2:12" ht="12.75" x14ac:dyDescent="0.2">
      <c r="B273" s="188" t="s">
        <v>1211</v>
      </c>
      <c r="C273" s="189" t="s">
        <v>126</v>
      </c>
      <c r="D273" s="189" t="s">
        <v>165</v>
      </c>
      <c r="E273" s="190" t="s">
        <v>1212</v>
      </c>
      <c r="F273" s="191">
        <f t="shared" si="6"/>
        <v>241.01666666666668</v>
      </c>
      <c r="G273" s="197"/>
      <c r="I273" s="74"/>
      <c r="J273" s="74"/>
      <c r="K273" s="185"/>
      <c r="L273" s="185"/>
    </row>
    <row r="274" spans="2:12" ht="12.75" x14ac:dyDescent="0.2">
      <c r="B274" s="188" t="s">
        <v>1213</v>
      </c>
      <c r="C274" s="189" t="s">
        <v>125</v>
      </c>
      <c r="D274" s="189" t="s">
        <v>123</v>
      </c>
      <c r="E274" s="190" t="s">
        <v>1214</v>
      </c>
      <c r="F274" s="191">
        <f t="shared" si="6"/>
        <v>265.95</v>
      </c>
      <c r="G274" s="197"/>
      <c r="I274" s="74"/>
      <c r="J274" s="74"/>
      <c r="K274" s="185"/>
      <c r="L274" s="185"/>
    </row>
    <row r="275" spans="2:12" ht="12.75" x14ac:dyDescent="0.2">
      <c r="B275" s="188" t="s">
        <v>1215</v>
      </c>
      <c r="C275" s="189" t="s">
        <v>142</v>
      </c>
      <c r="D275" s="189" t="s">
        <v>157</v>
      </c>
      <c r="E275" s="190" t="s">
        <v>1216</v>
      </c>
      <c r="F275" s="191">
        <f t="shared" si="6"/>
        <v>265.46666666666664</v>
      </c>
      <c r="G275" s="197"/>
      <c r="I275" s="74"/>
      <c r="J275" s="74"/>
      <c r="K275" s="185"/>
      <c r="L275" s="185"/>
    </row>
    <row r="276" spans="2:12" ht="12.75" x14ac:dyDescent="0.2">
      <c r="B276" s="188" t="s">
        <v>1217</v>
      </c>
      <c r="C276" s="189" t="s">
        <v>125</v>
      </c>
      <c r="D276" s="189" t="s">
        <v>123</v>
      </c>
      <c r="E276" s="190" t="s">
        <v>1218</v>
      </c>
      <c r="F276" s="191">
        <f t="shared" si="6"/>
        <v>255.43333333333334</v>
      </c>
      <c r="G276" s="197"/>
      <c r="I276" s="74"/>
      <c r="J276" s="74"/>
      <c r="K276" s="185"/>
      <c r="L276" s="185"/>
    </row>
    <row r="277" spans="2:12" ht="12.75" x14ac:dyDescent="0.2">
      <c r="B277" s="188" t="s">
        <v>1219</v>
      </c>
      <c r="C277" s="189" t="s">
        <v>124</v>
      </c>
      <c r="D277" s="189" t="s">
        <v>123</v>
      </c>
      <c r="E277" s="190" t="s">
        <v>1220</v>
      </c>
      <c r="F277" s="191">
        <f t="shared" si="6"/>
        <v>259.8</v>
      </c>
      <c r="G277" s="197"/>
      <c r="I277" s="74"/>
      <c r="J277" s="74"/>
      <c r="K277" s="185"/>
      <c r="L277" s="185"/>
    </row>
    <row r="278" spans="2:12" ht="12.75" x14ac:dyDescent="0.2">
      <c r="B278" s="188" t="s">
        <v>1221</v>
      </c>
      <c r="C278" s="189" t="s">
        <v>126</v>
      </c>
      <c r="D278" s="189" t="s">
        <v>123</v>
      </c>
      <c r="E278" s="190" t="s">
        <v>1222</v>
      </c>
      <c r="F278" s="191">
        <f t="shared" si="6"/>
        <v>239.13333333333333</v>
      </c>
      <c r="G278" s="197"/>
      <c r="I278" s="74"/>
      <c r="J278" s="74"/>
      <c r="K278" s="185"/>
      <c r="L278" s="185"/>
    </row>
    <row r="279" spans="2:12" ht="12.75" x14ac:dyDescent="0.2">
      <c r="B279" s="188" t="s">
        <v>1223</v>
      </c>
      <c r="C279" s="189" t="s">
        <v>130</v>
      </c>
      <c r="D279" s="189" t="s">
        <v>149</v>
      </c>
      <c r="E279" s="190" t="s">
        <v>1224</v>
      </c>
      <c r="F279" s="191">
        <f t="shared" si="6"/>
        <v>296.61666666666667</v>
      </c>
      <c r="G279" s="197"/>
      <c r="I279" s="74"/>
      <c r="J279" s="74"/>
      <c r="K279" s="185"/>
      <c r="L279" s="185"/>
    </row>
    <row r="280" spans="2:12" ht="12.75" x14ac:dyDescent="0.2">
      <c r="B280" s="188" t="s">
        <v>1225</v>
      </c>
      <c r="C280" s="189" t="s">
        <v>126</v>
      </c>
      <c r="D280" s="189" t="s">
        <v>123</v>
      </c>
      <c r="E280" s="190" t="s">
        <v>1226</v>
      </c>
      <c r="F280" s="191">
        <f t="shared" si="6"/>
        <v>251.85</v>
      </c>
      <c r="G280" s="197"/>
      <c r="I280" s="74"/>
      <c r="J280" s="74"/>
      <c r="K280" s="185"/>
      <c r="L280" s="185"/>
    </row>
    <row r="281" spans="2:12" ht="12.75" x14ac:dyDescent="0.2">
      <c r="B281" s="188" t="s">
        <v>1227</v>
      </c>
      <c r="C281" s="189" t="s">
        <v>125</v>
      </c>
      <c r="D281" s="189" t="s">
        <v>188</v>
      </c>
      <c r="E281" s="190" t="s">
        <v>1228</v>
      </c>
      <c r="F281" s="191">
        <f t="shared" si="6"/>
        <v>218.2</v>
      </c>
      <c r="G281" s="197"/>
      <c r="I281" s="74"/>
      <c r="J281" s="74"/>
      <c r="K281" s="185"/>
      <c r="L281" s="185"/>
    </row>
    <row r="282" spans="2:12" ht="12.75" x14ac:dyDescent="0.2">
      <c r="B282" s="188" t="s">
        <v>1229</v>
      </c>
      <c r="C282" s="189" t="s">
        <v>134</v>
      </c>
      <c r="D282" s="189" t="s">
        <v>123</v>
      </c>
      <c r="E282" s="190" t="s">
        <v>1230</v>
      </c>
      <c r="F282" s="191">
        <f t="shared" si="6"/>
        <v>189.1</v>
      </c>
      <c r="G282" s="197"/>
      <c r="I282" s="74"/>
      <c r="J282" s="74"/>
      <c r="K282" s="185"/>
      <c r="L282" s="185"/>
    </row>
    <row r="283" spans="2:12" ht="12.75" x14ac:dyDescent="0.2">
      <c r="B283" s="188" t="s">
        <v>623</v>
      </c>
      <c r="C283" s="189" t="s">
        <v>125</v>
      </c>
      <c r="D283" s="189" t="s">
        <v>123</v>
      </c>
      <c r="E283" s="190" t="s">
        <v>1231</v>
      </c>
      <c r="F283" s="191">
        <f t="shared" si="6"/>
        <v>254.26666666666668</v>
      </c>
      <c r="G283" s="197"/>
      <c r="I283" s="74"/>
      <c r="J283" s="74"/>
      <c r="K283" s="185"/>
      <c r="L283" s="185"/>
    </row>
    <row r="284" spans="2:12" ht="12.75" x14ac:dyDescent="0.2">
      <c r="B284" s="188" t="s">
        <v>1232</v>
      </c>
      <c r="C284" s="189" t="s">
        <v>126</v>
      </c>
      <c r="D284" s="189" t="s">
        <v>123</v>
      </c>
      <c r="E284" s="190" t="s">
        <v>834</v>
      </c>
      <c r="F284" s="191">
        <f t="shared" si="6"/>
        <v>254.98333333333332</v>
      </c>
      <c r="G284" s="197"/>
      <c r="I284" s="74"/>
      <c r="J284" s="74"/>
      <c r="K284" s="185"/>
      <c r="L284" s="185"/>
    </row>
    <row r="285" spans="2:12" ht="12.75" x14ac:dyDescent="0.2">
      <c r="B285" s="188" t="s">
        <v>1233</v>
      </c>
      <c r="C285" s="189" t="s">
        <v>128</v>
      </c>
      <c r="D285" s="189" t="s">
        <v>427</v>
      </c>
      <c r="E285" s="190" t="s">
        <v>1234</v>
      </c>
      <c r="F285" s="191">
        <f t="shared" si="6"/>
        <v>194.83333333333334</v>
      </c>
      <c r="G285" s="197"/>
      <c r="I285" s="74"/>
      <c r="J285" s="74"/>
      <c r="K285" s="185"/>
      <c r="L285" s="185"/>
    </row>
    <row r="286" spans="2:12" ht="12.75" x14ac:dyDescent="0.2">
      <c r="B286" s="188" t="s">
        <v>1235</v>
      </c>
      <c r="C286" s="189" t="s">
        <v>134</v>
      </c>
      <c r="D286" s="189" t="s">
        <v>129</v>
      </c>
      <c r="E286" s="190" t="s">
        <v>1236</v>
      </c>
      <c r="F286" s="191">
        <f t="shared" si="6"/>
        <v>295.81666666666666</v>
      </c>
      <c r="G286" s="197"/>
      <c r="I286" s="74"/>
      <c r="J286" s="74"/>
      <c r="K286" s="185"/>
      <c r="L286" s="185"/>
    </row>
    <row r="287" spans="2:12" ht="12.75" x14ac:dyDescent="0.2">
      <c r="B287" s="188" t="s">
        <v>1237</v>
      </c>
      <c r="C287" s="189" t="s">
        <v>134</v>
      </c>
      <c r="D287" s="189" t="s">
        <v>155</v>
      </c>
      <c r="E287" s="190" t="s">
        <v>1238</v>
      </c>
      <c r="F287" s="191">
        <f t="shared" si="6"/>
        <v>239.36666666666667</v>
      </c>
      <c r="G287" s="197"/>
      <c r="I287" s="74"/>
      <c r="J287" s="74"/>
      <c r="K287" s="185"/>
      <c r="L287" s="185"/>
    </row>
    <row r="288" spans="2:12" ht="12.75" x14ac:dyDescent="0.2">
      <c r="B288" s="188" t="s">
        <v>1239</v>
      </c>
      <c r="C288" s="189" t="s">
        <v>128</v>
      </c>
      <c r="D288" s="189" t="s">
        <v>132</v>
      </c>
      <c r="E288" s="190" t="s">
        <v>1240</v>
      </c>
      <c r="F288" s="191">
        <f t="shared" si="6"/>
        <v>206.95</v>
      </c>
      <c r="G288" s="197"/>
      <c r="I288" s="74"/>
      <c r="J288" s="74"/>
      <c r="K288" s="185"/>
      <c r="L288" s="185"/>
    </row>
    <row r="289" spans="2:12" ht="12.75" x14ac:dyDescent="0.2">
      <c r="B289" s="188" t="s">
        <v>1241</v>
      </c>
      <c r="C289" s="189" t="s">
        <v>134</v>
      </c>
      <c r="D289" s="189" t="s">
        <v>123</v>
      </c>
      <c r="E289" s="190" t="s">
        <v>1242</v>
      </c>
      <c r="F289" s="191">
        <f t="shared" si="6"/>
        <v>225.68333333333334</v>
      </c>
      <c r="G289" s="197"/>
      <c r="I289" s="74"/>
      <c r="J289" s="74"/>
      <c r="K289" s="185"/>
      <c r="L289" s="185"/>
    </row>
    <row r="290" spans="2:12" ht="12.75" x14ac:dyDescent="0.2">
      <c r="B290" s="188" t="s">
        <v>1243</v>
      </c>
      <c r="C290" s="189" t="s">
        <v>134</v>
      </c>
      <c r="D290" s="189" t="s">
        <v>171</v>
      </c>
      <c r="E290" s="190" t="s">
        <v>1244</v>
      </c>
      <c r="F290" s="191">
        <f t="shared" si="6"/>
        <v>173.3</v>
      </c>
      <c r="G290" s="197"/>
      <c r="I290" s="74"/>
      <c r="J290" s="74"/>
      <c r="K290" s="185"/>
      <c r="L290" s="185"/>
    </row>
    <row r="291" spans="2:12" ht="12.75" x14ac:dyDescent="0.2">
      <c r="B291" s="188" t="s">
        <v>1245</v>
      </c>
      <c r="C291" s="189" t="s">
        <v>125</v>
      </c>
      <c r="D291" s="189" t="s">
        <v>138</v>
      </c>
      <c r="E291" s="190" t="s">
        <v>1246</v>
      </c>
      <c r="F291" s="191">
        <f t="shared" si="6"/>
        <v>214.06666666666666</v>
      </c>
      <c r="G291" s="197"/>
      <c r="I291" s="74"/>
      <c r="J291" s="74"/>
      <c r="K291" s="185"/>
      <c r="L291" s="185"/>
    </row>
    <row r="292" spans="2:12" ht="12.75" x14ac:dyDescent="0.2">
      <c r="B292" s="188" t="s">
        <v>1247</v>
      </c>
      <c r="C292" s="189" t="s">
        <v>124</v>
      </c>
      <c r="D292" s="189" t="s">
        <v>176</v>
      </c>
      <c r="E292" s="190" t="s">
        <v>1248</v>
      </c>
      <c r="F292" s="191">
        <f t="shared" si="6"/>
        <v>223.98333333333332</v>
      </c>
      <c r="G292" s="197"/>
      <c r="I292" s="74"/>
      <c r="J292" s="74"/>
      <c r="K292" s="185"/>
      <c r="L292" s="185"/>
    </row>
    <row r="293" spans="2:12" ht="12.75" x14ac:dyDescent="0.2">
      <c r="B293" s="188" t="s">
        <v>1249</v>
      </c>
      <c r="C293" s="189" t="s">
        <v>128</v>
      </c>
      <c r="D293" s="189" t="s">
        <v>147</v>
      </c>
      <c r="E293" s="190" t="s">
        <v>1250</v>
      </c>
      <c r="F293" s="191">
        <f t="shared" si="6"/>
        <v>262.41666666666669</v>
      </c>
      <c r="G293" s="197"/>
      <c r="I293" s="74"/>
      <c r="J293" s="74"/>
      <c r="K293" s="185"/>
      <c r="L293" s="185"/>
    </row>
    <row r="294" spans="2:12" ht="12.75" x14ac:dyDescent="0.2">
      <c r="B294" s="188" t="s">
        <v>1251</v>
      </c>
      <c r="C294" s="189" t="s">
        <v>125</v>
      </c>
      <c r="D294" s="189" t="s">
        <v>123</v>
      </c>
      <c r="E294" s="190" t="s">
        <v>1252</v>
      </c>
      <c r="F294" s="191">
        <f t="shared" si="6"/>
        <v>243.23333333333332</v>
      </c>
      <c r="G294" s="197"/>
      <c r="I294" s="74"/>
      <c r="J294" s="74"/>
      <c r="K294" s="185"/>
      <c r="L294" s="185"/>
    </row>
    <row r="295" spans="2:12" ht="12.75" x14ac:dyDescent="0.2">
      <c r="B295" s="188" t="s">
        <v>1253</v>
      </c>
      <c r="C295" s="189" t="s">
        <v>126</v>
      </c>
      <c r="D295" s="189" t="s">
        <v>131</v>
      </c>
      <c r="E295" s="190" t="s">
        <v>1254</v>
      </c>
      <c r="F295" s="191">
        <f t="shared" si="6"/>
        <v>234.06666666666666</v>
      </c>
      <c r="G295" s="197"/>
      <c r="I295" s="74"/>
      <c r="J295" s="74"/>
      <c r="K295" s="185"/>
      <c r="L295" s="185"/>
    </row>
    <row r="296" spans="2:12" ht="12.75" x14ac:dyDescent="0.2">
      <c r="B296" s="188" t="s">
        <v>1255</v>
      </c>
      <c r="C296" s="189" t="s">
        <v>125</v>
      </c>
      <c r="D296" s="189" t="s">
        <v>123</v>
      </c>
      <c r="E296" s="190" t="s">
        <v>1256</v>
      </c>
      <c r="F296" s="191">
        <f t="shared" si="6"/>
        <v>235.3</v>
      </c>
      <c r="G296" s="197"/>
      <c r="I296" s="74"/>
      <c r="J296" s="74"/>
      <c r="K296" s="185"/>
      <c r="L296" s="185"/>
    </row>
    <row r="297" spans="2:12" ht="12.75" x14ac:dyDescent="0.2">
      <c r="B297" s="188" t="s">
        <v>1257</v>
      </c>
      <c r="C297" s="189" t="s">
        <v>249</v>
      </c>
      <c r="D297" s="189" t="s">
        <v>165</v>
      </c>
      <c r="E297" s="190" t="s">
        <v>1258</v>
      </c>
      <c r="F297" s="191">
        <f t="shared" si="6"/>
        <v>301.18333333333334</v>
      </c>
      <c r="G297" s="197"/>
      <c r="I297" s="74"/>
      <c r="J297" s="74"/>
      <c r="K297" s="185"/>
      <c r="L297" s="185"/>
    </row>
    <row r="298" spans="2:12" ht="12.75" x14ac:dyDescent="0.2">
      <c r="B298" s="188" t="s">
        <v>1259</v>
      </c>
      <c r="C298" s="189" t="s">
        <v>125</v>
      </c>
      <c r="D298" s="189" t="s">
        <v>155</v>
      </c>
      <c r="E298" s="190" t="s">
        <v>1260</v>
      </c>
      <c r="F298" s="191">
        <f t="shared" si="6"/>
        <v>210.13333333333333</v>
      </c>
      <c r="G298" s="197"/>
      <c r="I298" s="74"/>
      <c r="J298" s="74"/>
      <c r="K298" s="185"/>
      <c r="L298" s="185"/>
    </row>
    <row r="299" spans="2:12" ht="12.75" x14ac:dyDescent="0.2">
      <c r="B299" s="188" t="s">
        <v>1261</v>
      </c>
      <c r="C299" s="189" t="s">
        <v>126</v>
      </c>
      <c r="D299" s="189" t="s">
        <v>1262</v>
      </c>
      <c r="E299" s="190" t="s">
        <v>788</v>
      </c>
      <c r="F299" s="191">
        <f t="shared" si="6"/>
        <v>227.58333333333334</v>
      </c>
      <c r="G299" s="197"/>
      <c r="I299" s="74"/>
      <c r="J299" s="74"/>
      <c r="K299" s="185"/>
      <c r="L299" s="185"/>
    </row>
    <row r="300" spans="2:12" ht="12.75" x14ac:dyDescent="0.2">
      <c r="B300" s="188" t="s">
        <v>1263</v>
      </c>
      <c r="C300" s="189" t="s">
        <v>130</v>
      </c>
      <c r="D300" s="189" t="s">
        <v>123</v>
      </c>
      <c r="E300" s="190" t="s">
        <v>1264</v>
      </c>
      <c r="F300" s="191">
        <f t="shared" si="6"/>
        <v>211.56666666666666</v>
      </c>
      <c r="G300" s="197"/>
      <c r="I300" s="74"/>
      <c r="J300" s="74"/>
      <c r="K300" s="185"/>
      <c r="L300" s="185"/>
    </row>
    <row r="301" spans="2:12" ht="12.75" x14ac:dyDescent="0.2">
      <c r="B301" s="188" t="s">
        <v>1265</v>
      </c>
      <c r="C301" s="189" t="s">
        <v>134</v>
      </c>
      <c r="D301" s="189" t="s">
        <v>205</v>
      </c>
      <c r="E301" s="190" t="s">
        <v>1266</v>
      </c>
      <c r="F301" s="191">
        <f t="shared" si="6"/>
        <v>231.88333333333333</v>
      </c>
      <c r="G301" s="197"/>
      <c r="I301" s="74"/>
      <c r="J301" s="74"/>
      <c r="K301" s="185"/>
      <c r="L301" s="185"/>
    </row>
    <row r="302" spans="2:12" ht="12.75" x14ac:dyDescent="0.2">
      <c r="B302" s="188" t="s">
        <v>437</v>
      </c>
      <c r="C302" s="189" t="s">
        <v>140</v>
      </c>
      <c r="D302" s="189" t="s">
        <v>131</v>
      </c>
      <c r="E302" s="190" t="s">
        <v>1267</v>
      </c>
      <c r="F302" s="191">
        <f t="shared" si="6"/>
        <v>251.05</v>
      </c>
      <c r="G302" s="197"/>
      <c r="I302" s="74"/>
      <c r="J302" s="74"/>
      <c r="K302" s="185"/>
      <c r="L302" s="185"/>
    </row>
    <row r="303" spans="2:12" ht="12.75" x14ac:dyDescent="0.2">
      <c r="B303" s="188" t="s">
        <v>1268</v>
      </c>
      <c r="C303" s="189" t="s">
        <v>134</v>
      </c>
      <c r="D303" s="189" t="s">
        <v>131</v>
      </c>
      <c r="E303" s="190" t="s">
        <v>1269</v>
      </c>
      <c r="F303" s="191">
        <f t="shared" si="6"/>
        <v>331.33333333333331</v>
      </c>
      <c r="G303" s="197"/>
      <c r="I303" s="74"/>
      <c r="J303" s="74"/>
      <c r="K303" s="185"/>
      <c r="L303" s="185"/>
    </row>
    <row r="304" spans="2:12" ht="12.75" x14ac:dyDescent="0.2">
      <c r="B304" s="188" t="s">
        <v>1270</v>
      </c>
      <c r="C304" s="189" t="s">
        <v>128</v>
      </c>
      <c r="D304" s="189"/>
      <c r="E304" s="190" t="s">
        <v>1271</v>
      </c>
      <c r="F304" s="191">
        <f t="shared" si="6"/>
        <v>172.11666666666667</v>
      </c>
      <c r="G304" s="197"/>
      <c r="I304" s="74"/>
      <c r="J304" s="74"/>
      <c r="K304" s="185"/>
      <c r="L304" s="185"/>
    </row>
    <row r="305" spans="2:12" ht="12.75" x14ac:dyDescent="0.2">
      <c r="B305" s="188" t="s">
        <v>1272</v>
      </c>
      <c r="C305" s="189" t="s">
        <v>126</v>
      </c>
      <c r="D305" s="189" t="s">
        <v>165</v>
      </c>
      <c r="E305" s="190" t="s">
        <v>1273</v>
      </c>
      <c r="F305" s="191">
        <f t="shared" si="6"/>
        <v>254.5</v>
      </c>
      <c r="G305" s="197"/>
      <c r="I305" s="74"/>
      <c r="J305" s="74"/>
      <c r="K305" s="185"/>
      <c r="L305" s="185"/>
    </row>
    <row r="306" spans="2:12" ht="12.75" x14ac:dyDescent="0.2">
      <c r="B306" s="188" t="s">
        <v>1274</v>
      </c>
      <c r="C306" s="189" t="s">
        <v>142</v>
      </c>
      <c r="D306" s="189" t="s">
        <v>123</v>
      </c>
      <c r="E306" s="190" t="s">
        <v>1275</v>
      </c>
      <c r="F306" s="191">
        <f t="shared" si="6"/>
        <v>212.88333333333333</v>
      </c>
      <c r="G306" s="197"/>
      <c r="I306" s="74"/>
      <c r="J306" s="74"/>
      <c r="K306" s="185"/>
      <c r="L306" s="185"/>
    </row>
    <row r="307" spans="2:12" ht="12.75" x14ac:dyDescent="0.2">
      <c r="B307" s="188" t="s">
        <v>1276</v>
      </c>
      <c r="C307" s="189" t="s">
        <v>128</v>
      </c>
      <c r="D307" s="189" t="s">
        <v>165</v>
      </c>
      <c r="E307" s="190" t="s">
        <v>1277</v>
      </c>
      <c r="F307" s="191">
        <f t="shared" si="6"/>
        <v>286.64999999999998</v>
      </c>
      <c r="G307" s="197"/>
      <c r="I307" s="74"/>
      <c r="J307" s="74"/>
      <c r="K307" s="185"/>
      <c r="L307" s="185"/>
    </row>
    <row r="308" spans="2:12" ht="12.75" x14ac:dyDescent="0.2">
      <c r="B308" s="188" t="s">
        <v>1278</v>
      </c>
      <c r="C308" s="189" t="s">
        <v>134</v>
      </c>
      <c r="D308" s="189" t="s">
        <v>123</v>
      </c>
      <c r="E308" s="190" t="s">
        <v>1279</v>
      </c>
      <c r="F308" s="191">
        <f t="shared" si="6"/>
        <v>313.05</v>
      </c>
      <c r="G308" s="197"/>
      <c r="I308" s="74"/>
      <c r="J308" s="74"/>
      <c r="K308" s="185"/>
      <c r="L308" s="185"/>
    </row>
    <row r="309" spans="2:12" ht="12.75" x14ac:dyDescent="0.2">
      <c r="B309" s="188" t="s">
        <v>1280</v>
      </c>
      <c r="C309" s="189" t="s">
        <v>134</v>
      </c>
      <c r="D309" s="189" t="s">
        <v>123</v>
      </c>
      <c r="E309" s="190" t="s">
        <v>1281</v>
      </c>
      <c r="F309" s="191">
        <f t="shared" si="6"/>
        <v>175.63333333333333</v>
      </c>
      <c r="G309" s="197"/>
      <c r="I309" s="74"/>
      <c r="J309" s="74"/>
      <c r="K309" s="185"/>
      <c r="L309" s="185"/>
    </row>
    <row r="310" spans="2:12" ht="12.75" x14ac:dyDescent="0.2">
      <c r="B310" s="188" t="s">
        <v>1282</v>
      </c>
      <c r="C310" s="189" t="s">
        <v>128</v>
      </c>
      <c r="D310" s="189" t="s">
        <v>427</v>
      </c>
      <c r="E310" s="190" t="s">
        <v>1283</v>
      </c>
      <c r="F310" s="191">
        <f t="shared" si="6"/>
        <v>253.41666666666666</v>
      </c>
      <c r="G310" s="197"/>
      <c r="I310" s="74"/>
      <c r="J310" s="74"/>
      <c r="K310" s="185"/>
      <c r="L310" s="185"/>
    </row>
    <row r="311" spans="2:12" ht="12.75" x14ac:dyDescent="0.2">
      <c r="B311" s="188" t="s">
        <v>206</v>
      </c>
      <c r="C311" s="189" t="s">
        <v>130</v>
      </c>
      <c r="D311" s="189" t="s">
        <v>123</v>
      </c>
      <c r="E311" s="190" t="s">
        <v>1284</v>
      </c>
      <c r="F311" s="191">
        <f t="shared" si="6"/>
        <v>335.21666666666664</v>
      </c>
      <c r="G311" s="197"/>
      <c r="I311" s="74"/>
      <c r="J311" s="74"/>
      <c r="K311" s="185"/>
      <c r="L311" s="185"/>
    </row>
    <row r="312" spans="2:12" ht="12.75" x14ac:dyDescent="0.2">
      <c r="B312" s="188" t="s">
        <v>1285</v>
      </c>
      <c r="C312" s="189" t="s">
        <v>124</v>
      </c>
      <c r="D312" s="189" t="s">
        <v>148</v>
      </c>
      <c r="E312" s="190" t="s">
        <v>1286</v>
      </c>
      <c r="F312" s="191">
        <f t="shared" si="6"/>
        <v>246.48333333333332</v>
      </c>
      <c r="G312" s="197"/>
      <c r="I312" s="74"/>
      <c r="J312" s="74"/>
      <c r="K312" s="185"/>
      <c r="L312" s="185"/>
    </row>
    <row r="313" spans="2:12" ht="12.75" x14ac:dyDescent="0.2">
      <c r="B313" s="188" t="s">
        <v>1287</v>
      </c>
      <c r="C313" s="189" t="s">
        <v>126</v>
      </c>
      <c r="D313" s="189" t="s">
        <v>123</v>
      </c>
      <c r="E313" s="190" t="s">
        <v>1288</v>
      </c>
      <c r="F313" s="191">
        <f t="shared" si="6"/>
        <v>214.08333333333334</v>
      </c>
      <c r="G313" s="197"/>
      <c r="I313" s="74"/>
      <c r="J313" s="74"/>
      <c r="K313" s="185"/>
      <c r="L313" s="185"/>
    </row>
    <row r="314" spans="2:12" ht="12.75" x14ac:dyDescent="0.2">
      <c r="B314" s="188" t="s">
        <v>1289</v>
      </c>
      <c r="C314" s="189" t="s">
        <v>125</v>
      </c>
      <c r="D314" s="189" t="s">
        <v>123</v>
      </c>
      <c r="E314" s="190" t="s">
        <v>1290</v>
      </c>
      <c r="F314" s="191">
        <f t="shared" si="6"/>
        <v>317.75</v>
      </c>
      <c r="G314" s="197"/>
      <c r="I314" s="74"/>
      <c r="J314" s="74"/>
      <c r="K314" s="185"/>
      <c r="L314" s="185"/>
    </row>
    <row r="315" spans="2:12" ht="12.75" x14ac:dyDescent="0.2">
      <c r="B315" s="188" t="s">
        <v>1291</v>
      </c>
      <c r="C315" s="189" t="s">
        <v>128</v>
      </c>
      <c r="D315" s="189" t="s">
        <v>131</v>
      </c>
      <c r="E315" s="190" t="s">
        <v>1292</v>
      </c>
      <c r="F315" s="191">
        <f t="shared" si="6"/>
        <v>216.51666666666668</v>
      </c>
      <c r="G315" s="197"/>
      <c r="I315" s="74"/>
      <c r="J315" s="74"/>
      <c r="K315" s="185"/>
      <c r="L315" s="185"/>
    </row>
    <row r="316" spans="2:12" ht="12.75" x14ac:dyDescent="0.2">
      <c r="B316" s="188" t="s">
        <v>1293</v>
      </c>
      <c r="C316" s="189" t="s">
        <v>130</v>
      </c>
      <c r="D316" s="189" t="s">
        <v>123</v>
      </c>
      <c r="E316" s="190" t="s">
        <v>1294</v>
      </c>
      <c r="F316" s="191">
        <f t="shared" si="6"/>
        <v>239.2</v>
      </c>
      <c r="G316" s="197"/>
      <c r="I316" s="74"/>
      <c r="J316" s="74"/>
      <c r="K316" s="185"/>
      <c r="L316" s="185"/>
    </row>
    <row r="317" spans="2:12" ht="12.75" x14ac:dyDescent="0.2">
      <c r="B317" s="188" t="s">
        <v>899</v>
      </c>
      <c r="C317" s="189" t="s">
        <v>126</v>
      </c>
      <c r="D317" s="189" t="s">
        <v>123</v>
      </c>
      <c r="E317" s="190" t="s">
        <v>1295</v>
      </c>
      <c r="F317" s="191">
        <f t="shared" si="6"/>
        <v>242.81666666666666</v>
      </c>
      <c r="G317" s="197"/>
      <c r="I317" s="74"/>
      <c r="J317" s="74"/>
      <c r="K317" s="185"/>
      <c r="L317" s="185"/>
    </row>
    <row r="318" spans="2:12" ht="12.75" x14ac:dyDescent="0.2">
      <c r="B318" s="188" t="s">
        <v>1296</v>
      </c>
      <c r="C318" s="189" t="s">
        <v>135</v>
      </c>
      <c r="D318" s="189" t="s">
        <v>132</v>
      </c>
      <c r="E318" s="190" t="s">
        <v>1297</v>
      </c>
      <c r="F318" s="191">
        <f t="shared" si="6"/>
        <v>283.95</v>
      </c>
      <c r="G318" s="197"/>
      <c r="I318" s="74"/>
      <c r="J318" s="74"/>
      <c r="K318" s="185"/>
      <c r="L318" s="185"/>
    </row>
    <row r="319" spans="2:12" ht="12.75" x14ac:dyDescent="0.2">
      <c r="B319" s="188" t="s">
        <v>1298</v>
      </c>
      <c r="C319" s="189" t="s">
        <v>125</v>
      </c>
      <c r="D319" s="189" t="s">
        <v>152</v>
      </c>
      <c r="E319" s="190" t="s">
        <v>1299</v>
      </c>
      <c r="F319" s="191">
        <f t="shared" si="6"/>
        <v>201.55</v>
      </c>
      <c r="G319" s="197"/>
      <c r="I319" s="74"/>
      <c r="J319" s="74"/>
      <c r="K319" s="185"/>
      <c r="L319" s="185"/>
    </row>
    <row r="320" spans="2:12" ht="12.75" x14ac:dyDescent="0.2">
      <c r="B320" s="188" t="s">
        <v>1300</v>
      </c>
      <c r="C320" s="189" t="s">
        <v>130</v>
      </c>
      <c r="D320" s="189" t="s">
        <v>123</v>
      </c>
      <c r="E320" s="190" t="s">
        <v>1301</v>
      </c>
      <c r="F320" s="191">
        <f t="shared" si="6"/>
        <v>242.15</v>
      </c>
      <c r="G320" s="197"/>
      <c r="I320" s="74"/>
      <c r="J320" s="74"/>
      <c r="K320" s="185"/>
      <c r="L320" s="185"/>
    </row>
    <row r="321" spans="2:12" ht="12.75" x14ac:dyDescent="0.2">
      <c r="B321" s="188" t="s">
        <v>1302</v>
      </c>
      <c r="C321" s="189" t="s">
        <v>124</v>
      </c>
      <c r="D321" s="189" t="s">
        <v>123</v>
      </c>
      <c r="E321" s="190" t="s">
        <v>1303</v>
      </c>
      <c r="F321" s="191">
        <f t="shared" si="6"/>
        <v>312.14999999999998</v>
      </c>
      <c r="G321" s="197"/>
      <c r="I321" s="74"/>
      <c r="J321" s="74"/>
      <c r="K321" s="185"/>
      <c r="L321" s="185"/>
    </row>
    <row r="322" spans="2:12" ht="12.75" x14ac:dyDescent="0.2">
      <c r="B322" s="188" t="s">
        <v>1304</v>
      </c>
      <c r="C322" s="189" t="s">
        <v>130</v>
      </c>
      <c r="D322" s="189" t="s">
        <v>123</v>
      </c>
      <c r="E322" s="190" t="s">
        <v>1305</v>
      </c>
      <c r="F322" s="191">
        <f t="shared" si="6"/>
        <v>299.89999999999998</v>
      </c>
      <c r="G322" s="197"/>
      <c r="I322" s="74"/>
      <c r="J322" s="74"/>
      <c r="K322" s="185"/>
      <c r="L322" s="185"/>
    </row>
    <row r="323" spans="2:12" ht="12.75" x14ac:dyDescent="0.2">
      <c r="B323" s="188" t="s">
        <v>323</v>
      </c>
      <c r="C323" s="189" t="s">
        <v>140</v>
      </c>
      <c r="D323" s="189" t="s">
        <v>123</v>
      </c>
      <c r="E323" s="190" t="s">
        <v>1306</v>
      </c>
      <c r="F323" s="191">
        <f t="shared" si="6"/>
        <v>306.60000000000002</v>
      </c>
      <c r="G323" s="197"/>
      <c r="I323" s="74"/>
      <c r="J323" s="74"/>
      <c r="K323" s="185"/>
      <c r="L323" s="185"/>
    </row>
    <row r="324" spans="2:12" ht="12.75" x14ac:dyDescent="0.2">
      <c r="B324" s="188" t="s">
        <v>291</v>
      </c>
      <c r="C324" s="189" t="s">
        <v>130</v>
      </c>
      <c r="D324" s="189" t="s">
        <v>123</v>
      </c>
      <c r="E324" s="190" t="s">
        <v>1230</v>
      </c>
      <c r="F324" s="191">
        <f t="shared" si="6"/>
        <v>189.1</v>
      </c>
      <c r="G324" s="197"/>
      <c r="I324" s="74"/>
      <c r="J324" s="74"/>
      <c r="K324" s="185"/>
      <c r="L324" s="185"/>
    </row>
    <row r="325" spans="2:12" ht="12.75" x14ac:dyDescent="0.2">
      <c r="B325" s="188" t="s">
        <v>1307</v>
      </c>
      <c r="C325" s="189" t="s">
        <v>124</v>
      </c>
      <c r="D325" s="189" t="s">
        <v>123</v>
      </c>
      <c r="E325" s="190" t="s">
        <v>1308</v>
      </c>
      <c r="F325" s="191">
        <f t="shared" si="6"/>
        <v>264.36666666666667</v>
      </c>
      <c r="G325" s="197"/>
      <c r="I325" s="74"/>
      <c r="J325" s="74"/>
      <c r="K325" s="185"/>
      <c r="L325" s="185"/>
    </row>
    <row r="326" spans="2:12" ht="12.75" x14ac:dyDescent="0.2">
      <c r="B326" s="188" t="s">
        <v>1309</v>
      </c>
      <c r="C326" s="189" t="s">
        <v>126</v>
      </c>
      <c r="D326" s="189" t="s">
        <v>123</v>
      </c>
      <c r="E326" s="190" t="s">
        <v>1310</v>
      </c>
      <c r="F326" s="191">
        <f t="shared" si="6"/>
        <v>202.4</v>
      </c>
      <c r="G326" s="197"/>
      <c r="I326" s="74"/>
      <c r="J326" s="74"/>
      <c r="K326" s="185"/>
      <c r="L326" s="185"/>
    </row>
    <row r="327" spans="2:12" ht="12.75" x14ac:dyDescent="0.2">
      <c r="B327" s="188" t="s">
        <v>589</v>
      </c>
      <c r="C327" s="189" t="s">
        <v>124</v>
      </c>
      <c r="D327" s="189" t="s">
        <v>123</v>
      </c>
      <c r="E327" s="190" t="s">
        <v>1311</v>
      </c>
      <c r="F327" s="191">
        <f t="shared" si="6"/>
        <v>208.73333333333332</v>
      </c>
      <c r="G327" s="197"/>
      <c r="I327" s="74"/>
      <c r="J327" s="74"/>
      <c r="K327" s="185"/>
      <c r="L327" s="185"/>
    </row>
    <row r="328" spans="2:12" ht="12.75" x14ac:dyDescent="0.2">
      <c r="B328" s="188" t="s">
        <v>381</v>
      </c>
      <c r="C328" s="189" t="s">
        <v>142</v>
      </c>
      <c r="D328" s="189" t="s">
        <v>123</v>
      </c>
      <c r="E328" s="190" t="s">
        <v>1312</v>
      </c>
      <c r="F328" s="191">
        <f t="shared" si="6"/>
        <v>278.35000000000002</v>
      </c>
      <c r="G328" s="197"/>
      <c r="I328" s="74"/>
      <c r="J328" s="74"/>
      <c r="K328" s="185"/>
      <c r="L328" s="185"/>
    </row>
    <row r="329" spans="2:12" ht="12.75" x14ac:dyDescent="0.2">
      <c r="B329" s="188" t="s">
        <v>1313</v>
      </c>
      <c r="C329" s="189" t="s">
        <v>124</v>
      </c>
      <c r="D329" s="189" t="s">
        <v>148</v>
      </c>
      <c r="E329" s="190" t="s">
        <v>1314</v>
      </c>
      <c r="F329" s="191">
        <f t="shared" si="6"/>
        <v>234.25</v>
      </c>
      <c r="G329" s="197"/>
      <c r="I329" s="74"/>
      <c r="J329" s="74"/>
      <c r="K329" s="185"/>
      <c r="L329" s="185"/>
    </row>
    <row r="330" spans="2:12" ht="12.75" x14ac:dyDescent="0.2">
      <c r="B330" s="188" t="s">
        <v>1315</v>
      </c>
      <c r="C330" s="189" t="s">
        <v>124</v>
      </c>
      <c r="D330" s="189" t="s">
        <v>123</v>
      </c>
      <c r="E330" s="190" t="s">
        <v>1316</v>
      </c>
      <c r="F330" s="191">
        <f t="shared" si="6"/>
        <v>252.91666666666666</v>
      </c>
      <c r="G330" s="197"/>
      <c r="I330" s="74"/>
      <c r="J330" s="74"/>
      <c r="K330" s="185"/>
      <c r="L330" s="185"/>
    </row>
    <row r="331" spans="2:12" ht="12.75" x14ac:dyDescent="0.2">
      <c r="B331" s="188" t="s">
        <v>167</v>
      </c>
      <c r="C331" s="189" t="s">
        <v>134</v>
      </c>
      <c r="D331" s="189" t="s">
        <v>123</v>
      </c>
      <c r="E331" s="190" t="s">
        <v>1317</v>
      </c>
      <c r="F331" s="191">
        <f t="shared" ref="F331:F394" si="7">HOUR(E331)*60+MINUTE(E331)+SECOND(E331)/60</f>
        <v>254.9</v>
      </c>
      <c r="G331" s="197"/>
      <c r="I331" s="74"/>
      <c r="J331" s="74"/>
      <c r="K331" s="185"/>
      <c r="L331" s="185"/>
    </row>
    <row r="332" spans="2:12" ht="12.75" x14ac:dyDescent="0.2">
      <c r="B332" s="188" t="s">
        <v>1318</v>
      </c>
      <c r="C332" s="189" t="s">
        <v>142</v>
      </c>
      <c r="D332" s="189" t="s">
        <v>123</v>
      </c>
      <c r="E332" s="190" t="s">
        <v>1319</v>
      </c>
      <c r="F332" s="191">
        <f t="shared" si="7"/>
        <v>253.66666666666666</v>
      </c>
      <c r="G332" s="197"/>
      <c r="I332" s="74"/>
      <c r="J332" s="74"/>
      <c r="K332" s="185"/>
      <c r="L332" s="185"/>
    </row>
    <row r="333" spans="2:12" ht="12.75" x14ac:dyDescent="0.2">
      <c r="B333" s="188" t="s">
        <v>1320</v>
      </c>
      <c r="C333" s="189" t="s">
        <v>130</v>
      </c>
      <c r="D333" s="189" t="s">
        <v>157</v>
      </c>
      <c r="E333" s="190" t="s">
        <v>1321</v>
      </c>
      <c r="F333" s="191">
        <f t="shared" si="7"/>
        <v>182.85</v>
      </c>
      <c r="G333" s="197"/>
      <c r="I333" s="74"/>
      <c r="J333" s="74"/>
      <c r="K333" s="185"/>
      <c r="L333" s="185"/>
    </row>
    <row r="334" spans="2:12" ht="12.75" x14ac:dyDescent="0.2">
      <c r="B334" s="188" t="s">
        <v>1322</v>
      </c>
      <c r="C334" s="189" t="s">
        <v>126</v>
      </c>
      <c r="D334" s="189" t="s">
        <v>123</v>
      </c>
      <c r="E334" s="190" t="s">
        <v>1323</v>
      </c>
      <c r="F334" s="191">
        <f t="shared" si="7"/>
        <v>206.73333333333332</v>
      </c>
      <c r="G334" s="197"/>
      <c r="I334" s="74"/>
      <c r="J334" s="74"/>
      <c r="K334" s="185"/>
      <c r="L334" s="185"/>
    </row>
    <row r="335" spans="2:12" ht="12.75" x14ac:dyDescent="0.2">
      <c r="B335" s="188" t="s">
        <v>1324</v>
      </c>
      <c r="C335" s="189" t="s">
        <v>128</v>
      </c>
      <c r="D335" s="189" t="s">
        <v>165</v>
      </c>
      <c r="E335" s="190" t="s">
        <v>1325</v>
      </c>
      <c r="F335" s="191">
        <f t="shared" si="7"/>
        <v>313.85000000000002</v>
      </c>
      <c r="G335" s="197"/>
      <c r="I335" s="74"/>
      <c r="J335" s="74"/>
      <c r="K335" s="185"/>
      <c r="L335" s="185"/>
    </row>
    <row r="336" spans="2:12" ht="12.75" x14ac:dyDescent="0.2">
      <c r="B336" s="188" t="s">
        <v>1251</v>
      </c>
      <c r="C336" s="189" t="s">
        <v>128</v>
      </c>
      <c r="D336" s="189" t="s">
        <v>123</v>
      </c>
      <c r="E336" s="190" t="s">
        <v>1252</v>
      </c>
      <c r="F336" s="191">
        <f t="shared" si="7"/>
        <v>243.23333333333332</v>
      </c>
      <c r="G336" s="197"/>
      <c r="I336" s="74"/>
      <c r="J336" s="74"/>
      <c r="K336" s="185"/>
      <c r="L336" s="185"/>
    </row>
    <row r="337" spans="2:12" ht="12.75" x14ac:dyDescent="0.2">
      <c r="B337" s="188" t="s">
        <v>1326</v>
      </c>
      <c r="C337" s="189" t="s">
        <v>128</v>
      </c>
      <c r="D337" s="189" t="s">
        <v>123</v>
      </c>
      <c r="E337" s="190" t="s">
        <v>1327</v>
      </c>
      <c r="F337" s="191">
        <f t="shared" si="7"/>
        <v>234.01666666666668</v>
      </c>
      <c r="G337" s="197"/>
      <c r="I337" s="74"/>
      <c r="J337" s="74"/>
      <c r="K337" s="185"/>
      <c r="L337" s="185"/>
    </row>
    <row r="338" spans="2:12" ht="12.75" x14ac:dyDescent="0.2">
      <c r="B338" s="188" t="s">
        <v>1328</v>
      </c>
      <c r="C338" s="189" t="s">
        <v>124</v>
      </c>
      <c r="D338" s="189" t="s">
        <v>123</v>
      </c>
      <c r="E338" s="190" t="s">
        <v>1329</v>
      </c>
      <c r="F338" s="191">
        <f t="shared" si="7"/>
        <v>242.45</v>
      </c>
      <c r="G338" s="197"/>
      <c r="I338" s="74"/>
      <c r="J338" s="74"/>
      <c r="K338" s="185"/>
      <c r="L338" s="185"/>
    </row>
    <row r="339" spans="2:12" ht="12.75" x14ac:dyDescent="0.2">
      <c r="B339" s="188" t="s">
        <v>1330</v>
      </c>
      <c r="C339" s="189" t="s">
        <v>134</v>
      </c>
      <c r="D339" s="189" t="s">
        <v>131</v>
      </c>
      <c r="E339" s="190" t="s">
        <v>1331</v>
      </c>
      <c r="F339" s="191">
        <f t="shared" si="7"/>
        <v>268.63333333333333</v>
      </c>
      <c r="G339" s="197"/>
      <c r="I339" s="74"/>
      <c r="J339" s="74"/>
      <c r="K339" s="185"/>
      <c r="L339" s="185"/>
    </row>
    <row r="340" spans="2:12" ht="12.75" x14ac:dyDescent="0.2">
      <c r="B340" s="188" t="s">
        <v>362</v>
      </c>
      <c r="C340" s="189" t="s">
        <v>124</v>
      </c>
      <c r="D340" s="189" t="s">
        <v>123</v>
      </c>
      <c r="E340" s="190" t="s">
        <v>1332</v>
      </c>
      <c r="F340" s="191">
        <f t="shared" si="7"/>
        <v>239.81666666666666</v>
      </c>
      <c r="G340" s="197"/>
      <c r="I340" s="74"/>
      <c r="J340" s="74"/>
      <c r="K340" s="185"/>
      <c r="L340" s="185"/>
    </row>
    <row r="341" spans="2:12" ht="12.75" x14ac:dyDescent="0.2">
      <c r="B341" s="188" t="s">
        <v>1333</v>
      </c>
      <c r="C341" s="189" t="s">
        <v>124</v>
      </c>
      <c r="D341" s="189" t="s">
        <v>123</v>
      </c>
      <c r="E341" s="190" t="s">
        <v>1334</v>
      </c>
      <c r="F341" s="191">
        <f t="shared" si="7"/>
        <v>272.45</v>
      </c>
      <c r="G341" s="197"/>
      <c r="I341" s="74"/>
      <c r="J341" s="74"/>
      <c r="K341" s="185"/>
      <c r="L341" s="185"/>
    </row>
    <row r="342" spans="2:12" ht="12.75" x14ac:dyDescent="0.2">
      <c r="B342" s="188" t="s">
        <v>1335</v>
      </c>
      <c r="C342" s="189" t="s">
        <v>125</v>
      </c>
      <c r="D342" s="189" t="s">
        <v>123</v>
      </c>
      <c r="E342" s="190" t="s">
        <v>1336</v>
      </c>
      <c r="F342" s="191">
        <f t="shared" si="7"/>
        <v>241.91666666666666</v>
      </c>
      <c r="G342" s="197"/>
      <c r="I342" s="74"/>
      <c r="J342" s="74"/>
      <c r="K342" s="185"/>
      <c r="L342" s="185"/>
    </row>
    <row r="343" spans="2:12" ht="12.75" x14ac:dyDescent="0.2">
      <c r="B343" s="188" t="s">
        <v>332</v>
      </c>
      <c r="C343" s="189" t="s">
        <v>142</v>
      </c>
      <c r="D343" s="189" t="s">
        <v>123</v>
      </c>
      <c r="E343" s="190" t="s">
        <v>1337</v>
      </c>
      <c r="F343" s="191">
        <f t="shared" si="7"/>
        <v>301.05</v>
      </c>
      <c r="G343" s="197"/>
      <c r="I343" s="74"/>
      <c r="J343" s="74"/>
      <c r="K343" s="185"/>
      <c r="L343" s="185"/>
    </row>
    <row r="344" spans="2:12" ht="12.75" x14ac:dyDescent="0.2">
      <c r="B344" s="188" t="s">
        <v>1338</v>
      </c>
      <c r="C344" s="189" t="s">
        <v>134</v>
      </c>
      <c r="D344" s="189" t="s">
        <v>123</v>
      </c>
      <c r="E344" s="190" t="s">
        <v>1339</v>
      </c>
      <c r="F344" s="191">
        <f t="shared" si="7"/>
        <v>255.81666666666666</v>
      </c>
      <c r="G344" s="197"/>
      <c r="I344" s="74"/>
      <c r="J344" s="74"/>
      <c r="K344" s="185"/>
      <c r="L344" s="185"/>
    </row>
    <row r="345" spans="2:12" ht="12.75" x14ac:dyDescent="0.2">
      <c r="B345" s="188" t="s">
        <v>1340</v>
      </c>
      <c r="C345" s="189" t="s">
        <v>128</v>
      </c>
      <c r="D345" s="189" t="s">
        <v>139</v>
      </c>
      <c r="E345" s="190" t="s">
        <v>1341</v>
      </c>
      <c r="F345" s="191">
        <f t="shared" si="7"/>
        <v>236.18333333333334</v>
      </c>
      <c r="G345" s="197"/>
      <c r="I345" s="74"/>
      <c r="J345" s="74"/>
      <c r="K345" s="185"/>
      <c r="L345" s="185"/>
    </row>
    <row r="346" spans="2:12" ht="12.75" x14ac:dyDescent="0.2">
      <c r="B346" s="188" t="s">
        <v>282</v>
      </c>
      <c r="C346" s="189" t="s">
        <v>125</v>
      </c>
      <c r="D346" s="189" t="s">
        <v>123</v>
      </c>
      <c r="E346" s="190" t="s">
        <v>1342</v>
      </c>
      <c r="F346" s="191">
        <f t="shared" si="7"/>
        <v>286.43333333333334</v>
      </c>
      <c r="G346" s="197"/>
      <c r="I346" s="74"/>
      <c r="J346" s="74"/>
      <c r="K346" s="185"/>
      <c r="L346" s="185"/>
    </row>
    <row r="347" spans="2:12" ht="12.75" x14ac:dyDescent="0.2">
      <c r="B347" s="188" t="s">
        <v>1343</v>
      </c>
      <c r="C347" s="189" t="s">
        <v>125</v>
      </c>
      <c r="D347" s="189" t="s">
        <v>123</v>
      </c>
      <c r="E347" s="190" t="s">
        <v>1145</v>
      </c>
      <c r="F347" s="191">
        <f t="shared" si="7"/>
        <v>216.56666666666666</v>
      </c>
      <c r="G347" s="197"/>
      <c r="I347" s="74"/>
      <c r="J347" s="74"/>
      <c r="K347" s="185"/>
      <c r="L347" s="185"/>
    </row>
    <row r="348" spans="2:12" ht="12.75" x14ac:dyDescent="0.2">
      <c r="B348" s="188" t="s">
        <v>1344</v>
      </c>
      <c r="C348" s="189" t="s">
        <v>134</v>
      </c>
      <c r="D348" s="189" t="s">
        <v>123</v>
      </c>
      <c r="E348" s="190" t="s">
        <v>1345</v>
      </c>
      <c r="F348" s="191">
        <f t="shared" si="7"/>
        <v>260.60000000000002</v>
      </c>
      <c r="G348" s="197"/>
      <c r="I348" s="74"/>
      <c r="J348" s="74"/>
      <c r="K348" s="185"/>
      <c r="L348" s="185"/>
    </row>
    <row r="349" spans="2:12" ht="12.75" x14ac:dyDescent="0.2">
      <c r="B349" s="188" t="s">
        <v>1346</v>
      </c>
      <c r="C349" s="189" t="s">
        <v>125</v>
      </c>
      <c r="D349" s="189" t="s">
        <v>123</v>
      </c>
      <c r="E349" s="190" t="s">
        <v>1347</v>
      </c>
      <c r="F349" s="191">
        <f t="shared" si="7"/>
        <v>248.41666666666666</v>
      </c>
      <c r="G349" s="197"/>
      <c r="I349" s="74"/>
      <c r="J349" s="74"/>
      <c r="K349" s="185"/>
      <c r="L349" s="185"/>
    </row>
    <row r="350" spans="2:12" ht="12.75" x14ac:dyDescent="0.2">
      <c r="B350" s="188" t="s">
        <v>1348</v>
      </c>
      <c r="C350" s="189" t="s">
        <v>134</v>
      </c>
      <c r="D350" s="189" t="s">
        <v>131</v>
      </c>
      <c r="E350" s="190" t="s">
        <v>1349</v>
      </c>
      <c r="F350" s="191">
        <f t="shared" si="7"/>
        <v>294.33333333333331</v>
      </c>
      <c r="G350" s="197"/>
      <c r="I350" s="74"/>
      <c r="J350" s="74"/>
      <c r="K350" s="185"/>
      <c r="L350" s="185"/>
    </row>
    <row r="351" spans="2:12" ht="12.75" x14ac:dyDescent="0.2">
      <c r="B351" s="188" t="s">
        <v>1350</v>
      </c>
      <c r="C351" s="189" t="s">
        <v>124</v>
      </c>
      <c r="D351" s="189" t="s">
        <v>123</v>
      </c>
      <c r="E351" s="190" t="s">
        <v>1037</v>
      </c>
      <c r="F351" s="191">
        <f t="shared" si="7"/>
        <v>224.6</v>
      </c>
      <c r="G351" s="197"/>
      <c r="I351" s="74"/>
      <c r="J351" s="74"/>
      <c r="K351" s="185"/>
      <c r="L351" s="185"/>
    </row>
    <row r="352" spans="2:12" ht="12.75" x14ac:dyDescent="0.2">
      <c r="B352" s="188" t="s">
        <v>1351</v>
      </c>
      <c r="C352" s="189" t="s">
        <v>125</v>
      </c>
      <c r="D352" s="189" t="s">
        <v>123</v>
      </c>
      <c r="E352" s="190" t="s">
        <v>1352</v>
      </c>
      <c r="F352" s="191">
        <f t="shared" si="7"/>
        <v>286.96666666666664</v>
      </c>
      <c r="G352" s="197"/>
      <c r="I352" s="74"/>
      <c r="J352" s="74"/>
      <c r="K352" s="185"/>
      <c r="L352" s="185"/>
    </row>
    <row r="353" spans="2:12" ht="12.75" x14ac:dyDescent="0.2">
      <c r="B353" s="188" t="s">
        <v>1353</v>
      </c>
      <c r="C353" s="189" t="s">
        <v>142</v>
      </c>
      <c r="D353" s="189" t="s">
        <v>123</v>
      </c>
      <c r="E353" s="190" t="s">
        <v>1354</v>
      </c>
      <c r="F353" s="191">
        <f t="shared" si="7"/>
        <v>333.13333333333333</v>
      </c>
      <c r="G353" s="197"/>
      <c r="I353" s="74"/>
      <c r="J353" s="74"/>
      <c r="K353" s="185"/>
      <c r="L353" s="185"/>
    </row>
    <row r="354" spans="2:12" ht="12.75" x14ac:dyDescent="0.2">
      <c r="B354" s="188" t="s">
        <v>1355</v>
      </c>
      <c r="C354" s="189" t="s">
        <v>124</v>
      </c>
      <c r="D354" s="189" t="s">
        <v>123</v>
      </c>
      <c r="E354" s="190" t="s">
        <v>1356</v>
      </c>
      <c r="F354" s="191">
        <f t="shared" si="7"/>
        <v>302.73333333333335</v>
      </c>
      <c r="G354" s="197"/>
      <c r="I354" s="74"/>
      <c r="J354" s="74"/>
      <c r="K354" s="185"/>
      <c r="L354" s="185"/>
    </row>
    <row r="355" spans="2:12" ht="12.75" x14ac:dyDescent="0.2">
      <c r="B355" s="188" t="s">
        <v>1357</v>
      </c>
      <c r="C355" s="189" t="s">
        <v>124</v>
      </c>
      <c r="D355" s="189" t="s">
        <v>123</v>
      </c>
      <c r="E355" s="190" t="s">
        <v>1358</v>
      </c>
      <c r="F355" s="191">
        <f t="shared" si="7"/>
        <v>287.23333333333335</v>
      </c>
      <c r="G355" s="197"/>
      <c r="I355" s="74"/>
      <c r="J355" s="74"/>
      <c r="K355" s="185"/>
      <c r="L355" s="185"/>
    </row>
    <row r="356" spans="2:12" ht="12.75" x14ac:dyDescent="0.2">
      <c r="B356" s="188" t="s">
        <v>1359</v>
      </c>
      <c r="C356" s="189" t="s">
        <v>135</v>
      </c>
      <c r="D356" s="189" t="s">
        <v>132</v>
      </c>
      <c r="E356" s="190" t="s">
        <v>1360</v>
      </c>
      <c r="F356" s="191">
        <f t="shared" si="7"/>
        <v>272.53333333333336</v>
      </c>
      <c r="G356" s="197"/>
      <c r="I356" s="74"/>
      <c r="J356" s="74"/>
      <c r="K356" s="185"/>
      <c r="L356" s="185"/>
    </row>
    <row r="357" spans="2:12" ht="12.75" x14ac:dyDescent="0.2">
      <c r="B357" s="188" t="s">
        <v>462</v>
      </c>
      <c r="C357" s="189" t="s">
        <v>130</v>
      </c>
      <c r="D357" s="189" t="s">
        <v>123</v>
      </c>
      <c r="E357" s="190" t="s">
        <v>1361</v>
      </c>
      <c r="F357" s="191">
        <f t="shared" si="7"/>
        <v>265.35000000000002</v>
      </c>
      <c r="G357" s="197"/>
      <c r="I357" s="74"/>
      <c r="J357" s="74"/>
      <c r="K357" s="185"/>
      <c r="L357" s="185"/>
    </row>
    <row r="358" spans="2:12" ht="12.75" x14ac:dyDescent="0.2">
      <c r="B358" s="188" t="s">
        <v>1362</v>
      </c>
      <c r="C358" s="189" t="s">
        <v>249</v>
      </c>
      <c r="D358" s="189" t="s">
        <v>131</v>
      </c>
      <c r="E358" s="190" t="s">
        <v>957</v>
      </c>
      <c r="F358" s="191">
        <f t="shared" si="7"/>
        <v>203.08333333333334</v>
      </c>
      <c r="G358" s="197"/>
      <c r="I358" s="74"/>
      <c r="J358" s="74"/>
      <c r="K358" s="185"/>
      <c r="L358" s="185"/>
    </row>
    <row r="359" spans="2:12" ht="12.75" x14ac:dyDescent="0.2">
      <c r="B359" s="188" t="s">
        <v>1363</v>
      </c>
      <c r="C359" s="189" t="s">
        <v>142</v>
      </c>
      <c r="D359" s="189" t="s">
        <v>141</v>
      </c>
      <c r="E359" s="190" t="s">
        <v>1364</v>
      </c>
      <c r="F359" s="191">
        <f t="shared" si="7"/>
        <v>251.93333333333334</v>
      </c>
      <c r="G359" s="197"/>
      <c r="I359" s="74"/>
      <c r="J359" s="74"/>
      <c r="K359" s="185"/>
      <c r="L359" s="185"/>
    </row>
    <row r="360" spans="2:12" ht="12.75" x14ac:dyDescent="0.2">
      <c r="B360" s="188" t="s">
        <v>1365</v>
      </c>
      <c r="C360" s="189" t="s">
        <v>126</v>
      </c>
      <c r="D360" s="189" t="s">
        <v>123</v>
      </c>
      <c r="E360" s="190" t="s">
        <v>1366</v>
      </c>
      <c r="F360" s="191">
        <f t="shared" si="7"/>
        <v>322.66666666666669</v>
      </c>
      <c r="G360" s="197"/>
      <c r="I360" s="74"/>
      <c r="J360" s="74"/>
      <c r="K360" s="185"/>
      <c r="L360" s="185"/>
    </row>
    <row r="361" spans="2:12" ht="12.75" x14ac:dyDescent="0.2">
      <c r="B361" s="188" t="s">
        <v>1367</v>
      </c>
      <c r="C361" s="189" t="s">
        <v>142</v>
      </c>
      <c r="D361" s="189" t="s">
        <v>141</v>
      </c>
      <c r="E361" s="190" t="s">
        <v>1368</v>
      </c>
      <c r="F361" s="191">
        <f t="shared" si="7"/>
        <v>224.35</v>
      </c>
      <c r="G361" s="197"/>
      <c r="I361" s="74"/>
      <c r="J361" s="74"/>
      <c r="K361" s="185"/>
      <c r="L361" s="185"/>
    </row>
    <row r="362" spans="2:12" ht="12.75" x14ac:dyDescent="0.2">
      <c r="B362" s="188" t="s">
        <v>1369</v>
      </c>
      <c r="C362" s="189" t="s">
        <v>135</v>
      </c>
      <c r="D362" s="189" t="s">
        <v>123</v>
      </c>
      <c r="E362" s="190" t="s">
        <v>1370</v>
      </c>
      <c r="F362" s="191">
        <f t="shared" si="7"/>
        <v>240.9</v>
      </c>
      <c r="G362" s="197"/>
      <c r="I362" s="74"/>
      <c r="J362" s="74"/>
      <c r="K362" s="185"/>
      <c r="L362" s="185"/>
    </row>
    <row r="363" spans="2:12" ht="12.75" x14ac:dyDescent="0.2">
      <c r="B363" s="188" t="s">
        <v>1371</v>
      </c>
      <c r="C363" s="189" t="s">
        <v>134</v>
      </c>
      <c r="D363" s="189" t="s">
        <v>123</v>
      </c>
      <c r="E363" s="190" t="s">
        <v>1372</v>
      </c>
      <c r="F363" s="191">
        <f t="shared" si="7"/>
        <v>207.31666666666666</v>
      </c>
      <c r="G363" s="197"/>
      <c r="I363" s="74"/>
      <c r="J363" s="74"/>
      <c r="K363" s="185"/>
      <c r="L363" s="185"/>
    </row>
    <row r="364" spans="2:12" ht="12.75" x14ac:dyDescent="0.2">
      <c r="B364" s="188" t="s">
        <v>1373</v>
      </c>
      <c r="C364" s="189" t="s">
        <v>124</v>
      </c>
      <c r="D364" s="189" t="s">
        <v>147</v>
      </c>
      <c r="E364" s="190" t="s">
        <v>1374</v>
      </c>
      <c r="F364" s="191">
        <f t="shared" si="7"/>
        <v>265.28333333333336</v>
      </c>
      <c r="G364" s="197"/>
      <c r="I364" s="74"/>
      <c r="J364" s="74"/>
      <c r="K364" s="185"/>
      <c r="L364" s="185"/>
    </row>
    <row r="365" spans="2:12" ht="12.75" x14ac:dyDescent="0.2">
      <c r="B365" s="188" t="s">
        <v>1375</v>
      </c>
      <c r="C365" s="189" t="s">
        <v>124</v>
      </c>
      <c r="D365" s="189" t="s">
        <v>151</v>
      </c>
      <c r="E365" s="190" t="s">
        <v>1376</v>
      </c>
      <c r="F365" s="191">
        <f t="shared" si="7"/>
        <v>236.65</v>
      </c>
      <c r="G365" s="197"/>
      <c r="I365" s="74"/>
      <c r="J365" s="74"/>
      <c r="K365" s="185"/>
      <c r="L365" s="185"/>
    </row>
    <row r="366" spans="2:12" ht="12.75" x14ac:dyDescent="0.2">
      <c r="B366" s="188" t="s">
        <v>1377</v>
      </c>
      <c r="C366" s="189" t="s">
        <v>130</v>
      </c>
      <c r="D366" s="189" t="s">
        <v>129</v>
      </c>
      <c r="E366" s="190" t="s">
        <v>1378</v>
      </c>
      <c r="F366" s="191">
        <f t="shared" si="7"/>
        <v>208.88333333333333</v>
      </c>
      <c r="G366" s="197"/>
      <c r="I366" s="74"/>
      <c r="J366" s="74"/>
      <c r="K366" s="185"/>
      <c r="L366" s="185"/>
    </row>
    <row r="367" spans="2:12" ht="12.75" x14ac:dyDescent="0.2">
      <c r="B367" s="188" t="s">
        <v>1379</v>
      </c>
      <c r="C367" s="189" t="s">
        <v>126</v>
      </c>
      <c r="D367" s="189" t="s">
        <v>123</v>
      </c>
      <c r="E367" s="190" t="s">
        <v>1380</v>
      </c>
      <c r="F367" s="191">
        <f t="shared" si="7"/>
        <v>255.58333333333334</v>
      </c>
      <c r="G367" s="197"/>
      <c r="I367" s="74"/>
      <c r="J367" s="74"/>
      <c r="K367" s="185"/>
      <c r="L367" s="185"/>
    </row>
    <row r="368" spans="2:12" ht="12.75" x14ac:dyDescent="0.2">
      <c r="B368" s="188" t="s">
        <v>1381</v>
      </c>
      <c r="C368" s="189" t="s">
        <v>130</v>
      </c>
      <c r="D368" s="189" t="s">
        <v>131</v>
      </c>
      <c r="E368" s="190" t="s">
        <v>1382</v>
      </c>
      <c r="F368" s="191">
        <f t="shared" si="7"/>
        <v>273.28333333333336</v>
      </c>
      <c r="G368" s="197"/>
      <c r="I368" s="74"/>
      <c r="J368" s="74"/>
      <c r="K368" s="185"/>
      <c r="L368" s="185"/>
    </row>
    <row r="369" spans="2:12" ht="12.75" x14ac:dyDescent="0.2">
      <c r="B369" s="188" t="s">
        <v>364</v>
      </c>
      <c r="C369" s="189" t="s">
        <v>135</v>
      </c>
      <c r="D369" s="189" t="s">
        <v>123</v>
      </c>
      <c r="E369" s="190" t="s">
        <v>1383</v>
      </c>
      <c r="F369" s="191">
        <f t="shared" si="7"/>
        <v>330.16666666666669</v>
      </c>
      <c r="G369" s="197"/>
      <c r="I369" s="74"/>
      <c r="J369" s="74"/>
      <c r="K369" s="185"/>
      <c r="L369" s="185"/>
    </row>
    <row r="370" spans="2:12" ht="12.75" x14ac:dyDescent="0.2">
      <c r="B370" s="188" t="s">
        <v>1384</v>
      </c>
      <c r="C370" s="189" t="s">
        <v>135</v>
      </c>
      <c r="D370" s="189" t="s">
        <v>123</v>
      </c>
      <c r="E370" s="190" t="s">
        <v>1385</v>
      </c>
      <c r="F370" s="191">
        <f t="shared" si="7"/>
        <v>242.8</v>
      </c>
      <c r="G370" s="197"/>
      <c r="I370" s="74"/>
      <c r="J370" s="74"/>
      <c r="K370" s="185"/>
      <c r="L370" s="185"/>
    </row>
    <row r="371" spans="2:12" ht="12.75" x14ac:dyDescent="0.2">
      <c r="B371" s="188" t="s">
        <v>1386</v>
      </c>
      <c r="C371" s="189" t="s">
        <v>134</v>
      </c>
      <c r="D371" s="189" t="s">
        <v>123</v>
      </c>
      <c r="E371" s="190" t="s">
        <v>1387</v>
      </c>
      <c r="F371" s="191">
        <f t="shared" si="7"/>
        <v>333.31666666666666</v>
      </c>
      <c r="G371" s="197"/>
      <c r="I371" s="74"/>
      <c r="J371" s="74"/>
      <c r="K371" s="185"/>
      <c r="L371" s="185"/>
    </row>
    <row r="372" spans="2:12" ht="12.75" x14ac:dyDescent="0.2">
      <c r="B372" s="188" t="s">
        <v>1388</v>
      </c>
      <c r="C372" s="189" t="s">
        <v>125</v>
      </c>
      <c r="D372" s="189" t="s">
        <v>148</v>
      </c>
      <c r="E372" s="190" t="s">
        <v>1389</v>
      </c>
      <c r="F372" s="191">
        <f t="shared" si="7"/>
        <v>237.81666666666666</v>
      </c>
      <c r="G372" s="197"/>
      <c r="I372" s="74"/>
      <c r="J372" s="74"/>
      <c r="K372" s="185"/>
      <c r="L372" s="185"/>
    </row>
    <row r="373" spans="2:12" ht="12.75" x14ac:dyDescent="0.2">
      <c r="B373" s="188" t="s">
        <v>1390</v>
      </c>
      <c r="C373" s="189" t="s">
        <v>124</v>
      </c>
      <c r="D373" s="189" t="s">
        <v>131</v>
      </c>
      <c r="E373" s="190" t="s">
        <v>1391</v>
      </c>
      <c r="F373" s="191">
        <f t="shared" si="7"/>
        <v>205.86666666666667</v>
      </c>
      <c r="G373" s="197"/>
      <c r="I373" s="74"/>
      <c r="J373" s="74"/>
      <c r="K373" s="185"/>
      <c r="L373" s="185"/>
    </row>
    <row r="374" spans="2:12" ht="12.75" x14ac:dyDescent="0.2">
      <c r="B374" s="188" t="s">
        <v>1392</v>
      </c>
      <c r="C374" s="189" t="s">
        <v>128</v>
      </c>
      <c r="D374" s="189" t="s">
        <v>123</v>
      </c>
      <c r="E374" s="190" t="s">
        <v>1393</v>
      </c>
      <c r="F374" s="191">
        <f t="shared" si="7"/>
        <v>276.8</v>
      </c>
      <c r="G374" s="197"/>
      <c r="I374" s="74"/>
      <c r="J374" s="74"/>
      <c r="K374" s="185"/>
      <c r="L374" s="185"/>
    </row>
    <row r="375" spans="2:12" ht="12.75" x14ac:dyDescent="0.2">
      <c r="B375" s="188" t="s">
        <v>1394</v>
      </c>
      <c r="C375" s="189" t="s">
        <v>142</v>
      </c>
      <c r="D375" s="189" t="s">
        <v>148</v>
      </c>
      <c r="E375" s="190" t="s">
        <v>1395</v>
      </c>
      <c r="F375" s="191">
        <f t="shared" si="7"/>
        <v>288.93333333333334</v>
      </c>
      <c r="G375" s="197"/>
      <c r="I375" s="74"/>
      <c r="J375" s="74"/>
      <c r="K375" s="185"/>
      <c r="L375" s="185"/>
    </row>
    <row r="376" spans="2:12" ht="12.75" x14ac:dyDescent="0.2">
      <c r="B376" s="188" t="s">
        <v>1396</v>
      </c>
      <c r="C376" s="189" t="s">
        <v>130</v>
      </c>
      <c r="D376" s="189" t="s">
        <v>123</v>
      </c>
      <c r="E376" s="190" t="s">
        <v>1397</v>
      </c>
      <c r="F376" s="191">
        <f t="shared" si="7"/>
        <v>221.8</v>
      </c>
      <c r="G376" s="197"/>
      <c r="I376" s="74"/>
      <c r="J376" s="74"/>
      <c r="K376" s="185"/>
      <c r="L376" s="185"/>
    </row>
    <row r="377" spans="2:12" ht="12.75" x14ac:dyDescent="0.2">
      <c r="B377" s="188" t="s">
        <v>1398</v>
      </c>
      <c r="C377" s="189" t="s">
        <v>142</v>
      </c>
      <c r="D377" s="189" t="s">
        <v>148</v>
      </c>
      <c r="E377" s="190" t="s">
        <v>1399</v>
      </c>
      <c r="F377" s="191">
        <f t="shared" si="7"/>
        <v>272.73333333333335</v>
      </c>
      <c r="G377" s="197"/>
      <c r="I377" s="74"/>
      <c r="J377" s="74"/>
      <c r="K377" s="185"/>
      <c r="L377" s="185"/>
    </row>
    <row r="378" spans="2:12" ht="12.75" x14ac:dyDescent="0.2">
      <c r="B378" s="188" t="s">
        <v>1400</v>
      </c>
      <c r="C378" s="189" t="s">
        <v>134</v>
      </c>
      <c r="D378" s="189" t="s">
        <v>131</v>
      </c>
      <c r="E378" s="190" t="s">
        <v>1401</v>
      </c>
      <c r="F378" s="191">
        <f t="shared" si="7"/>
        <v>209.26666666666668</v>
      </c>
      <c r="G378" s="197"/>
      <c r="I378" s="74"/>
      <c r="J378" s="74"/>
      <c r="K378" s="185"/>
      <c r="L378" s="185"/>
    </row>
    <row r="379" spans="2:12" ht="12.75" x14ac:dyDescent="0.2">
      <c r="B379" s="188" t="s">
        <v>1402</v>
      </c>
      <c r="C379" s="189" t="s">
        <v>126</v>
      </c>
      <c r="D379" s="189" t="s">
        <v>131</v>
      </c>
      <c r="E379" s="190" t="s">
        <v>1403</v>
      </c>
      <c r="F379" s="191">
        <f t="shared" si="7"/>
        <v>235.38333333333333</v>
      </c>
      <c r="G379" s="197"/>
      <c r="I379" s="74"/>
      <c r="J379" s="74"/>
      <c r="K379" s="185"/>
      <c r="L379" s="185"/>
    </row>
    <row r="380" spans="2:12" ht="12.75" x14ac:dyDescent="0.2">
      <c r="B380" s="188" t="s">
        <v>1404</v>
      </c>
      <c r="C380" s="189" t="s">
        <v>126</v>
      </c>
      <c r="D380" s="189" t="s">
        <v>123</v>
      </c>
      <c r="E380" s="190" t="s">
        <v>1405</v>
      </c>
      <c r="F380" s="191">
        <f t="shared" si="7"/>
        <v>326.93333333333334</v>
      </c>
      <c r="G380" s="197"/>
      <c r="I380" s="74"/>
      <c r="J380" s="74"/>
      <c r="K380" s="185"/>
      <c r="L380" s="185"/>
    </row>
    <row r="381" spans="2:12" ht="12.75" x14ac:dyDescent="0.2">
      <c r="B381" s="188" t="s">
        <v>1406</v>
      </c>
      <c r="C381" s="189" t="s">
        <v>142</v>
      </c>
      <c r="D381" s="189" t="s">
        <v>147</v>
      </c>
      <c r="E381" s="190" t="s">
        <v>1407</v>
      </c>
      <c r="F381" s="191">
        <f t="shared" si="7"/>
        <v>191.01666666666668</v>
      </c>
      <c r="G381" s="197"/>
      <c r="I381" s="74"/>
      <c r="J381" s="74"/>
      <c r="K381" s="185"/>
      <c r="L381" s="185"/>
    </row>
    <row r="382" spans="2:12" ht="12.75" x14ac:dyDescent="0.2">
      <c r="B382" s="188" t="s">
        <v>1408</v>
      </c>
      <c r="C382" s="189" t="s">
        <v>125</v>
      </c>
      <c r="D382" s="189" t="s">
        <v>314</v>
      </c>
      <c r="E382" s="190" t="s">
        <v>1409</v>
      </c>
      <c r="F382" s="191">
        <f t="shared" si="7"/>
        <v>219.61666666666667</v>
      </c>
      <c r="G382" s="197"/>
      <c r="I382" s="74"/>
      <c r="J382" s="74"/>
      <c r="K382" s="185"/>
      <c r="L382" s="185"/>
    </row>
    <row r="383" spans="2:12" ht="12.75" x14ac:dyDescent="0.2">
      <c r="B383" s="188" t="s">
        <v>1410</v>
      </c>
      <c r="C383" s="189" t="s">
        <v>134</v>
      </c>
      <c r="D383" s="189" t="s">
        <v>139</v>
      </c>
      <c r="E383" s="190" t="s">
        <v>1411</v>
      </c>
      <c r="F383" s="191">
        <f t="shared" si="7"/>
        <v>295.75</v>
      </c>
      <c r="G383" s="197"/>
      <c r="I383" s="74"/>
      <c r="J383" s="74"/>
      <c r="K383" s="185"/>
      <c r="L383" s="185"/>
    </row>
    <row r="384" spans="2:12" ht="12.75" x14ac:dyDescent="0.2">
      <c r="B384" s="188" t="s">
        <v>1412</v>
      </c>
      <c r="C384" s="189" t="s">
        <v>128</v>
      </c>
      <c r="D384" s="189" t="s">
        <v>427</v>
      </c>
      <c r="E384" s="190" t="s">
        <v>1413</v>
      </c>
      <c r="F384" s="191">
        <f t="shared" si="7"/>
        <v>321.45</v>
      </c>
      <c r="G384" s="197"/>
      <c r="I384" s="74"/>
      <c r="J384" s="74"/>
      <c r="K384" s="185"/>
      <c r="L384" s="185"/>
    </row>
    <row r="385" spans="2:12" ht="12.75" x14ac:dyDescent="0.2">
      <c r="B385" s="188" t="s">
        <v>1414</v>
      </c>
      <c r="C385" s="189" t="s">
        <v>134</v>
      </c>
      <c r="D385" s="189" t="s">
        <v>148</v>
      </c>
      <c r="E385" s="190" t="s">
        <v>1415</v>
      </c>
      <c r="F385" s="191">
        <f t="shared" si="7"/>
        <v>209.43333333333334</v>
      </c>
      <c r="G385" s="197"/>
      <c r="I385" s="74"/>
      <c r="J385" s="74"/>
      <c r="K385" s="185"/>
      <c r="L385" s="185"/>
    </row>
    <row r="386" spans="2:12" ht="12.75" x14ac:dyDescent="0.2">
      <c r="B386" s="188" t="s">
        <v>1416</v>
      </c>
      <c r="C386" s="189" t="s">
        <v>130</v>
      </c>
      <c r="D386" s="189" t="s">
        <v>123</v>
      </c>
      <c r="E386" s="190" t="s">
        <v>1417</v>
      </c>
      <c r="F386" s="191">
        <f t="shared" si="7"/>
        <v>318.73333333333335</v>
      </c>
      <c r="G386" s="197"/>
      <c r="I386" s="74"/>
      <c r="J386" s="74"/>
      <c r="K386" s="185"/>
      <c r="L386" s="185"/>
    </row>
    <row r="387" spans="2:12" ht="12.75" x14ac:dyDescent="0.2">
      <c r="B387" s="188" t="s">
        <v>1418</v>
      </c>
      <c r="C387" s="189" t="s">
        <v>125</v>
      </c>
      <c r="D387" s="189" t="s">
        <v>123</v>
      </c>
      <c r="E387" s="190" t="s">
        <v>1419</v>
      </c>
      <c r="F387" s="191">
        <f t="shared" si="7"/>
        <v>252.18333333333334</v>
      </c>
      <c r="G387" s="197"/>
      <c r="I387" s="74"/>
      <c r="J387" s="74"/>
      <c r="K387" s="185"/>
      <c r="L387" s="185"/>
    </row>
    <row r="388" spans="2:12" ht="12.75" x14ac:dyDescent="0.2">
      <c r="B388" s="188" t="s">
        <v>1420</v>
      </c>
      <c r="C388" s="189" t="s">
        <v>128</v>
      </c>
      <c r="D388" s="189" t="s">
        <v>131</v>
      </c>
      <c r="E388" s="190" t="s">
        <v>1421</v>
      </c>
      <c r="F388" s="191">
        <f t="shared" si="7"/>
        <v>293.21666666666664</v>
      </c>
      <c r="G388" s="197"/>
      <c r="I388" s="74"/>
      <c r="J388" s="74"/>
      <c r="K388" s="185"/>
      <c r="L388" s="185"/>
    </row>
    <row r="389" spans="2:12" ht="12.75" x14ac:dyDescent="0.2">
      <c r="B389" s="188" t="s">
        <v>1422</v>
      </c>
      <c r="C389" s="189" t="s">
        <v>130</v>
      </c>
      <c r="D389" s="189" t="s">
        <v>123</v>
      </c>
      <c r="E389" s="190" t="s">
        <v>1423</v>
      </c>
      <c r="F389" s="191">
        <f t="shared" si="7"/>
        <v>238.43333333333334</v>
      </c>
      <c r="G389" s="197"/>
      <c r="I389" s="74"/>
      <c r="J389" s="74"/>
      <c r="K389" s="185"/>
      <c r="L389" s="185"/>
    </row>
    <row r="390" spans="2:12" ht="12.75" x14ac:dyDescent="0.2">
      <c r="B390" s="188" t="s">
        <v>1049</v>
      </c>
      <c r="C390" s="189" t="s">
        <v>134</v>
      </c>
      <c r="D390" s="189" t="s">
        <v>123</v>
      </c>
      <c r="E390" s="190" t="s">
        <v>1050</v>
      </c>
      <c r="F390" s="191">
        <f t="shared" si="7"/>
        <v>243.38333333333333</v>
      </c>
      <c r="G390" s="197"/>
      <c r="I390" s="74"/>
      <c r="J390" s="74"/>
      <c r="K390" s="185"/>
      <c r="L390" s="185"/>
    </row>
    <row r="391" spans="2:12" ht="12.75" x14ac:dyDescent="0.2">
      <c r="B391" s="188" t="s">
        <v>1424</v>
      </c>
      <c r="C391" s="189" t="s">
        <v>135</v>
      </c>
      <c r="D391" s="189" t="s">
        <v>123</v>
      </c>
      <c r="E391" s="190" t="s">
        <v>898</v>
      </c>
      <c r="F391" s="191">
        <f t="shared" si="7"/>
        <v>298.71666666666664</v>
      </c>
      <c r="G391" s="197"/>
      <c r="I391" s="74"/>
      <c r="J391" s="74"/>
      <c r="K391" s="185"/>
      <c r="L391" s="185"/>
    </row>
    <row r="392" spans="2:12" ht="12.75" x14ac:dyDescent="0.2">
      <c r="B392" s="188" t="s">
        <v>1425</v>
      </c>
      <c r="C392" s="189" t="s">
        <v>126</v>
      </c>
      <c r="D392" s="189" t="s">
        <v>132</v>
      </c>
      <c r="E392" s="190" t="s">
        <v>1426</v>
      </c>
      <c r="F392" s="191">
        <f t="shared" si="7"/>
        <v>238.05</v>
      </c>
      <c r="G392" s="197"/>
      <c r="I392" s="74"/>
      <c r="J392" s="74"/>
      <c r="K392" s="185"/>
      <c r="L392" s="185"/>
    </row>
    <row r="393" spans="2:12" ht="12.75" x14ac:dyDescent="0.2">
      <c r="B393" s="188" t="s">
        <v>483</v>
      </c>
      <c r="C393" s="189" t="s">
        <v>142</v>
      </c>
      <c r="D393" s="189" t="s">
        <v>123</v>
      </c>
      <c r="E393" s="190" t="s">
        <v>1427</v>
      </c>
      <c r="F393" s="191">
        <f t="shared" si="7"/>
        <v>324.06666666666666</v>
      </c>
      <c r="G393" s="197"/>
      <c r="I393" s="74"/>
      <c r="J393" s="74"/>
      <c r="K393" s="185"/>
      <c r="L393" s="185"/>
    </row>
    <row r="394" spans="2:12" ht="12.75" x14ac:dyDescent="0.2">
      <c r="B394" s="188" t="s">
        <v>1428</v>
      </c>
      <c r="C394" s="189" t="s">
        <v>134</v>
      </c>
      <c r="D394" s="189" t="s">
        <v>151</v>
      </c>
      <c r="E394" s="190" t="s">
        <v>1429</v>
      </c>
      <c r="F394" s="191">
        <f t="shared" si="7"/>
        <v>227.6</v>
      </c>
      <c r="G394" s="197"/>
      <c r="I394" s="74"/>
      <c r="J394" s="74"/>
      <c r="K394" s="185"/>
      <c r="L394" s="185"/>
    </row>
    <row r="395" spans="2:12" ht="12.75" x14ac:dyDescent="0.2">
      <c r="B395" s="188" t="s">
        <v>1430</v>
      </c>
      <c r="C395" s="189" t="s">
        <v>125</v>
      </c>
      <c r="D395" s="189" t="s">
        <v>149</v>
      </c>
      <c r="E395" s="190" t="s">
        <v>1431</v>
      </c>
      <c r="F395" s="191">
        <f t="shared" ref="F395:F458" si="8">HOUR(E395)*60+MINUTE(E395)+SECOND(E395)/60</f>
        <v>229.05</v>
      </c>
      <c r="G395" s="197"/>
      <c r="I395" s="74"/>
      <c r="J395" s="74"/>
      <c r="K395" s="185"/>
      <c r="L395" s="185"/>
    </row>
    <row r="396" spans="2:12" ht="12.75" x14ac:dyDescent="0.2">
      <c r="B396" s="188" t="s">
        <v>562</v>
      </c>
      <c r="C396" s="189" t="s">
        <v>125</v>
      </c>
      <c r="D396" s="189" t="s">
        <v>123</v>
      </c>
      <c r="E396" s="190" t="s">
        <v>1432</v>
      </c>
      <c r="F396" s="191">
        <f t="shared" si="8"/>
        <v>221.3</v>
      </c>
      <c r="G396" s="197"/>
      <c r="I396" s="74"/>
      <c r="J396" s="74"/>
      <c r="K396" s="185"/>
      <c r="L396" s="185"/>
    </row>
    <row r="397" spans="2:12" ht="12.75" x14ac:dyDescent="0.2">
      <c r="B397" s="188" t="s">
        <v>510</v>
      </c>
      <c r="C397" s="189" t="s">
        <v>126</v>
      </c>
      <c r="D397" s="189" t="s">
        <v>123</v>
      </c>
      <c r="E397" s="190" t="s">
        <v>1433</v>
      </c>
      <c r="F397" s="191">
        <f t="shared" si="8"/>
        <v>314.95</v>
      </c>
      <c r="G397" s="197"/>
      <c r="H397" s="194"/>
      <c r="I397" s="74"/>
      <c r="J397" s="74"/>
      <c r="K397" s="185"/>
      <c r="L397" s="185"/>
    </row>
    <row r="398" spans="2:12" ht="12.75" x14ac:dyDescent="0.2">
      <c r="B398" s="188" t="s">
        <v>1434</v>
      </c>
      <c r="C398" s="189" t="s">
        <v>126</v>
      </c>
      <c r="D398" s="189" t="s">
        <v>123</v>
      </c>
      <c r="E398" s="190" t="s">
        <v>1435</v>
      </c>
      <c r="F398" s="191">
        <f t="shared" si="8"/>
        <v>278.83333333333331</v>
      </c>
      <c r="G398" s="197"/>
      <c r="H398" s="194"/>
      <c r="I398" s="74"/>
      <c r="J398" s="74"/>
      <c r="K398" s="185"/>
      <c r="L398" s="185"/>
    </row>
    <row r="399" spans="2:12" ht="12.75" x14ac:dyDescent="0.2">
      <c r="B399" s="188" t="s">
        <v>1436</v>
      </c>
      <c r="C399" s="189" t="s">
        <v>128</v>
      </c>
      <c r="D399" s="189" t="s">
        <v>123</v>
      </c>
      <c r="E399" s="190" t="s">
        <v>1437</v>
      </c>
      <c r="F399" s="191">
        <f t="shared" si="8"/>
        <v>149.6</v>
      </c>
      <c r="G399" s="197"/>
      <c r="H399" s="194"/>
      <c r="I399" s="74"/>
      <c r="J399" s="74"/>
      <c r="K399" s="185"/>
      <c r="L399" s="185"/>
    </row>
    <row r="400" spans="2:12" ht="12.75" x14ac:dyDescent="0.2">
      <c r="B400" s="188" t="s">
        <v>1438</v>
      </c>
      <c r="C400" s="189" t="s">
        <v>130</v>
      </c>
      <c r="D400" s="189" t="s">
        <v>123</v>
      </c>
      <c r="E400" s="190" t="s">
        <v>1439</v>
      </c>
      <c r="F400" s="191">
        <f t="shared" si="8"/>
        <v>228.4</v>
      </c>
      <c r="G400" s="197"/>
      <c r="H400" s="194"/>
      <c r="I400" s="74"/>
      <c r="J400" s="74"/>
      <c r="K400" s="185"/>
      <c r="L400" s="185"/>
    </row>
    <row r="401" spans="2:12" ht="12.75" x14ac:dyDescent="0.2">
      <c r="B401" s="188" t="s">
        <v>502</v>
      </c>
      <c r="C401" s="189" t="s">
        <v>125</v>
      </c>
      <c r="D401" s="189" t="s">
        <v>123</v>
      </c>
      <c r="E401" s="190" t="s">
        <v>1440</v>
      </c>
      <c r="F401" s="191">
        <f t="shared" si="8"/>
        <v>194.96666666666667</v>
      </c>
      <c r="G401" s="197"/>
      <c r="H401" s="194"/>
      <c r="I401" s="74"/>
      <c r="J401" s="74"/>
      <c r="K401" s="185"/>
      <c r="L401" s="185"/>
    </row>
    <row r="402" spans="2:12" ht="12.75" x14ac:dyDescent="0.2">
      <c r="B402" s="188" t="s">
        <v>1441</v>
      </c>
      <c r="C402" s="189" t="s">
        <v>124</v>
      </c>
      <c r="D402" s="189" t="s">
        <v>123</v>
      </c>
      <c r="E402" s="190" t="s">
        <v>1442</v>
      </c>
      <c r="F402" s="191">
        <f t="shared" si="8"/>
        <v>220.7</v>
      </c>
      <c r="G402" s="197"/>
      <c r="H402" s="194"/>
      <c r="I402" s="74"/>
      <c r="J402" s="74"/>
      <c r="K402" s="185"/>
      <c r="L402" s="185"/>
    </row>
    <row r="403" spans="2:12" ht="12.75" x14ac:dyDescent="0.2">
      <c r="B403" s="188" t="s">
        <v>1443</v>
      </c>
      <c r="C403" s="189" t="s">
        <v>126</v>
      </c>
      <c r="D403" s="189" t="s">
        <v>169</v>
      </c>
      <c r="E403" s="190" t="s">
        <v>908</v>
      </c>
      <c r="F403" s="191">
        <f t="shared" si="8"/>
        <v>231.11666666666667</v>
      </c>
      <c r="G403" s="197"/>
      <c r="H403" s="194"/>
      <c r="I403" s="74"/>
      <c r="J403" s="74"/>
      <c r="K403" s="185"/>
      <c r="L403" s="185"/>
    </row>
    <row r="404" spans="2:12" ht="12.75" x14ac:dyDescent="0.2">
      <c r="B404" s="188" t="s">
        <v>1444</v>
      </c>
      <c r="C404" s="189" t="s">
        <v>124</v>
      </c>
      <c r="D404" s="189" t="s">
        <v>149</v>
      </c>
      <c r="E404" s="190" t="s">
        <v>1445</v>
      </c>
      <c r="F404" s="191">
        <f t="shared" si="8"/>
        <v>278.91666666666669</v>
      </c>
      <c r="G404" s="196"/>
      <c r="H404" s="194"/>
      <c r="I404" s="74"/>
      <c r="J404" s="74"/>
      <c r="K404" s="185"/>
      <c r="L404" s="185"/>
    </row>
    <row r="405" spans="2:12" ht="12.75" x14ac:dyDescent="0.2">
      <c r="B405" s="188" t="s">
        <v>1446</v>
      </c>
      <c r="C405" s="189" t="s">
        <v>126</v>
      </c>
      <c r="D405" s="189" t="s">
        <v>123</v>
      </c>
      <c r="E405" s="190" t="s">
        <v>1447</v>
      </c>
      <c r="F405" s="191">
        <f t="shared" si="8"/>
        <v>207.46666666666667</v>
      </c>
      <c r="G405" s="196"/>
      <c r="H405" s="194"/>
      <c r="I405" s="74"/>
      <c r="J405" s="74"/>
      <c r="K405" s="185"/>
      <c r="L405" s="185"/>
    </row>
    <row r="406" spans="2:12" ht="12.75" x14ac:dyDescent="0.2">
      <c r="B406" s="188" t="s">
        <v>1448</v>
      </c>
      <c r="C406" s="189" t="s">
        <v>134</v>
      </c>
      <c r="D406" s="189" t="s">
        <v>123</v>
      </c>
      <c r="E406" s="190" t="s">
        <v>1449</v>
      </c>
      <c r="F406" s="191">
        <f t="shared" si="8"/>
        <v>237.36666666666667</v>
      </c>
      <c r="G406" s="196"/>
      <c r="H406" s="194"/>
      <c r="I406" s="74"/>
      <c r="J406" s="74"/>
      <c r="K406" s="185"/>
      <c r="L406" s="185"/>
    </row>
    <row r="407" spans="2:12" ht="12.75" x14ac:dyDescent="0.2">
      <c r="B407" s="188" t="s">
        <v>1450</v>
      </c>
      <c r="C407" s="189" t="s">
        <v>134</v>
      </c>
      <c r="D407" s="189" t="s">
        <v>123</v>
      </c>
      <c r="E407" s="190" t="s">
        <v>1451</v>
      </c>
      <c r="F407" s="191">
        <f t="shared" si="8"/>
        <v>205.66666666666666</v>
      </c>
      <c r="G407" s="196"/>
      <c r="H407" s="194"/>
      <c r="I407" s="74"/>
      <c r="J407" s="74"/>
      <c r="K407" s="185"/>
      <c r="L407" s="185"/>
    </row>
    <row r="408" spans="2:12" ht="12.75" x14ac:dyDescent="0.2">
      <c r="B408" s="188" t="s">
        <v>1452</v>
      </c>
      <c r="C408" s="189" t="s">
        <v>130</v>
      </c>
      <c r="D408" s="189" t="s">
        <v>263</v>
      </c>
      <c r="E408" s="190" t="s">
        <v>1453</v>
      </c>
      <c r="F408" s="191">
        <f t="shared" si="8"/>
        <v>267.8</v>
      </c>
      <c r="G408" s="196"/>
      <c r="H408" s="194"/>
      <c r="I408" s="74"/>
      <c r="J408" s="74"/>
      <c r="K408" s="185"/>
      <c r="L408" s="185"/>
    </row>
    <row r="409" spans="2:12" ht="12.75" x14ac:dyDescent="0.2">
      <c r="B409" s="188" t="s">
        <v>1454</v>
      </c>
      <c r="C409" s="189" t="s">
        <v>142</v>
      </c>
      <c r="D409" s="189" t="s">
        <v>155</v>
      </c>
      <c r="E409" s="190" t="s">
        <v>1455</v>
      </c>
      <c r="F409" s="191">
        <f t="shared" si="8"/>
        <v>245.46666666666667</v>
      </c>
      <c r="G409" s="196"/>
      <c r="H409" s="194"/>
      <c r="I409" s="74"/>
      <c r="J409" s="74"/>
      <c r="K409" s="185"/>
      <c r="L409" s="185"/>
    </row>
    <row r="410" spans="2:12" ht="12.75" x14ac:dyDescent="0.2">
      <c r="B410" s="188" t="s">
        <v>384</v>
      </c>
      <c r="C410" s="189" t="s">
        <v>124</v>
      </c>
      <c r="D410" s="189" t="s">
        <v>123</v>
      </c>
      <c r="E410" s="190" t="s">
        <v>1456</v>
      </c>
      <c r="F410" s="191">
        <f t="shared" si="8"/>
        <v>285.98333333333335</v>
      </c>
      <c r="G410" s="196"/>
      <c r="H410" s="194"/>
      <c r="I410" s="74"/>
      <c r="J410" s="74"/>
      <c r="K410" s="185"/>
      <c r="L410" s="185"/>
    </row>
    <row r="411" spans="2:12" ht="12.75" x14ac:dyDescent="0.2">
      <c r="B411" s="188" t="s">
        <v>1457</v>
      </c>
      <c r="C411" s="189" t="s">
        <v>125</v>
      </c>
      <c r="D411" s="189" t="s">
        <v>148</v>
      </c>
      <c r="E411" s="190" t="s">
        <v>1458</v>
      </c>
      <c r="F411" s="191">
        <f t="shared" si="8"/>
        <v>207.05</v>
      </c>
      <c r="G411" s="196"/>
      <c r="H411" s="194"/>
      <c r="I411" s="74"/>
      <c r="J411" s="74"/>
      <c r="K411" s="185"/>
      <c r="L411" s="185"/>
    </row>
    <row r="412" spans="2:12" ht="12.75" x14ac:dyDescent="0.2">
      <c r="B412" s="188" t="s">
        <v>1459</v>
      </c>
      <c r="C412" s="189" t="s">
        <v>134</v>
      </c>
      <c r="D412" s="189" t="s">
        <v>123</v>
      </c>
      <c r="E412" s="190" t="s">
        <v>1460</v>
      </c>
      <c r="F412" s="191">
        <f t="shared" si="8"/>
        <v>219.48333333333332</v>
      </c>
      <c r="G412" s="196"/>
      <c r="H412" s="194"/>
      <c r="I412" s="74"/>
      <c r="J412" s="74"/>
      <c r="K412" s="185"/>
      <c r="L412" s="185"/>
    </row>
    <row r="413" spans="2:12" ht="12.75" x14ac:dyDescent="0.2">
      <c r="B413" s="188" t="s">
        <v>615</v>
      </c>
      <c r="C413" s="189" t="s">
        <v>130</v>
      </c>
      <c r="D413" s="189" t="s">
        <v>123</v>
      </c>
      <c r="E413" s="190" t="s">
        <v>1461</v>
      </c>
      <c r="F413" s="191">
        <f t="shared" si="8"/>
        <v>209.6</v>
      </c>
      <c r="G413" s="196"/>
      <c r="H413" s="194"/>
      <c r="I413" s="74"/>
      <c r="J413" s="74"/>
      <c r="K413" s="185"/>
      <c r="L413" s="185"/>
    </row>
    <row r="414" spans="2:12" ht="12.75" x14ac:dyDescent="0.2">
      <c r="B414" s="188" t="s">
        <v>1462</v>
      </c>
      <c r="C414" s="189" t="s">
        <v>130</v>
      </c>
      <c r="D414" s="189" t="s">
        <v>131</v>
      </c>
      <c r="E414" s="190" t="s">
        <v>1463</v>
      </c>
      <c r="F414" s="191">
        <f t="shared" si="8"/>
        <v>271.08333333333331</v>
      </c>
      <c r="G414" s="196"/>
      <c r="H414" s="194"/>
      <c r="I414" s="74"/>
      <c r="J414" s="74"/>
      <c r="K414" s="185"/>
      <c r="L414" s="185"/>
    </row>
    <row r="415" spans="2:12" ht="12.75" x14ac:dyDescent="0.2">
      <c r="B415" s="188" t="s">
        <v>425</v>
      </c>
      <c r="C415" s="189" t="s">
        <v>126</v>
      </c>
      <c r="D415" s="189" t="s">
        <v>123</v>
      </c>
      <c r="E415" s="190" t="s">
        <v>1464</v>
      </c>
      <c r="F415" s="191">
        <f t="shared" si="8"/>
        <v>236.33333333333334</v>
      </c>
      <c r="G415" s="196"/>
      <c r="H415" s="194"/>
      <c r="I415" s="74"/>
      <c r="J415" s="74"/>
      <c r="K415" s="185"/>
      <c r="L415" s="185"/>
    </row>
    <row r="416" spans="2:12" ht="12.75" x14ac:dyDescent="0.2">
      <c r="B416" s="188" t="s">
        <v>1465</v>
      </c>
      <c r="C416" s="189" t="s">
        <v>128</v>
      </c>
      <c r="D416" s="189" t="s">
        <v>123</v>
      </c>
      <c r="E416" s="190" t="s">
        <v>1466</v>
      </c>
      <c r="F416" s="191">
        <f t="shared" si="8"/>
        <v>281.55</v>
      </c>
      <c r="G416" s="196"/>
      <c r="H416" s="194"/>
      <c r="I416" s="74"/>
      <c r="J416" s="74"/>
      <c r="K416" s="185"/>
      <c r="L416" s="185"/>
    </row>
    <row r="417" spans="2:12" ht="12.75" x14ac:dyDescent="0.2">
      <c r="B417" s="188" t="s">
        <v>1467</v>
      </c>
      <c r="C417" s="189" t="s">
        <v>142</v>
      </c>
      <c r="D417" s="189" t="s">
        <v>123</v>
      </c>
      <c r="E417" s="190" t="s">
        <v>1468</v>
      </c>
      <c r="F417" s="191">
        <f t="shared" si="8"/>
        <v>228.53333333333333</v>
      </c>
      <c r="G417" s="196"/>
      <c r="H417" s="194"/>
      <c r="I417" s="74"/>
      <c r="J417" s="74"/>
      <c r="K417" s="185"/>
      <c r="L417" s="185"/>
    </row>
    <row r="418" spans="2:12" ht="12.75" x14ac:dyDescent="0.2">
      <c r="B418" s="188" t="s">
        <v>1469</v>
      </c>
      <c r="C418" s="189" t="s">
        <v>142</v>
      </c>
      <c r="D418" s="189" t="s">
        <v>223</v>
      </c>
      <c r="E418" s="190" t="s">
        <v>1470</v>
      </c>
      <c r="F418" s="191">
        <f t="shared" si="8"/>
        <v>188.76666666666668</v>
      </c>
      <c r="G418" s="196"/>
      <c r="H418" s="194"/>
      <c r="I418" s="74"/>
      <c r="J418" s="74"/>
      <c r="K418" s="185"/>
      <c r="L418" s="185"/>
    </row>
    <row r="419" spans="2:12" ht="12.75" x14ac:dyDescent="0.2">
      <c r="B419" s="188" t="s">
        <v>1471</v>
      </c>
      <c r="C419" s="189" t="s">
        <v>135</v>
      </c>
      <c r="D419" s="189" t="s">
        <v>131</v>
      </c>
      <c r="E419" s="190" t="s">
        <v>1006</v>
      </c>
      <c r="F419" s="191">
        <f t="shared" si="8"/>
        <v>240.11666666666667</v>
      </c>
      <c r="G419" s="196"/>
      <c r="H419" s="194"/>
      <c r="I419" s="74"/>
      <c r="J419" s="74"/>
      <c r="K419" s="185"/>
      <c r="L419" s="185"/>
    </row>
    <row r="420" spans="2:12" ht="12.75" x14ac:dyDescent="0.2">
      <c r="B420" s="188" t="s">
        <v>1472</v>
      </c>
      <c r="C420" s="189" t="s">
        <v>130</v>
      </c>
      <c r="D420" s="189" t="s">
        <v>123</v>
      </c>
      <c r="E420" s="190" t="s">
        <v>1473</v>
      </c>
      <c r="F420" s="191">
        <f t="shared" si="8"/>
        <v>325.18333333333334</v>
      </c>
      <c r="G420" s="196"/>
      <c r="I420" s="74"/>
      <c r="J420" s="74"/>
      <c r="K420" s="185"/>
      <c r="L420" s="185"/>
    </row>
    <row r="421" spans="2:12" ht="12.75" x14ac:dyDescent="0.2">
      <c r="B421" s="188" t="s">
        <v>1474</v>
      </c>
      <c r="C421" s="189" t="s">
        <v>142</v>
      </c>
      <c r="D421" s="189" t="s">
        <v>123</v>
      </c>
      <c r="E421" s="190" t="s">
        <v>1475</v>
      </c>
      <c r="F421" s="191">
        <f t="shared" si="8"/>
        <v>256.51666666666665</v>
      </c>
      <c r="G421" s="196"/>
      <c r="I421" s="74"/>
      <c r="J421" s="74"/>
      <c r="K421" s="185"/>
      <c r="L421" s="185"/>
    </row>
    <row r="422" spans="2:12" ht="12.75" x14ac:dyDescent="0.2">
      <c r="B422" s="188" t="s">
        <v>582</v>
      </c>
      <c r="C422" s="189" t="s">
        <v>140</v>
      </c>
      <c r="D422" s="189" t="s">
        <v>123</v>
      </c>
      <c r="E422" s="190" t="s">
        <v>1476</v>
      </c>
      <c r="F422" s="191">
        <f t="shared" si="8"/>
        <v>263.10000000000002</v>
      </c>
      <c r="G422" s="196"/>
      <c r="I422" s="74"/>
      <c r="J422" s="74"/>
      <c r="K422" s="185"/>
      <c r="L422" s="185"/>
    </row>
    <row r="423" spans="2:12" ht="12.75" x14ac:dyDescent="0.2">
      <c r="B423" s="188" t="s">
        <v>1477</v>
      </c>
      <c r="C423" s="189" t="s">
        <v>142</v>
      </c>
      <c r="D423" s="189" t="s">
        <v>132</v>
      </c>
      <c r="E423" s="190" t="s">
        <v>1478</v>
      </c>
      <c r="F423" s="191">
        <f t="shared" si="8"/>
        <v>256.41666666666669</v>
      </c>
      <c r="G423" s="196"/>
      <c r="I423" s="74"/>
      <c r="J423" s="74"/>
      <c r="K423" s="185"/>
      <c r="L423" s="185"/>
    </row>
    <row r="424" spans="2:12" ht="12.75" x14ac:dyDescent="0.2">
      <c r="B424" s="188" t="s">
        <v>1479</v>
      </c>
      <c r="C424" s="189" t="s">
        <v>142</v>
      </c>
      <c r="D424" s="189" t="s">
        <v>123</v>
      </c>
      <c r="E424" s="190" t="s">
        <v>1480</v>
      </c>
      <c r="F424" s="191">
        <f t="shared" si="8"/>
        <v>219.68333333333334</v>
      </c>
      <c r="G424" s="196"/>
      <c r="I424" s="74"/>
      <c r="J424" s="74"/>
      <c r="K424" s="185"/>
      <c r="L424" s="185"/>
    </row>
    <row r="425" spans="2:12" ht="12.75" x14ac:dyDescent="0.2">
      <c r="B425" s="188" t="s">
        <v>1481</v>
      </c>
      <c r="C425" s="189" t="s">
        <v>142</v>
      </c>
      <c r="D425" s="189" t="s">
        <v>129</v>
      </c>
      <c r="E425" s="190" t="s">
        <v>1482</v>
      </c>
      <c r="F425" s="191">
        <f t="shared" si="8"/>
        <v>286.2</v>
      </c>
      <c r="G425" s="196"/>
      <c r="I425" s="74"/>
      <c r="J425" s="74"/>
      <c r="K425" s="185"/>
      <c r="L425" s="185"/>
    </row>
    <row r="426" spans="2:12" ht="12.75" x14ac:dyDescent="0.2">
      <c r="B426" s="188" t="s">
        <v>1483</v>
      </c>
      <c r="C426" s="189" t="s">
        <v>125</v>
      </c>
      <c r="D426" s="189" t="s">
        <v>123</v>
      </c>
      <c r="E426" s="190" t="s">
        <v>1484</v>
      </c>
      <c r="F426" s="191">
        <f t="shared" si="8"/>
        <v>248.33333333333334</v>
      </c>
      <c r="G426" s="196"/>
      <c r="I426" s="74"/>
      <c r="J426" s="74"/>
      <c r="K426" s="185"/>
      <c r="L426" s="185"/>
    </row>
    <row r="427" spans="2:12" ht="12.75" x14ac:dyDescent="0.2">
      <c r="B427" s="188" t="s">
        <v>1485</v>
      </c>
      <c r="C427" s="189" t="s">
        <v>134</v>
      </c>
      <c r="D427" s="189" t="s">
        <v>131</v>
      </c>
      <c r="E427" s="190" t="s">
        <v>1486</v>
      </c>
      <c r="F427" s="191">
        <f t="shared" si="8"/>
        <v>238.56666666666666</v>
      </c>
      <c r="G427" s="197"/>
      <c r="I427" s="74"/>
      <c r="J427" s="74"/>
      <c r="K427" s="185"/>
      <c r="L427" s="185"/>
    </row>
    <row r="428" spans="2:12" ht="12.75" x14ac:dyDescent="0.2">
      <c r="B428" s="188" t="s">
        <v>1487</v>
      </c>
      <c r="C428" s="189" t="s">
        <v>128</v>
      </c>
      <c r="D428" s="189" t="s">
        <v>123</v>
      </c>
      <c r="E428" s="190" t="s">
        <v>1488</v>
      </c>
      <c r="F428" s="191">
        <f t="shared" si="8"/>
        <v>294.76666666666665</v>
      </c>
      <c r="G428" s="197"/>
      <c r="I428" s="74"/>
      <c r="J428" s="74"/>
      <c r="K428" s="185"/>
      <c r="L428" s="185"/>
    </row>
    <row r="429" spans="2:12" ht="12.75" x14ac:dyDescent="0.2">
      <c r="B429" s="188" t="s">
        <v>1489</v>
      </c>
      <c r="C429" s="189" t="s">
        <v>125</v>
      </c>
      <c r="D429" s="189" t="s">
        <v>123</v>
      </c>
      <c r="E429" s="190" t="s">
        <v>1490</v>
      </c>
      <c r="F429" s="191">
        <f t="shared" si="8"/>
        <v>289.68333333333334</v>
      </c>
      <c r="G429" s="197"/>
      <c r="I429" s="74"/>
      <c r="J429" s="74"/>
      <c r="K429" s="185"/>
      <c r="L429" s="185"/>
    </row>
    <row r="430" spans="2:12" ht="12.75" x14ac:dyDescent="0.2">
      <c r="B430" s="188" t="s">
        <v>1491</v>
      </c>
      <c r="C430" s="189" t="s">
        <v>124</v>
      </c>
      <c r="D430" s="189" t="s">
        <v>123</v>
      </c>
      <c r="E430" s="190" t="s">
        <v>1492</v>
      </c>
      <c r="F430" s="191">
        <f t="shared" si="8"/>
        <v>253.58333333333334</v>
      </c>
      <c r="G430" s="197"/>
      <c r="I430" s="74"/>
      <c r="J430" s="74"/>
      <c r="K430" s="185"/>
      <c r="L430" s="185"/>
    </row>
    <row r="431" spans="2:12" ht="12.75" x14ac:dyDescent="0.2">
      <c r="B431" s="188" t="s">
        <v>1493</v>
      </c>
      <c r="C431" s="189" t="s">
        <v>125</v>
      </c>
      <c r="D431" s="189" t="s">
        <v>210</v>
      </c>
      <c r="E431" s="190" t="s">
        <v>1494</v>
      </c>
      <c r="F431" s="191">
        <f t="shared" si="8"/>
        <v>213.08333333333334</v>
      </c>
      <c r="G431" s="197"/>
      <c r="I431" s="74"/>
      <c r="J431" s="74"/>
      <c r="K431" s="185"/>
      <c r="L431" s="185"/>
    </row>
    <row r="432" spans="2:12" ht="12.75" x14ac:dyDescent="0.2">
      <c r="B432" s="188" t="s">
        <v>413</v>
      </c>
      <c r="C432" s="189" t="s">
        <v>130</v>
      </c>
      <c r="D432" s="189" t="s">
        <v>123</v>
      </c>
      <c r="E432" s="190" t="s">
        <v>1172</v>
      </c>
      <c r="F432" s="191">
        <f t="shared" si="8"/>
        <v>303.78333333333336</v>
      </c>
      <c r="G432" s="197"/>
      <c r="I432" s="74"/>
      <c r="J432" s="74"/>
      <c r="K432" s="185"/>
      <c r="L432" s="185"/>
    </row>
    <row r="433" spans="2:12" ht="12.75" x14ac:dyDescent="0.2">
      <c r="B433" s="188" t="s">
        <v>1495</v>
      </c>
      <c r="C433" s="189" t="s">
        <v>142</v>
      </c>
      <c r="D433" s="189" t="s">
        <v>171</v>
      </c>
      <c r="E433" s="190" t="s">
        <v>1496</v>
      </c>
      <c r="F433" s="191">
        <f t="shared" si="8"/>
        <v>236.55</v>
      </c>
      <c r="G433" s="197"/>
      <c r="I433" s="74"/>
      <c r="J433" s="74"/>
      <c r="K433" s="185"/>
      <c r="L433" s="185"/>
    </row>
    <row r="434" spans="2:12" ht="12.75" x14ac:dyDescent="0.2">
      <c r="B434" s="188" t="s">
        <v>1497</v>
      </c>
      <c r="C434" s="189" t="s">
        <v>125</v>
      </c>
      <c r="D434" s="189" t="s">
        <v>123</v>
      </c>
      <c r="E434" s="190" t="s">
        <v>894</v>
      </c>
      <c r="F434" s="191">
        <f t="shared" si="8"/>
        <v>307.35000000000002</v>
      </c>
      <c r="G434" s="197"/>
      <c r="I434" s="74"/>
      <c r="J434" s="74"/>
      <c r="K434" s="185"/>
      <c r="L434" s="185"/>
    </row>
    <row r="435" spans="2:12" ht="12.75" x14ac:dyDescent="0.2">
      <c r="B435" s="188" t="s">
        <v>1498</v>
      </c>
      <c r="C435" s="189" t="s">
        <v>130</v>
      </c>
      <c r="D435" s="189" t="s">
        <v>169</v>
      </c>
      <c r="E435" s="190" t="s">
        <v>1499</v>
      </c>
      <c r="F435" s="191">
        <f t="shared" si="8"/>
        <v>234.75</v>
      </c>
      <c r="G435" s="197"/>
      <c r="I435" s="74"/>
      <c r="J435" s="74"/>
      <c r="K435" s="185"/>
      <c r="L435" s="185"/>
    </row>
    <row r="436" spans="2:12" ht="12.75" x14ac:dyDescent="0.2">
      <c r="B436" s="188" t="s">
        <v>1500</v>
      </c>
      <c r="C436" s="189" t="s">
        <v>128</v>
      </c>
      <c r="D436" s="189" t="s">
        <v>144</v>
      </c>
      <c r="E436" s="190" t="s">
        <v>1501</v>
      </c>
      <c r="F436" s="191">
        <f t="shared" si="8"/>
        <v>171.98333333333332</v>
      </c>
      <c r="G436" s="197"/>
      <c r="I436" s="74"/>
      <c r="J436" s="74"/>
      <c r="K436" s="185"/>
      <c r="L436" s="185"/>
    </row>
    <row r="437" spans="2:12" ht="12.75" x14ac:dyDescent="0.2">
      <c r="B437" s="188" t="s">
        <v>1502</v>
      </c>
      <c r="C437" s="189" t="s">
        <v>134</v>
      </c>
      <c r="D437" s="189" t="s">
        <v>127</v>
      </c>
      <c r="E437" s="190" t="s">
        <v>1503</v>
      </c>
      <c r="F437" s="191">
        <f t="shared" si="8"/>
        <v>257.48333333333335</v>
      </c>
      <c r="G437" s="197"/>
      <c r="I437" s="74"/>
      <c r="J437" s="74"/>
      <c r="K437" s="185"/>
      <c r="L437" s="185"/>
    </row>
    <row r="438" spans="2:12" ht="12.75" x14ac:dyDescent="0.2">
      <c r="B438" s="188" t="s">
        <v>1504</v>
      </c>
      <c r="C438" s="189" t="s">
        <v>128</v>
      </c>
      <c r="D438" s="189" t="s">
        <v>123</v>
      </c>
      <c r="E438" s="190" t="s">
        <v>1505</v>
      </c>
      <c r="F438" s="191">
        <f t="shared" si="8"/>
        <v>270.14999999999998</v>
      </c>
      <c r="G438" s="197"/>
      <c r="I438" s="74"/>
      <c r="J438" s="74"/>
    </row>
    <row r="439" spans="2:12" ht="12.75" x14ac:dyDescent="0.2">
      <c r="B439" s="188" t="s">
        <v>1506</v>
      </c>
      <c r="C439" s="189" t="s">
        <v>130</v>
      </c>
      <c r="D439" s="189" t="s">
        <v>123</v>
      </c>
      <c r="E439" s="190" t="s">
        <v>1507</v>
      </c>
      <c r="F439" s="191">
        <f t="shared" si="8"/>
        <v>205.93333333333334</v>
      </c>
      <c r="G439" s="197"/>
      <c r="I439" s="74"/>
      <c r="J439" s="74"/>
    </row>
    <row r="440" spans="2:12" ht="12.75" x14ac:dyDescent="0.2">
      <c r="B440" s="188" t="s">
        <v>378</v>
      </c>
      <c r="C440" s="189" t="s">
        <v>135</v>
      </c>
      <c r="D440" s="189" t="s">
        <v>123</v>
      </c>
      <c r="E440" s="190" t="s">
        <v>1508</v>
      </c>
      <c r="F440" s="191">
        <f t="shared" si="8"/>
        <v>278.26666666666665</v>
      </c>
      <c r="G440" s="197"/>
      <c r="I440" s="74"/>
      <c r="J440" s="74"/>
    </row>
    <row r="441" spans="2:12" ht="12.75" x14ac:dyDescent="0.2">
      <c r="B441" s="188" t="s">
        <v>1509</v>
      </c>
      <c r="C441" s="189" t="s">
        <v>142</v>
      </c>
      <c r="D441" s="189" t="s">
        <v>123</v>
      </c>
      <c r="E441" s="190" t="s">
        <v>1510</v>
      </c>
      <c r="F441" s="191">
        <f t="shared" si="8"/>
        <v>299.75</v>
      </c>
      <c r="G441" s="197"/>
      <c r="I441" s="74"/>
      <c r="J441" s="74"/>
    </row>
    <row r="442" spans="2:12" ht="12.75" x14ac:dyDescent="0.2">
      <c r="B442" s="188" t="s">
        <v>267</v>
      </c>
      <c r="C442" s="189" t="s">
        <v>124</v>
      </c>
      <c r="D442" s="189" t="s">
        <v>123</v>
      </c>
      <c r="E442" s="190" t="s">
        <v>1451</v>
      </c>
      <c r="F442" s="191">
        <f t="shared" si="8"/>
        <v>205.66666666666666</v>
      </c>
      <c r="G442" s="197"/>
      <c r="I442" s="74"/>
      <c r="J442" s="74"/>
    </row>
    <row r="443" spans="2:12" ht="12.75" x14ac:dyDescent="0.2">
      <c r="B443" s="188" t="s">
        <v>1511</v>
      </c>
      <c r="C443" s="189" t="s">
        <v>134</v>
      </c>
      <c r="D443" s="189" t="s">
        <v>123</v>
      </c>
      <c r="E443" s="190" t="s">
        <v>1512</v>
      </c>
      <c r="F443" s="191">
        <f t="shared" si="8"/>
        <v>208.16666666666666</v>
      </c>
      <c r="G443" s="197"/>
      <c r="I443" s="74"/>
      <c r="J443" s="74"/>
    </row>
    <row r="444" spans="2:12" ht="12.75" x14ac:dyDescent="0.2">
      <c r="B444" s="188" t="s">
        <v>1513</v>
      </c>
      <c r="C444" s="189" t="s">
        <v>142</v>
      </c>
      <c r="D444" s="189" t="s">
        <v>123</v>
      </c>
      <c r="E444" s="190" t="s">
        <v>1514</v>
      </c>
      <c r="F444" s="191">
        <f t="shared" si="8"/>
        <v>235.76666666666668</v>
      </c>
      <c r="G444" s="197"/>
      <c r="I444" s="74"/>
      <c r="J444" s="74"/>
    </row>
    <row r="445" spans="2:12" ht="12.75" x14ac:dyDescent="0.2">
      <c r="B445" s="188" t="s">
        <v>444</v>
      </c>
      <c r="C445" s="189" t="s">
        <v>124</v>
      </c>
      <c r="D445" s="189" t="s">
        <v>123</v>
      </c>
      <c r="E445" s="190" t="s">
        <v>1515</v>
      </c>
      <c r="F445" s="191">
        <f t="shared" si="8"/>
        <v>308.51666666666665</v>
      </c>
      <c r="I445" s="74"/>
      <c r="J445" s="74"/>
    </row>
    <row r="446" spans="2:12" ht="12.75" x14ac:dyDescent="0.2">
      <c r="B446" s="188" t="s">
        <v>1516</v>
      </c>
      <c r="C446" s="189" t="s">
        <v>134</v>
      </c>
      <c r="D446" s="189" t="s">
        <v>187</v>
      </c>
      <c r="E446" s="190" t="s">
        <v>1517</v>
      </c>
      <c r="F446" s="191">
        <f t="shared" si="8"/>
        <v>198.38333333333333</v>
      </c>
      <c r="I446" s="74"/>
      <c r="J446" s="74"/>
    </row>
    <row r="447" spans="2:12" ht="12.75" x14ac:dyDescent="0.2">
      <c r="B447" s="188" t="s">
        <v>1518</v>
      </c>
      <c r="C447" s="189" t="s">
        <v>134</v>
      </c>
      <c r="D447" s="189" t="s">
        <v>123</v>
      </c>
      <c r="E447" s="190" t="s">
        <v>1519</v>
      </c>
      <c r="F447" s="191">
        <f t="shared" si="8"/>
        <v>196.25</v>
      </c>
      <c r="I447" s="74"/>
      <c r="J447" s="74"/>
    </row>
    <row r="448" spans="2:12" ht="12.75" x14ac:dyDescent="0.2">
      <c r="B448" s="188" t="s">
        <v>1520</v>
      </c>
      <c r="C448" s="189" t="s">
        <v>126</v>
      </c>
      <c r="D448" s="189" t="s">
        <v>123</v>
      </c>
      <c r="E448" s="190" t="s">
        <v>1521</v>
      </c>
      <c r="F448" s="191">
        <f t="shared" si="8"/>
        <v>226.01666666666668</v>
      </c>
      <c r="I448" s="74"/>
      <c r="J448" s="74"/>
    </row>
    <row r="449" spans="1:18" s="197" customFormat="1" ht="12.75" x14ac:dyDescent="0.2">
      <c r="A449" s="181"/>
      <c r="B449" s="188" t="s">
        <v>1522</v>
      </c>
      <c r="C449" s="189" t="s">
        <v>134</v>
      </c>
      <c r="D449" s="189" t="s">
        <v>123</v>
      </c>
      <c r="E449" s="190" t="s">
        <v>1523</v>
      </c>
      <c r="F449" s="191">
        <f t="shared" si="8"/>
        <v>271.10000000000002</v>
      </c>
      <c r="G449" s="185"/>
      <c r="H449" s="181"/>
      <c r="I449" s="74"/>
      <c r="J449" s="74"/>
      <c r="M449" s="185"/>
      <c r="N449" s="185"/>
      <c r="O449" s="185"/>
      <c r="P449" s="185"/>
      <c r="Q449" s="185"/>
      <c r="R449" s="185"/>
    </row>
    <row r="450" spans="1:18" s="197" customFormat="1" ht="12.75" x14ac:dyDescent="0.2">
      <c r="A450" s="181"/>
      <c r="B450" s="188" t="s">
        <v>1524</v>
      </c>
      <c r="C450" s="189" t="s">
        <v>130</v>
      </c>
      <c r="D450" s="189" t="s">
        <v>123</v>
      </c>
      <c r="E450" s="190" t="s">
        <v>1525</v>
      </c>
      <c r="F450" s="191">
        <f t="shared" si="8"/>
        <v>272.64999999999998</v>
      </c>
      <c r="G450" s="185"/>
      <c r="H450" s="181"/>
      <c r="I450" s="74"/>
      <c r="J450" s="74"/>
      <c r="M450" s="185"/>
      <c r="N450" s="185"/>
      <c r="O450" s="185"/>
      <c r="P450" s="185"/>
      <c r="Q450" s="185"/>
      <c r="R450" s="185"/>
    </row>
    <row r="451" spans="1:18" s="197" customFormat="1" ht="12.75" x14ac:dyDescent="0.2">
      <c r="A451" s="181"/>
      <c r="B451" s="188" t="s">
        <v>1526</v>
      </c>
      <c r="C451" s="189" t="s">
        <v>128</v>
      </c>
      <c r="D451" s="189" t="s">
        <v>131</v>
      </c>
      <c r="E451" s="190" t="s">
        <v>1527</v>
      </c>
      <c r="F451" s="191">
        <f t="shared" si="8"/>
        <v>255.6</v>
      </c>
      <c r="G451" s="185"/>
      <c r="H451" s="181"/>
      <c r="I451" s="74"/>
      <c r="J451" s="74"/>
      <c r="M451" s="185"/>
      <c r="N451" s="185"/>
      <c r="O451" s="185"/>
      <c r="P451" s="185"/>
      <c r="Q451" s="185"/>
      <c r="R451" s="185"/>
    </row>
    <row r="452" spans="1:18" s="197" customFormat="1" ht="12.75" x14ac:dyDescent="0.2">
      <c r="A452" s="181"/>
      <c r="B452" s="188" t="s">
        <v>1528</v>
      </c>
      <c r="C452" s="189" t="s">
        <v>142</v>
      </c>
      <c r="D452" s="189" t="s">
        <v>131</v>
      </c>
      <c r="E452" s="190" t="s">
        <v>1529</v>
      </c>
      <c r="F452" s="191">
        <f t="shared" si="8"/>
        <v>272.7</v>
      </c>
      <c r="G452" s="185"/>
      <c r="H452" s="181"/>
      <c r="I452" s="74"/>
      <c r="J452" s="74"/>
      <c r="M452" s="185"/>
      <c r="N452" s="185"/>
      <c r="O452" s="185"/>
      <c r="P452" s="185"/>
      <c r="Q452" s="185"/>
      <c r="R452" s="185"/>
    </row>
    <row r="453" spans="1:18" s="197" customFormat="1" ht="12.75" x14ac:dyDescent="0.2">
      <c r="A453" s="181"/>
      <c r="B453" s="188" t="s">
        <v>234</v>
      </c>
      <c r="C453" s="189" t="s">
        <v>142</v>
      </c>
      <c r="D453" s="189" t="s">
        <v>123</v>
      </c>
      <c r="E453" s="190" t="s">
        <v>1530</v>
      </c>
      <c r="F453" s="191">
        <f t="shared" si="8"/>
        <v>231.55</v>
      </c>
      <c r="G453" s="185"/>
      <c r="H453" s="181"/>
      <c r="I453" s="74"/>
      <c r="J453" s="74"/>
      <c r="M453" s="185"/>
      <c r="N453" s="185"/>
      <c r="O453" s="185"/>
      <c r="P453" s="185"/>
      <c r="Q453" s="185"/>
      <c r="R453" s="185"/>
    </row>
    <row r="454" spans="1:18" s="197" customFormat="1" ht="12.75" x14ac:dyDescent="0.2">
      <c r="A454" s="181"/>
      <c r="B454" s="188" t="s">
        <v>1531</v>
      </c>
      <c r="C454" s="189" t="s">
        <v>126</v>
      </c>
      <c r="D454" s="189" t="s">
        <v>165</v>
      </c>
      <c r="E454" s="190" t="s">
        <v>1532</v>
      </c>
      <c r="F454" s="191">
        <f t="shared" si="8"/>
        <v>267.45</v>
      </c>
      <c r="G454" s="185"/>
      <c r="H454" s="181"/>
      <c r="I454" s="74"/>
      <c r="J454" s="74"/>
      <c r="M454" s="185"/>
      <c r="N454" s="185"/>
      <c r="O454" s="185"/>
      <c r="P454" s="185"/>
      <c r="Q454" s="185"/>
      <c r="R454" s="185"/>
    </row>
    <row r="455" spans="1:18" s="197" customFormat="1" ht="12.75" x14ac:dyDescent="0.2">
      <c r="A455" s="181"/>
      <c r="B455" s="188" t="s">
        <v>1533</v>
      </c>
      <c r="C455" s="189" t="s">
        <v>128</v>
      </c>
      <c r="D455" s="189" t="s">
        <v>129</v>
      </c>
      <c r="E455" s="190" t="s">
        <v>1534</v>
      </c>
      <c r="F455" s="191">
        <f t="shared" si="8"/>
        <v>272.25</v>
      </c>
      <c r="G455" s="185"/>
      <c r="H455" s="181"/>
      <c r="I455" s="74"/>
      <c r="J455" s="74"/>
      <c r="M455" s="185"/>
      <c r="N455" s="185"/>
      <c r="O455" s="185"/>
      <c r="P455" s="185"/>
      <c r="Q455" s="185"/>
      <c r="R455" s="185"/>
    </row>
    <row r="456" spans="1:18" s="197" customFormat="1" ht="12.75" x14ac:dyDescent="0.2">
      <c r="A456" s="181"/>
      <c r="B456" s="188" t="s">
        <v>1535</v>
      </c>
      <c r="C456" s="189" t="s">
        <v>130</v>
      </c>
      <c r="D456" s="189" t="s">
        <v>123</v>
      </c>
      <c r="E456" s="190" t="s">
        <v>1536</v>
      </c>
      <c r="F456" s="191">
        <f t="shared" si="8"/>
        <v>185.28333333333333</v>
      </c>
      <c r="G456" s="185"/>
      <c r="H456" s="181"/>
      <c r="I456" s="74"/>
      <c r="J456" s="74"/>
      <c r="M456" s="185"/>
      <c r="N456" s="185"/>
      <c r="O456" s="185"/>
      <c r="P456" s="185"/>
      <c r="Q456" s="185"/>
      <c r="R456" s="185"/>
    </row>
    <row r="457" spans="1:18" s="197" customFormat="1" ht="12.75" x14ac:dyDescent="0.2">
      <c r="A457" s="181"/>
      <c r="B457" s="188" t="s">
        <v>177</v>
      </c>
      <c r="C457" s="189" t="s">
        <v>130</v>
      </c>
      <c r="D457" s="189" t="s">
        <v>123</v>
      </c>
      <c r="E457" s="190" t="s">
        <v>747</v>
      </c>
      <c r="F457" s="191">
        <f t="shared" si="8"/>
        <v>281.13333333333333</v>
      </c>
      <c r="G457" s="185"/>
      <c r="H457" s="181"/>
      <c r="I457" s="74"/>
      <c r="J457" s="74"/>
      <c r="M457" s="185"/>
      <c r="N457" s="185"/>
      <c r="O457" s="185"/>
      <c r="P457" s="185"/>
      <c r="Q457" s="185"/>
      <c r="R457" s="185"/>
    </row>
    <row r="458" spans="1:18" s="197" customFormat="1" ht="12.75" x14ac:dyDescent="0.2">
      <c r="A458" s="181"/>
      <c r="B458" s="188" t="s">
        <v>1537</v>
      </c>
      <c r="C458" s="189" t="s">
        <v>125</v>
      </c>
      <c r="D458" s="189" t="s">
        <v>123</v>
      </c>
      <c r="E458" s="190" t="s">
        <v>1538</v>
      </c>
      <c r="F458" s="191">
        <f t="shared" si="8"/>
        <v>228.31666666666666</v>
      </c>
      <c r="G458" s="185"/>
      <c r="H458" s="181"/>
      <c r="I458" s="74"/>
      <c r="J458" s="74"/>
      <c r="M458" s="185"/>
      <c r="N458" s="185"/>
      <c r="O458" s="185"/>
      <c r="P458" s="185"/>
      <c r="Q458" s="185"/>
      <c r="R458" s="185"/>
    </row>
    <row r="459" spans="1:18" s="197" customFormat="1" ht="12.75" x14ac:dyDescent="0.2">
      <c r="A459" s="181"/>
      <c r="B459" s="188" t="s">
        <v>1539</v>
      </c>
      <c r="C459" s="189" t="s">
        <v>134</v>
      </c>
      <c r="D459" s="189" t="s">
        <v>131</v>
      </c>
      <c r="E459" s="190" t="s">
        <v>1540</v>
      </c>
      <c r="F459" s="191">
        <f t="shared" ref="F459:F522" si="9">HOUR(E459)*60+MINUTE(E459)+SECOND(E459)/60</f>
        <v>245.33333333333334</v>
      </c>
      <c r="G459" s="185"/>
      <c r="H459" s="181"/>
      <c r="I459" s="74"/>
      <c r="J459" s="74"/>
      <c r="M459" s="185"/>
      <c r="N459" s="185"/>
      <c r="O459" s="185"/>
      <c r="P459" s="185"/>
      <c r="Q459" s="185"/>
      <c r="R459" s="185"/>
    </row>
    <row r="460" spans="1:18" s="197" customFormat="1" ht="12.75" x14ac:dyDescent="0.2">
      <c r="A460" s="181"/>
      <c r="B460" s="188" t="s">
        <v>1541</v>
      </c>
      <c r="C460" s="189" t="s">
        <v>124</v>
      </c>
      <c r="D460" s="189" t="s">
        <v>123</v>
      </c>
      <c r="E460" s="190" t="s">
        <v>1542</v>
      </c>
      <c r="F460" s="191">
        <f t="shared" si="9"/>
        <v>291.08333333333331</v>
      </c>
      <c r="G460" s="185"/>
      <c r="H460" s="181"/>
      <c r="I460" s="74"/>
      <c r="J460" s="74"/>
      <c r="M460" s="185"/>
      <c r="N460" s="185"/>
      <c r="O460" s="185"/>
      <c r="P460" s="185"/>
      <c r="Q460" s="185"/>
      <c r="R460" s="185"/>
    </row>
    <row r="461" spans="1:18" s="197" customFormat="1" ht="12.75" x14ac:dyDescent="0.2">
      <c r="A461" s="181"/>
      <c r="B461" s="188" t="s">
        <v>1543</v>
      </c>
      <c r="C461" s="189" t="s">
        <v>126</v>
      </c>
      <c r="D461" s="189" t="s">
        <v>132</v>
      </c>
      <c r="E461" s="190" t="s">
        <v>1544</v>
      </c>
      <c r="F461" s="191">
        <f t="shared" si="9"/>
        <v>248.25</v>
      </c>
      <c r="G461" s="185"/>
      <c r="H461" s="181"/>
      <c r="I461" s="74"/>
      <c r="J461" s="74"/>
      <c r="M461" s="185"/>
      <c r="N461" s="185"/>
      <c r="O461" s="185"/>
      <c r="P461" s="185"/>
      <c r="Q461" s="185"/>
      <c r="R461" s="185"/>
    </row>
    <row r="462" spans="1:18" s="197" customFormat="1" ht="12.75" x14ac:dyDescent="0.2">
      <c r="A462" s="181"/>
      <c r="B462" s="188" t="s">
        <v>1545</v>
      </c>
      <c r="C462" s="189" t="s">
        <v>126</v>
      </c>
      <c r="D462" s="189" t="s">
        <v>168</v>
      </c>
      <c r="E462" s="190" t="s">
        <v>1546</v>
      </c>
      <c r="F462" s="191">
        <f t="shared" si="9"/>
        <v>245.65</v>
      </c>
      <c r="G462" s="185"/>
      <c r="H462" s="181"/>
      <c r="I462" s="74"/>
      <c r="J462" s="74"/>
      <c r="M462" s="185"/>
      <c r="N462" s="185"/>
      <c r="O462" s="185"/>
      <c r="P462" s="185"/>
      <c r="Q462" s="185"/>
      <c r="R462" s="185"/>
    </row>
    <row r="463" spans="1:18" s="197" customFormat="1" ht="12.75" x14ac:dyDescent="0.2">
      <c r="A463" s="181"/>
      <c r="B463" s="188" t="s">
        <v>1547</v>
      </c>
      <c r="C463" s="189" t="s">
        <v>142</v>
      </c>
      <c r="D463" s="189" t="s">
        <v>314</v>
      </c>
      <c r="E463" s="190" t="s">
        <v>1548</v>
      </c>
      <c r="F463" s="191">
        <f t="shared" si="9"/>
        <v>286.08333333333331</v>
      </c>
      <c r="G463" s="185"/>
      <c r="H463" s="181"/>
      <c r="I463" s="74"/>
      <c r="J463" s="74"/>
      <c r="M463" s="185"/>
      <c r="N463" s="185"/>
      <c r="O463" s="185"/>
      <c r="P463" s="185"/>
      <c r="Q463" s="185"/>
      <c r="R463" s="185"/>
    </row>
    <row r="464" spans="1:18" s="197" customFormat="1" ht="12.75" x14ac:dyDescent="0.2">
      <c r="A464" s="181"/>
      <c r="B464" s="188" t="s">
        <v>795</v>
      </c>
      <c r="C464" s="189" t="s">
        <v>125</v>
      </c>
      <c r="D464" s="189" t="s">
        <v>155</v>
      </c>
      <c r="E464" s="190" t="s">
        <v>796</v>
      </c>
      <c r="F464" s="191">
        <f t="shared" si="9"/>
        <v>221.78333333333333</v>
      </c>
      <c r="G464" s="185"/>
      <c r="H464" s="181"/>
      <c r="I464" s="74"/>
      <c r="J464" s="74"/>
      <c r="M464" s="185"/>
      <c r="N464" s="185"/>
      <c r="O464" s="185"/>
      <c r="P464" s="185"/>
      <c r="Q464" s="185"/>
      <c r="R464" s="185"/>
    </row>
    <row r="465" spans="1:18" s="197" customFormat="1" ht="12.75" x14ac:dyDescent="0.2">
      <c r="A465" s="181"/>
      <c r="B465" s="188" t="s">
        <v>1549</v>
      </c>
      <c r="C465" s="189" t="s">
        <v>126</v>
      </c>
      <c r="D465" s="189" t="s">
        <v>157</v>
      </c>
      <c r="E465" s="190" t="s">
        <v>1550</v>
      </c>
      <c r="F465" s="191">
        <f t="shared" si="9"/>
        <v>195</v>
      </c>
      <c r="G465" s="185"/>
      <c r="H465" s="181"/>
      <c r="I465" s="74"/>
      <c r="J465" s="74"/>
      <c r="M465" s="185"/>
      <c r="N465" s="185"/>
      <c r="O465" s="185"/>
      <c r="P465" s="185"/>
      <c r="Q465" s="185"/>
      <c r="R465" s="185"/>
    </row>
    <row r="466" spans="1:18" s="197" customFormat="1" ht="12.75" x14ac:dyDescent="0.2">
      <c r="A466" s="181"/>
      <c r="B466" s="188" t="s">
        <v>1551</v>
      </c>
      <c r="C466" s="189" t="s">
        <v>134</v>
      </c>
      <c r="D466" s="189" t="s">
        <v>123</v>
      </c>
      <c r="E466" s="190" t="s">
        <v>1552</v>
      </c>
      <c r="F466" s="191">
        <f t="shared" si="9"/>
        <v>240.7</v>
      </c>
      <c r="G466" s="185"/>
      <c r="H466" s="181"/>
      <c r="I466" s="74"/>
      <c r="J466" s="74"/>
      <c r="M466" s="185"/>
      <c r="N466" s="185"/>
      <c r="O466" s="185"/>
      <c r="P466" s="185"/>
      <c r="Q466" s="185"/>
      <c r="R466" s="185"/>
    </row>
    <row r="467" spans="1:18" s="197" customFormat="1" ht="12.75" x14ac:dyDescent="0.2">
      <c r="A467" s="181"/>
      <c r="B467" s="188" t="s">
        <v>620</v>
      </c>
      <c r="C467" s="189" t="s">
        <v>130</v>
      </c>
      <c r="D467" s="189" t="s">
        <v>123</v>
      </c>
      <c r="E467" s="190" t="s">
        <v>1553</v>
      </c>
      <c r="F467" s="191">
        <f t="shared" si="9"/>
        <v>199.18333333333334</v>
      </c>
      <c r="G467" s="185"/>
      <c r="H467" s="181"/>
      <c r="I467" s="74"/>
      <c r="J467" s="74"/>
      <c r="M467" s="185"/>
      <c r="N467" s="185"/>
      <c r="O467" s="185"/>
      <c r="P467" s="185"/>
      <c r="Q467" s="185"/>
      <c r="R467" s="185"/>
    </row>
    <row r="468" spans="1:18" s="197" customFormat="1" ht="12.75" x14ac:dyDescent="0.2">
      <c r="A468" s="181"/>
      <c r="B468" s="188" t="s">
        <v>1554</v>
      </c>
      <c r="C468" s="189" t="s">
        <v>126</v>
      </c>
      <c r="D468" s="189" t="s">
        <v>123</v>
      </c>
      <c r="E468" s="190" t="s">
        <v>1555</v>
      </c>
      <c r="F468" s="191">
        <f t="shared" si="9"/>
        <v>228.8</v>
      </c>
      <c r="G468" s="185"/>
      <c r="H468" s="181"/>
      <c r="I468" s="74"/>
      <c r="J468" s="74"/>
      <c r="M468" s="185"/>
      <c r="N468" s="185"/>
      <c r="O468" s="185"/>
      <c r="P468" s="185"/>
      <c r="Q468" s="185"/>
      <c r="R468" s="185"/>
    </row>
    <row r="469" spans="1:18" s="197" customFormat="1" ht="12.75" x14ac:dyDescent="0.2">
      <c r="A469" s="181"/>
      <c r="B469" s="188" t="s">
        <v>1556</v>
      </c>
      <c r="C469" s="189" t="s">
        <v>134</v>
      </c>
      <c r="D469" s="189" t="s">
        <v>123</v>
      </c>
      <c r="E469" s="190" t="s">
        <v>1557</v>
      </c>
      <c r="F469" s="191">
        <f t="shared" si="9"/>
        <v>237.28333333333333</v>
      </c>
      <c r="G469" s="185"/>
      <c r="H469" s="181"/>
      <c r="I469" s="74"/>
      <c r="J469" s="74"/>
      <c r="M469" s="185"/>
      <c r="N469" s="185"/>
      <c r="O469" s="185"/>
      <c r="P469" s="185"/>
      <c r="Q469" s="185"/>
      <c r="R469" s="185"/>
    </row>
    <row r="470" spans="1:18" s="197" customFormat="1" ht="12.75" x14ac:dyDescent="0.2">
      <c r="A470" s="181"/>
      <c r="B470" s="188" t="s">
        <v>1558</v>
      </c>
      <c r="C470" s="189" t="s">
        <v>130</v>
      </c>
      <c r="D470" s="189" t="s">
        <v>123</v>
      </c>
      <c r="E470" s="190" t="s">
        <v>1559</v>
      </c>
      <c r="F470" s="191">
        <f t="shared" si="9"/>
        <v>253.15</v>
      </c>
      <c r="G470" s="185"/>
      <c r="H470" s="181"/>
      <c r="I470" s="74"/>
      <c r="J470" s="74"/>
      <c r="M470" s="185"/>
      <c r="N470" s="185"/>
      <c r="O470" s="185"/>
      <c r="P470" s="185"/>
      <c r="Q470" s="185"/>
      <c r="R470" s="185"/>
    </row>
    <row r="471" spans="1:18" s="197" customFormat="1" ht="12.75" x14ac:dyDescent="0.2">
      <c r="A471" s="181"/>
      <c r="B471" s="188" t="s">
        <v>396</v>
      </c>
      <c r="C471" s="189" t="s">
        <v>126</v>
      </c>
      <c r="D471" s="189" t="s">
        <v>123</v>
      </c>
      <c r="E471" s="190" t="s">
        <v>1560</v>
      </c>
      <c r="F471" s="191">
        <f t="shared" si="9"/>
        <v>213.91666666666666</v>
      </c>
      <c r="G471" s="185"/>
      <c r="H471" s="181"/>
      <c r="I471" s="74"/>
      <c r="J471" s="74"/>
      <c r="M471" s="185"/>
      <c r="N471" s="185"/>
      <c r="O471" s="185"/>
      <c r="P471" s="185"/>
      <c r="Q471" s="185"/>
      <c r="R471" s="185"/>
    </row>
    <row r="472" spans="1:18" s="197" customFormat="1" ht="12.75" x14ac:dyDescent="0.2">
      <c r="A472" s="181"/>
      <c r="B472" s="188" t="s">
        <v>1561</v>
      </c>
      <c r="C472" s="189" t="s">
        <v>124</v>
      </c>
      <c r="D472" s="189" t="s">
        <v>133</v>
      </c>
      <c r="E472" s="190" t="s">
        <v>1562</v>
      </c>
      <c r="F472" s="191">
        <f t="shared" si="9"/>
        <v>332.68333333333334</v>
      </c>
      <c r="G472" s="185"/>
      <c r="H472" s="181"/>
      <c r="I472" s="74"/>
      <c r="J472" s="74"/>
      <c r="M472" s="185"/>
      <c r="N472" s="185"/>
      <c r="O472" s="185"/>
      <c r="P472" s="185"/>
      <c r="Q472" s="185"/>
      <c r="R472" s="185"/>
    </row>
    <row r="473" spans="1:18" s="197" customFormat="1" ht="12.75" x14ac:dyDescent="0.2">
      <c r="A473" s="181"/>
      <c r="B473" s="188" t="s">
        <v>1563</v>
      </c>
      <c r="C473" s="189" t="s">
        <v>134</v>
      </c>
      <c r="D473" s="189" t="s">
        <v>131</v>
      </c>
      <c r="E473" s="190" t="s">
        <v>1564</v>
      </c>
      <c r="F473" s="191">
        <f t="shared" si="9"/>
        <v>235.98333333333332</v>
      </c>
      <c r="G473" s="185"/>
      <c r="H473" s="181"/>
      <c r="I473" s="74"/>
      <c r="J473" s="74"/>
      <c r="M473" s="185"/>
      <c r="N473" s="185"/>
      <c r="O473" s="185"/>
      <c r="P473" s="185"/>
      <c r="Q473" s="185"/>
      <c r="R473" s="185"/>
    </row>
    <row r="474" spans="1:18" s="197" customFormat="1" ht="12.75" x14ac:dyDescent="0.2">
      <c r="A474" s="181"/>
      <c r="B474" s="188" t="s">
        <v>179</v>
      </c>
      <c r="C474" s="189" t="s">
        <v>125</v>
      </c>
      <c r="D474" s="189" t="s">
        <v>123</v>
      </c>
      <c r="E474" s="190" t="s">
        <v>1565</v>
      </c>
      <c r="F474" s="191">
        <f t="shared" si="9"/>
        <v>253.98333333333332</v>
      </c>
      <c r="G474" s="185"/>
      <c r="H474" s="181"/>
      <c r="I474" s="74"/>
      <c r="J474" s="74"/>
      <c r="M474" s="185"/>
      <c r="N474" s="185"/>
      <c r="O474" s="185"/>
      <c r="P474" s="185"/>
      <c r="Q474" s="185"/>
      <c r="R474" s="185"/>
    </row>
    <row r="475" spans="1:18" s="197" customFormat="1" ht="12.75" x14ac:dyDescent="0.2">
      <c r="A475" s="181"/>
      <c r="B475" s="188" t="s">
        <v>1566</v>
      </c>
      <c r="C475" s="189" t="s">
        <v>126</v>
      </c>
      <c r="D475" s="189" t="s">
        <v>123</v>
      </c>
      <c r="E475" s="190" t="s">
        <v>1567</v>
      </c>
      <c r="F475" s="191">
        <f t="shared" si="9"/>
        <v>208.05</v>
      </c>
      <c r="G475" s="185"/>
      <c r="H475" s="181"/>
      <c r="I475" s="74"/>
      <c r="J475" s="74"/>
      <c r="M475" s="185"/>
      <c r="N475" s="185"/>
      <c r="O475" s="185"/>
      <c r="P475" s="185"/>
      <c r="Q475" s="185"/>
      <c r="R475" s="185"/>
    </row>
    <row r="476" spans="1:18" s="197" customFormat="1" ht="12.75" x14ac:dyDescent="0.2">
      <c r="A476" s="181"/>
      <c r="B476" s="188" t="s">
        <v>1568</v>
      </c>
      <c r="C476" s="189" t="s">
        <v>124</v>
      </c>
      <c r="D476" s="189" t="s">
        <v>129</v>
      </c>
      <c r="E476" s="190" t="s">
        <v>1569</v>
      </c>
      <c r="F476" s="191">
        <f t="shared" si="9"/>
        <v>283.53333333333336</v>
      </c>
      <c r="G476" s="185"/>
      <c r="H476" s="181"/>
      <c r="I476" s="74"/>
      <c r="J476" s="74"/>
      <c r="M476" s="185"/>
      <c r="N476" s="185"/>
      <c r="O476" s="185"/>
      <c r="P476" s="185"/>
      <c r="Q476" s="185"/>
      <c r="R476" s="185"/>
    </row>
    <row r="477" spans="1:18" s="197" customFormat="1" ht="12.75" x14ac:dyDescent="0.2">
      <c r="A477" s="181"/>
      <c r="B477" s="188" t="s">
        <v>1570</v>
      </c>
      <c r="C477" s="189" t="s">
        <v>128</v>
      </c>
      <c r="D477" s="189" t="s">
        <v>131</v>
      </c>
      <c r="E477" s="190" t="s">
        <v>1571</v>
      </c>
      <c r="F477" s="191">
        <f t="shared" si="9"/>
        <v>251.11666666666667</v>
      </c>
      <c r="G477" s="185"/>
      <c r="H477" s="181"/>
      <c r="I477" s="74"/>
      <c r="J477" s="74"/>
      <c r="M477" s="185"/>
      <c r="N477" s="185"/>
      <c r="O477" s="185"/>
      <c r="P477" s="185"/>
      <c r="Q477" s="185"/>
      <c r="R477" s="185"/>
    </row>
    <row r="478" spans="1:18" s="197" customFormat="1" ht="12.75" x14ac:dyDescent="0.2">
      <c r="A478" s="181"/>
      <c r="B478" s="188" t="s">
        <v>1572</v>
      </c>
      <c r="C478" s="189" t="s">
        <v>125</v>
      </c>
      <c r="D478" s="189" t="s">
        <v>123</v>
      </c>
      <c r="E478" s="190" t="s">
        <v>1105</v>
      </c>
      <c r="F478" s="191">
        <f t="shared" si="9"/>
        <v>238.8</v>
      </c>
      <c r="G478" s="185"/>
      <c r="H478" s="181"/>
      <c r="I478" s="74"/>
      <c r="J478" s="74"/>
      <c r="M478" s="185"/>
      <c r="N478" s="185"/>
      <c r="O478" s="185"/>
      <c r="P478" s="185"/>
      <c r="Q478" s="185"/>
      <c r="R478" s="185"/>
    </row>
    <row r="479" spans="1:18" s="197" customFormat="1" ht="12.75" x14ac:dyDescent="0.2">
      <c r="A479" s="181"/>
      <c r="B479" s="188" t="s">
        <v>1573</v>
      </c>
      <c r="C479" s="189" t="s">
        <v>135</v>
      </c>
      <c r="D479" s="189" t="s">
        <v>132</v>
      </c>
      <c r="E479" s="190" t="s">
        <v>1574</v>
      </c>
      <c r="F479" s="191">
        <f t="shared" si="9"/>
        <v>270.08333333333331</v>
      </c>
      <c r="G479" s="185"/>
      <c r="H479" s="181"/>
      <c r="I479" s="74"/>
      <c r="J479" s="74"/>
      <c r="M479" s="185"/>
      <c r="N479" s="185"/>
      <c r="O479" s="185"/>
      <c r="P479" s="185"/>
      <c r="Q479" s="185"/>
      <c r="R479" s="185"/>
    </row>
    <row r="480" spans="1:18" s="197" customFormat="1" ht="12.75" x14ac:dyDescent="0.2">
      <c r="A480" s="181"/>
      <c r="B480" s="188" t="s">
        <v>1575</v>
      </c>
      <c r="C480" s="189" t="s">
        <v>124</v>
      </c>
      <c r="D480" s="189" t="s">
        <v>123</v>
      </c>
      <c r="E480" s="190" t="s">
        <v>1576</v>
      </c>
      <c r="F480" s="191">
        <f t="shared" si="9"/>
        <v>319.11666666666667</v>
      </c>
      <c r="G480" s="185"/>
      <c r="H480" s="181"/>
      <c r="I480" s="74"/>
      <c r="J480" s="74"/>
      <c r="M480" s="185"/>
      <c r="N480" s="185"/>
      <c r="O480" s="185"/>
      <c r="P480" s="185"/>
      <c r="Q480" s="185"/>
      <c r="R480" s="185"/>
    </row>
    <row r="481" spans="1:18" s="197" customFormat="1" ht="12.75" x14ac:dyDescent="0.2">
      <c r="A481" s="181"/>
      <c r="B481" s="188" t="s">
        <v>1577</v>
      </c>
      <c r="C481" s="189" t="s">
        <v>126</v>
      </c>
      <c r="D481" s="189" t="s">
        <v>151</v>
      </c>
      <c r="E481" s="190" t="s">
        <v>1578</v>
      </c>
      <c r="F481" s="191">
        <f t="shared" si="9"/>
        <v>259.3</v>
      </c>
      <c r="G481" s="185"/>
      <c r="H481" s="181"/>
      <c r="I481" s="74"/>
      <c r="J481" s="74"/>
      <c r="M481" s="185"/>
      <c r="N481" s="185"/>
      <c r="O481" s="185"/>
      <c r="P481" s="185"/>
      <c r="Q481" s="185"/>
      <c r="R481" s="185"/>
    </row>
    <row r="482" spans="1:18" s="197" customFormat="1" ht="12.75" x14ac:dyDescent="0.2">
      <c r="A482" s="181"/>
      <c r="B482" s="188" t="s">
        <v>1579</v>
      </c>
      <c r="C482" s="189" t="s">
        <v>125</v>
      </c>
      <c r="D482" s="189" t="s">
        <v>123</v>
      </c>
      <c r="E482" s="190" t="s">
        <v>1580</v>
      </c>
      <c r="F482" s="191">
        <f t="shared" si="9"/>
        <v>319</v>
      </c>
      <c r="G482" s="185"/>
      <c r="H482" s="181"/>
      <c r="I482" s="74"/>
      <c r="J482" s="74"/>
      <c r="M482" s="185"/>
      <c r="N482" s="185"/>
      <c r="O482" s="185"/>
      <c r="P482" s="185"/>
      <c r="Q482" s="185"/>
      <c r="R482" s="185"/>
    </row>
    <row r="483" spans="1:18" s="197" customFormat="1" ht="12.75" x14ac:dyDescent="0.2">
      <c r="A483" s="181"/>
      <c r="B483" s="188" t="s">
        <v>1581</v>
      </c>
      <c r="C483" s="189" t="s">
        <v>130</v>
      </c>
      <c r="D483" s="189" t="s">
        <v>304</v>
      </c>
      <c r="E483" s="190" t="s">
        <v>1582</v>
      </c>
      <c r="F483" s="191">
        <f t="shared" si="9"/>
        <v>289.03333333333336</v>
      </c>
      <c r="G483" s="185"/>
      <c r="H483" s="181"/>
      <c r="I483" s="74"/>
      <c r="J483" s="74"/>
      <c r="M483" s="185"/>
      <c r="N483" s="185"/>
      <c r="O483" s="185"/>
      <c r="P483" s="185"/>
      <c r="Q483" s="185"/>
      <c r="R483" s="185"/>
    </row>
    <row r="484" spans="1:18" s="197" customFormat="1" ht="12.75" x14ac:dyDescent="0.2">
      <c r="A484" s="181"/>
      <c r="B484" s="188" t="s">
        <v>1583</v>
      </c>
      <c r="C484" s="189" t="s">
        <v>134</v>
      </c>
      <c r="D484" s="189" t="s">
        <v>148</v>
      </c>
      <c r="E484" s="190" t="s">
        <v>1584</v>
      </c>
      <c r="F484" s="191">
        <f t="shared" si="9"/>
        <v>318.48333333333335</v>
      </c>
      <c r="G484" s="185"/>
      <c r="H484" s="181"/>
      <c r="I484" s="74"/>
      <c r="J484" s="74"/>
      <c r="M484" s="185"/>
      <c r="N484" s="185"/>
      <c r="O484" s="185"/>
      <c r="P484" s="185"/>
      <c r="Q484" s="185"/>
      <c r="R484" s="185"/>
    </row>
    <row r="485" spans="1:18" s="197" customFormat="1" ht="12.75" x14ac:dyDescent="0.2">
      <c r="A485" s="181"/>
      <c r="B485" s="188" t="s">
        <v>1585</v>
      </c>
      <c r="C485" s="189" t="s">
        <v>124</v>
      </c>
      <c r="D485" s="189" t="s">
        <v>131</v>
      </c>
      <c r="E485" s="190" t="s">
        <v>1586</v>
      </c>
      <c r="F485" s="191">
        <f t="shared" si="9"/>
        <v>339.66666666666669</v>
      </c>
      <c r="G485" s="185"/>
      <c r="H485" s="181"/>
      <c r="I485" s="74"/>
      <c r="J485" s="74"/>
      <c r="M485" s="185"/>
      <c r="N485" s="185"/>
      <c r="O485" s="185"/>
      <c r="P485" s="185"/>
      <c r="Q485" s="185"/>
      <c r="R485" s="185"/>
    </row>
    <row r="486" spans="1:18" s="197" customFormat="1" ht="12.75" x14ac:dyDescent="0.2">
      <c r="A486" s="181"/>
      <c r="B486" s="188" t="s">
        <v>1587</v>
      </c>
      <c r="C486" s="189" t="s">
        <v>128</v>
      </c>
      <c r="D486" s="189" t="s">
        <v>131</v>
      </c>
      <c r="E486" s="190" t="s">
        <v>1588</v>
      </c>
      <c r="F486" s="191">
        <f t="shared" si="9"/>
        <v>265.86666666666667</v>
      </c>
      <c r="G486" s="185"/>
      <c r="H486" s="181"/>
      <c r="I486" s="74"/>
      <c r="J486" s="74"/>
      <c r="M486" s="185"/>
      <c r="N486" s="185"/>
      <c r="O486" s="185"/>
      <c r="P486" s="185"/>
      <c r="Q486" s="185"/>
      <c r="R486" s="185"/>
    </row>
    <row r="487" spans="1:18" s="197" customFormat="1" ht="12.75" x14ac:dyDescent="0.2">
      <c r="A487" s="181"/>
      <c r="B487" s="188" t="s">
        <v>1589</v>
      </c>
      <c r="C487" s="189" t="s">
        <v>124</v>
      </c>
      <c r="D487" s="189" t="s">
        <v>147</v>
      </c>
      <c r="E487" s="190" t="s">
        <v>1590</v>
      </c>
      <c r="F487" s="191">
        <f t="shared" si="9"/>
        <v>215.05</v>
      </c>
      <c r="G487" s="185"/>
      <c r="H487" s="181"/>
      <c r="I487" s="74"/>
      <c r="J487" s="74"/>
      <c r="M487" s="185"/>
      <c r="N487" s="185"/>
      <c r="O487" s="185"/>
      <c r="P487" s="185"/>
      <c r="Q487" s="185"/>
      <c r="R487" s="185"/>
    </row>
    <row r="488" spans="1:18" s="197" customFormat="1" ht="12.75" x14ac:dyDescent="0.2">
      <c r="A488" s="181"/>
      <c r="B488" s="188" t="s">
        <v>1591</v>
      </c>
      <c r="C488" s="189" t="s">
        <v>125</v>
      </c>
      <c r="D488" s="189" t="s">
        <v>123</v>
      </c>
      <c r="E488" s="190" t="s">
        <v>1592</v>
      </c>
      <c r="F488" s="191">
        <f t="shared" si="9"/>
        <v>217.06666666666666</v>
      </c>
      <c r="G488" s="185"/>
      <c r="H488" s="181"/>
      <c r="I488" s="74"/>
      <c r="J488" s="74"/>
      <c r="M488" s="185"/>
      <c r="N488" s="185"/>
      <c r="O488" s="185"/>
      <c r="P488" s="185"/>
      <c r="Q488" s="185"/>
      <c r="R488" s="185"/>
    </row>
    <row r="489" spans="1:18" s="197" customFormat="1" ht="12.75" x14ac:dyDescent="0.2">
      <c r="A489" s="181"/>
      <c r="B489" s="188" t="s">
        <v>1593</v>
      </c>
      <c r="C489" s="189" t="s">
        <v>134</v>
      </c>
      <c r="D489" s="189" t="s">
        <v>127</v>
      </c>
      <c r="E489" s="190" t="s">
        <v>1594</v>
      </c>
      <c r="F489" s="191">
        <f t="shared" si="9"/>
        <v>238.18333333333334</v>
      </c>
      <c r="G489" s="185"/>
      <c r="H489" s="181"/>
      <c r="I489" s="74"/>
      <c r="J489" s="74"/>
      <c r="M489" s="185"/>
      <c r="N489" s="185"/>
      <c r="O489" s="185"/>
      <c r="P489" s="185"/>
      <c r="Q489" s="185"/>
      <c r="R489" s="185"/>
    </row>
    <row r="490" spans="1:18" s="197" customFormat="1" ht="12.75" x14ac:dyDescent="0.2">
      <c r="A490" s="181"/>
      <c r="B490" s="188" t="s">
        <v>1595</v>
      </c>
      <c r="C490" s="189" t="s">
        <v>130</v>
      </c>
      <c r="D490" s="189" t="s">
        <v>123</v>
      </c>
      <c r="E490" s="190" t="s">
        <v>1596</v>
      </c>
      <c r="F490" s="191">
        <f t="shared" si="9"/>
        <v>298.88333333333333</v>
      </c>
      <c r="G490" s="185"/>
      <c r="H490" s="181"/>
      <c r="I490" s="74"/>
      <c r="J490" s="74"/>
      <c r="M490" s="185"/>
      <c r="N490" s="185"/>
      <c r="O490" s="185"/>
      <c r="P490" s="185"/>
      <c r="Q490" s="185"/>
      <c r="R490" s="185"/>
    </row>
    <row r="491" spans="1:18" s="197" customFormat="1" ht="12.75" x14ac:dyDescent="0.2">
      <c r="A491" s="181"/>
      <c r="B491" s="188" t="s">
        <v>517</v>
      </c>
      <c r="C491" s="189" t="s">
        <v>125</v>
      </c>
      <c r="D491" s="189" t="s">
        <v>123</v>
      </c>
      <c r="E491" s="190" t="s">
        <v>1597</v>
      </c>
      <c r="F491" s="191">
        <f t="shared" si="9"/>
        <v>228.88333333333333</v>
      </c>
      <c r="G491" s="185"/>
      <c r="H491" s="181"/>
      <c r="I491" s="74"/>
      <c r="J491" s="74"/>
      <c r="M491" s="185"/>
      <c r="N491" s="185"/>
      <c r="O491" s="185"/>
      <c r="P491" s="185"/>
      <c r="Q491" s="185"/>
      <c r="R491" s="185"/>
    </row>
    <row r="492" spans="1:18" s="197" customFormat="1" ht="12.75" x14ac:dyDescent="0.2">
      <c r="A492" s="181"/>
      <c r="B492" s="188" t="s">
        <v>1598</v>
      </c>
      <c r="C492" s="189" t="s">
        <v>128</v>
      </c>
      <c r="D492" s="189" t="s">
        <v>131</v>
      </c>
      <c r="E492" s="190" t="s">
        <v>1599</v>
      </c>
      <c r="F492" s="191">
        <f t="shared" si="9"/>
        <v>301</v>
      </c>
      <c r="G492" s="185"/>
      <c r="H492" s="181"/>
      <c r="I492" s="74"/>
      <c r="J492" s="74"/>
      <c r="M492" s="185"/>
      <c r="N492" s="185"/>
      <c r="O492" s="185"/>
      <c r="P492" s="185"/>
      <c r="Q492" s="185"/>
      <c r="R492" s="185"/>
    </row>
    <row r="493" spans="1:18" s="197" customFormat="1" ht="12.75" x14ac:dyDescent="0.2">
      <c r="A493" s="181"/>
      <c r="B493" s="188" t="s">
        <v>1600</v>
      </c>
      <c r="C493" s="189" t="s">
        <v>134</v>
      </c>
      <c r="D493" s="189" t="s">
        <v>205</v>
      </c>
      <c r="E493" s="190" t="s">
        <v>1601</v>
      </c>
      <c r="F493" s="191">
        <f t="shared" si="9"/>
        <v>202.85</v>
      </c>
      <c r="G493" s="185"/>
      <c r="H493" s="181"/>
      <c r="I493" s="74"/>
      <c r="J493" s="74"/>
      <c r="M493" s="185"/>
      <c r="N493" s="185"/>
      <c r="O493" s="185"/>
      <c r="P493" s="185"/>
      <c r="Q493" s="185"/>
      <c r="R493" s="185"/>
    </row>
    <row r="494" spans="1:18" s="197" customFormat="1" ht="12.75" x14ac:dyDescent="0.2">
      <c r="A494" s="181"/>
      <c r="B494" s="188" t="s">
        <v>1602</v>
      </c>
      <c r="C494" s="189" t="s">
        <v>124</v>
      </c>
      <c r="D494" s="189" t="s">
        <v>123</v>
      </c>
      <c r="E494" s="190" t="s">
        <v>1603</v>
      </c>
      <c r="F494" s="191">
        <f t="shared" si="9"/>
        <v>313.63333333333333</v>
      </c>
      <c r="G494" s="185"/>
      <c r="H494" s="181"/>
      <c r="I494" s="74"/>
      <c r="J494" s="74"/>
      <c r="M494" s="185"/>
      <c r="N494" s="185"/>
      <c r="O494" s="185"/>
      <c r="P494" s="185"/>
      <c r="Q494" s="185"/>
      <c r="R494" s="185"/>
    </row>
    <row r="495" spans="1:18" s="197" customFormat="1" ht="12.75" x14ac:dyDescent="0.2">
      <c r="A495" s="181"/>
      <c r="B495" s="188" t="s">
        <v>1604</v>
      </c>
      <c r="C495" s="189" t="s">
        <v>134</v>
      </c>
      <c r="D495" s="189" t="s">
        <v>131</v>
      </c>
      <c r="E495" s="190" t="s">
        <v>1605</v>
      </c>
      <c r="F495" s="191">
        <f t="shared" si="9"/>
        <v>207.5</v>
      </c>
      <c r="G495" s="185"/>
      <c r="H495" s="181"/>
      <c r="I495" s="74"/>
      <c r="J495" s="74"/>
      <c r="M495" s="185"/>
      <c r="N495" s="185"/>
      <c r="O495" s="185"/>
      <c r="P495" s="185"/>
      <c r="Q495" s="185"/>
      <c r="R495" s="185"/>
    </row>
    <row r="496" spans="1:18" s="197" customFormat="1" ht="12.75" x14ac:dyDescent="0.2">
      <c r="A496" s="181"/>
      <c r="B496" s="188" t="s">
        <v>1606</v>
      </c>
      <c r="C496" s="189" t="s">
        <v>249</v>
      </c>
      <c r="D496" s="189" t="s">
        <v>131</v>
      </c>
      <c r="E496" s="190" t="s">
        <v>1607</v>
      </c>
      <c r="F496" s="191">
        <f t="shared" si="9"/>
        <v>230.85</v>
      </c>
      <c r="G496" s="185"/>
      <c r="H496" s="181"/>
      <c r="I496" s="74"/>
      <c r="J496" s="74"/>
      <c r="M496" s="185"/>
      <c r="N496" s="185"/>
      <c r="O496" s="185"/>
      <c r="P496" s="185"/>
      <c r="Q496" s="185"/>
      <c r="R496" s="185"/>
    </row>
    <row r="497" spans="1:18" s="197" customFormat="1" ht="12.75" x14ac:dyDescent="0.2">
      <c r="A497" s="181"/>
      <c r="B497" s="188" t="s">
        <v>1608</v>
      </c>
      <c r="C497" s="189" t="s">
        <v>135</v>
      </c>
      <c r="D497" s="189" t="s">
        <v>123</v>
      </c>
      <c r="E497" s="190" t="s">
        <v>1609</v>
      </c>
      <c r="F497" s="191">
        <f t="shared" si="9"/>
        <v>262.16666666666669</v>
      </c>
      <c r="G497" s="185"/>
      <c r="H497" s="181"/>
      <c r="I497" s="74"/>
      <c r="J497" s="74"/>
      <c r="M497" s="185"/>
      <c r="N497" s="185"/>
      <c r="O497" s="185"/>
      <c r="P497" s="185"/>
      <c r="Q497" s="185"/>
      <c r="R497" s="185"/>
    </row>
    <row r="498" spans="1:18" s="197" customFormat="1" ht="12.75" x14ac:dyDescent="0.2">
      <c r="A498" s="181"/>
      <c r="B498" s="188" t="s">
        <v>1610</v>
      </c>
      <c r="C498" s="189" t="s">
        <v>135</v>
      </c>
      <c r="D498" s="189" t="s">
        <v>131</v>
      </c>
      <c r="E498" s="190" t="s">
        <v>1611</v>
      </c>
      <c r="F498" s="191">
        <f t="shared" si="9"/>
        <v>264.23333333333335</v>
      </c>
      <c r="G498" s="185"/>
      <c r="H498" s="181"/>
      <c r="I498" s="74"/>
      <c r="J498" s="74"/>
      <c r="M498" s="185"/>
      <c r="N498" s="185"/>
      <c r="O498" s="185"/>
      <c r="P498" s="185"/>
      <c r="Q498" s="185"/>
      <c r="R498" s="185"/>
    </row>
    <row r="499" spans="1:18" s="197" customFormat="1" ht="12.75" x14ac:dyDescent="0.2">
      <c r="A499" s="181"/>
      <c r="B499" s="188" t="s">
        <v>1612</v>
      </c>
      <c r="C499" s="189" t="s">
        <v>142</v>
      </c>
      <c r="D499" s="189" t="s">
        <v>165</v>
      </c>
      <c r="E499" s="190" t="s">
        <v>1613</v>
      </c>
      <c r="F499" s="191">
        <f t="shared" si="9"/>
        <v>198.93333333333334</v>
      </c>
      <c r="G499" s="185"/>
      <c r="H499" s="181"/>
      <c r="I499" s="74"/>
      <c r="J499" s="74"/>
      <c r="M499" s="185"/>
      <c r="N499" s="185"/>
      <c r="O499" s="185"/>
      <c r="P499" s="185"/>
      <c r="Q499" s="185"/>
      <c r="R499" s="185"/>
    </row>
    <row r="500" spans="1:18" s="197" customFormat="1" ht="12.75" x14ac:dyDescent="0.2">
      <c r="A500" s="181"/>
      <c r="B500" s="188" t="s">
        <v>1614</v>
      </c>
      <c r="C500" s="189" t="s">
        <v>126</v>
      </c>
      <c r="D500" s="189" t="s">
        <v>187</v>
      </c>
      <c r="E500" s="190" t="s">
        <v>1615</v>
      </c>
      <c r="F500" s="191">
        <f t="shared" si="9"/>
        <v>190.76666666666668</v>
      </c>
      <c r="G500" s="185"/>
      <c r="H500" s="181"/>
      <c r="I500" s="74"/>
      <c r="J500" s="74"/>
      <c r="M500" s="185"/>
      <c r="N500" s="185"/>
      <c r="O500" s="185"/>
      <c r="P500" s="185"/>
      <c r="Q500" s="185"/>
      <c r="R500" s="185"/>
    </row>
    <row r="501" spans="1:18" s="197" customFormat="1" ht="12.75" x14ac:dyDescent="0.2">
      <c r="A501" s="181"/>
      <c r="B501" s="188" t="s">
        <v>1616</v>
      </c>
      <c r="C501" s="189" t="s">
        <v>134</v>
      </c>
      <c r="D501" s="189" t="s">
        <v>123</v>
      </c>
      <c r="E501" s="190" t="s">
        <v>1617</v>
      </c>
      <c r="F501" s="191">
        <f t="shared" si="9"/>
        <v>243.63333333333333</v>
      </c>
      <c r="G501" s="185"/>
      <c r="H501" s="181"/>
      <c r="I501" s="74"/>
      <c r="J501" s="74"/>
      <c r="M501" s="185"/>
      <c r="N501" s="185"/>
      <c r="O501" s="185"/>
      <c r="P501" s="185"/>
      <c r="Q501" s="185"/>
      <c r="R501" s="185"/>
    </row>
    <row r="502" spans="1:18" s="197" customFormat="1" ht="12.75" x14ac:dyDescent="0.2">
      <c r="A502" s="181"/>
      <c r="B502" s="188" t="s">
        <v>1618</v>
      </c>
      <c r="C502" s="189" t="s">
        <v>126</v>
      </c>
      <c r="D502" s="189" t="s">
        <v>123</v>
      </c>
      <c r="E502" s="190" t="s">
        <v>1619</v>
      </c>
      <c r="F502" s="191">
        <f t="shared" si="9"/>
        <v>195.53333333333333</v>
      </c>
      <c r="G502" s="185"/>
      <c r="H502" s="181"/>
      <c r="I502" s="74"/>
      <c r="J502" s="74"/>
      <c r="M502" s="185"/>
      <c r="N502" s="185"/>
      <c r="O502" s="185"/>
      <c r="P502" s="185"/>
      <c r="Q502" s="185"/>
      <c r="R502" s="185"/>
    </row>
    <row r="503" spans="1:18" s="197" customFormat="1" ht="12.75" x14ac:dyDescent="0.2">
      <c r="A503" s="181"/>
      <c r="B503" s="188" t="s">
        <v>1620</v>
      </c>
      <c r="C503" s="189" t="s">
        <v>134</v>
      </c>
      <c r="D503" s="189" t="s">
        <v>123</v>
      </c>
      <c r="E503" s="190" t="s">
        <v>1567</v>
      </c>
      <c r="F503" s="191">
        <f t="shared" si="9"/>
        <v>208.05</v>
      </c>
      <c r="G503" s="185"/>
      <c r="H503" s="181"/>
      <c r="I503" s="74"/>
      <c r="J503" s="74"/>
      <c r="M503" s="185"/>
      <c r="N503" s="185"/>
      <c r="O503" s="185"/>
      <c r="P503" s="185"/>
      <c r="Q503" s="185"/>
      <c r="R503" s="185"/>
    </row>
    <row r="504" spans="1:18" s="197" customFormat="1" ht="12.75" x14ac:dyDescent="0.2">
      <c r="A504" s="181"/>
      <c r="B504" s="188" t="s">
        <v>1621</v>
      </c>
      <c r="C504" s="189" t="s">
        <v>125</v>
      </c>
      <c r="D504" s="189" t="s">
        <v>123</v>
      </c>
      <c r="E504" s="190" t="s">
        <v>1622</v>
      </c>
      <c r="F504" s="191">
        <f t="shared" si="9"/>
        <v>243.46666666666667</v>
      </c>
      <c r="G504" s="185"/>
      <c r="H504" s="181"/>
      <c r="I504" s="74"/>
      <c r="J504" s="74"/>
      <c r="M504" s="185"/>
      <c r="N504" s="185"/>
      <c r="O504" s="185"/>
      <c r="P504" s="185"/>
      <c r="Q504" s="185"/>
      <c r="R504" s="185"/>
    </row>
    <row r="505" spans="1:18" s="197" customFormat="1" ht="12.75" x14ac:dyDescent="0.2">
      <c r="A505" s="181"/>
      <c r="B505" s="188" t="s">
        <v>1623</v>
      </c>
      <c r="C505" s="189" t="s">
        <v>124</v>
      </c>
      <c r="D505" s="189" t="s">
        <v>260</v>
      </c>
      <c r="E505" s="190" t="s">
        <v>1624</v>
      </c>
      <c r="F505" s="191">
        <f t="shared" si="9"/>
        <v>218.73333333333332</v>
      </c>
      <c r="G505" s="185"/>
      <c r="H505" s="181"/>
      <c r="I505" s="74"/>
      <c r="J505" s="74"/>
      <c r="M505" s="185"/>
      <c r="N505" s="185"/>
      <c r="O505" s="185"/>
      <c r="P505" s="185"/>
      <c r="Q505" s="185"/>
      <c r="R505" s="185"/>
    </row>
    <row r="506" spans="1:18" s="197" customFormat="1" ht="12.75" x14ac:dyDescent="0.2">
      <c r="A506" s="181"/>
      <c r="B506" s="188" t="s">
        <v>1625</v>
      </c>
      <c r="C506" s="189" t="s">
        <v>142</v>
      </c>
      <c r="D506" s="189" t="s">
        <v>123</v>
      </c>
      <c r="E506" s="190" t="s">
        <v>1626</v>
      </c>
      <c r="F506" s="191">
        <f t="shared" si="9"/>
        <v>223.65</v>
      </c>
      <c r="G506" s="185"/>
      <c r="H506" s="181"/>
      <c r="I506" s="74"/>
      <c r="J506" s="74"/>
      <c r="M506" s="185"/>
      <c r="N506" s="185"/>
      <c r="O506" s="185"/>
      <c r="P506" s="185"/>
      <c r="Q506" s="185"/>
      <c r="R506" s="185"/>
    </row>
    <row r="507" spans="1:18" s="197" customFormat="1" ht="12.75" x14ac:dyDescent="0.2">
      <c r="A507" s="181"/>
      <c r="B507" s="188" t="s">
        <v>1627</v>
      </c>
      <c r="C507" s="189" t="s">
        <v>130</v>
      </c>
      <c r="D507" s="189" t="s">
        <v>123</v>
      </c>
      <c r="E507" s="190" t="s">
        <v>1628</v>
      </c>
      <c r="F507" s="191">
        <f t="shared" si="9"/>
        <v>226.96666666666667</v>
      </c>
      <c r="G507" s="185"/>
      <c r="H507" s="181"/>
      <c r="I507" s="74"/>
      <c r="J507" s="74"/>
      <c r="M507" s="185"/>
      <c r="N507" s="185"/>
      <c r="O507" s="185"/>
      <c r="P507" s="185"/>
      <c r="Q507" s="185"/>
      <c r="R507" s="185"/>
    </row>
    <row r="508" spans="1:18" s="197" customFormat="1" ht="12.75" x14ac:dyDescent="0.2">
      <c r="A508" s="181"/>
      <c r="B508" s="188" t="s">
        <v>1629</v>
      </c>
      <c r="C508" s="189" t="s">
        <v>126</v>
      </c>
      <c r="D508" s="189" t="s">
        <v>131</v>
      </c>
      <c r="E508" s="190" t="s">
        <v>1630</v>
      </c>
      <c r="F508" s="191">
        <f t="shared" si="9"/>
        <v>281.64999999999998</v>
      </c>
      <c r="G508" s="185"/>
      <c r="H508" s="181"/>
      <c r="I508" s="74"/>
      <c r="J508" s="74"/>
      <c r="M508" s="185"/>
      <c r="N508" s="185"/>
      <c r="O508" s="185"/>
      <c r="P508" s="185"/>
      <c r="Q508" s="185"/>
      <c r="R508" s="185"/>
    </row>
    <row r="509" spans="1:18" s="197" customFormat="1" ht="12.75" x14ac:dyDescent="0.2">
      <c r="A509" s="181"/>
      <c r="B509" s="188" t="s">
        <v>1631</v>
      </c>
      <c r="C509" s="189" t="s">
        <v>128</v>
      </c>
      <c r="D509" s="189" t="s">
        <v>165</v>
      </c>
      <c r="E509" s="190" t="s">
        <v>1632</v>
      </c>
      <c r="F509" s="191">
        <f t="shared" si="9"/>
        <v>249.08333333333334</v>
      </c>
      <c r="G509" s="185"/>
      <c r="H509" s="181"/>
      <c r="I509" s="74"/>
      <c r="J509" s="74"/>
      <c r="M509" s="185"/>
      <c r="N509" s="185"/>
      <c r="O509" s="185"/>
      <c r="P509" s="185"/>
      <c r="Q509" s="185"/>
      <c r="R509" s="185"/>
    </row>
    <row r="510" spans="1:18" s="197" customFormat="1" ht="12.75" x14ac:dyDescent="0.2">
      <c r="A510" s="181"/>
      <c r="B510" s="188" t="s">
        <v>1633</v>
      </c>
      <c r="C510" s="189" t="s">
        <v>124</v>
      </c>
      <c r="D510" s="189" t="s">
        <v>123</v>
      </c>
      <c r="E510" s="190" t="s">
        <v>1634</v>
      </c>
      <c r="F510" s="191">
        <f t="shared" si="9"/>
        <v>285.61666666666667</v>
      </c>
      <c r="G510" s="185"/>
      <c r="H510" s="181"/>
      <c r="I510" s="74"/>
      <c r="J510" s="74"/>
      <c r="M510" s="185"/>
      <c r="N510" s="185"/>
      <c r="O510" s="185"/>
      <c r="P510" s="185"/>
      <c r="Q510" s="185"/>
      <c r="R510" s="185"/>
    </row>
    <row r="511" spans="1:18" s="197" customFormat="1" ht="12.75" x14ac:dyDescent="0.2">
      <c r="A511" s="181"/>
      <c r="B511" s="188" t="s">
        <v>1635</v>
      </c>
      <c r="C511" s="189" t="s">
        <v>124</v>
      </c>
      <c r="D511" s="189" t="s">
        <v>210</v>
      </c>
      <c r="E511" s="190" t="s">
        <v>1636</v>
      </c>
      <c r="F511" s="191">
        <f t="shared" si="9"/>
        <v>210.6</v>
      </c>
      <c r="G511" s="185"/>
      <c r="H511" s="181"/>
      <c r="I511" s="74"/>
      <c r="J511" s="74"/>
      <c r="M511" s="185"/>
      <c r="N511" s="185"/>
      <c r="O511" s="185"/>
      <c r="P511" s="185"/>
      <c r="Q511" s="185"/>
      <c r="R511" s="185"/>
    </row>
    <row r="512" spans="1:18" s="197" customFormat="1" ht="12.75" x14ac:dyDescent="0.2">
      <c r="A512" s="181"/>
      <c r="B512" s="188" t="s">
        <v>1637</v>
      </c>
      <c r="C512" s="189" t="s">
        <v>130</v>
      </c>
      <c r="D512" s="189" t="s">
        <v>123</v>
      </c>
      <c r="E512" s="190" t="s">
        <v>1638</v>
      </c>
      <c r="F512" s="191">
        <f t="shared" si="9"/>
        <v>302.55</v>
      </c>
      <c r="G512" s="185"/>
      <c r="H512" s="181"/>
      <c r="I512" s="74"/>
      <c r="J512" s="74"/>
      <c r="M512" s="185"/>
      <c r="N512" s="185"/>
      <c r="O512" s="185"/>
      <c r="P512" s="185"/>
      <c r="Q512" s="185"/>
      <c r="R512" s="185"/>
    </row>
    <row r="513" spans="1:18" s="197" customFormat="1" ht="12.75" x14ac:dyDescent="0.2">
      <c r="A513" s="181"/>
      <c r="B513" s="188" t="s">
        <v>232</v>
      </c>
      <c r="C513" s="189" t="s">
        <v>125</v>
      </c>
      <c r="D513" s="189" t="s">
        <v>123</v>
      </c>
      <c r="E513" s="190" t="s">
        <v>1639</v>
      </c>
      <c r="F513" s="191">
        <f t="shared" si="9"/>
        <v>244.2</v>
      </c>
      <c r="G513" s="185"/>
      <c r="H513" s="181"/>
      <c r="I513" s="74"/>
      <c r="J513" s="74"/>
      <c r="M513" s="185"/>
      <c r="N513" s="185"/>
      <c r="O513" s="185"/>
      <c r="P513" s="185"/>
      <c r="Q513" s="185"/>
      <c r="R513" s="185"/>
    </row>
    <row r="514" spans="1:18" s="197" customFormat="1" ht="12.75" x14ac:dyDescent="0.2">
      <c r="A514" s="181"/>
      <c r="B514" s="188" t="s">
        <v>1640</v>
      </c>
      <c r="C514" s="189" t="s">
        <v>130</v>
      </c>
      <c r="D514" s="189" t="s">
        <v>123</v>
      </c>
      <c r="E514" s="190" t="s">
        <v>1641</v>
      </c>
      <c r="F514" s="191">
        <f t="shared" si="9"/>
        <v>275.3</v>
      </c>
      <c r="G514" s="185"/>
      <c r="H514" s="181"/>
      <c r="I514" s="74"/>
      <c r="J514" s="74"/>
      <c r="M514" s="185"/>
      <c r="N514" s="185"/>
      <c r="O514" s="185"/>
      <c r="P514" s="185"/>
      <c r="Q514" s="185"/>
      <c r="R514" s="185"/>
    </row>
    <row r="515" spans="1:18" s="197" customFormat="1" ht="12.75" x14ac:dyDescent="0.2">
      <c r="A515" s="181"/>
      <c r="B515" s="188" t="s">
        <v>1642</v>
      </c>
      <c r="C515" s="189" t="s">
        <v>130</v>
      </c>
      <c r="D515" s="189" t="s">
        <v>123</v>
      </c>
      <c r="E515" s="190" t="s">
        <v>1643</v>
      </c>
      <c r="F515" s="191">
        <f t="shared" si="9"/>
        <v>238.11666666666667</v>
      </c>
      <c r="G515" s="185"/>
      <c r="H515" s="181"/>
      <c r="I515" s="74"/>
      <c r="J515" s="74"/>
      <c r="M515" s="185"/>
      <c r="N515" s="185"/>
      <c r="O515" s="185"/>
      <c r="P515" s="185"/>
      <c r="Q515" s="185"/>
      <c r="R515" s="185"/>
    </row>
    <row r="516" spans="1:18" s="197" customFormat="1" ht="12.75" x14ac:dyDescent="0.2">
      <c r="A516" s="181"/>
      <c r="B516" s="188" t="s">
        <v>1644</v>
      </c>
      <c r="C516" s="189" t="s">
        <v>124</v>
      </c>
      <c r="D516" s="189" t="s">
        <v>123</v>
      </c>
      <c r="E516" s="190" t="s">
        <v>1645</v>
      </c>
      <c r="F516" s="191">
        <f t="shared" si="9"/>
        <v>248.76666666666668</v>
      </c>
      <c r="G516" s="185"/>
      <c r="H516" s="181"/>
      <c r="I516" s="74"/>
      <c r="J516" s="74"/>
      <c r="M516" s="185"/>
      <c r="N516" s="185"/>
      <c r="O516" s="185"/>
      <c r="P516" s="185"/>
      <c r="Q516" s="185"/>
      <c r="R516" s="185"/>
    </row>
    <row r="517" spans="1:18" s="197" customFormat="1" ht="12.75" x14ac:dyDescent="0.2">
      <c r="A517" s="181"/>
      <c r="B517" s="188" t="s">
        <v>1646</v>
      </c>
      <c r="C517" s="189" t="s">
        <v>125</v>
      </c>
      <c r="D517" s="189" t="s">
        <v>141</v>
      </c>
      <c r="E517" s="190" t="s">
        <v>1647</v>
      </c>
      <c r="F517" s="191">
        <f t="shared" si="9"/>
        <v>235.75</v>
      </c>
      <c r="G517" s="185"/>
      <c r="H517" s="181"/>
      <c r="I517" s="74"/>
      <c r="J517" s="74"/>
      <c r="M517" s="185"/>
      <c r="N517" s="185"/>
      <c r="O517" s="185"/>
      <c r="P517" s="185"/>
      <c r="Q517" s="185"/>
      <c r="R517" s="185"/>
    </row>
    <row r="518" spans="1:18" s="197" customFormat="1" ht="12.75" x14ac:dyDescent="0.2">
      <c r="A518" s="181"/>
      <c r="B518" s="188" t="s">
        <v>1648</v>
      </c>
      <c r="C518" s="189" t="s">
        <v>135</v>
      </c>
      <c r="D518" s="189" t="s">
        <v>141</v>
      </c>
      <c r="E518" s="190" t="s">
        <v>1649</v>
      </c>
      <c r="F518" s="191">
        <f t="shared" si="9"/>
        <v>279.60000000000002</v>
      </c>
      <c r="G518" s="185"/>
      <c r="H518" s="181"/>
      <c r="I518" s="74"/>
      <c r="J518" s="74"/>
      <c r="M518" s="185"/>
      <c r="N518" s="185"/>
      <c r="O518" s="185"/>
      <c r="P518" s="185"/>
      <c r="Q518" s="185"/>
      <c r="R518" s="185"/>
    </row>
    <row r="519" spans="1:18" s="197" customFormat="1" ht="12.75" x14ac:dyDescent="0.2">
      <c r="A519" s="181"/>
      <c r="B519" s="188" t="s">
        <v>1650</v>
      </c>
      <c r="C519" s="189" t="s">
        <v>128</v>
      </c>
      <c r="D519" s="189" t="s">
        <v>123</v>
      </c>
      <c r="E519" s="190" t="s">
        <v>1651</v>
      </c>
      <c r="F519" s="191">
        <f t="shared" si="9"/>
        <v>278.39999999999998</v>
      </c>
      <c r="G519" s="185"/>
      <c r="H519" s="181"/>
      <c r="I519" s="74"/>
      <c r="J519" s="74"/>
      <c r="M519" s="185"/>
      <c r="N519" s="185"/>
      <c r="O519" s="185"/>
      <c r="P519" s="185"/>
      <c r="Q519" s="185"/>
      <c r="R519" s="185"/>
    </row>
    <row r="520" spans="1:18" s="197" customFormat="1" ht="12.75" x14ac:dyDescent="0.2">
      <c r="A520" s="181"/>
      <c r="B520" s="188" t="s">
        <v>1652</v>
      </c>
      <c r="C520" s="189" t="s">
        <v>140</v>
      </c>
      <c r="D520" s="189" t="s">
        <v>131</v>
      </c>
      <c r="E520" s="190" t="s">
        <v>1653</v>
      </c>
      <c r="F520" s="191">
        <f t="shared" si="9"/>
        <v>299.39999999999998</v>
      </c>
      <c r="G520" s="185"/>
      <c r="H520" s="181"/>
      <c r="I520" s="74"/>
      <c r="J520" s="74"/>
      <c r="M520" s="185"/>
      <c r="N520" s="185"/>
      <c r="O520" s="185"/>
      <c r="P520" s="185"/>
      <c r="Q520" s="185"/>
      <c r="R520" s="185"/>
    </row>
    <row r="521" spans="1:18" s="197" customFormat="1" ht="12.75" x14ac:dyDescent="0.2">
      <c r="A521" s="181"/>
      <c r="B521" s="188" t="s">
        <v>1654</v>
      </c>
      <c r="C521" s="189" t="s">
        <v>135</v>
      </c>
      <c r="D521" s="189" t="s">
        <v>141</v>
      </c>
      <c r="E521" s="190" t="s">
        <v>1655</v>
      </c>
      <c r="F521" s="191">
        <f t="shared" si="9"/>
        <v>220.71666666666667</v>
      </c>
      <c r="G521" s="185"/>
      <c r="H521" s="181"/>
      <c r="I521" s="74"/>
      <c r="J521" s="74"/>
      <c r="M521" s="185"/>
      <c r="N521" s="185"/>
      <c r="O521" s="185"/>
      <c r="P521" s="185"/>
      <c r="Q521" s="185"/>
      <c r="R521" s="185"/>
    </row>
    <row r="522" spans="1:18" s="197" customFormat="1" ht="12.75" x14ac:dyDescent="0.2">
      <c r="A522" s="181"/>
      <c r="B522" s="188" t="s">
        <v>1656</v>
      </c>
      <c r="C522" s="189" t="s">
        <v>124</v>
      </c>
      <c r="D522" s="189" t="s">
        <v>127</v>
      </c>
      <c r="E522" s="190" t="s">
        <v>1657</v>
      </c>
      <c r="F522" s="191">
        <f t="shared" si="9"/>
        <v>253.78333333333333</v>
      </c>
      <c r="G522" s="185"/>
      <c r="H522" s="181"/>
      <c r="I522" s="74"/>
      <c r="J522" s="74"/>
      <c r="M522" s="185"/>
      <c r="N522" s="185"/>
      <c r="O522" s="185"/>
      <c r="P522" s="185"/>
      <c r="Q522" s="185"/>
      <c r="R522" s="185"/>
    </row>
    <row r="523" spans="1:18" s="197" customFormat="1" ht="12.75" x14ac:dyDescent="0.2">
      <c r="A523" s="181"/>
      <c r="B523" s="188" t="s">
        <v>1658</v>
      </c>
      <c r="C523" s="189" t="s">
        <v>130</v>
      </c>
      <c r="D523" s="189" t="s">
        <v>123</v>
      </c>
      <c r="E523" s="190" t="s">
        <v>1659</v>
      </c>
      <c r="F523" s="191">
        <f t="shared" ref="F523:F586" si="10">HOUR(E523)*60+MINUTE(E523)+SECOND(E523)/60</f>
        <v>245.53333333333333</v>
      </c>
      <c r="G523" s="185"/>
      <c r="H523" s="181"/>
      <c r="I523" s="74"/>
      <c r="J523" s="74"/>
      <c r="M523" s="185"/>
      <c r="N523" s="185"/>
      <c r="O523" s="185"/>
      <c r="P523" s="185"/>
      <c r="Q523" s="185"/>
      <c r="R523" s="185"/>
    </row>
    <row r="524" spans="1:18" s="197" customFormat="1" ht="12.75" x14ac:dyDescent="0.2">
      <c r="A524" s="181"/>
      <c r="B524" s="188" t="s">
        <v>1660</v>
      </c>
      <c r="C524" s="189" t="s">
        <v>142</v>
      </c>
      <c r="D524" s="189" t="s">
        <v>141</v>
      </c>
      <c r="E524" s="190" t="s">
        <v>1661</v>
      </c>
      <c r="F524" s="191">
        <f t="shared" si="10"/>
        <v>189.65</v>
      </c>
      <c r="G524" s="185"/>
      <c r="H524" s="181"/>
      <c r="I524" s="74"/>
      <c r="J524" s="74"/>
      <c r="M524" s="185"/>
      <c r="N524" s="185"/>
      <c r="O524" s="185"/>
      <c r="P524" s="185"/>
      <c r="Q524" s="185"/>
      <c r="R524" s="185"/>
    </row>
    <row r="525" spans="1:18" s="197" customFormat="1" ht="12.75" x14ac:dyDescent="0.2">
      <c r="A525" s="181"/>
      <c r="B525" s="188" t="s">
        <v>1662</v>
      </c>
      <c r="C525" s="189" t="s">
        <v>142</v>
      </c>
      <c r="D525" s="189" t="s">
        <v>123</v>
      </c>
      <c r="E525" s="190" t="s">
        <v>1663</v>
      </c>
      <c r="F525" s="191">
        <f t="shared" si="10"/>
        <v>250.83333333333334</v>
      </c>
      <c r="G525" s="185"/>
      <c r="H525" s="181"/>
      <c r="I525" s="74"/>
      <c r="J525" s="74"/>
      <c r="M525" s="185"/>
      <c r="N525" s="185"/>
      <c r="O525" s="185"/>
      <c r="P525" s="185"/>
      <c r="Q525" s="185"/>
      <c r="R525" s="185"/>
    </row>
    <row r="526" spans="1:18" s="197" customFormat="1" ht="12.75" x14ac:dyDescent="0.2">
      <c r="A526" s="181"/>
      <c r="B526" s="188" t="s">
        <v>1664</v>
      </c>
      <c r="C526" s="189" t="s">
        <v>135</v>
      </c>
      <c r="D526" s="189" t="s">
        <v>155</v>
      </c>
      <c r="E526" s="190" t="s">
        <v>1665</v>
      </c>
      <c r="F526" s="191">
        <f t="shared" si="10"/>
        <v>324.83333333333331</v>
      </c>
      <c r="G526" s="185"/>
      <c r="H526" s="181"/>
      <c r="I526" s="74"/>
      <c r="J526" s="74"/>
      <c r="M526" s="185"/>
      <c r="N526" s="185"/>
      <c r="O526" s="185"/>
      <c r="P526" s="185"/>
      <c r="Q526" s="185"/>
      <c r="R526" s="185"/>
    </row>
    <row r="527" spans="1:18" s="197" customFormat="1" ht="12.75" x14ac:dyDescent="0.2">
      <c r="A527" s="181"/>
      <c r="B527" s="188" t="s">
        <v>1666</v>
      </c>
      <c r="C527" s="189" t="s">
        <v>126</v>
      </c>
      <c r="D527" s="189" t="s">
        <v>123</v>
      </c>
      <c r="E527" s="190" t="s">
        <v>1667</v>
      </c>
      <c r="F527" s="191">
        <f t="shared" si="10"/>
        <v>246.86666666666667</v>
      </c>
      <c r="G527" s="185"/>
      <c r="H527" s="181"/>
      <c r="I527" s="74"/>
      <c r="J527" s="74"/>
      <c r="M527" s="185"/>
      <c r="N527" s="185"/>
      <c r="O527" s="185"/>
      <c r="P527" s="185"/>
      <c r="Q527" s="185"/>
      <c r="R527" s="185"/>
    </row>
    <row r="528" spans="1:18" s="197" customFormat="1" ht="12.75" x14ac:dyDescent="0.2">
      <c r="A528" s="181"/>
      <c r="B528" s="188" t="s">
        <v>1668</v>
      </c>
      <c r="C528" s="189" t="s">
        <v>142</v>
      </c>
      <c r="D528" s="189" t="s">
        <v>148</v>
      </c>
      <c r="E528" s="190" t="s">
        <v>1669</v>
      </c>
      <c r="F528" s="191">
        <f t="shared" si="10"/>
        <v>283.41666666666669</v>
      </c>
      <c r="G528" s="185"/>
      <c r="H528" s="181"/>
      <c r="I528" s="74"/>
      <c r="J528" s="74"/>
      <c r="M528" s="185"/>
      <c r="N528" s="185"/>
      <c r="O528" s="185"/>
      <c r="P528" s="185"/>
      <c r="Q528" s="185"/>
      <c r="R528" s="185"/>
    </row>
    <row r="529" spans="1:18" s="197" customFormat="1" ht="12.75" x14ac:dyDescent="0.2">
      <c r="A529" s="181"/>
      <c r="B529" s="188" t="s">
        <v>1670</v>
      </c>
      <c r="C529" s="189" t="s">
        <v>125</v>
      </c>
      <c r="D529" s="189" t="s">
        <v>155</v>
      </c>
      <c r="E529" s="190" t="s">
        <v>1671</v>
      </c>
      <c r="F529" s="191">
        <f t="shared" si="10"/>
        <v>296.2</v>
      </c>
      <c r="G529" s="185"/>
      <c r="H529" s="181"/>
      <c r="I529" s="74"/>
      <c r="J529" s="74"/>
      <c r="M529" s="185"/>
      <c r="N529" s="185"/>
      <c r="O529" s="185"/>
      <c r="P529" s="185"/>
      <c r="Q529" s="185"/>
      <c r="R529" s="185"/>
    </row>
    <row r="530" spans="1:18" s="197" customFormat="1" ht="12.75" x14ac:dyDescent="0.2">
      <c r="A530" s="181"/>
      <c r="B530" s="188" t="s">
        <v>1672</v>
      </c>
      <c r="C530" s="189" t="s">
        <v>125</v>
      </c>
      <c r="D530" s="189" t="s">
        <v>123</v>
      </c>
      <c r="E530" s="190" t="s">
        <v>1673</v>
      </c>
      <c r="F530" s="191">
        <f t="shared" si="10"/>
        <v>258.11666666666667</v>
      </c>
      <c r="G530" s="185"/>
      <c r="H530" s="181"/>
      <c r="I530" s="74"/>
      <c r="J530" s="74"/>
      <c r="M530" s="185"/>
      <c r="N530" s="185"/>
      <c r="O530" s="185"/>
      <c r="P530" s="185"/>
      <c r="Q530" s="185"/>
      <c r="R530" s="185"/>
    </row>
    <row r="531" spans="1:18" s="197" customFormat="1" ht="12.75" x14ac:dyDescent="0.2">
      <c r="A531" s="181"/>
      <c r="B531" s="188" t="s">
        <v>1674</v>
      </c>
      <c r="C531" s="189" t="s">
        <v>126</v>
      </c>
      <c r="D531" s="189" t="s">
        <v>123</v>
      </c>
      <c r="E531" s="190" t="s">
        <v>1675</v>
      </c>
      <c r="F531" s="191">
        <f t="shared" si="10"/>
        <v>255</v>
      </c>
      <c r="G531" s="185"/>
      <c r="H531" s="181"/>
      <c r="I531" s="74"/>
      <c r="J531" s="74"/>
      <c r="M531" s="185"/>
      <c r="N531" s="185"/>
      <c r="O531" s="185"/>
      <c r="P531" s="185"/>
      <c r="Q531" s="185"/>
      <c r="R531" s="185"/>
    </row>
    <row r="532" spans="1:18" s="197" customFormat="1" ht="12.75" x14ac:dyDescent="0.2">
      <c r="A532" s="181"/>
      <c r="B532" s="188" t="s">
        <v>1676</v>
      </c>
      <c r="C532" s="189" t="s">
        <v>134</v>
      </c>
      <c r="D532" s="189" t="s">
        <v>131</v>
      </c>
      <c r="E532" s="190" t="s">
        <v>1677</v>
      </c>
      <c r="F532" s="191">
        <f t="shared" si="10"/>
        <v>269.89999999999998</v>
      </c>
      <c r="G532" s="185"/>
      <c r="H532" s="181"/>
      <c r="I532" s="74"/>
      <c r="J532" s="74"/>
      <c r="M532" s="185"/>
      <c r="N532" s="185"/>
      <c r="O532" s="185"/>
      <c r="P532" s="185"/>
      <c r="Q532" s="185"/>
      <c r="R532" s="185"/>
    </row>
    <row r="533" spans="1:18" s="197" customFormat="1" ht="12.75" x14ac:dyDescent="0.2">
      <c r="A533" s="181"/>
      <c r="B533" s="188" t="s">
        <v>1678</v>
      </c>
      <c r="C533" s="189" t="s">
        <v>125</v>
      </c>
      <c r="D533" s="189" t="s">
        <v>148</v>
      </c>
      <c r="E533" s="190" t="s">
        <v>1679</v>
      </c>
      <c r="F533" s="191">
        <f t="shared" si="10"/>
        <v>222.08333333333334</v>
      </c>
      <c r="G533" s="185"/>
      <c r="H533" s="181"/>
      <c r="I533" s="74"/>
      <c r="J533" s="74"/>
      <c r="M533" s="185"/>
      <c r="N533" s="185"/>
      <c r="O533" s="185"/>
      <c r="P533" s="185"/>
      <c r="Q533" s="185"/>
      <c r="R533" s="185"/>
    </row>
    <row r="534" spans="1:18" s="197" customFormat="1" ht="12.75" x14ac:dyDescent="0.2">
      <c r="A534" s="181"/>
      <c r="B534" s="188" t="s">
        <v>1680</v>
      </c>
      <c r="C534" s="189" t="s">
        <v>124</v>
      </c>
      <c r="D534" s="189" t="s">
        <v>157</v>
      </c>
      <c r="E534" s="190" t="s">
        <v>1681</v>
      </c>
      <c r="F534" s="191">
        <f t="shared" si="10"/>
        <v>239.3</v>
      </c>
      <c r="G534" s="185"/>
      <c r="H534" s="181"/>
      <c r="I534" s="74"/>
      <c r="J534" s="74"/>
      <c r="M534" s="185"/>
      <c r="N534" s="185"/>
      <c r="O534" s="185"/>
      <c r="P534" s="185"/>
      <c r="Q534" s="185"/>
      <c r="R534" s="185"/>
    </row>
    <row r="535" spans="1:18" s="197" customFormat="1" ht="12.75" x14ac:dyDescent="0.2">
      <c r="A535" s="181"/>
      <c r="B535" s="188" t="s">
        <v>220</v>
      </c>
      <c r="C535" s="189" t="s">
        <v>135</v>
      </c>
      <c r="D535" s="189" t="s">
        <v>123</v>
      </c>
      <c r="E535" s="190" t="s">
        <v>1682</v>
      </c>
      <c r="F535" s="191">
        <f t="shared" si="10"/>
        <v>238.36666666666667</v>
      </c>
      <c r="G535" s="185"/>
      <c r="H535" s="181"/>
      <c r="I535" s="74"/>
      <c r="J535" s="74"/>
      <c r="M535" s="185"/>
      <c r="N535" s="185"/>
      <c r="O535" s="185"/>
      <c r="P535" s="185"/>
      <c r="Q535" s="185"/>
      <c r="R535" s="185"/>
    </row>
    <row r="536" spans="1:18" s="197" customFormat="1" ht="12.75" x14ac:dyDescent="0.2">
      <c r="A536" s="181"/>
      <c r="B536" s="188" t="s">
        <v>1683</v>
      </c>
      <c r="C536" s="189" t="s">
        <v>134</v>
      </c>
      <c r="D536" s="189" t="s">
        <v>123</v>
      </c>
      <c r="E536" s="190" t="s">
        <v>1684</v>
      </c>
      <c r="F536" s="191">
        <f t="shared" si="10"/>
        <v>293.7</v>
      </c>
      <c r="G536" s="185"/>
      <c r="H536" s="181"/>
      <c r="I536" s="74"/>
      <c r="J536" s="74"/>
      <c r="M536" s="185"/>
      <c r="N536" s="185"/>
      <c r="O536" s="185"/>
      <c r="P536" s="185"/>
      <c r="Q536" s="185"/>
      <c r="R536" s="185"/>
    </row>
    <row r="537" spans="1:18" s="197" customFormat="1" ht="12.75" x14ac:dyDescent="0.2">
      <c r="A537" s="181"/>
      <c r="B537" s="188" t="s">
        <v>585</v>
      </c>
      <c r="C537" s="189" t="s">
        <v>125</v>
      </c>
      <c r="D537" s="189" t="s">
        <v>123</v>
      </c>
      <c r="E537" s="190" t="s">
        <v>1685</v>
      </c>
      <c r="F537" s="191">
        <f t="shared" si="10"/>
        <v>188.18333333333334</v>
      </c>
      <c r="G537" s="185"/>
      <c r="H537" s="181"/>
      <c r="I537" s="74"/>
      <c r="J537" s="74"/>
      <c r="M537" s="185"/>
      <c r="N537" s="185"/>
      <c r="O537" s="185"/>
      <c r="P537" s="185"/>
      <c r="Q537" s="185"/>
      <c r="R537" s="185"/>
    </row>
    <row r="538" spans="1:18" s="197" customFormat="1" ht="12.75" x14ac:dyDescent="0.2">
      <c r="A538" s="181"/>
      <c r="B538" s="188" t="s">
        <v>1686</v>
      </c>
      <c r="C538" s="189" t="s">
        <v>134</v>
      </c>
      <c r="D538" s="189" t="s">
        <v>123</v>
      </c>
      <c r="E538" s="190" t="s">
        <v>1687</v>
      </c>
      <c r="F538" s="191">
        <f t="shared" si="10"/>
        <v>248.15</v>
      </c>
      <c r="G538" s="185"/>
      <c r="H538" s="181"/>
      <c r="I538" s="74"/>
      <c r="J538" s="74"/>
      <c r="M538" s="185"/>
      <c r="N538" s="185"/>
      <c r="O538" s="185"/>
      <c r="P538" s="185"/>
      <c r="Q538" s="185"/>
      <c r="R538" s="185"/>
    </row>
    <row r="539" spans="1:18" s="197" customFormat="1" ht="12.75" x14ac:dyDescent="0.2">
      <c r="A539" s="181"/>
      <c r="B539" s="188" t="s">
        <v>1688</v>
      </c>
      <c r="C539" s="189" t="s">
        <v>135</v>
      </c>
      <c r="D539" s="189" t="s">
        <v>131</v>
      </c>
      <c r="E539" s="190" t="s">
        <v>1689</v>
      </c>
      <c r="F539" s="191">
        <f t="shared" si="10"/>
        <v>285.36666666666667</v>
      </c>
      <c r="G539" s="185"/>
      <c r="H539" s="181"/>
      <c r="I539" s="74"/>
      <c r="J539" s="74"/>
      <c r="M539" s="185"/>
      <c r="N539" s="185"/>
      <c r="O539" s="185"/>
      <c r="P539" s="185"/>
      <c r="Q539" s="185"/>
      <c r="R539" s="185"/>
    </row>
    <row r="540" spans="1:18" s="197" customFormat="1" ht="12.75" x14ac:dyDescent="0.2">
      <c r="A540" s="181"/>
      <c r="B540" s="188" t="s">
        <v>574</v>
      </c>
      <c r="C540" s="189" t="s">
        <v>130</v>
      </c>
      <c r="D540" s="189" t="s">
        <v>123</v>
      </c>
      <c r="E540" s="190" t="s">
        <v>1690</v>
      </c>
      <c r="F540" s="191">
        <f t="shared" si="10"/>
        <v>283.21666666666664</v>
      </c>
      <c r="G540" s="185"/>
      <c r="H540" s="181"/>
      <c r="I540" s="74"/>
      <c r="J540" s="74"/>
      <c r="M540" s="185"/>
      <c r="N540" s="185"/>
      <c r="O540" s="185"/>
      <c r="P540" s="185"/>
      <c r="Q540" s="185"/>
      <c r="R540" s="185"/>
    </row>
    <row r="541" spans="1:18" s="197" customFormat="1" ht="12.75" x14ac:dyDescent="0.2">
      <c r="A541" s="181"/>
      <c r="B541" s="188" t="s">
        <v>184</v>
      </c>
      <c r="C541" s="189" t="s">
        <v>125</v>
      </c>
      <c r="D541" s="189" t="s">
        <v>123</v>
      </c>
      <c r="E541" s="190" t="s">
        <v>1691</v>
      </c>
      <c r="F541" s="191">
        <f t="shared" si="10"/>
        <v>312.08333333333331</v>
      </c>
      <c r="G541" s="185"/>
      <c r="H541" s="181"/>
      <c r="I541" s="74"/>
      <c r="J541" s="74"/>
      <c r="M541" s="185"/>
      <c r="N541" s="185"/>
      <c r="O541" s="185"/>
      <c r="P541" s="185"/>
      <c r="Q541" s="185"/>
      <c r="R541" s="185"/>
    </row>
    <row r="542" spans="1:18" s="197" customFormat="1" ht="12.75" x14ac:dyDescent="0.2">
      <c r="A542" s="181"/>
      <c r="B542" s="188" t="s">
        <v>1692</v>
      </c>
      <c r="C542" s="189" t="s">
        <v>125</v>
      </c>
      <c r="D542" s="189" t="s">
        <v>123</v>
      </c>
      <c r="E542" s="190" t="s">
        <v>1693</v>
      </c>
      <c r="F542" s="191">
        <f t="shared" si="10"/>
        <v>271.7</v>
      </c>
      <c r="G542" s="185"/>
      <c r="H542" s="181"/>
      <c r="I542" s="74"/>
      <c r="J542" s="74"/>
      <c r="M542" s="185"/>
      <c r="N542" s="185"/>
      <c r="O542" s="185"/>
      <c r="P542" s="185"/>
      <c r="Q542" s="185"/>
      <c r="R542" s="185"/>
    </row>
    <row r="543" spans="1:18" s="197" customFormat="1" ht="12.75" x14ac:dyDescent="0.2">
      <c r="A543" s="181"/>
      <c r="B543" s="188" t="s">
        <v>1694</v>
      </c>
      <c r="C543" s="189" t="s">
        <v>126</v>
      </c>
      <c r="D543" s="189" t="s">
        <v>123</v>
      </c>
      <c r="E543" s="190" t="s">
        <v>1695</v>
      </c>
      <c r="F543" s="191">
        <f t="shared" si="10"/>
        <v>260</v>
      </c>
      <c r="G543" s="185"/>
      <c r="H543" s="181"/>
      <c r="I543" s="74"/>
      <c r="J543" s="74"/>
      <c r="M543" s="185"/>
      <c r="N543" s="185"/>
      <c r="O543" s="185"/>
      <c r="P543" s="185"/>
      <c r="Q543" s="185"/>
      <c r="R543" s="185"/>
    </row>
    <row r="544" spans="1:18" s="197" customFormat="1" ht="12.75" x14ac:dyDescent="0.2">
      <c r="A544" s="181"/>
      <c r="B544" s="188" t="s">
        <v>315</v>
      </c>
      <c r="C544" s="189" t="s">
        <v>124</v>
      </c>
      <c r="D544" s="189" t="s">
        <v>123</v>
      </c>
      <c r="E544" s="190" t="s">
        <v>1696</v>
      </c>
      <c r="F544" s="191">
        <f t="shared" si="10"/>
        <v>293.78333333333336</v>
      </c>
      <c r="G544" s="185"/>
      <c r="H544" s="181"/>
      <c r="I544" s="74"/>
      <c r="J544" s="74"/>
      <c r="M544" s="185"/>
      <c r="N544" s="185"/>
      <c r="O544" s="185"/>
      <c r="P544" s="185"/>
      <c r="Q544" s="185"/>
      <c r="R544" s="185"/>
    </row>
    <row r="545" spans="1:18" s="197" customFormat="1" ht="12.75" x14ac:dyDescent="0.2">
      <c r="A545" s="181"/>
      <c r="B545" s="188" t="s">
        <v>570</v>
      </c>
      <c r="C545" s="189" t="s">
        <v>125</v>
      </c>
      <c r="D545" s="189" t="s">
        <v>123</v>
      </c>
      <c r="E545" s="190" t="s">
        <v>1697</v>
      </c>
      <c r="F545" s="191">
        <f t="shared" si="10"/>
        <v>217.8</v>
      </c>
      <c r="G545" s="185"/>
      <c r="H545" s="181"/>
      <c r="I545" s="74"/>
      <c r="J545" s="74"/>
      <c r="M545" s="185"/>
      <c r="N545" s="185"/>
      <c r="O545" s="185"/>
      <c r="P545" s="185"/>
      <c r="Q545" s="185"/>
      <c r="R545" s="185"/>
    </row>
    <row r="546" spans="1:18" s="197" customFormat="1" ht="12.75" x14ac:dyDescent="0.2">
      <c r="A546" s="181"/>
      <c r="B546" s="188" t="s">
        <v>1698</v>
      </c>
      <c r="C546" s="189" t="s">
        <v>126</v>
      </c>
      <c r="D546" s="189" t="s">
        <v>171</v>
      </c>
      <c r="E546" s="190" t="s">
        <v>1699</v>
      </c>
      <c r="F546" s="191">
        <f t="shared" si="10"/>
        <v>163.6</v>
      </c>
      <c r="G546" s="185"/>
      <c r="H546" s="181"/>
      <c r="I546" s="74"/>
      <c r="J546" s="74"/>
      <c r="M546" s="185"/>
      <c r="N546" s="185"/>
      <c r="O546" s="185"/>
      <c r="P546" s="185"/>
      <c r="Q546" s="185"/>
      <c r="R546" s="185"/>
    </row>
    <row r="547" spans="1:18" s="197" customFormat="1" ht="12.75" x14ac:dyDescent="0.2">
      <c r="A547" s="181"/>
      <c r="B547" s="188" t="s">
        <v>1700</v>
      </c>
      <c r="C547" s="189" t="s">
        <v>135</v>
      </c>
      <c r="D547" s="189" t="s">
        <v>132</v>
      </c>
      <c r="E547" s="190" t="s">
        <v>1701</v>
      </c>
      <c r="F547" s="191">
        <f t="shared" si="10"/>
        <v>260.89999999999998</v>
      </c>
      <c r="G547" s="185"/>
      <c r="H547" s="181"/>
      <c r="I547" s="74"/>
      <c r="J547" s="74"/>
      <c r="M547" s="185"/>
      <c r="N547" s="185"/>
      <c r="O547" s="185"/>
      <c r="P547" s="185"/>
      <c r="Q547" s="185"/>
      <c r="R547" s="185"/>
    </row>
    <row r="548" spans="1:18" s="197" customFormat="1" ht="12.75" x14ac:dyDescent="0.2">
      <c r="A548" s="181"/>
      <c r="B548" s="188" t="s">
        <v>1702</v>
      </c>
      <c r="C548" s="189" t="s">
        <v>135</v>
      </c>
      <c r="D548" s="189" t="s">
        <v>141</v>
      </c>
      <c r="E548" s="190" t="s">
        <v>1703</v>
      </c>
      <c r="F548" s="191">
        <f t="shared" si="10"/>
        <v>300.03333333333336</v>
      </c>
      <c r="G548" s="185"/>
      <c r="H548" s="181"/>
      <c r="I548" s="74"/>
      <c r="J548" s="74"/>
      <c r="M548" s="185"/>
      <c r="N548" s="185"/>
      <c r="O548" s="185"/>
      <c r="P548" s="185"/>
      <c r="Q548" s="185"/>
      <c r="R548" s="185"/>
    </row>
    <row r="549" spans="1:18" s="197" customFormat="1" ht="12.75" x14ac:dyDescent="0.2">
      <c r="A549" s="181"/>
      <c r="B549" s="188" t="s">
        <v>1704</v>
      </c>
      <c r="C549" s="189" t="s">
        <v>130</v>
      </c>
      <c r="D549" s="189" t="s">
        <v>157</v>
      </c>
      <c r="E549" s="190" t="s">
        <v>1705</v>
      </c>
      <c r="F549" s="191">
        <f t="shared" si="10"/>
        <v>214.7</v>
      </c>
      <c r="G549" s="185"/>
      <c r="H549" s="181"/>
      <c r="I549" s="74"/>
      <c r="J549" s="74"/>
      <c r="M549" s="185"/>
      <c r="N549" s="185"/>
      <c r="O549" s="185"/>
      <c r="P549" s="185"/>
      <c r="Q549" s="185"/>
      <c r="R549" s="185"/>
    </row>
    <row r="550" spans="1:18" s="197" customFormat="1" ht="12.75" x14ac:dyDescent="0.2">
      <c r="A550" s="181"/>
      <c r="B550" s="188" t="s">
        <v>1706</v>
      </c>
      <c r="C550" s="189" t="s">
        <v>130</v>
      </c>
      <c r="D550" s="189" t="s">
        <v>1707</v>
      </c>
      <c r="E550" s="190" t="s">
        <v>1708</v>
      </c>
      <c r="F550" s="191">
        <f t="shared" si="10"/>
        <v>234.7</v>
      </c>
      <c r="G550" s="185"/>
      <c r="H550" s="181"/>
      <c r="I550" s="74"/>
      <c r="J550" s="74"/>
      <c r="M550" s="185"/>
      <c r="N550" s="185"/>
      <c r="O550" s="185"/>
      <c r="P550" s="185"/>
      <c r="Q550" s="185"/>
      <c r="R550" s="185"/>
    </row>
    <row r="551" spans="1:18" s="197" customFormat="1" ht="12.75" x14ac:dyDescent="0.2">
      <c r="A551" s="181"/>
      <c r="B551" s="188" t="s">
        <v>1709</v>
      </c>
      <c r="C551" s="189" t="s">
        <v>128</v>
      </c>
      <c r="D551" s="189" t="s">
        <v>123</v>
      </c>
      <c r="E551" s="190" t="s">
        <v>1710</v>
      </c>
      <c r="F551" s="191">
        <f t="shared" si="10"/>
        <v>274.25</v>
      </c>
      <c r="G551" s="185"/>
      <c r="H551" s="181"/>
      <c r="I551" s="74"/>
      <c r="J551" s="74"/>
      <c r="M551" s="185"/>
      <c r="N551" s="185"/>
      <c r="O551" s="185"/>
      <c r="P551" s="185"/>
      <c r="Q551" s="185"/>
      <c r="R551" s="185"/>
    </row>
    <row r="552" spans="1:18" s="197" customFormat="1" ht="12.75" x14ac:dyDescent="0.2">
      <c r="A552" s="181"/>
      <c r="B552" s="188" t="s">
        <v>1711</v>
      </c>
      <c r="C552" s="189" t="s">
        <v>128</v>
      </c>
      <c r="D552" s="189" t="s">
        <v>427</v>
      </c>
      <c r="E552" s="190" t="s">
        <v>1712</v>
      </c>
      <c r="F552" s="191">
        <f t="shared" si="10"/>
        <v>179.03333333333333</v>
      </c>
      <c r="G552" s="185"/>
      <c r="H552" s="181"/>
      <c r="I552" s="74"/>
      <c r="J552" s="74"/>
      <c r="M552" s="185"/>
      <c r="N552" s="185"/>
      <c r="O552" s="185"/>
      <c r="P552" s="185"/>
      <c r="Q552" s="185"/>
      <c r="R552" s="185"/>
    </row>
    <row r="553" spans="1:18" s="197" customFormat="1" ht="12.75" x14ac:dyDescent="0.2">
      <c r="A553" s="181"/>
      <c r="B553" s="188" t="s">
        <v>593</v>
      </c>
      <c r="C553" s="189" t="s">
        <v>124</v>
      </c>
      <c r="D553" s="189" t="s">
        <v>123</v>
      </c>
      <c r="E553" s="190" t="s">
        <v>1713</v>
      </c>
      <c r="F553" s="191">
        <f t="shared" si="10"/>
        <v>239.78333333333333</v>
      </c>
      <c r="G553" s="185"/>
      <c r="H553" s="181"/>
      <c r="I553" s="74"/>
      <c r="J553" s="74"/>
      <c r="M553" s="185"/>
      <c r="N553" s="185"/>
      <c r="O553" s="185"/>
      <c r="P553" s="185"/>
      <c r="Q553" s="185"/>
      <c r="R553" s="185"/>
    </row>
    <row r="554" spans="1:18" s="197" customFormat="1" ht="12.75" x14ac:dyDescent="0.2">
      <c r="A554" s="181"/>
      <c r="B554" s="188" t="s">
        <v>1714</v>
      </c>
      <c r="C554" s="189" t="s">
        <v>142</v>
      </c>
      <c r="D554" s="189" t="s">
        <v>123</v>
      </c>
      <c r="E554" s="190" t="s">
        <v>1715</v>
      </c>
      <c r="F554" s="191">
        <f t="shared" si="10"/>
        <v>287.91666666666669</v>
      </c>
      <c r="G554" s="185"/>
      <c r="H554" s="181"/>
      <c r="I554" s="74"/>
      <c r="J554" s="74"/>
      <c r="M554" s="185"/>
      <c r="N554" s="185"/>
      <c r="O554" s="185"/>
      <c r="P554" s="185"/>
      <c r="Q554" s="185"/>
      <c r="R554" s="185"/>
    </row>
    <row r="555" spans="1:18" s="197" customFormat="1" ht="12.75" x14ac:dyDescent="0.2">
      <c r="A555" s="181"/>
      <c r="B555" s="188" t="s">
        <v>1716</v>
      </c>
      <c r="C555" s="189" t="s">
        <v>135</v>
      </c>
      <c r="D555" s="189" t="s">
        <v>145</v>
      </c>
      <c r="E555" s="190" t="s">
        <v>1717</v>
      </c>
      <c r="F555" s="191">
        <f t="shared" si="10"/>
        <v>227.23333333333332</v>
      </c>
      <c r="G555" s="185"/>
      <c r="H555" s="181"/>
      <c r="I555" s="74"/>
      <c r="J555" s="74"/>
      <c r="M555" s="185"/>
      <c r="N555" s="185"/>
      <c r="O555" s="185"/>
      <c r="P555" s="185"/>
      <c r="Q555" s="185"/>
      <c r="R555" s="185"/>
    </row>
    <row r="556" spans="1:18" s="197" customFormat="1" ht="12.75" x14ac:dyDescent="0.2">
      <c r="A556" s="181"/>
      <c r="B556" s="188" t="s">
        <v>1718</v>
      </c>
      <c r="C556" s="189" t="s">
        <v>124</v>
      </c>
      <c r="D556" s="189" t="s">
        <v>123</v>
      </c>
      <c r="E556" s="190" t="s">
        <v>1719</v>
      </c>
      <c r="F556" s="191">
        <f t="shared" si="10"/>
        <v>283.83333333333331</v>
      </c>
      <c r="G556" s="185"/>
      <c r="H556" s="181"/>
      <c r="I556" s="74"/>
      <c r="J556" s="74"/>
      <c r="M556" s="185"/>
      <c r="N556" s="185"/>
      <c r="O556" s="185"/>
      <c r="P556" s="185"/>
      <c r="Q556" s="185"/>
      <c r="R556" s="185"/>
    </row>
    <row r="557" spans="1:18" s="197" customFormat="1" ht="12.75" x14ac:dyDescent="0.2">
      <c r="A557" s="181"/>
      <c r="B557" s="188" t="s">
        <v>1720</v>
      </c>
      <c r="C557" s="189" t="s">
        <v>126</v>
      </c>
      <c r="D557" s="189" t="s">
        <v>123</v>
      </c>
      <c r="E557" s="190" t="s">
        <v>1721</v>
      </c>
      <c r="F557" s="191">
        <f t="shared" si="10"/>
        <v>178.1</v>
      </c>
      <c r="G557" s="185"/>
      <c r="H557" s="181"/>
      <c r="I557" s="74"/>
      <c r="J557" s="74"/>
      <c r="M557" s="185"/>
      <c r="N557" s="185"/>
      <c r="O557" s="185"/>
      <c r="P557" s="185"/>
      <c r="Q557" s="185"/>
      <c r="R557" s="185"/>
    </row>
    <row r="558" spans="1:18" s="197" customFormat="1" ht="12.75" x14ac:dyDescent="0.2">
      <c r="A558" s="181"/>
      <c r="B558" s="188" t="s">
        <v>1722</v>
      </c>
      <c r="C558" s="189" t="s">
        <v>135</v>
      </c>
      <c r="D558" s="189" t="s">
        <v>132</v>
      </c>
      <c r="E558" s="190" t="s">
        <v>1723</v>
      </c>
      <c r="F558" s="191">
        <f t="shared" si="10"/>
        <v>230.23333333333332</v>
      </c>
      <c r="G558" s="185"/>
      <c r="H558" s="181"/>
      <c r="I558" s="74"/>
      <c r="J558" s="74"/>
      <c r="M558" s="185"/>
      <c r="N558" s="185"/>
      <c r="O558" s="185"/>
      <c r="P558" s="185"/>
      <c r="Q558" s="185"/>
      <c r="R558" s="185"/>
    </row>
    <row r="559" spans="1:18" s="197" customFormat="1" ht="12.75" x14ac:dyDescent="0.2">
      <c r="A559" s="181"/>
      <c r="B559" s="188" t="s">
        <v>324</v>
      </c>
      <c r="C559" s="189" t="s">
        <v>124</v>
      </c>
      <c r="D559" s="189" t="s">
        <v>123</v>
      </c>
      <c r="E559" s="190" t="s">
        <v>1724</v>
      </c>
      <c r="F559" s="191">
        <f t="shared" si="10"/>
        <v>286.53333333333336</v>
      </c>
      <c r="G559" s="185"/>
      <c r="H559" s="181"/>
      <c r="I559" s="74"/>
      <c r="J559" s="74"/>
      <c r="M559" s="185"/>
      <c r="N559" s="185"/>
      <c r="O559" s="185"/>
      <c r="P559" s="185"/>
      <c r="Q559" s="185"/>
      <c r="R559" s="185"/>
    </row>
    <row r="560" spans="1:18" s="197" customFormat="1" ht="12.75" x14ac:dyDescent="0.2">
      <c r="A560" s="181"/>
      <c r="B560" s="188" t="s">
        <v>1725</v>
      </c>
      <c r="C560" s="189" t="s">
        <v>140</v>
      </c>
      <c r="D560" s="189" t="s">
        <v>155</v>
      </c>
      <c r="E560" s="190" t="s">
        <v>1726</v>
      </c>
      <c r="F560" s="191">
        <f t="shared" si="10"/>
        <v>267.98333333333335</v>
      </c>
      <c r="G560" s="185"/>
      <c r="H560" s="181"/>
      <c r="I560" s="74"/>
      <c r="J560" s="74"/>
      <c r="M560" s="185"/>
      <c r="N560" s="185"/>
      <c r="O560" s="185"/>
      <c r="P560" s="185"/>
      <c r="Q560" s="185"/>
      <c r="R560" s="185"/>
    </row>
    <row r="561" spans="1:18" s="197" customFormat="1" ht="12.75" x14ac:dyDescent="0.2">
      <c r="A561" s="181"/>
      <c r="B561" s="188" t="s">
        <v>1727</v>
      </c>
      <c r="C561" s="189" t="s">
        <v>134</v>
      </c>
      <c r="D561" s="189" t="s">
        <v>131</v>
      </c>
      <c r="E561" s="190" t="s">
        <v>1728</v>
      </c>
      <c r="F561" s="191">
        <f t="shared" si="10"/>
        <v>299.31666666666666</v>
      </c>
      <c r="G561" s="185"/>
      <c r="H561" s="181"/>
      <c r="I561" s="74"/>
      <c r="J561" s="74"/>
      <c r="M561" s="185"/>
      <c r="N561" s="185"/>
      <c r="O561" s="185"/>
      <c r="P561" s="185"/>
      <c r="Q561" s="185"/>
      <c r="R561" s="185"/>
    </row>
    <row r="562" spans="1:18" s="197" customFormat="1" ht="12.75" x14ac:dyDescent="0.2">
      <c r="A562" s="181"/>
      <c r="B562" s="188" t="s">
        <v>1729</v>
      </c>
      <c r="C562" s="189" t="s">
        <v>249</v>
      </c>
      <c r="D562" s="189" t="s">
        <v>131</v>
      </c>
      <c r="E562" s="190" t="s">
        <v>1730</v>
      </c>
      <c r="F562" s="191">
        <f t="shared" si="10"/>
        <v>215.53333333333333</v>
      </c>
      <c r="G562" s="185"/>
      <c r="H562" s="181"/>
      <c r="I562" s="74"/>
      <c r="J562" s="74"/>
      <c r="M562" s="185"/>
      <c r="N562" s="185"/>
      <c r="O562" s="185"/>
      <c r="P562" s="185"/>
      <c r="Q562" s="185"/>
      <c r="R562" s="185"/>
    </row>
    <row r="563" spans="1:18" s="197" customFormat="1" ht="12.75" x14ac:dyDescent="0.2">
      <c r="A563" s="181"/>
      <c r="B563" s="188" t="s">
        <v>1731</v>
      </c>
      <c r="C563" s="189" t="s">
        <v>134</v>
      </c>
      <c r="D563" s="189" t="s">
        <v>123</v>
      </c>
      <c r="E563" s="190" t="s">
        <v>1732</v>
      </c>
      <c r="F563" s="191">
        <f t="shared" si="10"/>
        <v>233.56666666666666</v>
      </c>
      <c r="G563" s="185"/>
      <c r="H563" s="181"/>
      <c r="I563" s="74"/>
      <c r="J563" s="74"/>
      <c r="M563" s="185"/>
      <c r="N563" s="185"/>
      <c r="O563" s="185"/>
      <c r="P563" s="185"/>
      <c r="Q563" s="185"/>
      <c r="R563" s="185"/>
    </row>
    <row r="564" spans="1:18" s="197" customFormat="1" ht="12.75" x14ac:dyDescent="0.2">
      <c r="A564" s="181"/>
      <c r="B564" s="188" t="s">
        <v>1733</v>
      </c>
      <c r="C564" s="189" t="s">
        <v>126</v>
      </c>
      <c r="D564" s="189" t="s">
        <v>123</v>
      </c>
      <c r="E564" s="190" t="s">
        <v>1734</v>
      </c>
      <c r="F564" s="191">
        <f t="shared" si="10"/>
        <v>237.78333333333333</v>
      </c>
      <c r="G564" s="185"/>
      <c r="H564" s="181"/>
      <c r="I564" s="74"/>
      <c r="J564" s="74"/>
      <c r="M564" s="185"/>
      <c r="N564" s="185"/>
      <c r="O564" s="185"/>
      <c r="P564" s="185"/>
      <c r="Q564" s="185"/>
      <c r="R564" s="185"/>
    </row>
    <row r="565" spans="1:18" s="197" customFormat="1" ht="12.75" x14ac:dyDescent="0.2">
      <c r="A565" s="181"/>
      <c r="B565" s="188" t="s">
        <v>1735</v>
      </c>
      <c r="C565" s="189" t="s">
        <v>125</v>
      </c>
      <c r="D565" s="189" t="s">
        <v>123</v>
      </c>
      <c r="E565" s="190" t="s">
        <v>1736</v>
      </c>
      <c r="F565" s="191">
        <f t="shared" si="10"/>
        <v>317.91666666666669</v>
      </c>
      <c r="G565" s="185"/>
      <c r="H565" s="181"/>
      <c r="I565" s="74"/>
      <c r="J565" s="74"/>
      <c r="M565" s="185"/>
      <c r="N565" s="185"/>
      <c r="O565" s="185"/>
      <c r="P565" s="185"/>
      <c r="Q565" s="185"/>
      <c r="R565" s="185"/>
    </row>
    <row r="566" spans="1:18" s="197" customFormat="1" ht="12.75" x14ac:dyDescent="0.2">
      <c r="A566" s="181"/>
      <c r="B566" s="188" t="s">
        <v>1737</v>
      </c>
      <c r="C566" s="189" t="s">
        <v>134</v>
      </c>
      <c r="D566" s="189" t="s">
        <v>132</v>
      </c>
      <c r="E566" s="190" t="s">
        <v>1738</v>
      </c>
      <c r="F566" s="191">
        <f t="shared" si="10"/>
        <v>212.55</v>
      </c>
      <c r="G566" s="185"/>
      <c r="H566" s="181"/>
      <c r="I566" s="74"/>
      <c r="J566" s="74"/>
      <c r="M566" s="185"/>
      <c r="N566" s="185"/>
      <c r="O566" s="185"/>
      <c r="P566" s="185"/>
      <c r="Q566" s="185"/>
      <c r="R566" s="185"/>
    </row>
    <row r="567" spans="1:18" s="197" customFormat="1" ht="12.75" x14ac:dyDescent="0.2">
      <c r="A567" s="181"/>
      <c r="B567" s="188" t="s">
        <v>1739</v>
      </c>
      <c r="C567" s="189" t="s">
        <v>134</v>
      </c>
      <c r="D567" s="189" t="s">
        <v>149</v>
      </c>
      <c r="E567" s="190" t="s">
        <v>1740</v>
      </c>
      <c r="F567" s="191">
        <f t="shared" si="10"/>
        <v>211.7</v>
      </c>
      <c r="G567" s="185"/>
      <c r="H567" s="181"/>
      <c r="I567" s="74"/>
      <c r="J567" s="74"/>
      <c r="M567" s="185"/>
      <c r="N567" s="185"/>
      <c r="O567" s="185"/>
      <c r="P567" s="185"/>
      <c r="Q567" s="185"/>
      <c r="R567" s="185"/>
    </row>
    <row r="568" spans="1:18" s="197" customFormat="1" ht="12.75" x14ac:dyDescent="0.2">
      <c r="A568" s="181"/>
      <c r="B568" s="188" t="s">
        <v>1741</v>
      </c>
      <c r="C568" s="189" t="s">
        <v>126</v>
      </c>
      <c r="D568" s="189" t="s">
        <v>123</v>
      </c>
      <c r="E568" s="190" t="s">
        <v>1742</v>
      </c>
      <c r="F568" s="191">
        <f t="shared" si="10"/>
        <v>235.71666666666667</v>
      </c>
      <c r="G568" s="185"/>
      <c r="H568" s="181"/>
      <c r="I568" s="74"/>
      <c r="J568" s="74"/>
      <c r="M568" s="185"/>
      <c r="N568" s="185"/>
      <c r="O568" s="185"/>
      <c r="P568" s="185"/>
      <c r="Q568" s="185"/>
      <c r="R568" s="185"/>
    </row>
    <row r="569" spans="1:18" s="197" customFormat="1" ht="12.75" x14ac:dyDescent="0.2">
      <c r="A569" s="181"/>
      <c r="B569" s="188" t="s">
        <v>1743</v>
      </c>
      <c r="C569" s="189" t="s">
        <v>126</v>
      </c>
      <c r="D569" s="189" t="s">
        <v>131</v>
      </c>
      <c r="E569" s="190" t="s">
        <v>1744</v>
      </c>
      <c r="F569" s="191">
        <f t="shared" si="10"/>
        <v>221.85</v>
      </c>
      <c r="G569" s="185"/>
      <c r="H569" s="181"/>
      <c r="I569" s="74"/>
      <c r="J569" s="74"/>
      <c r="M569" s="185"/>
      <c r="N569" s="185"/>
      <c r="O569" s="185"/>
      <c r="P569" s="185"/>
      <c r="Q569" s="185"/>
      <c r="R569" s="185"/>
    </row>
    <row r="570" spans="1:18" s="197" customFormat="1" ht="12.75" x14ac:dyDescent="0.2">
      <c r="A570" s="181"/>
      <c r="B570" s="188" t="s">
        <v>1745</v>
      </c>
      <c r="C570" s="189" t="s">
        <v>130</v>
      </c>
      <c r="D570" s="189" t="s">
        <v>495</v>
      </c>
      <c r="E570" s="190" t="s">
        <v>1746</v>
      </c>
      <c r="F570" s="191">
        <f t="shared" si="10"/>
        <v>190.1</v>
      </c>
      <c r="G570" s="185"/>
      <c r="H570" s="181"/>
      <c r="I570" s="74"/>
      <c r="J570" s="74"/>
      <c r="M570" s="185"/>
      <c r="N570" s="185"/>
      <c r="O570" s="185"/>
      <c r="P570" s="185"/>
      <c r="Q570" s="185"/>
      <c r="R570" s="185"/>
    </row>
    <row r="571" spans="1:18" s="197" customFormat="1" ht="12.75" x14ac:dyDescent="0.2">
      <c r="A571" s="181"/>
      <c r="B571" s="188" t="s">
        <v>1747</v>
      </c>
      <c r="C571" s="189" t="s">
        <v>249</v>
      </c>
      <c r="D571" s="189" t="s">
        <v>131</v>
      </c>
      <c r="E571" s="190" t="s">
        <v>1748</v>
      </c>
      <c r="F571" s="191">
        <f t="shared" si="10"/>
        <v>240.23333333333332</v>
      </c>
      <c r="G571" s="185"/>
      <c r="H571" s="181"/>
      <c r="I571" s="74"/>
      <c r="J571" s="74"/>
      <c r="M571" s="185"/>
      <c r="N571" s="185"/>
      <c r="O571" s="185"/>
      <c r="P571" s="185"/>
      <c r="Q571" s="185"/>
      <c r="R571" s="185"/>
    </row>
    <row r="572" spans="1:18" s="197" customFormat="1" ht="12.75" x14ac:dyDescent="0.2">
      <c r="A572" s="181"/>
      <c r="B572" s="188" t="s">
        <v>1749</v>
      </c>
      <c r="C572" s="189" t="s">
        <v>142</v>
      </c>
      <c r="D572" s="189" t="s">
        <v>123</v>
      </c>
      <c r="E572" s="190" t="s">
        <v>1750</v>
      </c>
      <c r="F572" s="191">
        <f t="shared" si="10"/>
        <v>298.95</v>
      </c>
      <c r="G572" s="185"/>
      <c r="H572" s="181"/>
      <c r="I572" s="74"/>
      <c r="J572" s="74"/>
      <c r="M572" s="185"/>
      <c r="N572" s="185"/>
      <c r="O572" s="185"/>
      <c r="P572" s="185"/>
      <c r="Q572" s="185"/>
      <c r="R572" s="185"/>
    </row>
    <row r="573" spans="1:18" s="197" customFormat="1" ht="12.75" x14ac:dyDescent="0.2">
      <c r="A573" s="181"/>
      <c r="B573" s="188" t="s">
        <v>1751</v>
      </c>
      <c r="C573" s="189" t="s">
        <v>124</v>
      </c>
      <c r="D573" s="189" t="s">
        <v>173</v>
      </c>
      <c r="E573" s="190" t="s">
        <v>1752</v>
      </c>
      <c r="F573" s="191">
        <f t="shared" si="10"/>
        <v>195.9</v>
      </c>
      <c r="G573" s="185"/>
      <c r="H573" s="181"/>
      <c r="I573" s="74"/>
      <c r="J573" s="74"/>
      <c r="M573" s="185"/>
      <c r="N573" s="185"/>
      <c r="O573" s="185"/>
      <c r="P573" s="185"/>
      <c r="Q573" s="185"/>
      <c r="R573" s="185"/>
    </row>
    <row r="574" spans="1:18" s="197" customFormat="1" ht="12.75" x14ac:dyDescent="0.2">
      <c r="A574" s="181"/>
      <c r="B574" s="188" t="s">
        <v>1753</v>
      </c>
      <c r="C574" s="189" t="s">
        <v>124</v>
      </c>
      <c r="D574" s="189" t="s">
        <v>123</v>
      </c>
      <c r="E574" s="190" t="s">
        <v>1521</v>
      </c>
      <c r="F574" s="191">
        <f t="shared" si="10"/>
        <v>226.01666666666668</v>
      </c>
      <c r="G574" s="185"/>
      <c r="H574" s="181"/>
      <c r="I574" s="74"/>
      <c r="J574" s="74"/>
      <c r="M574" s="185"/>
      <c r="N574" s="185"/>
      <c r="O574" s="185"/>
      <c r="P574" s="185"/>
      <c r="Q574" s="185"/>
      <c r="R574" s="185"/>
    </row>
    <row r="575" spans="1:18" s="197" customFormat="1" ht="12.75" x14ac:dyDescent="0.2">
      <c r="A575" s="181"/>
      <c r="B575" s="188" t="s">
        <v>576</v>
      </c>
      <c r="C575" s="189" t="s">
        <v>142</v>
      </c>
      <c r="D575" s="189" t="s">
        <v>123</v>
      </c>
      <c r="E575" s="190" t="s">
        <v>1754</v>
      </c>
      <c r="F575" s="191">
        <f t="shared" si="10"/>
        <v>254.43333333333334</v>
      </c>
      <c r="G575" s="185"/>
      <c r="H575" s="181"/>
      <c r="I575" s="74"/>
      <c r="J575" s="74"/>
      <c r="M575" s="185"/>
      <c r="N575" s="185"/>
      <c r="O575" s="185"/>
      <c r="P575" s="185"/>
      <c r="Q575" s="185"/>
      <c r="R575" s="185"/>
    </row>
    <row r="576" spans="1:18" s="197" customFormat="1" ht="12.75" x14ac:dyDescent="0.2">
      <c r="A576" s="181"/>
      <c r="B576" s="188" t="s">
        <v>1755</v>
      </c>
      <c r="C576" s="189" t="s">
        <v>124</v>
      </c>
      <c r="D576" s="189" t="s">
        <v>123</v>
      </c>
      <c r="E576" s="190" t="s">
        <v>1756</v>
      </c>
      <c r="F576" s="191">
        <f t="shared" si="10"/>
        <v>300.48333333333335</v>
      </c>
      <c r="G576" s="185"/>
      <c r="H576" s="181"/>
      <c r="I576" s="74"/>
      <c r="J576" s="74"/>
      <c r="M576" s="185"/>
      <c r="N576" s="185"/>
      <c r="O576" s="185"/>
      <c r="P576" s="185"/>
      <c r="Q576" s="185"/>
      <c r="R576" s="185"/>
    </row>
    <row r="577" spans="1:18" s="197" customFormat="1" ht="12.75" x14ac:dyDescent="0.2">
      <c r="A577" s="181"/>
      <c r="B577" s="188" t="s">
        <v>1757</v>
      </c>
      <c r="C577" s="189" t="s">
        <v>125</v>
      </c>
      <c r="D577" s="189" t="s">
        <v>1758</v>
      </c>
      <c r="E577" s="190" t="s">
        <v>1759</v>
      </c>
      <c r="F577" s="191">
        <f t="shared" si="10"/>
        <v>332.45</v>
      </c>
      <c r="G577" s="185"/>
      <c r="H577" s="181"/>
      <c r="I577" s="74"/>
      <c r="J577" s="74"/>
      <c r="M577" s="185"/>
      <c r="N577" s="185"/>
      <c r="O577" s="185"/>
      <c r="P577" s="185"/>
      <c r="Q577" s="185"/>
      <c r="R577" s="185"/>
    </row>
    <row r="578" spans="1:18" s="197" customFormat="1" ht="12.75" x14ac:dyDescent="0.2">
      <c r="A578" s="181"/>
      <c r="B578" s="188" t="s">
        <v>1760</v>
      </c>
      <c r="C578" s="189" t="s">
        <v>134</v>
      </c>
      <c r="D578" s="189" t="s">
        <v>123</v>
      </c>
      <c r="E578" s="190" t="s">
        <v>1761</v>
      </c>
      <c r="F578" s="191">
        <f t="shared" si="10"/>
        <v>268.35000000000002</v>
      </c>
      <c r="G578" s="185"/>
      <c r="H578" s="181"/>
      <c r="I578" s="74"/>
      <c r="J578" s="74"/>
      <c r="M578" s="185"/>
      <c r="N578" s="185"/>
      <c r="O578" s="185"/>
      <c r="P578" s="185"/>
      <c r="Q578" s="185"/>
      <c r="R578" s="185"/>
    </row>
    <row r="579" spans="1:18" s="197" customFormat="1" ht="12.75" x14ac:dyDescent="0.2">
      <c r="A579" s="181"/>
      <c r="B579" s="188" t="s">
        <v>865</v>
      </c>
      <c r="C579" s="189" t="s">
        <v>124</v>
      </c>
      <c r="D579" s="189" t="s">
        <v>123</v>
      </c>
      <c r="E579" s="190" t="s">
        <v>866</v>
      </c>
      <c r="F579" s="191">
        <f t="shared" si="10"/>
        <v>231.6</v>
      </c>
      <c r="G579" s="185"/>
      <c r="H579" s="181"/>
      <c r="I579" s="74"/>
      <c r="J579" s="74"/>
      <c r="M579" s="185"/>
      <c r="N579" s="185"/>
      <c r="O579" s="185"/>
      <c r="P579" s="185"/>
      <c r="Q579" s="185"/>
      <c r="R579" s="185"/>
    </row>
    <row r="580" spans="1:18" s="197" customFormat="1" ht="12.75" x14ac:dyDescent="0.2">
      <c r="A580" s="181"/>
      <c r="B580" s="188" t="s">
        <v>1762</v>
      </c>
      <c r="C580" s="189" t="s">
        <v>135</v>
      </c>
      <c r="D580" s="189" t="s">
        <v>129</v>
      </c>
      <c r="E580" s="190" t="s">
        <v>1763</v>
      </c>
      <c r="F580" s="191">
        <f t="shared" si="10"/>
        <v>237.23333333333332</v>
      </c>
      <c r="G580" s="185"/>
      <c r="H580" s="181"/>
      <c r="I580" s="74"/>
      <c r="J580" s="74"/>
      <c r="M580" s="185"/>
      <c r="N580" s="185"/>
      <c r="O580" s="185"/>
      <c r="P580" s="185"/>
      <c r="Q580" s="185"/>
      <c r="R580" s="185"/>
    </row>
    <row r="581" spans="1:18" s="197" customFormat="1" ht="12.75" x14ac:dyDescent="0.2">
      <c r="A581" s="181"/>
      <c r="B581" s="188" t="s">
        <v>1764</v>
      </c>
      <c r="C581" s="189" t="s">
        <v>128</v>
      </c>
      <c r="D581" s="189" t="s">
        <v>141</v>
      </c>
      <c r="E581" s="190" t="s">
        <v>1552</v>
      </c>
      <c r="F581" s="191">
        <f t="shared" si="10"/>
        <v>240.7</v>
      </c>
      <c r="G581" s="185"/>
      <c r="H581" s="181"/>
      <c r="I581" s="74"/>
      <c r="J581" s="74"/>
      <c r="M581" s="185"/>
      <c r="N581" s="185"/>
      <c r="O581" s="185"/>
      <c r="P581" s="185"/>
      <c r="Q581" s="185"/>
      <c r="R581" s="185"/>
    </row>
    <row r="582" spans="1:18" s="197" customFormat="1" ht="12.75" x14ac:dyDescent="0.2">
      <c r="A582" s="181"/>
      <c r="B582" s="188" t="s">
        <v>1765</v>
      </c>
      <c r="C582" s="189" t="s">
        <v>142</v>
      </c>
      <c r="D582" s="189" t="s">
        <v>165</v>
      </c>
      <c r="E582" s="190" t="s">
        <v>1766</v>
      </c>
      <c r="F582" s="191">
        <f t="shared" si="10"/>
        <v>283.3</v>
      </c>
      <c r="G582" s="185"/>
      <c r="H582" s="181"/>
      <c r="I582" s="74"/>
      <c r="J582" s="74"/>
      <c r="M582" s="185"/>
      <c r="N582" s="185"/>
      <c r="O582" s="185"/>
      <c r="P582" s="185"/>
      <c r="Q582" s="185"/>
      <c r="R582" s="185"/>
    </row>
    <row r="583" spans="1:18" s="197" customFormat="1" ht="12.75" x14ac:dyDescent="0.2">
      <c r="A583" s="181"/>
      <c r="B583" s="188" t="s">
        <v>1767</v>
      </c>
      <c r="C583" s="189" t="s">
        <v>125</v>
      </c>
      <c r="D583" s="189" t="s">
        <v>314</v>
      </c>
      <c r="E583" s="190" t="s">
        <v>1768</v>
      </c>
      <c r="F583" s="191">
        <f t="shared" si="10"/>
        <v>198.91666666666666</v>
      </c>
      <c r="G583" s="185"/>
      <c r="H583" s="181"/>
      <c r="I583" s="74"/>
      <c r="J583" s="74"/>
      <c r="M583" s="185"/>
      <c r="N583" s="185"/>
      <c r="O583" s="185"/>
      <c r="P583" s="185"/>
      <c r="Q583" s="185"/>
      <c r="R583" s="185"/>
    </row>
    <row r="584" spans="1:18" s="197" customFormat="1" ht="12.75" x14ac:dyDescent="0.2">
      <c r="A584" s="181"/>
      <c r="B584" s="188" t="s">
        <v>1769</v>
      </c>
      <c r="C584" s="189" t="s">
        <v>130</v>
      </c>
      <c r="D584" s="189" t="s">
        <v>123</v>
      </c>
      <c r="E584" s="190" t="s">
        <v>1170</v>
      </c>
      <c r="F584" s="191">
        <f t="shared" si="10"/>
        <v>279.35000000000002</v>
      </c>
      <c r="G584" s="185"/>
      <c r="H584" s="181"/>
      <c r="I584" s="74"/>
      <c r="J584" s="74"/>
      <c r="M584" s="185"/>
      <c r="N584" s="185"/>
      <c r="O584" s="185"/>
      <c r="P584" s="185"/>
      <c r="Q584" s="185"/>
      <c r="R584" s="185"/>
    </row>
    <row r="585" spans="1:18" s="197" customFormat="1" ht="12.75" x14ac:dyDescent="0.2">
      <c r="A585" s="181"/>
      <c r="B585" s="188" t="s">
        <v>1770</v>
      </c>
      <c r="C585" s="189" t="s">
        <v>125</v>
      </c>
      <c r="D585" s="189" t="s">
        <v>132</v>
      </c>
      <c r="E585" s="190" t="s">
        <v>1771</v>
      </c>
      <c r="F585" s="191">
        <f t="shared" si="10"/>
        <v>275.71666666666664</v>
      </c>
      <c r="G585" s="185"/>
      <c r="H585" s="181"/>
      <c r="I585" s="74"/>
      <c r="J585" s="74"/>
      <c r="M585" s="185"/>
      <c r="N585" s="185"/>
      <c r="O585" s="185"/>
      <c r="P585" s="185"/>
      <c r="Q585" s="185"/>
      <c r="R585" s="185"/>
    </row>
    <row r="586" spans="1:18" s="197" customFormat="1" ht="12.75" x14ac:dyDescent="0.2">
      <c r="A586" s="181"/>
      <c r="B586" s="188" t="s">
        <v>1772</v>
      </c>
      <c r="C586" s="189" t="s">
        <v>126</v>
      </c>
      <c r="D586" s="189" t="s">
        <v>123</v>
      </c>
      <c r="E586" s="190" t="s">
        <v>1773</v>
      </c>
      <c r="F586" s="191">
        <f t="shared" si="10"/>
        <v>312.95</v>
      </c>
      <c r="G586" s="185"/>
      <c r="H586" s="181"/>
      <c r="I586" s="74"/>
      <c r="J586" s="74"/>
      <c r="M586" s="185"/>
      <c r="N586" s="185"/>
      <c r="O586" s="185"/>
      <c r="P586" s="185"/>
      <c r="Q586" s="185"/>
      <c r="R586" s="185"/>
    </row>
    <row r="587" spans="1:18" s="197" customFormat="1" ht="12.75" x14ac:dyDescent="0.2">
      <c r="A587" s="181"/>
      <c r="B587" s="188" t="s">
        <v>1774</v>
      </c>
      <c r="C587" s="189" t="s">
        <v>125</v>
      </c>
      <c r="D587" s="189" t="s">
        <v>152</v>
      </c>
      <c r="E587" s="190" t="s">
        <v>1775</v>
      </c>
      <c r="F587" s="191">
        <f t="shared" ref="F587:F650" si="11">HOUR(E587)*60+MINUTE(E587)+SECOND(E587)/60</f>
        <v>214.28333333333333</v>
      </c>
      <c r="G587" s="185"/>
      <c r="H587" s="181"/>
      <c r="I587" s="74"/>
      <c r="J587" s="74"/>
      <c r="M587" s="185"/>
      <c r="N587" s="185"/>
      <c r="O587" s="185"/>
      <c r="P587" s="185"/>
      <c r="Q587" s="185"/>
      <c r="R587" s="185"/>
    </row>
    <row r="588" spans="1:18" s="197" customFormat="1" ht="12.75" x14ac:dyDescent="0.2">
      <c r="A588" s="181"/>
      <c r="B588" s="188" t="s">
        <v>1776</v>
      </c>
      <c r="C588" s="189" t="s">
        <v>142</v>
      </c>
      <c r="D588" s="189" t="s">
        <v>210</v>
      </c>
      <c r="E588" s="190" t="s">
        <v>1105</v>
      </c>
      <c r="F588" s="191">
        <f t="shared" si="11"/>
        <v>238.8</v>
      </c>
      <c r="G588" s="185"/>
      <c r="H588" s="181"/>
      <c r="I588" s="74"/>
      <c r="J588" s="74"/>
      <c r="M588" s="185"/>
      <c r="N588" s="185"/>
      <c r="O588" s="185"/>
      <c r="P588" s="185"/>
      <c r="Q588" s="185"/>
      <c r="R588" s="185"/>
    </row>
    <row r="589" spans="1:18" s="197" customFormat="1" ht="12.75" x14ac:dyDescent="0.2">
      <c r="A589" s="181"/>
      <c r="B589" s="188" t="s">
        <v>1777</v>
      </c>
      <c r="C589" s="189" t="s">
        <v>125</v>
      </c>
      <c r="D589" s="189" t="s">
        <v>149</v>
      </c>
      <c r="E589" s="190" t="s">
        <v>1778</v>
      </c>
      <c r="F589" s="191">
        <f t="shared" si="11"/>
        <v>310.56666666666666</v>
      </c>
      <c r="G589" s="185"/>
      <c r="H589" s="181"/>
      <c r="I589" s="74"/>
      <c r="J589" s="74"/>
      <c r="M589" s="185"/>
      <c r="N589" s="185"/>
      <c r="O589" s="185"/>
      <c r="P589" s="185"/>
      <c r="Q589" s="185"/>
      <c r="R589" s="185"/>
    </row>
    <row r="590" spans="1:18" s="197" customFormat="1" ht="12.75" x14ac:dyDescent="0.2">
      <c r="A590" s="181"/>
      <c r="B590" s="188" t="s">
        <v>505</v>
      </c>
      <c r="C590" s="189" t="s">
        <v>126</v>
      </c>
      <c r="D590" s="189" t="s">
        <v>123</v>
      </c>
      <c r="E590" s="190" t="s">
        <v>1779</v>
      </c>
      <c r="F590" s="191">
        <f t="shared" si="11"/>
        <v>181.98333333333332</v>
      </c>
      <c r="G590" s="185"/>
      <c r="H590" s="181"/>
      <c r="I590" s="74"/>
      <c r="J590" s="74"/>
      <c r="M590" s="185"/>
      <c r="N590" s="185"/>
      <c r="O590" s="185"/>
      <c r="P590" s="185"/>
      <c r="Q590" s="185"/>
      <c r="R590" s="185"/>
    </row>
    <row r="591" spans="1:18" s="197" customFormat="1" ht="12.75" x14ac:dyDescent="0.2">
      <c r="A591" s="181"/>
      <c r="B591" s="188" t="s">
        <v>1780</v>
      </c>
      <c r="C591" s="189" t="s">
        <v>142</v>
      </c>
      <c r="D591" s="189" t="s">
        <v>123</v>
      </c>
      <c r="E591" s="190" t="s">
        <v>1781</v>
      </c>
      <c r="F591" s="191">
        <f t="shared" si="11"/>
        <v>270.36666666666667</v>
      </c>
      <c r="G591" s="185"/>
      <c r="H591" s="181"/>
      <c r="I591" s="74"/>
      <c r="J591" s="74"/>
      <c r="M591" s="185"/>
      <c r="N591" s="185"/>
      <c r="O591" s="185"/>
      <c r="P591" s="185"/>
      <c r="Q591" s="185"/>
      <c r="R591" s="185"/>
    </row>
    <row r="592" spans="1:18" s="197" customFormat="1" ht="12.75" x14ac:dyDescent="0.2">
      <c r="A592" s="181"/>
      <c r="B592" s="188" t="s">
        <v>374</v>
      </c>
      <c r="C592" s="189" t="s">
        <v>124</v>
      </c>
      <c r="D592" s="189" t="s">
        <v>123</v>
      </c>
      <c r="E592" s="190" t="s">
        <v>1782</v>
      </c>
      <c r="F592" s="191">
        <f t="shared" si="11"/>
        <v>234.46666666666667</v>
      </c>
      <c r="G592" s="185"/>
      <c r="H592" s="181"/>
      <c r="I592" s="74"/>
      <c r="J592" s="74"/>
      <c r="M592" s="185"/>
      <c r="N592" s="185"/>
      <c r="O592" s="185"/>
      <c r="P592" s="185"/>
      <c r="Q592" s="185"/>
      <c r="R592" s="185"/>
    </row>
    <row r="593" spans="1:18" s="197" customFormat="1" ht="12.75" x14ac:dyDescent="0.2">
      <c r="A593" s="181"/>
      <c r="B593" s="188" t="s">
        <v>1783</v>
      </c>
      <c r="C593" s="189" t="s">
        <v>249</v>
      </c>
      <c r="D593" s="189" t="s">
        <v>123</v>
      </c>
      <c r="E593" s="190" t="s">
        <v>1784</v>
      </c>
      <c r="F593" s="191">
        <f t="shared" si="11"/>
        <v>271.96666666666664</v>
      </c>
      <c r="G593" s="185"/>
      <c r="H593" s="181"/>
      <c r="I593" s="74"/>
      <c r="J593" s="74"/>
      <c r="M593" s="185"/>
      <c r="N593" s="185"/>
      <c r="O593" s="185"/>
      <c r="P593" s="185"/>
      <c r="Q593" s="185"/>
      <c r="R593" s="185"/>
    </row>
    <row r="594" spans="1:18" s="197" customFormat="1" ht="12.75" x14ac:dyDescent="0.2">
      <c r="A594" s="181"/>
      <c r="B594" s="188" t="s">
        <v>1785</v>
      </c>
      <c r="C594" s="189" t="s">
        <v>124</v>
      </c>
      <c r="D594" s="189" t="s">
        <v>123</v>
      </c>
      <c r="E594" s="190" t="s">
        <v>1786</v>
      </c>
      <c r="F594" s="191">
        <f t="shared" si="11"/>
        <v>293.43333333333334</v>
      </c>
      <c r="G594" s="185"/>
      <c r="H594" s="181"/>
      <c r="I594" s="74"/>
      <c r="J594" s="74"/>
      <c r="M594" s="185"/>
      <c r="N594" s="185"/>
      <c r="O594" s="185"/>
      <c r="P594" s="185"/>
      <c r="Q594" s="185"/>
      <c r="R594" s="185"/>
    </row>
    <row r="595" spans="1:18" s="197" customFormat="1" ht="12.75" x14ac:dyDescent="0.2">
      <c r="A595" s="181"/>
      <c r="B595" s="188" t="s">
        <v>555</v>
      </c>
      <c r="C595" s="189" t="s">
        <v>140</v>
      </c>
      <c r="D595" s="189" t="s">
        <v>123</v>
      </c>
      <c r="E595" s="190" t="s">
        <v>1787</v>
      </c>
      <c r="F595" s="191">
        <f t="shared" si="11"/>
        <v>265.38333333333333</v>
      </c>
      <c r="G595" s="185"/>
      <c r="H595" s="181"/>
      <c r="I595" s="74"/>
      <c r="J595" s="74"/>
      <c r="M595" s="185"/>
      <c r="N595" s="185"/>
      <c r="O595" s="185"/>
      <c r="P595" s="185"/>
      <c r="Q595" s="185"/>
      <c r="R595" s="185"/>
    </row>
    <row r="596" spans="1:18" s="197" customFormat="1" ht="12.75" x14ac:dyDescent="0.2">
      <c r="A596" s="181"/>
      <c r="B596" s="188" t="s">
        <v>1788</v>
      </c>
      <c r="C596" s="189" t="s">
        <v>125</v>
      </c>
      <c r="D596" s="189" t="s">
        <v>169</v>
      </c>
      <c r="E596" s="190" t="s">
        <v>1182</v>
      </c>
      <c r="F596" s="191">
        <f t="shared" si="11"/>
        <v>224.88333333333333</v>
      </c>
      <c r="G596" s="185"/>
      <c r="H596" s="181"/>
      <c r="I596" s="74"/>
      <c r="J596" s="74"/>
      <c r="M596" s="185"/>
      <c r="N596" s="185"/>
      <c r="O596" s="185"/>
      <c r="P596" s="185"/>
      <c r="Q596" s="185"/>
      <c r="R596" s="185"/>
    </row>
    <row r="597" spans="1:18" s="197" customFormat="1" ht="12.75" x14ac:dyDescent="0.2">
      <c r="A597" s="181"/>
      <c r="B597" s="188" t="s">
        <v>1789</v>
      </c>
      <c r="C597" s="189" t="s">
        <v>126</v>
      </c>
      <c r="D597" s="189" t="s">
        <v>123</v>
      </c>
      <c r="E597" s="190" t="s">
        <v>1790</v>
      </c>
      <c r="F597" s="191">
        <f t="shared" si="11"/>
        <v>257.93333333333334</v>
      </c>
      <c r="G597" s="185"/>
      <c r="H597" s="181"/>
      <c r="I597" s="74"/>
      <c r="J597" s="74"/>
      <c r="M597" s="185"/>
      <c r="N597" s="185"/>
      <c r="O597" s="185"/>
      <c r="P597" s="185"/>
      <c r="Q597" s="185"/>
      <c r="R597" s="185"/>
    </row>
    <row r="598" spans="1:18" s="197" customFormat="1" ht="12.75" x14ac:dyDescent="0.2">
      <c r="A598" s="181"/>
      <c r="B598" s="188" t="s">
        <v>1791</v>
      </c>
      <c r="C598" s="189" t="s">
        <v>124</v>
      </c>
      <c r="D598" s="189" t="s">
        <v>123</v>
      </c>
      <c r="E598" s="190" t="s">
        <v>1792</v>
      </c>
      <c r="F598" s="191">
        <f t="shared" si="11"/>
        <v>299.93333333333334</v>
      </c>
      <c r="G598" s="185"/>
      <c r="H598" s="181"/>
      <c r="I598" s="74"/>
      <c r="J598" s="74"/>
      <c r="M598" s="185"/>
      <c r="N598" s="185"/>
      <c r="O598" s="185"/>
      <c r="P598" s="185"/>
      <c r="Q598" s="185"/>
      <c r="R598" s="185"/>
    </row>
    <row r="599" spans="1:18" s="197" customFormat="1" ht="12.75" x14ac:dyDescent="0.2">
      <c r="A599" s="181"/>
      <c r="B599" s="188" t="s">
        <v>660</v>
      </c>
      <c r="C599" s="189" t="s">
        <v>124</v>
      </c>
      <c r="D599" s="189" t="s">
        <v>123</v>
      </c>
      <c r="E599" s="190" t="s">
        <v>1793</v>
      </c>
      <c r="F599" s="191">
        <f t="shared" si="11"/>
        <v>235.03333333333333</v>
      </c>
      <c r="G599" s="185"/>
      <c r="H599" s="181"/>
      <c r="I599" s="74"/>
      <c r="J599" s="74"/>
      <c r="M599" s="185"/>
      <c r="N599" s="185"/>
      <c r="O599" s="185"/>
      <c r="P599" s="185"/>
      <c r="Q599" s="185"/>
      <c r="R599" s="185"/>
    </row>
    <row r="600" spans="1:18" s="197" customFormat="1" ht="12.75" x14ac:dyDescent="0.2">
      <c r="A600" s="181"/>
      <c r="B600" s="188" t="s">
        <v>1794</v>
      </c>
      <c r="C600" s="189" t="s">
        <v>128</v>
      </c>
      <c r="D600" s="189" t="s">
        <v>223</v>
      </c>
      <c r="E600" s="190" t="s">
        <v>1795</v>
      </c>
      <c r="F600" s="191">
        <f t="shared" si="11"/>
        <v>298.36666666666667</v>
      </c>
      <c r="G600" s="185"/>
      <c r="H600" s="181"/>
      <c r="I600" s="74"/>
      <c r="J600" s="74"/>
      <c r="M600" s="185"/>
      <c r="N600" s="185"/>
      <c r="O600" s="185"/>
      <c r="P600" s="185"/>
      <c r="Q600" s="185"/>
      <c r="R600" s="185"/>
    </row>
    <row r="601" spans="1:18" s="197" customFormat="1" ht="12.75" x14ac:dyDescent="0.2">
      <c r="A601" s="181"/>
      <c r="B601" s="188" t="s">
        <v>1796</v>
      </c>
      <c r="C601" s="189" t="s">
        <v>128</v>
      </c>
      <c r="D601" s="189" t="s">
        <v>427</v>
      </c>
      <c r="E601" s="190" t="s">
        <v>1797</v>
      </c>
      <c r="F601" s="191">
        <f t="shared" si="11"/>
        <v>262.56666666666666</v>
      </c>
      <c r="G601" s="185"/>
      <c r="H601" s="181"/>
      <c r="I601" s="74"/>
      <c r="J601" s="74"/>
      <c r="M601" s="185"/>
      <c r="N601" s="185"/>
      <c r="O601" s="185"/>
      <c r="P601" s="185"/>
      <c r="Q601" s="185"/>
      <c r="R601" s="185"/>
    </row>
    <row r="602" spans="1:18" s="197" customFormat="1" ht="12.75" x14ac:dyDescent="0.2">
      <c r="A602" s="181"/>
      <c r="B602" s="188" t="s">
        <v>1798</v>
      </c>
      <c r="C602" s="189" t="s">
        <v>125</v>
      </c>
      <c r="D602" s="189" t="s">
        <v>123</v>
      </c>
      <c r="E602" s="190" t="s">
        <v>1799</v>
      </c>
      <c r="F602" s="191">
        <f t="shared" si="11"/>
        <v>276.33333333333331</v>
      </c>
      <c r="G602" s="185"/>
      <c r="H602" s="181"/>
      <c r="I602" s="74"/>
      <c r="J602" s="74"/>
      <c r="M602" s="185"/>
      <c r="N602" s="185"/>
      <c r="O602" s="185"/>
      <c r="P602" s="185"/>
      <c r="Q602" s="185"/>
      <c r="R602" s="185"/>
    </row>
    <row r="603" spans="1:18" s="197" customFormat="1" ht="12.75" x14ac:dyDescent="0.2">
      <c r="A603" s="181"/>
      <c r="B603" s="188" t="s">
        <v>1800</v>
      </c>
      <c r="C603" s="189" t="s">
        <v>125</v>
      </c>
      <c r="D603" s="189" t="s">
        <v>123</v>
      </c>
      <c r="E603" s="190" t="s">
        <v>1801</v>
      </c>
      <c r="F603" s="191">
        <f t="shared" si="11"/>
        <v>310.43333333333334</v>
      </c>
      <c r="G603" s="185"/>
      <c r="H603" s="181"/>
      <c r="I603" s="74"/>
      <c r="J603" s="74"/>
      <c r="M603" s="185"/>
      <c r="N603" s="185"/>
      <c r="O603" s="185"/>
      <c r="P603" s="185"/>
      <c r="Q603" s="185"/>
      <c r="R603" s="185"/>
    </row>
    <row r="604" spans="1:18" s="197" customFormat="1" ht="12.75" x14ac:dyDescent="0.2">
      <c r="A604" s="181"/>
      <c r="B604" s="188" t="s">
        <v>1802</v>
      </c>
      <c r="C604" s="189" t="s">
        <v>134</v>
      </c>
      <c r="D604" s="189" t="s">
        <v>123</v>
      </c>
      <c r="E604" s="190" t="s">
        <v>1803</v>
      </c>
      <c r="F604" s="191">
        <f t="shared" si="11"/>
        <v>190.71666666666667</v>
      </c>
      <c r="G604" s="185"/>
      <c r="H604" s="181"/>
      <c r="I604" s="74"/>
      <c r="J604" s="74"/>
      <c r="M604" s="185"/>
      <c r="N604" s="185"/>
      <c r="O604" s="185"/>
      <c r="P604" s="185"/>
      <c r="Q604" s="185"/>
      <c r="R604" s="185"/>
    </row>
    <row r="605" spans="1:18" s="197" customFormat="1" ht="12.75" x14ac:dyDescent="0.2">
      <c r="A605" s="181"/>
      <c r="B605" s="188" t="s">
        <v>1804</v>
      </c>
      <c r="C605" s="189" t="s">
        <v>142</v>
      </c>
      <c r="D605" s="189" t="s">
        <v>155</v>
      </c>
      <c r="E605" s="190" t="s">
        <v>1805</v>
      </c>
      <c r="F605" s="191">
        <f t="shared" si="11"/>
        <v>214.3</v>
      </c>
      <c r="G605" s="185"/>
      <c r="H605" s="181"/>
      <c r="I605" s="74"/>
      <c r="J605" s="74"/>
      <c r="M605" s="185"/>
      <c r="N605" s="185"/>
      <c r="O605" s="185"/>
      <c r="P605" s="185"/>
      <c r="Q605" s="185"/>
      <c r="R605" s="185"/>
    </row>
    <row r="606" spans="1:18" s="197" customFormat="1" ht="12.75" x14ac:dyDescent="0.2">
      <c r="A606" s="181"/>
      <c r="B606" s="188" t="s">
        <v>244</v>
      </c>
      <c r="C606" s="189" t="s">
        <v>134</v>
      </c>
      <c r="D606" s="189" t="s">
        <v>123</v>
      </c>
      <c r="E606" s="190" t="s">
        <v>1806</v>
      </c>
      <c r="F606" s="191">
        <f t="shared" si="11"/>
        <v>280.91666666666669</v>
      </c>
      <c r="G606" s="185"/>
      <c r="H606" s="181"/>
      <c r="I606" s="74"/>
      <c r="J606" s="74"/>
      <c r="M606" s="185"/>
      <c r="N606" s="185"/>
      <c r="O606" s="185"/>
      <c r="P606" s="185"/>
      <c r="Q606" s="185"/>
      <c r="R606" s="185"/>
    </row>
    <row r="607" spans="1:18" s="197" customFormat="1" ht="12.75" x14ac:dyDescent="0.2">
      <c r="A607" s="181"/>
      <c r="B607" s="188" t="s">
        <v>1807</v>
      </c>
      <c r="C607" s="189" t="s">
        <v>125</v>
      </c>
      <c r="D607" s="189" t="s">
        <v>131</v>
      </c>
      <c r="E607" s="190" t="s">
        <v>1808</v>
      </c>
      <c r="F607" s="191">
        <f t="shared" si="11"/>
        <v>279.08333333333331</v>
      </c>
      <c r="G607" s="185"/>
      <c r="H607" s="181"/>
      <c r="I607" s="74"/>
      <c r="J607" s="74"/>
      <c r="M607" s="185"/>
      <c r="N607" s="185"/>
      <c r="O607" s="185"/>
      <c r="P607" s="185"/>
      <c r="Q607" s="185"/>
      <c r="R607" s="185"/>
    </row>
    <row r="608" spans="1:18" s="197" customFormat="1" ht="12.75" x14ac:dyDescent="0.2">
      <c r="A608" s="181"/>
      <c r="B608" s="188" t="s">
        <v>1809</v>
      </c>
      <c r="C608" s="189" t="s">
        <v>130</v>
      </c>
      <c r="D608" s="189" t="s">
        <v>123</v>
      </c>
      <c r="E608" s="190" t="s">
        <v>1810</v>
      </c>
      <c r="F608" s="191">
        <f t="shared" si="11"/>
        <v>275.33333333333331</v>
      </c>
      <c r="G608" s="185"/>
      <c r="H608" s="181"/>
      <c r="I608" s="74"/>
      <c r="J608" s="74"/>
      <c r="M608" s="185"/>
      <c r="N608" s="185"/>
      <c r="O608" s="185"/>
      <c r="P608" s="185"/>
      <c r="Q608" s="185"/>
      <c r="R608" s="185"/>
    </row>
    <row r="609" spans="1:18" s="197" customFormat="1" ht="12.75" x14ac:dyDescent="0.2">
      <c r="A609" s="181"/>
      <c r="B609" s="188" t="s">
        <v>1811</v>
      </c>
      <c r="C609" s="189" t="s">
        <v>128</v>
      </c>
      <c r="D609" s="189" t="s">
        <v>123</v>
      </c>
      <c r="E609" s="190" t="s">
        <v>1812</v>
      </c>
      <c r="F609" s="191">
        <f t="shared" si="11"/>
        <v>256.39999999999998</v>
      </c>
      <c r="G609" s="185"/>
      <c r="H609" s="181"/>
      <c r="I609" s="74"/>
      <c r="J609" s="74"/>
      <c r="M609" s="185"/>
      <c r="N609" s="185"/>
      <c r="O609" s="185"/>
      <c r="P609" s="185"/>
      <c r="Q609" s="185"/>
      <c r="R609" s="185"/>
    </row>
    <row r="610" spans="1:18" s="197" customFormat="1" ht="12.75" x14ac:dyDescent="0.2">
      <c r="A610" s="181"/>
      <c r="B610" s="188" t="s">
        <v>1813</v>
      </c>
      <c r="C610" s="189" t="s">
        <v>134</v>
      </c>
      <c r="D610" s="189" t="s">
        <v>123</v>
      </c>
      <c r="E610" s="190" t="s">
        <v>1460</v>
      </c>
      <c r="F610" s="191">
        <f t="shared" si="11"/>
        <v>219.48333333333332</v>
      </c>
      <c r="G610" s="185"/>
      <c r="H610" s="181"/>
      <c r="I610" s="74"/>
      <c r="J610" s="74"/>
      <c r="M610" s="185"/>
      <c r="N610" s="185"/>
      <c r="O610" s="185"/>
      <c r="P610" s="185"/>
      <c r="Q610" s="185"/>
      <c r="R610" s="185"/>
    </row>
    <row r="611" spans="1:18" s="197" customFormat="1" ht="12.75" x14ac:dyDescent="0.2">
      <c r="A611" s="181"/>
      <c r="B611" s="188" t="s">
        <v>1814</v>
      </c>
      <c r="C611" s="189" t="s">
        <v>134</v>
      </c>
      <c r="D611" s="189" t="s">
        <v>588</v>
      </c>
      <c r="E611" s="190" t="s">
        <v>1655</v>
      </c>
      <c r="F611" s="191">
        <f t="shared" si="11"/>
        <v>220.71666666666667</v>
      </c>
      <c r="G611" s="185"/>
      <c r="H611" s="181"/>
      <c r="I611" s="74"/>
      <c r="J611" s="74"/>
      <c r="M611" s="185"/>
      <c r="N611" s="185"/>
      <c r="O611" s="185"/>
      <c r="P611" s="185"/>
      <c r="Q611" s="185"/>
      <c r="R611" s="185"/>
    </row>
    <row r="612" spans="1:18" s="197" customFormat="1" ht="12.75" x14ac:dyDescent="0.2">
      <c r="A612" s="181"/>
      <c r="B612" s="188" t="s">
        <v>1815</v>
      </c>
      <c r="C612" s="189" t="s">
        <v>125</v>
      </c>
      <c r="D612" s="189" t="s">
        <v>123</v>
      </c>
      <c r="E612" s="190" t="s">
        <v>1816</v>
      </c>
      <c r="F612" s="191">
        <f t="shared" si="11"/>
        <v>294.51666666666665</v>
      </c>
      <c r="G612" s="185"/>
      <c r="H612" s="181"/>
      <c r="I612" s="74"/>
      <c r="J612" s="74"/>
      <c r="M612" s="185"/>
      <c r="N612" s="185"/>
      <c r="O612" s="185"/>
      <c r="P612" s="185"/>
      <c r="Q612" s="185"/>
      <c r="R612" s="185"/>
    </row>
    <row r="613" spans="1:18" s="197" customFormat="1" ht="12.75" x14ac:dyDescent="0.2">
      <c r="A613" s="181"/>
      <c r="B613" s="188" t="s">
        <v>1817</v>
      </c>
      <c r="C613" s="189" t="s">
        <v>134</v>
      </c>
      <c r="D613" s="189" t="s">
        <v>152</v>
      </c>
      <c r="E613" s="190" t="s">
        <v>1818</v>
      </c>
      <c r="F613" s="191">
        <f t="shared" si="11"/>
        <v>235.45</v>
      </c>
      <c r="G613" s="185"/>
      <c r="H613" s="181"/>
      <c r="I613" s="74"/>
      <c r="J613" s="74"/>
      <c r="M613" s="185"/>
      <c r="N613" s="185"/>
      <c r="O613" s="185"/>
      <c r="P613" s="185"/>
      <c r="Q613" s="185"/>
      <c r="R613" s="185"/>
    </row>
    <row r="614" spans="1:18" s="197" customFormat="1" ht="12.75" x14ac:dyDescent="0.2">
      <c r="A614" s="181"/>
      <c r="B614" s="188" t="s">
        <v>1819</v>
      </c>
      <c r="C614" s="189" t="s">
        <v>128</v>
      </c>
      <c r="D614" s="189" t="s">
        <v>427</v>
      </c>
      <c r="E614" s="190" t="s">
        <v>1820</v>
      </c>
      <c r="F614" s="191">
        <f t="shared" si="11"/>
        <v>330.78333333333336</v>
      </c>
      <c r="G614" s="185"/>
      <c r="H614" s="181"/>
      <c r="I614" s="74"/>
      <c r="J614" s="74"/>
      <c r="M614" s="185"/>
      <c r="N614" s="185"/>
      <c r="O614" s="185"/>
      <c r="P614" s="185"/>
      <c r="Q614" s="185"/>
      <c r="R614" s="185"/>
    </row>
    <row r="615" spans="1:18" s="197" customFormat="1" ht="12.75" x14ac:dyDescent="0.2">
      <c r="A615" s="181"/>
      <c r="B615" s="188" t="s">
        <v>1229</v>
      </c>
      <c r="C615" s="189" t="s">
        <v>134</v>
      </c>
      <c r="D615" s="189" t="s">
        <v>123</v>
      </c>
      <c r="E615" s="190" t="s">
        <v>1230</v>
      </c>
      <c r="F615" s="191">
        <f t="shared" si="11"/>
        <v>189.1</v>
      </c>
      <c r="G615" s="185"/>
      <c r="H615" s="181"/>
      <c r="I615" s="74"/>
      <c r="J615" s="74"/>
      <c r="M615" s="185"/>
      <c r="N615" s="185"/>
      <c r="O615" s="185"/>
      <c r="P615" s="185"/>
      <c r="Q615" s="185"/>
      <c r="R615" s="185"/>
    </row>
    <row r="616" spans="1:18" s="197" customFormat="1" ht="12.75" x14ac:dyDescent="0.2">
      <c r="A616" s="181"/>
      <c r="B616" s="188" t="s">
        <v>1821</v>
      </c>
      <c r="C616" s="189" t="s">
        <v>128</v>
      </c>
      <c r="D616" s="189" t="s">
        <v>131</v>
      </c>
      <c r="E616" s="190" t="s">
        <v>1822</v>
      </c>
      <c r="F616" s="191">
        <f t="shared" si="11"/>
        <v>220.01666666666668</v>
      </c>
      <c r="G616" s="185"/>
      <c r="H616" s="181"/>
      <c r="I616" s="74"/>
      <c r="J616" s="74"/>
      <c r="M616" s="185"/>
      <c r="N616" s="185"/>
      <c r="O616" s="185"/>
      <c r="P616" s="185"/>
      <c r="Q616" s="185"/>
      <c r="R616" s="185"/>
    </row>
    <row r="617" spans="1:18" s="197" customFormat="1" ht="12.75" x14ac:dyDescent="0.2">
      <c r="A617" s="181"/>
      <c r="B617" s="188" t="s">
        <v>1823</v>
      </c>
      <c r="C617" s="189" t="s">
        <v>126</v>
      </c>
      <c r="D617" s="189" t="s">
        <v>173</v>
      </c>
      <c r="E617" s="190" t="s">
        <v>1824</v>
      </c>
      <c r="F617" s="191">
        <f t="shared" si="11"/>
        <v>190.06666666666666</v>
      </c>
      <c r="G617" s="185"/>
      <c r="H617" s="181"/>
      <c r="I617" s="74"/>
      <c r="J617" s="74"/>
      <c r="M617" s="185"/>
      <c r="N617" s="185"/>
      <c r="O617" s="185"/>
      <c r="P617" s="185"/>
      <c r="Q617" s="185"/>
      <c r="R617" s="185"/>
    </row>
    <row r="618" spans="1:18" s="197" customFormat="1" ht="12.75" x14ac:dyDescent="0.2">
      <c r="A618" s="181"/>
      <c r="B618" s="188" t="s">
        <v>1825</v>
      </c>
      <c r="C618" s="189" t="s">
        <v>126</v>
      </c>
      <c r="D618" s="189" t="s">
        <v>1826</v>
      </c>
      <c r="E618" s="190" t="s">
        <v>1732</v>
      </c>
      <c r="F618" s="191">
        <f t="shared" si="11"/>
        <v>233.56666666666666</v>
      </c>
      <c r="G618" s="185"/>
      <c r="H618" s="181"/>
      <c r="I618" s="74"/>
      <c r="J618" s="74"/>
      <c r="M618" s="185"/>
      <c r="N618" s="185"/>
      <c r="O618" s="185"/>
      <c r="P618" s="185"/>
      <c r="Q618" s="185"/>
      <c r="R618" s="185"/>
    </row>
    <row r="619" spans="1:18" s="197" customFormat="1" ht="12.75" x14ac:dyDescent="0.2">
      <c r="A619" s="181"/>
      <c r="B619" s="188" t="s">
        <v>1827</v>
      </c>
      <c r="C619" s="189" t="s">
        <v>142</v>
      </c>
      <c r="D619" s="189" t="s">
        <v>132</v>
      </c>
      <c r="E619" s="190" t="s">
        <v>1828</v>
      </c>
      <c r="F619" s="191">
        <f t="shared" si="11"/>
        <v>225.3</v>
      </c>
      <c r="G619" s="185"/>
      <c r="H619" s="181"/>
      <c r="I619" s="74"/>
      <c r="J619" s="74"/>
      <c r="M619" s="185"/>
      <c r="N619" s="185"/>
      <c r="O619" s="185"/>
      <c r="P619" s="185"/>
      <c r="Q619" s="185"/>
      <c r="R619" s="185"/>
    </row>
    <row r="620" spans="1:18" s="197" customFormat="1" ht="12.75" x14ac:dyDescent="0.2">
      <c r="A620" s="181"/>
      <c r="B620" s="188" t="s">
        <v>153</v>
      </c>
      <c r="C620" s="189" t="s">
        <v>125</v>
      </c>
      <c r="D620" s="189" t="s">
        <v>123</v>
      </c>
      <c r="E620" s="190" t="s">
        <v>1829</v>
      </c>
      <c r="F620" s="191">
        <f t="shared" si="11"/>
        <v>262.8</v>
      </c>
      <c r="G620" s="185"/>
      <c r="H620" s="181"/>
      <c r="I620" s="74"/>
      <c r="J620" s="74"/>
      <c r="M620" s="185"/>
      <c r="N620" s="185"/>
      <c r="O620" s="185"/>
      <c r="P620" s="185"/>
      <c r="Q620" s="185"/>
      <c r="R620" s="185"/>
    </row>
    <row r="621" spans="1:18" s="197" customFormat="1" ht="12.75" x14ac:dyDescent="0.2">
      <c r="A621" s="181"/>
      <c r="B621" s="188" t="s">
        <v>1830</v>
      </c>
      <c r="C621" s="189" t="s">
        <v>128</v>
      </c>
      <c r="D621" s="189" t="s">
        <v>165</v>
      </c>
      <c r="E621" s="190" t="s">
        <v>1831</v>
      </c>
      <c r="F621" s="191">
        <f t="shared" si="11"/>
        <v>264.16666666666669</v>
      </c>
      <c r="G621" s="185"/>
      <c r="H621" s="181"/>
      <c r="I621" s="74"/>
      <c r="J621" s="74"/>
      <c r="M621" s="185"/>
      <c r="N621" s="185"/>
      <c r="O621" s="185"/>
      <c r="P621" s="185"/>
      <c r="Q621" s="185"/>
      <c r="R621" s="185"/>
    </row>
    <row r="622" spans="1:18" s="197" customFormat="1" ht="12.75" x14ac:dyDescent="0.2">
      <c r="A622" s="181"/>
      <c r="B622" s="188" t="s">
        <v>1832</v>
      </c>
      <c r="C622" s="189" t="s">
        <v>126</v>
      </c>
      <c r="D622" s="189" t="s">
        <v>123</v>
      </c>
      <c r="E622" s="190" t="s">
        <v>1833</v>
      </c>
      <c r="F622" s="191">
        <f t="shared" si="11"/>
        <v>240.5</v>
      </c>
      <c r="G622" s="185"/>
      <c r="H622" s="181"/>
      <c r="I622" s="74"/>
      <c r="J622" s="74"/>
      <c r="M622" s="185"/>
      <c r="N622" s="185"/>
      <c r="O622" s="185"/>
      <c r="P622" s="185"/>
      <c r="Q622" s="185"/>
      <c r="R622" s="185"/>
    </row>
    <row r="623" spans="1:18" s="197" customFormat="1" ht="12.75" x14ac:dyDescent="0.2">
      <c r="A623" s="181"/>
      <c r="B623" s="188" t="s">
        <v>1834</v>
      </c>
      <c r="C623" s="189" t="s">
        <v>125</v>
      </c>
      <c r="D623" s="189" t="s">
        <v>155</v>
      </c>
      <c r="E623" s="190" t="s">
        <v>1835</v>
      </c>
      <c r="F623" s="191">
        <f t="shared" si="11"/>
        <v>283.7</v>
      </c>
      <c r="G623" s="185"/>
      <c r="H623" s="181"/>
      <c r="I623" s="74"/>
      <c r="J623" s="74"/>
      <c r="M623" s="185"/>
      <c r="N623" s="185"/>
      <c r="O623" s="185"/>
      <c r="P623" s="185"/>
      <c r="Q623" s="185"/>
      <c r="R623" s="185"/>
    </row>
    <row r="624" spans="1:18" s="197" customFormat="1" ht="12.75" x14ac:dyDescent="0.2">
      <c r="A624" s="181"/>
      <c r="B624" s="188" t="s">
        <v>1836</v>
      </c>
      <c r="C624" s="189" t="s">
        <v>128</v>
      </c>
      <c r="D624" s="189" t="s">
        <v>132</v>
      </c>
      <c r="E624" s="190" t="s">
        <v>1006</v>
      </c>
      <c r="F624" s="191">
        <f t="shared" si="11"/>
        <v>240.11666666666667</v>
      </c>
      <c r="G624" s="185"/>
      <c r="H624" s="181"/>
      <c r="I624" s="74"/>
      <c r="J624" s="74"/>
      <c r="M624" s="185"/>
      <c r="N624" s="185"/>
      <c r="O624" s="185"/>
      <c r="P624" s="185"/>
      <c r="Q624" s="185"/>
      <c r="R624" s="185"/>
    </row>
    <row r="625" spans="1:18" s="197" customFormat="1" ht="12.75" x14ac:dyDescent="0.2">
      <c r="A625" s="181"/>
      <c r="B625" s="188" t="s">
        <v>1837</v>
      </c>
      <c r="C625" s="189" t="s">
        <v>125</v>
      </c>
      <c r="D625" s="189" t="s">
        <v>123</v>
      </c>
      <c r="E625" s="190" t="s">
        <v>1838</v>
      </c>
      <c r="F625" s="191">
        <f t="shared" si="11"/>
        <v>260.33333333333331</v>
      </c>
      <c r="G625" s="185"/>
      <c r="H625" s="181"/>
      <c r="I625" s="74"/>
      <c r="J625" s="74"/>
      <c r="M625" s="185"/>
      <c r="N625" s="185"/>
      <c r="O625" s="185"/>
      <c r="P625" s="185"/>
      <c r="Q625" s="185"/>
      <c r="R625" s="185"/>
    </row>
    <row r="626" spans="1:18" s="197" customFormat="1" ht="12.75" x14ac:dyDescent="0.2">
      <c r="A626" s="181"/>
      <c r="B626" s="188" t="s">
        <v>436</v>
      </c>
      <c r="C626" s="189" t="s">
        <v>125</v>
      </c>
      <c r="D626" s="189" t="s">
        <v>123</v>
      </c>
      <c r="E626" s="190" t="s">
        <v>1839</v>
      </c>
      <c r="F626" s="191">
        <f t="shared" si="11"/>
        <v>318.33333333333331</v>
      </c>
      <c r="G626" s="185"/>
      <c r="H626" s="181"/>
      <c r="I626" s="74"/>
      <c r="J626" s="74"/>
      <c r="M626" s="185"/>
      <c r="N626" s="185"/>
      <c r="O626" s="185"/>
      <c r="P626" s="185"/>
      <c r="Q626" s="185"/>
      <c r="R626" s="185"/>
    </row>
    <row r="627" spans="1:18" s="197" customFormat="1" ht="12.75" x14ac:dyDescent="0.2">
      <c r="A627" s="181"/>
      <c r="B627" s="188" t="s">
        <v>1840</v>
      </c>
      <c r="C627" s="189" t="s">
        <v>126</v>
      </c>
      <c r="D627" s="189" t="s">
        <v>148</v>
      </c>
      <c r="E627" s="190" t="s">
        <v>1841</v>
      </c>
      <c r="F627" s="191">
        <f t="shared" si="11"/>
        <v>237.73333333333332</v>
      </c>
      <c r="G627" s="185"/>
      <c r="H627" s="181"/>
      <c r="I627" s="74"/>
      <c r="J627" s="74"/>
      <c r="M627" s="185"/>
      <c r="N627" s="185"/>
      <c r="O627" s="185"/>
      <c r="P627" s="185"/>
      <c r="Q627" s="185"/>
      <c r="R627" s="185"/>
    </row>
    <row r="628" spans="1:18" s="197" customFormat="1" ht="12.75" x14ac:dyDescent="0.2">
      <c r="A628" s="181"/>
      <c r="B628" s="188" t="s">
        <v>1842</v>
      </c>
      <c r="C628" s="189" t="s">
        <v>126</v>
      </c>
      <c r="D628" s="189" t="s">
        <v>168</v>
      </c>
      <c r="E628" s="190" t="s">
        <v>1843</v>
      </c>
      <c r="F628" s="191">
        <f t="shared" si="11"/>
        <v>227.85</v>
      </c>
      <c r="G628" s="185"/>
      <c r="H628" s="181"/>
      <c r="I628" s="74"/>
      <c r="J628" s="74"/>
      <c r="M628" s="185"/>
      <c r="N628" s="185"/>
      <c r="O628" s="185"/>
      <c r="P628" s="185"/>
      <c r="Q628" s="185"/>
      <c r="R628" s="185"/>
    </row>
    <row r="629" spans="1:18" s="197" customFormat="1" ht="12.75" x14ac:dyDescent="0.2">
      <c r="A629" s="181"/>
      <c r="B629" s="188" t="s">
        <v>1844</v>
      </c>
      <c r="C629" s="189" t="s">
        <v>125</v>
      </c>
      <c r="D629" s="189" t="s">
        <v>1845</v>
      </c>
      <c r="E629" s="190" t="s">
        <v>1846</v>
      </c>
      <c r="F629" s="191">
        <f t="shared" si="11"/>
        <v>239</v>
      </c>
      <c r="G629" s="185"/>
      <c r="H629" s="181"/>
      <c r="I629" s="74"/>
      <c r="J629" s="74"/>
      <c r="M629" s="185"/>
      <c r="N629" s="185"/>
      <c r="O629" s="185"/>
      <c r="P629" s="185"/>
      <c r="Q629" s="185"/>
      <c r="R629" s="185"/>
    </row>
    <row r="630" spans="1:18" s="197" customFormat="1" ht="12.75" x14ac:dyDescent="0.2">
      <c r="A630" s="181"/>
      <c r="B630" s="188" t="s">
        <v>1847</v>
      </c>
      <c r="C630" s="189" t="s">
        <v>125</v>
      </c>
      <c r="D630" s="189" t="s">
        <v>123</v>
      </c>
      <c r="E630" s="190" t="s">
        <v>1848</v>
      </c>
      <c r="F630" s="191">
        <f t="shared" si="11"/>
        <v>229</v>
      </c>
      <c r="G630" s="185"/>
      <c r="H630" s="181"/>
      <c r="I630" s="74"/>
      <c r="J630" s="74"/>
      <c r="M630" s="185"/>
      <c r="N630" s="185"/>
      <c r="O630" s="185"/>
      <c r="P630" s="185"/>
      <c r="Q630" s="185"/>
      <c r="R630" s="185"/>
    </row>
    <row r="631" spans="1:18" s="197" customFormat="1" ht="12.75" x14ac:dyDescent="0.2">
      <c r="A631" s="181"/>
      <c r="B631" s="188" t="s">
        <v>1849</v>
      </c>
      <c r="C631" s="189" t="s">
        <v>126</v>
      </c>
      <c r="D631" s="189" t="s">
        <v>123</v>
      </c>
      <c r="E631" s="190" t="s">
        <v>1850</v>
      </c>
      <c r="F631" s="191">
        <f t="shared" si="11"/>
        <v>198.58333333333334</v>
      </c>
      <c r="G631" s="185"/>
      <c r="H631" s="181"/>
      <c r="I631" s="74"/>
      <c r="J631" s="74"/>
      <c r="M631" s="185"/>
      <c r="N631" s="185"/>
      <c r="O631" s="185"/>
      <c r="P631" s="185"/>
      <c r="Q631" s="185"/>
      <c r="R631" s="185"/>
    </row>
    <row r="632" spans="1:18" s="197" customFormat="1" ht="12.75" x14ac:dyDescent="0.2">
      <c r="A632" s="181"/>
      <c r="B632" s="188" t="s">
        <v>1851</v>
      </c>
      <c r="C632" s="189" t="s">
        <v>136</v>
      </c>
      <c r="D632" s="189" t="s">
        <v>155</v>
      </c>
      <c r="E632" s="190" t="s">
        <v>1852</v>
      </c>
      <c r="F632" s="191">
        <f t="shared" si="11"/>
        <v>312.03333333333336</v>
      </c>
      <c r="G632" s="185"/>
      <c r="H632" s="181"/>
      <c r="I632" s="74"/>
      <c r="J632" s="74"/>
      <c r="M632" s="185"/>
      <c r="N632" s="185"/>
      <c r="O632" s="185"/>
      <c r="P632" s="185"/>
      <c r="Q632" s="185"/>
      <c r="R632" s="185"/>
    </row>
    <row r="633" spans="1:18" s="197" customFormat="1" ht="12.75" x14ac:dyDescent="0.2">
      <c r="A633" s="181"/>
      <c r="B633" s="188" t="s">
        <v>469</v>
      </c>
      <c r="C633" s="189" t="s">
        <v>124</v>
      </c>
      <c r="D633" s="189" t="s">
        <v>123</v>
      </c>
      <c r="E633" s="190" t="s">
        <v>1853</v>
      </c>
      <c r="F633" s="191">
        <f t="shared" si="11"/>
        <v>259.16666666666669</v>
      </c>
      <c r="G633" s="185"/>
      <c r="H633" s="181"/>
      <c r="I633" s="74"/>
      <c r="J633" s="74"/>
      <c r="M633" s="185"/>
      <c r="N633" s="185"/>
      <c r="O633" s="185"/>
      <c r="P633" s="185"/>
      <c r="Q633" s="185"/>
      <c r="R633" s="185"/>
    </row>
    <row r="634" spans="1:18" s="197" customFormat="1" ht="12.75" x14ac:dyDescent="0.2">
      <c r="A634" s="181"/>
      <c r="B634" s="188" t="s">
        <v>1854</v>
      </c>
      <c r="C634" s="189" t="s">
        <v>125</v>
      </c>
      <c r="D634" s="189" t="s">
        <v>127</v>
      </c>
      <c r="E634" s="190" t="s">
        <v>1855</v>
      </c>
      <c r="F634" s="191">
        <f t="shared" si="11"/>
        <v>205.21666666666667</v>
      </c>
      <c r="G634" s="185"/>
      <c r="H634" s="181"/>
      <c r="I634" s="74"/>
      <c r="J634" s="74"/>
      <c r="M634" s="185"/>
      <c r="N634" s="185"/>
      <c r="O634" s="185"/>
      <c r="P634" s="185"/>
      <c r="Q634" s="185"/>
      <c r="R634" s="185"/>
    </row>
    <row r="635" spans="1:18" s="197" customFormat="1" ht="12.75" x14ac:dyDescent="0.2">
      <c r="A635" s="181"/>
      <c r="B635" s="188" t="s">
        <v>514</v>
      </c>
      <c r="C635" s="189" t="s">
        <v>125</v>
      </c>
      <c r="D635" s="189" t="s">
        <v>123</v>
      </c>
      <c r="E635" s="190" t="s">
        <v>1856</v>
      </c>
      <c r="F635" s="191">
        <f t="shared" si="11"/>
        <v>223.06666666666666</v>
      </c>
      <c r="G635" s="185"/>
      <c r="H635" s="181"/>
      <c r="I635" s="74"/>
      <c r="J635" s="74"/>
      <c r="M635" s="185"/>
      <c r="N635" s="185"/>
      <c r="O635" s="185"/>
      <c r="P635" s="185"/>
      <c r="Q635" s="185"/>
      <c r="R635" s="185"/>
    </row>
    <row r="636" spans="1:18" s="197" customFormat="1" ht="12.75" x14ac:dyDescent="0.2">
      <c r="A636" s="181"/>
      <c r="B636" s="188" t="s">
        <v>1857</v>
      </c>
      <c r="C636" s="189" t="s">
        <v>135</v>
      </c>
      <c r="D636" s="189" t="s">
        <v>141</v>
      </c>
      <c r="E636" s="190" t="s">
        <v>1858</v>
      </c>
      <c r="F636" s="191">
        <f t="shared" si="11"/>
        <v>259</v>
      </c>
      <c r="G636" s="185"/>
      <c r="H636" s="181"/>
      <c r="I636" s="74"/>
      <c r="J636" s="74"/>
      <c r="M636" s="185"/>
      <c r="N636" s="185"/>
      <c r="O636" s="185"/>
      <c r="P636" s="185"/>
      <c r="Q636" s="185"/>
      <c r="R636" s="185"/>
    </row>
    <row r="637" spans="1:18" s="197" customFormat="1" ht="12.75" x14ac:dyDescent="0.2">
      <c r="A637" s="181"/>
      <c r="B637" s="188" t="s">
        <v>1859</v>
      </c>
      <c r="C637" s="189" t="s">
        <v>130</v>
      </c>
      <c r="D637" s="189" t="s">
        <v>123</v>
      </c>
      <c r="E637" s="190" t="s">
        <v>1860</v>
      </c>
      <c r="F637" s="191">
        <f t="shared" si="11"/>
        <v>321.06666666666666</v>
      </c>
      <c r="G637" s="185"/>
      <c r="H637" s="181"/>
      <c r="I637" s="74"/>
      <c r="J637" s="74"/>
      <c r="M637" s="185"/>
      <c r="N637" s="185"/>
      <c r="O637" s="185"/>
      <c r="P637" s="185"/>
      <c r="Q637" s="185"/>
      <c r="R637" s="185"/>
    </row>
    <row r="638" spans="1:18" s="197" customFormat="1" ht="12.75" x14ac:dyDescent="0.2">
      <c r="A638" s="181"/>
      <c r="B638" s="188" t="s">
        <v>1861</v>
      </c>
      <c r="C638" s="189" t="s">
        <v>126</v>
      </c>
      <c r="D638" s="189" t="s">
        <v>127</v>
      </c>
      <c r="E638" s="190" t="s">
        <v>1862</v>
      </c>
      <c r="F638" s="191">
        <f t="shared" si="11"/>
        <v>223.76666666666668</v>
      </c>
      <c r="G638" s="185"/>
      <c r="H638" s="181"/>
      <c r="I638" s="74"/>
      <c r="J638" s="74"/>
      <c r="M638" s="185"/>
      <c r="N638" s="185"/>
      <c r="O638" s="185"/>
      <c r="P638" s="185"/>
      <c r="Q638" s="185"/>
      <c r="R638" s="185"/>
    </row>
    <row r="639" spans="1:18" s="197" customFormat="1" ht="12.75" x14ac:dyDescent="0.2">
      <c r="A639" s="181"/>
      <c r="B639" s="188" t="s">
        <v>394</v>
      </c>
      <c r="C639" s="189" t="s">
        <v>125</v>
      </c>
      <c r="D639" s="189" t="s">
        <v>123</v>
      </c>
      <c r="E639" s="190" t="s">
        <v>1863</v>
      </c>
      <c r="F639" s="191">
        <f t="shared" si="11"/>
        <v>280.45</v>
      </c>
      <c r="G639" s="185"/>
      <c r="H639" s="181"/>
      <c r="I639" s="74"/>
      <c r="J639" s="74"/>
      <c r="M639" s="185"/>
      <c r="N639" s="185"/>
      <c r="O639" s="185"/>
      <c r="P639" s="185"/>
      <c r="Q639" s="185"/>
      <c r="R639" s="185"/>
    </row>
    <row r="640" spans="1:18" s="197" customFormat="1" ht="12.75" x14ac:dyDescent="0.2">
      <c r="A640" s="181"/>
      <c r="B640" s="188" t="s">
        <v>1864</v>
      </c>
      <c r="C640" s="189" t="s">
        <v>126</v>
      </c>
      <c r="D640" s="189" t="s">
        <v>155</v>
      </c>
      <c r="E640" s="190" t="s">
        <v>1865</v>
      </c>
      <c r="F640" s="191">
        <f t="shared" si="11"/>
        <v>177.03333333333333</v>
      </c>
      <c r="G640" s="185"/>
      <c r="H640" s="181"/>
      <c r="I640" s="74"/>
      <c r="J640" s="74"/>
      <c r="M640" s="185"/>
      <c r="N640" s="185"/>
      <c r="O640" s="185"/>
      <c r="P640" s="185"/>
      <c r="Q640" s="185"/>
      <c r="R640" s="185"/>
    </row>
    <row r="641" spans="1:18" s="197" customFormat="1" ht="12.75" x14ac:dyDescent="0.2">
      <c r="A641" s="181"/>
      <c r="B641" s="188" t="s">
        <v>1866</v>
      </c>
      <c r="C641" s="189" t="s">
        <v>134</v>
      </c>
      <c r="D641" s="189" t="s">
        <v>132</v>
      </c>
      <c r="E641" s="190" t="s">
        <v>1867</v>
      </c>
      <c r="F641" s="191">
        <f t="shared" si="11"/>
        <v>196.71666666666667</v>
      </c>
      <c r="G641" s="185"/>
      <c r="H641" s="181"/>
      <c r="I641" s="74"/>
      <c r="J641" s="74"/>
      <c r="M641" s="185"/>
      <c r="N641" s="185"/>
      <c r="O641" s="185"/>
      <c r="P641" s="185"/>
      <c r="Q641" s="185"/>
      <c r="R641" s="185"/>
    </row>
    <row r="642" spans="1:18" s="197" customFormat="1" ht="12.75" x14ac:dyDescent="0.2">
      <c r="A642" s="181"/>
      <c r="B642" s="188" t="s">
        <v>1868</v>
      </c>
      <c r="C642" s="189" t="s">
        <v>126</v>
      </c>
      <c r="D642" s="189" t="s">
        <v>171</v>
      </c>
      <c r="E642" s="190" t="s">
        <v>1869</v>
      </c>
      <c r="F642" s="191">
        <f t="shared" si="11"/>
        <v>236.9</v>
      </c>
      <c r="G642" s="185"/>
      <c r="H642" s="181"/>
      <c r="I642" s="74"/>
      <c r="J642" s="74"/>
      <c r="M642" s="185"/>
      <c r="N642" s="185"/>
      <c r="O642" s="185"/>
      <c r="P642" s="185"/>
      <c r="Q642" s="185"/>
      <c r="R642" s="185"/>
    </row>
    <row r="643" spans="1:18" s="197" customFormat="1" ht="12.75" x14ac:dyDescent="0.2">
      <c r="A643" s="181"/>
      <c r="B643" s="188" t="s">
        <v>1870</v>
      </c>
      <c r="C643" s="189" t="s">
        <v>142</v>
      </c>
      <c r="D643" s="189" t="s">
        <v>123</v>
      </c>
      <c r="E643" s="190" t="s">
        <v>1871</v>
      </c>
      <c r="F643" s="191">
        <f t="shared" si="11"/>
        <v>255.2</v>
      </c>
      <c r="G643" s="185"/>
      <c r="H643" s="181"/>
      <c r="I643" s="74"/>
      <c r="J643" s="74"/>
      <c r="M643" s="185"/>
      <c r="N643" s="185"/>
      <c r="O643" s="185"/>
      <c r="P643" s="185"/>
      <c r="Q643" s="185"/>
      <c r="R643" s="185"/>
    </row>
    <row r="644" spans="1:18" s="197" customFormat="1" ht="12.75" x14ac:dyDescent="0.2">
      <c r="A644" s="181"/>
      <c r="B644" s="188" t="s">
        <v>1872</v>
      </c>
      <c r="C644" s="189" t="s">
        <v>134</v>
      </c>
      <c r="D644" s="189" t="s">
        <v>155</v>
      </c>
      <c r="E644" s="190" t="s">
        <v>1873</v>
      </c>
      <c r="F644" s="191">
        <f t="shared" si="11"/>
        <v>239.33333333333334</v>
      </c>
      <c r="G644" s="185"/>
      <c r="H644" s="181"/>
      <c r="I644" s="74"/>
      <c r="J644" s="74"/>
      <c r="M644" s="185"/>
      <c r="N644" s="185"/>
      <c r="O644" s="185"/>
      <c r="P644" s="185"/>
      <c r="Q644" s="185"/>
      <c r="R644" s="185"/>
    </row>
    <row r="645" spans="1:18" s="197" customFormat="1" ht="12.75" x14ac:dyDescent="0.2">
      <c r="A645" s="181"/>
      <c r="B645" s="188" t="s">
        <v>538</v>
      </c>
      <c r="C645" s="189" t="s">
        <v>124</v>
      </c>
      <c r="D645" s="189" t="s">
        <v>123</v>
      </c>
      <c r="E645" s="190" t="s">
        <v>1874</v>
      </c>
      <c r="F645" s="191">
        <f t="shared" si="11"/>
        <v>268.38333333333333</v>
      </c>
      <c r="G645" s="185"/>
      <c r="H645" s="181"/>
      <c r="I645" s="74"/>
      <c r="J645" s="74"/>
      <c r="M645" s="185"/>
      <c r="N645" s="185"/>
      <c r="O645" s="185"/>
      <c r="P645" s="185"/>
      <c r="Q645" s="185"/>
      <c r="R645" s="185"/>
    </row>
    <row r="646" spans="1:18" s="197" customFormat="1" ht="12.75" x14ac:dyDescent="0.2">
      <c r="A646" s="181"/>
      <c r="B646" s="188" t="s">
        <v>1875</v>
      </c>
      <c r="C646" s="189" t="s">
        <v>130</v>
      </c>
      <c r="D646" s="189" t="s">
        <v>148</v>
      </c>
      <c r="E646" s="190" t="s">
        <v>1876</v>
      </c>
      <c r="F646" s="191">
        <f t="shared" si="11"/>
        <v>261.14999999999998</v>
      </c>
      <c r="G646" s="185"/>
      <c r="H646" s="181"/>
      <c r="I646" s="74"/>
      <c r="J646" s="74"/>
      <c r="M646" s="185"/>
      <c r="N646" s="185"/>
      <c r="O646" s="185"/>
      <c r="P646" s="185"/>
      <c r="Q646" s="185"/>
      <c r="R646" s="185"/>
    </row>
    <row r="647" spans="1:18" s="197" customFormat="1" ht="12.75" x14ac:dyDescent="0.2">
      <c r="A647" s="181"/>
      <c r="B647" s="188" t="s">
        <v>1877</v>
      </c>
      <c r="C647" s="189" t="s">
        <v>125</v>
      </c>
      <c r="D647" s="189" t="s">
        <v>205</v>
      </c>
      <c r="E647" s="190" t="s">
        <v>1878</v>
      </c>
      <c r="F647" s="191">
        <f t="shared" si="11"/>
        <v>245.25</v>
      </c>
      <c r="G647" s="185"/>
      <c r="H647" s="181"/>
      <c r="I647" s="74"/>
      <c r="J647" s="74"/>
      <c r="M647" s="185"/>
      <c r="N647" s="185"/>
      <c r="O647" s="185"/>
      <c r="P647" s="185"/>
      <c r="Q647" s="185"/>
      <c r="R647" s="185"/>
    </row>
    <row r="648" spans="1:18" s="197" customFormat="1" ht="12.75" x14ac:dyDescent="0.2">
      <c r="A648" s="181"/>
      <c r="B648" s="188" t="s">
        <v>1879</v>
      </c>
      <c r="C648" s="189" t="s">
        <v>126</v>
      </c>
      <c r="D648" s="189" t="s">
        <v>260</v>
      </c>
      <c r="E648" s="190" t="s">
        <v>1880</v>
      </c>
      <c r="F648" s="191">
        <f t="shared" si="11"/>
        <v>202.73333333333332</v>
      </c>
      <c r="G648" s="185"/>
      <c r="H648" s="181"/>
      <c r="I648" s="74"/>
      <c r="J648" s="74"/>
      <c r="M648" s="185"/>
      <c r="N648" s="185"/>
      <c r="O648" s="185"/>
      <c r="P648" s="185"/>
      <c r="Q648" s="185"/>
      <c r="R648" s="185"/>
    </row>
    <row r="649" spans="1:18" s="197" customFormat="1" ht="12.75" x14ac:dyDescent="0.2">
      <c r="A649" s="181"/>
      <c r="B649" s="188" t="s">
        <v>1881</v>
      </c>
      <c r="C649" s="189" t="s">
        <v>125</v>
      </c>
      <c r="D649" s="189" t="s">
        <v>123</v>
      </c>
      <c r="E649" s="190" t="s">
        <v>1882</v>
      </c>
      <c r="F649" s="191">
        <f t="shared" si="11"/>
        <v>212.35</v>
      </c>
      <c r="G649" s="185"/>
      <c r="H649" s="181"/>
      <c r="I649" s="74"/>
      <c r="J649" s="74"/>
      <c r="M649" s="185"/>
      <c r="N649" s="185"/>
      <c r="O649" s="185"/>
      <c r="P649" s="185"/>
      <c r="Q649" s="185"/>
      <c r="R649" s="185"/>
    </row>
    <row r="650" spans="1:18" s="197" customFormat="1" ht="12.75" x14ac:dyDescent="0.2">
      <c r="A650" s="181"/>
      <c r="B650" s="188" t="s">
        <v>1883</v>
      </c>
      <c r="C650" s="189" t="s">
        <v>126</v>
      </c>
      <c r="D650" s="189" t="s">
        <v>169</v>
      </c>
      <c r="E650" s="190" t="s">
        <v>1884</v>
      </c>
      <c r="F650" s="191">
        <f t="shared" si="11"/>
        <v>247.01666666666668</v>
      </c>
      <c r="G650" s="185"/>
      <c r="H650" s="181"/>
      <c r="I650" s="74"/>
      <c r="J650" s="74"/>
      <c r="M650" s="185"/>
      <c r="N650" s="185"/>
      <c r="O650" s="185"/>
      <c r="P650" s="185"/>
      <c r="Q650" s="185"/>
      <c r="R650" s="185"/>
    </row>
    <row r="651" spans="1:18" s="197" customFormat="1" ht="12.75" x14ac:dyDescent="0.2">
      <c r="A651" s="181"/>
      <c r="B651" s="188" t="s">
        <v>1885</v>
      </c>
      <c r="C651" s="189" t="s">
        <v>128</v>
      </c>
      <c r="D651" s="189" t="s">
        <v>148</v>
      </c>
      <c r="E651" s="190" t="s">
        <v>1886</v>
      </c>
      <c r="F651" s="191">
        <f t="shared" ref="F651:F714" si="12">HOUR(E651)*60+MINUTE(E651)+SECOND(E651)/60</f>
        <v>265.33333333333331</v>
      </c>
      <c r="G651" s="185"/>
      <c r="H651" s="181"/>
      <c r="I651" s="74"/>
      <c r="J651" s="74"/>
      <c r="M651" s="185"/>
      <c r="N651" s="185"/>
      <c r="O651" s="185"/>
      <c r="P651" s="185"/>
      <c r="Q651" s="185"/>
      <c r="R651" s="185"/>
    </row>
    <row r="652" spans="1:18" s="197" customFormat="1" ht="12.75" x14ac:dyDescent="0.2">
      <c r="A652" s="181"/>
      <c r="B652" s="188" t="s">
        <v>1190</v>
      </c>
      <c r="C652" s="189" t="s">
        <v>126</v>
      </c>
      <c r="D652" s="189" t="s">
        <v>151</v>
      </c>
      <c r="E652" s="190" t="s">
        <v>1191</v>
      </c>
      <c r="F652" s="191">
        <f t="shared" si="12"/>
        <v>203.2</v>
      </c>
      <c r="G652" s="185"/>
      <c r="H652" s="181"/>
      <c r="I652" s="74"/>
      <c r="J652" s="74"/>
      <c r="M652" s="185"/>
      <c r="N652" s="185"/>
      <c r="O652" s="185"/>
      <c r="P652" s="185"/>
      <c r="Q652" s="185"/>
      <c r="R652" s="185"/>
    </row>
    <row r="653" spans="1:18" s="197" customFormat="1" ht="12.75" x14ac:dyDescent="0.2">
      <c r="A653" s="181"/>
      <c r="B653" s="188" t="s">
        <v>1887</v>
      </c>
      <c r="C653" s="189" t="s">
        <v>124</v>
      </c>
      <c r="D653" s="189" t="s">
        <v>123</v>
      </c>
      <c r="E653" s="190" t="s">
        <v>1888</v>
      </c>
      <c r="F653" s="191">
        <f t="shared" si="12"/>
        <v>220.56666666666666</v>
      </c>
      <c r="G653" s="185"/>
      <c r="H653" s="181"/>
      <c r="I653" s="74"/>
      <c r="J653" s="74"/>
      <c r="M653" s="185"/>
      <c r="N653" s="185"/>
      <c r="O653" s="185"/>
      <c r="P653" s="185"/>
      <c r="Q653" s="185"/>
      <c r="R653" s="185"/>
    </row>
    <row r="654" spans="1:18" s="197" customFormat="1" ht="12.75" x14ac:dyDescent="0.2">
      <c r="A654" s="181"/>
      <c r="B654" s="188" t="s">
        <v>1889</v>
      </c>
      <c r="C654" s="189" t="s">
        <v>135</v>
      </c>
      <c r="D654" s="189" t="s">
        <v>123</v>
      </c>
      <c r="E654" s="190" t="s">
        <v>1890</v>
      </c>
      <c r="F654" s="191">
        <f t="shared" si="12"/>
        <v>235.05</v>
      </c>
      <c r="G654" s="185"/>
      <c r="H654" s="181"/>
      <c r="I654" s="74"/>
      <c r="J654" s="74"/>
      <c r="M654" s="185"/>
      <c r="N654" s="185"/>
      <c r="O654" s="185"/>
      <c r="P654" s="185"/>
      <c r="Q654" s="185"/>
      <c r="R654" s="185"/>
    </row>
    <row r="655" spans="1:18" s="197" customFormat="1" ht="12.75" x14ac:dyDescent="0.2">
      <c r="A655" s="181"/>
      <c r="B655" s="188" t="s">
        <v>1891</v>
      </c>
      <c r="C655" s="189" t="s">
        <v>142</v>
      </c>
      <c r="D655" s="189" t="s">
        <v>123</v>
      </c>
      <c r="E655" s="190" t="s">
        <v>1892</v>
      </c>
      <c r="F655" s="191">
        <f t="shared" si="12"/>
        <v>303.33333333333331</v>
      </c>
      <c r="G655" s="185"/>
      <c r="H655" s="181"/>
      <c r="I655" s="74"/>
      <c r="J655" s="74"/>
      <c r="M655" s="185"/>
      <c r="N655" s="185"/>
      <c r="O655" s="185"/>
      <c r="P655" s="185"/>
      <c r="Q655" s="185"/>
      <c r="R655" s="185"/>
    </row>
    <row r="656" spans="1:18" s="197" customFormat="1" ht="12.75" x14ac:dyDescent="0.2">
      <c r="A656" s="181"/>
      <c r="B656" s="188" t="s">
        <v>1893</v>
      </c>
      <c r="C656" s="189" t="s">
        <v>134</v>
      </c>
      <c r="D656" s="189" t="s">
        <v>123</v>
      </c>
      <c r="E656" s="190" t="s">
        <v>1894</v>
      </c>
      <c r="F656" s="191">
        <f t="shared" si="12"/>
        <v>302.93333333333334</v>
      </c>
      <c r="G656" s="185"/>
      <c r="H656" s="181"/>
      <c r="I656" s="74"/>
      <c r="J656" s="74"/>
      <c r="M656" s="185"/>
      <c r="N656" s="185"/>
      <c r="O656" s="185"/>
      <c r="P656" s="185"/>
      <c r="Q656" s="185"/>
      <c r="R656" s="185"/>
    </row>
    <row r="657" spans="1:18" s="197" customFormat="1" ht="12.75" x14ac:dyDescent="0.2">
      <c r="A657" s="181"/>
      <c r="B657" s="188" t="s">
        <v>492</v>
      </c>
      <c r="C657" s="189" t="s">
        <v>125</v>
      </c>
      <c r="D657" s="189" t="s">
        <v>123</v>
      </c>
      <c r="E657" s="190" t="s">
        <v>1895</v>
      </c>
      <c r="F657" s="191">
        <f t="shared" si="12"/>
        <v>231.76666666666668</v>
      </c>
      <c r="G657" s="185"/>
      <c r="H657" s="181"/>
      <c r="I657" s="74"/>
      <c r="J657" s="74"/>
      <c r="M657" s="185"/>
      <c r="N657" s="185"/>
      <c r="O657" s="185"/>
      <c r="P657" s="185"/>
      <c r="Q657" s="185"/>
      <c r="R657" s="185"/>
    </row>
    <row r="658" spans="1:18" s="197" customFormat="1" ht="12.75" x14ac:dyDescent="0.2">
      <c r="A658" s="181"/>
      <c r="B658" s="188" t="s">
        <v>1896</v>
      </c>
      <c r="C658" s="189" t="s">
        <v>135</v>
      </c>
      <c r="D658" s="189" t="s">
        <v>139</v>
      </c>
      <c r="E658" s="190" t="s">
        <v>1897</v>
      </c>
      <c r="F658" s="191">
        <f t="shared" si="12"/>
        <v>258.45</v>
      </c>
      <c r="G658" s="185"/>
      <c r="H658" s="181"/>
      <c r="I658" s="74"/>
      <c r="J658" s="74"/>
      <c r="M658" s="185"/>
      <c r="N658" s="185"/>
      <c r="O658" s="185"/>
      <c r="P658" s="185"/>
      <c r="Q658" s="185"/>
      <c r="R658" s="185"/>
    </row>
    <row r="659" spans="1:18" s="197" customFormat="1" ht="12.75" x14ac:dyDescent="0.2">
      <c r="A659" s="181"/>
      <c r="B659" s="188" t="s">
        <v>1898</v>
      </c>
      <c r="C659" s="189" t="s">
        <v>130</v>
      </c>
      <c r="D659" s="189" t="s">
        <v>149</v>
      </c>
      <c r="E659" s="190" t="s">
        <v>1899</v>
      </c>
      <c r="F659" s="191">
        <f t="shared" si="12"/>
        <v>219.51666666666668</v>
      </c>
      <c r="G659" s="185"/>
      <c r="H659" s="181"/>
      <c r="I659" s="74"/>
      <c r="J659" s="74"/>
      <c r="M659" s="185"/>
      <c r="N659" s="185"/>
      <c r="O659" s="185"/>
      <c r="P659" s="185"/>
      <c r="Q659" s="185"/>
      <c r="R659" s="185"/>
    </row>
    <row r="660" spans="1:18" s="197" customFormat="1" ht="12.75" x14ac:dyDescent="0.2">
      <c r="A660" s="181"/>
      <c r="B660" s="188" t="s">
        <v>1802</v>
      </c>
      <c r="C660" s="189" t="s">
        <v>134</v>
      </c>
      <c r="D660" s="189" t="s">
        <v>123</v>
      </c>
      <c r="E660" s="190" t="s">
        <v>1803</v>
      </c>
      <c r="F660" s="191">
        <f t="shared" si="12"/>
        <v>190.71666666666667</v>
      </c>
      <c r="G660" s="185"/>
      <c r="H660" s="181"/>
      <c r="I660" s="74"/>
      <c r="J660" s="74"/>
      <c r="M660" s="185"/>
      <c r="N660" s="185"/>
      <c r="O660" s="185"/>
      <c r="P660" s="185"/>
      <c r="Q660" s="185"/>
      <c r="R660" s="185"/>
    </row>
    <row r="661" spans="1:18" s="197" customFormat="1" ht="12.75" x14ac:dyDescent="0.2">
      <c r="A661" s="181"/>
      <c r="B661" s="188" t="s">
        <v>1900</v>
      </c>
      <c r="C661" s="189" t="s">
        <v>126</v>
      </c>
      <c r="D661" s="189" t="s">
        <v>131</v>
      </c>
      <c r="E661" s="190" t="s">
        <v>1901</v>
      </c>
      <c r="F661" s="191">
        <f t="shared" si="12"/>
        <v>228.91666666666666</v>
      </c>
      <c r="G661" s="185"/>
      <c r="H661" s="181"/>
      <c r="I661" s="74"/>
      <c r="J661" s="74"/>
      <c r="M661" s="185"/>
      <c r="N661" s="185"/>
      <c r="O661" s="185"/>
      <c r="P661" s="185"/>
      <c r="Q661" s="185"/>
      <c r="R661" s="185"/>
    </row>
    <row r="662" spans="1:18" s="197" customFormat="1" ht="12.75" x14ac:dyDescent="0.2">
      <c r="A662" s="181"/>
      <c r="B662" s="188" t="s">
        <v>1902</v>
      </c>
      <c r="C662" s="189" t="s">
        <v>134</v>
      </c>
      <c r="D662" s="189" t="s">
        <v>123</v>
      </c>
      <c r="E662" s="190" t="s">
        <v>1903</v>
      </c>
      <c r="F662" s="191">
        <f t="shared" si="12"/>
        <v>229.81666666666666</v>
      </c>
      <c r="G662" s="185"/>
      <c r="H662" s="181"/>
      <c r="I662" s="74"/>
      <c r="J662" s="74"/>
      <c r="M662" s="185"/>
      <c r="N662" s="185"/>
      <c r="O662" s="185"/>
      <c r="P662" s="185"/>
      <c r="Q662" s="185"/>
      <c r="R662" s="185"/>
    </row>
    <row r="663" spans="1:18" s="197" customFormat="1" ht="12.75" x14ac:dyDescent="0.2">
      <c r="A663" s="181"/>
      <c r="B663" s="188" t="s">
        <v>1904</v>
      </c>
      <c r="C663" s="189" t="s">
        <v>142</v>
      </c>
      <c r="D663" s="189" t="s">
        <v>123</v>
      </c>
      <c r="E663" s="190" t="s">
        <v>1905</v>
      </c>
      <c r="F663" s="191">
        <f t="shared" si="12"/>
        <v>226.66666666666666</v>
      </c>
      <c r="G663" s="185"/>
      <c r="H663" s="181"/>
      <c r="I663" s="74"/>
      <c r="J663" s="74"/>
      <c r="M663" s="185"/>
      <c r="N663" s="185"/>
      <c r="O663" s="185"/>
      <c r="P663" s="185"/>
      <c r="Q663" s="185"/>
      <c r="R663" s="185"/>
    </row>
    <row r="664" spans="1:18" s="197" customFormat="1" ht="12.75" x14ac:dyDescent="0.2">
      <c r="A664" s="181"/>
      <c r="B664" s="188" t="s">
        <v>1906</v>
      </c>
      <c r="C664" s="189" t="s">
        <v>135</v>
      </c>
      <c r="D664" s="189" t="s">
        <v>141</v>
      </c>
      <c r="E664" s="190" t="s">
        <v>1907</v>
      </c>
      <c r="F664" s="191">
        <f t="shared" si="12"/>
        <v>233.33333333333334</v>
      </c>
      <c r="G664" s="185"/>
      <c r="H664" s="181"/>
      <c r="I664" s="74"/>
      <c r="J664" s="74"/>
      <c r="M664" s="185"/>
      <c r="N664" s="185"/>
      <c r="O664" s="185"/>
      <c r="P664" s="185"/>
      <c r="Q664" s="185"/>
      <c r="R664" s="185"/>
    </row>
    <row r="665" spans="1:18" s="197" customFormat="1" ht="12.75" x14ac:dyDescent="0.2">
      <c r="A665" s="181"/>
      <c r="B665" s="188" t="s">
        <v>1908</v>
      </c>
      <c r="C665" s="189" t="s">
        <v>126</v>
      </c>
      <c r="D665" s="189" t="s">
        <v>188</v>
      </c>
      <c r="E665" s="190" t="s">
        <v>1909</v>
      </c>
      <c r="F665" s="191">
        <f t="shared" si="12"/>
        <v>178.38333333333333</v>
      </c>
      <c r="G665" s="185"/>
      <c r="H665" s="181"/>
      <c r="I665" s="74"/>
      <c r="J665" s="74"/>
      <c r="M665" s="185"/>
      <c r="N665" s="185"/>
      <c r="O665" s="185"/>
      <c r="P665" s="185"/>
      <c r="Q665" s="185"/>
      <c r="R665" s="185"/>
    </row>
    <row r="666" spans="1:18" s="197" customFormat="1" ht="12.75" x14ac:dyDescent="0.2">
      <c r="A666" s="181"/>
      <c r="B666" s="188" t="s">
        <v>1910</v>
      </c>
      <c r="C666" s="189" t="s">
        <v>134</v>
      </c>
      <c r="D666" s="189" t="s">
        <v>131</v>
      </c>
      <c r="E666" s="190" t="s">
        <v>1911</v>
      </c>
      <c r="F666" s="191">
        <f t="shared" si="12"/>
        <v>248.46666666666667</v>
      </c>
      <c r="G666" s="185"/>
      <c r="H666" s="181"/>
      <c r="I666" s="74"/>
      <c r="J666" s="74"/>
      <c r="M666" s="185"/>
      <c r="N666" s="185"/>
      <c r="O666" s="185"/>
      <c r="P666" s="185"/>
      <c r="Q666" s="185"/>
      <c r="R666" s="185"/>
    </row>
    <row r="667" spans="1:18" s="197" customFormat="1" ht="12.75" x14ac:dyDescent="0.2">
      <c r="A667" s="181"/>
      <c r="B667" s="188" t="s">
        <v>1912</v>
      </c>
      <c r="C667" s="189" t="s">
        <v>142</v>
      </c>
      <c r="D667" s="189" t="s">
        <v>123</v>
      </c>
      <c r="E667" s="190" t="s">
        <v>1913</v>
      </c>
      <c r="F667" s="191">
        <f t="shared" si="12"/>
        <v>261.66666666666669</v>
      </c>
      <c r="G667" s="185"/>
      <c r="H667" s="181"/>
      <c r="I667" s="74"/>
      <c r="J667" s="74"/>
      <c r="M667" s="185"/>
      <c r="N667" s="185"/>
      <c r="O667" s="185"/>
      <c r="P667" s="185"/>
      <c r="Q667" s="185"/>
      <c r="R667" s="185"/>
    </row>
    <row r="668" spans="1:18" s="197" customFormat="1" ht="12.75" x14ac:dyDescent="0.2">
      <c r="A668" s="181"/>
      <c r="B668" s="188" t="s">
        <v>1914</v>
      </c>
      <c r="C668" s="189" t="s">
        <v>134</v>
      </c>
      <c r="D668" s="189" t="s">
        <v>148</v>
      </c>
      <c r="E668" s="190" t="s">
        <v>1915</v>
      </c>
      <c r="F668" s="191">
        <f t="shared" si="12"/>
        <v>194.05</v>
      </c>
      <c r="G668" s="185"/>
      <c r="H668" s="181"/>
      <c r="I668" s="74"/>
      <c r="J668" s="74"/>
      <c r="M668" s="185"/>
      <c r="N668" s="185"/>
      <c r="O668" s="185"/>
      <c r="P668" s="185"/>
      <c r="Q668" s="185"/>
      <c r="R668" s="185"/>
    </row>
    <row r="669" spans="1:18" s="197" customFormat="1" ht="12.75" x14ac:dyDescent="0.2">
      <c r="A669" s="181"/>
      <c r="B669" s="188" t="s">
        <v>1916</v>
      </c>
      <c r="C669" s="189" t="s">
        <v>130</v>
      </c>
      <c r="D669" s="189" t="s">
        <v>152</v>
      </c>
      <c r="E669" s="190" t="s">
        <v>1917</v>
      </c>
      <c r="F669" s="191">
        <f t="shared" si="12"/>
        <v>241.2</v>
      </c>
      <c r="G669" s="185"/>
      <c r="H669" s="181"/>
      <c r="I669" s="74"/>
      <c r="J669" s="74"/>
      <c r="M669" s="185"/>
      <c r="N669" s="185"/>
      <c r="O669" s="185"/>
      <c r="P669" s="185"/>
      <c r="Q669" s="185"/>
      <c r="R669" s="185"/>
    </row>
    <row r="670" spans="1:18" s="197" customFormat="1" ht="12.75" x14ac:dyDescent="0.2">
      <c r="A670" s="181"/>
      <c r="B670" s="188" t="s">
        <v>1918</v>
      </c>
      <c r="C670" s="189" t="s">
        <v>124</v>
      </c>
      <c r="D670" s="189" t="s">
        <v>123</v>
      </c>
      <c r="E670" s="190" t="s">
        <v>1919</v>
      </c>
      <c r="F670" s="191">
        <f t="shared" si="12"/>
        <v>201.46666666666667</v>
      </c>
      <c r="G670" s="185"/>
      <c r="H670" s="181"/>
      <c r="I670" s="74"/>
      <c r="J670" s="74"/>
      <c r="M670" s="185"/>
      <c r="N670" s="185"/>
      <c r="O670" s="185"/>
      <c r="P670" s="185"/>
      <c r="Q670" s="185"/>
      <c r="R670" s="185"/>
    </row>
    <row r="671" spans="1:18" s="197" customFormat="1" ht="12.75" x14ac:dyDescent="0.2">
      <c r="A671" s="181"/>
      <c r="B671" s="188" t="s">
        <v>1920</v>
      </c>
      <c r="C671" s="189" t="s">
        <v>124</v>
      </c>
      <c r="D671" s="189" t="s">
        <v>165</v>
      </c>
      <c r="E671" s="190" t="s">
        <v>1921</v>
      </c>
      <c r="F671" s="191">
        <f t="shared" si="12"/>
        <v>211.93333333333334</v>
      </c>
      <c r="G671" s="185"/>
      <c r="H671" s="181"/>
      <c r="I671" s="74"/>
      <c r="J671" s="74"/>
      <c r="M671" s="185"/>
      <c r="N671" s="185"/>
      <c r="O671" s="185"/>
      <c r="P671" s="185"/>
      <c r="Q671" s="185"/>
      <c r="R671" s="185"/>
    </row>
    <row r="672" spans="1:18" s="197" customFormat="1" ht="12.75" x14ac:dyDescent="0.2">
      <c r="A672" s="181"/>
      <c r="B672" s="188" t="s">
        <v>1922</v>
      </c>
      <c r="C672" s="189" t="s">
        <v>136</v>
      </c>
      <c r="D672" s="189" t="s">
        <v>152</v>
      </c>
      <c r="E672" s="190" t="s">
        <v>1923</v>
      </c>
      <c r="F672" s="191">
        <f t="shared" si="12"/>
        <v>272.46666666666664</v>
      </c>
      <c r="G672" s="185"/>
      <c r="H672" s="181"/>
      <c r="I672" s="74"/>
      <c r="J672" s="74"/>
      <c r="M672" s="185"/>
      <c r="N672" s="185"/>
      <c r="O672" s="185"/>
      <c r="P672" s="185"/>
      <c r="Q672" s="185"/>
      <c r="R672" s="185"/>
    </row>
    <row r="673" spans="1:18" s="197" customFormat="1" ht="12.75" x14ac:dyDescent="0.2">
      <c r="A673" s="181"/>
      <c r="B673" s="188" t="s">
        <v>1924</v>
      </c>
      <c r="C673" s="189" t="s">
        <v>134</v>
      </c>
      <c r="D673" s="189" t="s">
        <v>123</v>
      </c>
      <c r="E673" s="190" t="s">
        <v>1925</v>
      </c>
      <c r="F673" s="191">
        <f t="shared" si="12"/>
        <v>220.85</v>
      </c>
      <c r="G673" s="185"/>
      <c r="H673" s="181"/>
      <c r="I673" s="74"/>
      <c r="J673" s="74"/>
      <c r="M673" s="185"/>
      <c r="N673" s="185"/>
      <c r="O673" s="185"/>
      <c r="P673" s="185"/>
      <c r="Q673" s="185"/>
      <c r="R673" s="185"/>
    </row>
    <row r="674" spans="1:18" s="197" customFormat="1" ht="12.75" x14ac:dyDescent="0.2">
      <c r="A674" s="181"/>
      <c r="B674" s="188" t="s">
        <v>1926</v>
      </c>
      <c r="C674" s="189" t="s">
        <v>142</v>
      </c>
      <c r="D674" s="189" t="s">
        <v>123</v>
      </c>
      <c r="E674" s="190" t="s">
        <v>1927</v>
      </c>
      <c r="F674" s="191">
        <f t="shared" si="12"/>
        <v>225.55</v>
      </c>
      <c r="G674" s="185"/>
      <c r="H674" s="181"/>
      <c r="I674" s="74"/>
      <c r="J674" s="74"/>
      <c r="M674" s="185"/>
      <c r="N674" s="185"/>
      <c r="O674" s="185"/>
      <c r="P674" s="185"/>
      <c r="Q674" s="185"/>
      <c r="R674" s="185"/>
    </row>
    <row r="675" spans="1:18" s="197" customFormat="1" ht="12.75" x14ac:dyDescent="0.2">
      <c r="A675" s="181"/>
      <c r="B675" s="188" t="s">
        <v>1928</v>
      </c>
      <c r="C675" s="189" t="s">
        <v>134</v>
      </c>
      <c r="D675" s="189" t="s">
        <v>123</v>
      </c>
      <c r="E675" s="190" t="s">
        <v>1929</v>
      </c>
      <c r="F675" s="191">
        <f t="shared" si="12"/>
        <v>265.03333333333336</v>
      </c>
      <c r="G675" s="185"/>
      <c r="H675" s="181"/>
      <c r="I675" s="74"/>
      <c r="J675" s="74"/>
      <c r="M675" s="185"/>
      <c r="N675" s="185"/>
      <c r="O675" s="185"/>
      <c r="P675" s="185"/>
      <c r="Q675" s="185"/>
      <c r="R675" s="185"/>
    </row>
    <row r="676" spans="1:18" s="197" customFormat="1" ht="12.75" x14ac:dyDescent="0.2">
      <c r="A676" s="181"/>
      <c r="B676" s="188" t="s">
        <v>1930</v>
      </c>
      <c r="C676" s="189" t="s">
        <v>125</v>
      </c>
      <c r="D676" s="189" t="s">
        <v>129</v>
      </c>
      <c r="E676" s="190" t="s">
        <v>1931</v>
      </c>
      <c r="F676" s="191">
        <f t="shared" si="12"/>
        <v>268.64999999999998</v>
      </c>
      <c r="G676" s="185"/>
      <c r="H676" s="181"/>
      <c r="I676" s="74"/>
      <c r="J676" s="74"/>
      <c r="M676" s="185"/>
      <c r="N676" s="185"/>
      <c r="O676" s="185"/>
      <c r="P676" s="185"/>
      <c r="Q676" s="185"/>
      <c r="R676" s="185"/>
    </row>
    <row r="677" spans="1:18" s="197" customFormat="1" ht="12.75" x14ac:dyDescent="0.2">
      <c r="A677" s="181"/>
      <c r="B677" s="188" t="s">
        <v>831</v>
      </c>
      <c r="C677" s="189" t="s">
        <v>124</v>
      </c>
      <c r="D677" s="189" t="s">
        <v>123</v>
      </c>
      <c r="E677" s="190" t="s">
        <v>832</v>
      </c>
      <c r="F677" s="191">
        <f t="shared" si="12"/>
        <v>203.53333333333333</v>
      </c>
      <c r="G677" s="185"/>
      <c r="H677" s="181"/>
      <c r="I677" s="74"/>
      <c r="J677" s="74"/>
      <c r="M677" s="185"/>
      <c r="N677" s="185"/>
      <c r="O677" s="185"/>
      <c r="P677" s="185"/>
      <c r="Q677" s="185"/>
      <c r="R677" s="185"/>
    </row>
    <row r="678" spans="1:18" s="197" customFormat="1" ht="12.75" x14ac:dyDescent="0.2">
      <c r="A678" s="181"/>
      <c r="B678" s="188" t="s">
        <v>1932</v>
      </c>
      <c r="C678" s="189" t="s">
        <v>124</v>
      </c>
      <c r="D678" s="189" t="s">
        <v>157</v>
      </c>
      <c r="E678" s="190" t="s">
        <v>1933</v>
      </c>
      <c r="F678" s="191">
        <f t="shared" si="12"/>
        <v>241.78333333333333</v>
      </c>
      <c r="G678" s="185"/>
      <c r="H678" s="181"/>
      <c r="I678" s="74"/>
      <c r="J678" s="74"/>
      <c r="M678" s="185"/>
      <c r="N678" s="185"/>
      <c r="O678" s="185"/>
      <c r="P678" s="185"/>
      <c r="Q678" s="185"/>
      <c r="R678" s="185"/>
    </row>
    <row r="679" spans="1:18" s="197" customFormat="1" ht="12.75" x14ac:dyDescent="0.2">
      <c r="A679" s="181"/>
      <c r="B679" s="188" t="s">
        <v>1934</v>
      </c>
      <c r="C679" s="189" t="s">
        <v>135</v>
      </c>
      <c r="D679" s="189" t="s">
        <v>132</v>
      </c>
      <c r="E679" s="190" t="s">
        <v>1935</v>
      </c>
      <c r="F679" s="191">
        <f t="shared" si="12"/>
        <v>215.4</v>
      </c>
      <c r="G679" s="185"/>
      <c r="H679" s="181"/>
      <c r="I679" s="74"/>
      <c r="J679" s="74"/>
      <c r="M679" s="185"/>
      <c r="N679" s="185"/>
      <c r="O679" s="185"/>
      <c r="P679" s="185"/>
      <c r="Q679" s="185"/>
      <c r="R679" s="185"/>
    </row>
    <row r="680" spans="1:18" s="197" customFormat="1" ht="12.75" x14ac:dyDescent="0.2">
      <c r="A680" s="181"/>
      <c r="B680" s="188" t="s">
        <v>1936</v>
      </c>
      <c r="C680" s="189" t="s">
        <v>128</v>
      </c>
      <c r="D680" s="189" t="s">
        <v>123</v>
      </c>
      <c r="E680" s="190" t="s">
        <v>1212</v>
      </c>
      <c r="F680" s="191">
        <f t="shared" si="12"/>
        <v>241.01666666666668</v>
      </c>
      <c r="G680" s="185"/>
      <c r="H680" s="181"/>
      <c r="I680" s="74"/>
      <c r="J680" s="74"/>
      <c r="M680" s="185"/>
      <c r="N680" s="185"/>
      <c r="O680" s="185"/>
      <c r="P680" s="185"/>
      <c r="Q680" s="185"/>
      <c r="R680" s="185"/>
    </row>
    <row r="681" spans="1:18" s="197" customFormat="1" ht="12.75" x14ac:dyDescent="0.2">
      <c r="A681" s="181"/>
      <c r="B681" s="188" t="s">
        <v>1937</v>
      </c>
      <c r="C681" s="189" t="s">
        <v>125</v>
      </c>
      <c r="D681" s="189" t="s">
        <v>155</v>
      </c>
      <c r="E681" s="190" t="s">
        <v>1938</v>
      </c>
      <c r="F681" s="191">
        <f t="shared" si="12"/>
        <v>172.41666666666666</v>
      </c>
      <c r="G681" s="185"/>
      <c r="H681" s="181"/>
      <c r="I681" s="74"/>
      <c r="J681" s="74"/>
      <c r="M681" s="185"/>
      <c r="N681" s="185"/>
      <c r="O681" s="185"/>
      <c r="P681" s="185"/>
      <c r="Q681" s="185"/>
      <c r="R681" s="185"/>
    </row>
    <row r="682" spans="1:18" s="197" customFormat="1" ht="12.75" x14ac:dyDescent="0.2">
      <c r="A682" s="181"/>
      <c r="B682" s="188" t="s">
        <v>1939</v>
      </c>
      <c r="C682" s="189" t="s">
        <v>124</v>
      </c>
      <c r="D682" s="189" t="s">
        <v>223</v>
      </c>
      <c r="E682" s="190" t="s">
        <v>1940</v>
      </c>
      <c r="F682" s="191">
        <f t="shared" si="12"/>
        <v>264.05</v>
      </c>
      <c r="G682" s="185"/>
      <c r="H682" s="181"/>
      <c r="I682" s="74"/>
      <c r="J682" s="74"/>
      <c r="M682" s="185"/>
      <c r="N682" s="185"/>
      <c r="O682" s="185"/>
      <c r="P682" s="185"/>
      <c r="Q682" s="185"/>
      <c r="R682" s="185"/>
    </row>
    <row r="683" spans="1:18" s="197" customFormat="1" ht="12.75" x14ac:dyDescent="0.2">
      <c r="A683" s="181"/>
      <c r="B683" s="188" t="s">
        <v>1941</v>
      </c>
      <c r="C683" s="189" t="s">
        <v>134</v>
      </c>
      <c r="D683" s="189" t="s">
        <v>1942</v>
      </c>
      <c r="E683" s="190" t="s">
        <v>1943</v>
      </c>
      <c r="F683" s="191">
        <f t="shared" si="12"/>
        <v>287.51666666666665</v>
      </c>
      <c r="G683" s="185"/>
      <c r="H683" s="181"/>
      <c r="I683" s="74"/>
      <c r="J683" s="74"/>
      <c r="M683" s="185"/>
      <c r="N683" s="185"/>
      <c r="O683" s="185"/>
      <c r="P683" s="185"/>
      <c r="Q683" s="185"/>
      <c r="R683" s="185"/>
    </row>
    <row r="684" spans="1:18" s="197" customFormat="1" ht="12.75" x14ac:dyDescent="0.2">
      <c r="A684" s="181"/>
      <c r="B684" s="188" t="s">
        <v>1944</v>
      </c>
      <c r="C684" s="189" t="s">
        <v>125</v>
      </c>
      <c r="D684" s="189" t="s">
        <v>123</v>
      </c>
      <c r="E684" s="190" t="s">
        <v>1945</v>
      </c>
      <c r="F684" s="191">
        <f t="shared" si="12"/>
        <v>199.08333333333334</v>
      </c>
      <c r="G684" s="185"/>
      <c r="H684" s="181"/>
      <c r="I684" s="74"/>
      <c r="J684" s="74"/>
      <c r="M684" s="185"/>
      <c r="N684" s="185"/>
      <c r="O684" s="185"/>
      <c r="P684" s="185"/>
      <c r="Q684" s="185"/>
      <c r="R684" s="185"/>
    </row>
    <row r="685" spans="1:18" s="197" customFormat="1" ht="12.75" x14ac:dyDescent="0.2">
      <c r="A685" s="181"/>
      <c r="B685" s="188" t="s">
        <v>1946</v>
      </c>
      <c r="C685" s="189" t="s">
        <v>125</v>
      </c>
      <c r="D685" s="189" t="s">
        <v>131</v>
      </c>
      <c r="E685" s="190" t="s">
        <v>1231</v>
      </c>
      <c r="F685" s="191">
        <f t="shared" si="12"/>
        <v>254.26666666666668</v>
      </c>
      <c r="G685" s="185"/>
      <c r="H685" s="181"/>
      <c r="I685" s="74"/>
      <c r="J685" s="74"/>
      <c r="M685" s="185"/>
      <c r="N685" s="185"/>
      <c r="O685" s="185"/>
      <c r="P685" s="185"/>
      <c r="Q685" s="185"/>
      <c r="R685" s="185"/>
    </row>
    <row r="686" spans="1:18" s="197" customFormat="1" ht="12.75" x14ac:dyDescent="0.2">
      <c r="A686" s="181"/>
      <c r="B686" s="188" t="s">
        <v>1947</v>
      </c>
      <c r="C686" s="189" t="s">
        <v>135</v>
      </c>
      <c r="D686" s="189" t="s">
        <v>127</v>
      </c>
      <c r="E686" s="190" t="s">
        <v>1948</v>
      </c>
      <c r="F686" s="191">
        <f t="shared" si="12"/>
        <v>231.33333333333334</v>
      </c>
      <c r="G686" s="185"/>
      <c r="H686" s="181"/>
      <c r="I686" s="74"/>
      <c r="J686" s="74"/>
      <c r="M686" s="185"/>
      <c r="N686" s="185"/>
      <c r="O686" s="185"/>
      <c r="P686" s="185"/>
      <c r="Q686" s="185"/>
      <c r="R686" s="185"/>
    </row>
    <row r="687" spans="1:18" s="197" customFormat="1" ht="12.75" x14ac:dyDescent="0.2">
      <c r="A687" s="181"/>
      <c r="B687" s="188" t="s">
        <v>617</v>
      </c>
      <c r="C687" s="189" t="s">
        <v>125</v>
      </c>
      <c r="D687" s="189" t="s">
        <v>123</v>
      </c>
      <c r="E687" s="190" t="s">
        <v>1949</v>
      </c>
      <c r="F687" s="191">
        <f t="shared" si="12"/>
        <v>208.58333333333334</v>
      </c>
      <c r="G687" s="185"/>
      <c r="H687" s="181"/>
      <c r="I687" s="74"/>
      <c r="J687" s="74"/>
      <c r="M687" s="185"/>
      <c r="N687" s="185"/>
      <c r="O687" s="185"/>
      <c r="P687" s="185"/>
      <c r="Q687" s="185"/>
      <c r="R687" s="185"/>
    </row>
    <row r="688" spans="1:18" s="197" customFormat="1" ht="12.75" x14ac:dyDescent="0.2">
      <c r="A688" s="181"/>
      <c r="B688" s="188" t="s">
        <v>494</v>
      </c>
      <c r="C688" s="189" t="s">
        <v>135</v>
      </c>
      <c r="D688" s="189" t="s">
        <v>123</v>
      </c>
      <c r="E688" s="190" t="s">
        <v>1950</v>
      </c>
      <c r="F688" s="191">
        <f t="shared" si="12"/>
        <v>293.8</v>
      </c>
      <c r="G688" s="185"/>
      <c r="H688" s="181"/>
      <c r="I688" s="74"/>
      <c r="J688" s="74"/>
      <c r="M688" s="185"/>
      <c r="N688" s="185"/>
      <c r="O688" s="185"/>
      <c r="P688" s="185"/>
      <c r="Q688" s="185"/>
      <c r="R688" s="185"/>
    </row>
    <row r="689" spans="1:18" s="197" customFormat="1" ht="12.75" x14ac:dyDescent="0.2">
      <c r="A689" s="181"/>
      <c r="B689" s="188" t="s">
        <v>1951</v>
      </c>
      <c r="C689" s="189" t="s">
        <v>142</v>
      </c>
      <c r="D689" s="189" t="s">
        <v>131</v>
      </c>
      <c r="E689" s="190" t="s">
        <v>1952</v>
      </c>
      <c r="F689" s="191">
        <f t="shared" si="12"/>
        <v>326.16666666666669</v>
      </c>
      <c r="G689" s="185"/>
      <c r="H689" s="181"/>
      <c r="I689" s="74"/>
      <c r="J689" s="74"/>
      <c r="M689" s="185"/>
      <c r="N689" s="185"/>
      <c r="O689" s="185"/>
      <c r="P689" s="185"/>
      <c r="Q689" s="185"/>
      <c r="R689" s="185"/>
    </row>
    <row r="690" spans="1:18" s="197" customFormat="1" ht="12.75" x14ac:dyDescent="0.2">
      <c r="A690" s="181"/>
      <c r="B690" s="188" t="s">
        <v>1953</v>
      </c>
      <c r="C690" s="189" t="s">
        <v>142</v>
      </c>
      <c r="D690" s="189" t="s">
        <v>173</v>
      </c>
      <c r="E690" s="190" t="s">
        <v>1954</v>
      </c>
      <c r="F690" s="191">
        <f t="shared" si="12"/>
        <v>189.05</v>
      </c>
      <c r="G690" s="185"/>
      <c r="H690" s="181"/>
      <c r="I690" s="74"/>
      <c r="J690" s="74"/>
      <c r="M690" s="185"/>
      <c r="N690" s="185"/>
      <c r="O690" s="185"/>
      <c r="P690" s="185"/>
      <c r="Q690" s="185"/>
      <c r="R690" s="185"/>
    </row>
    <row r="691" spans="1:18" s="197" customFormat="1" ht="12.75" x14ac:dyDescent="0.2">
      <c r="A691" s="181"/>
      <c r="B691" s="188" t="s">
        <v>1955</v>
      </c>
      <c r="C691" s="189" t="s">
        <v>126</v>
      </c>
      <c r="D691" s="189" t="s">
        <v>133</v>
      </c>
      <c r="E691" s="190" t="s">
        <v>1956</v>
      </c>
      <c r="F691" s="191">
        <f t="shared" si="12"/>
        <v>242.41666666666666</v>
      </c>
      <c r="G691" s="185"/>
      <c r="H691" s="181"/>
      <c r="I691" s="74"/>
      <c r="J691" s="74"/>
      <c r="M691" s="185"/>
      <c r="N691" s="185"/>
      <c r="O691" s="185"/>
      <c r="P691" s="185"/>
      <c r="Q691" s="185"/>
      <c r="R691" s="185"/>
    </row>
    <row r="692" spans="1:18" s="197" customFormat="1" ht="12.75" x14ac:dyDescent="0.2">
      <c r="A692" s="181"/>
      <c r="B692" s="188" t="s">
        <v>1188</v>
      </c>
      <c r="C692" s="189" t="s">
        <v>124</v>
      </c>
      <c r="D692" s="189" t="s">
        <v>131</v>
      </c>
      <c r="E692" s="190" t="s">
        <v>1189</v>
      </c>
      <c r="F692" s="191">
        <f t="shared" si="12"/>
        <v>232.16666666666666</v>
      </c>
      <c r="G692" s="185"/>
      <c r="H692" s="181"/>
      <c r="I692" s="74"/>
      <c r="J692" s="74"/>
      <c r="M692" s="185"/>
      <c r="N692" s="185"/>
      <c r="O692" s="185"/>
      <c r="P692" s="185"/>
      <c r="Q692" s="185"/>
      <c r="R692" s="185"/>
    </row>
    <row r="693" spans="1:18" s="197" customFormat="1" ht="12.75" x14ac:dyDescent="0.2">
      <c r="A693" s="181"/>
      <c r="B693" s="188" t="s">
        <v>1957</v>
      </c>
      <c r="C693" s="189" t="s">
        <v>126</v>
      </c>
      <c r="D693" s="189" t="s">
        <v>160</v>
      </c>
      <c r="E693" s="190" t="s">
        <v>1958</v>
      </c>
      <c r="F693" s="191">
        <f t="shared" si="12"/>
        <v>223.03333333333333</v>
      </c>
      <c r="G693" s="185"/>
      <c r="H693" s="181"/>
      <c r="I693" s="74"/>
      <c r="J693" s="74"/>
      <c r="M693" s="185"/>
      <c r="N693" s="185"/>
      <c r="O693" s="185"/>
      <c r="P693" s="185"/>
      <c r="Q693" s="185"/>
      <c r="R693" s="185"/>
    </row>
    <row r="694" spans="1:18" s="197" customFormat="1" ht="12.75" x14ac:dyDescent="0.2">
      <c r="A694" s="181"/>
      <c r="B694" s="188" t="s">
        <v>1959</v>
      </c>
      <c r="C694" s="189" t="s">
        <v>142</v>
      </c>
      <c r="D694" s="189" t="s">
        <v>152</v>
      </c>
      <c r="E694" s="190" t="s">
        <v>1960</v>
      </c>
      <c r="F694" s="191">
        <f t="shared" si="12"/>
        <v>253.75</v>
      </c>
      <c r="G694" s="185"/>
      <c r="H694" s="181"/>
      <c r="I694" s="74"/>
      <c r="J694" s="74"/>
      <c r="M694" s="185"/>
      <c r="N694" s="185"/>
      <c r="O694" s="185"/>
      <c r="P694" s="185"/>
      <c r="Q694" s="185"/>
      <c r="R694" s="185"/>
    </row>
    <row r="695" spans="1:18" s="197" customFormat="1" ht="12.75" x14ac:dyDescent="0.2">
      <c r="A695" s="181"/>
      <c r="B695" s="188" t="s">
        <v>1961</v>
      </c>
      <c r="C695" s="189" t="s">
        <v>142</v>
      </c>
      <c r="D695" s="189" t="s">
        <v>123</v>
      </c>
      <c r="E695" s="190" t="s">
        <v>1962</v>
      </c>
      <c r="F695" s="191">
        <f t="shared" si="12"/>
        <v>283.81666666666666</v>
      </c>
      <c r="G695" s="185"/>
      <c r="H695" s="181"/>
      <c r="I695" s="74"/>
      <c r="J695" s="74"/>
      <c r="M695" s="185"/>
      <c r="N695" s="185"/>
      <c r="O695" s="185"/>
      <c r="P695" s="185"/>
      <c r="Q695" s="185"/>
      <c r="R695" s="185"/>
    </row>
    <row r="696" spans="1:18" s="197" customFormat="1" ht="12.75" x14ac:dyDescent="0.2">
      <c r="A696" s="181"/>
      <c r="B696" s="188" t="s">
        <v>1362</v>
      </c>
      <c r="C696" s="189" t="s">
        <v>249</v>
      </c>
      <c r="D696" s="189" t="s">
        <v>131</v>
      </c>
      <c r="E696" s="190" t="s">
        <v>957</v>
      </c>
      <c r="F696" s="191">
        <f t="shared" si="12"/>
        <v>203.08333333333334</v>
      </c>
      <c r="G696" s="185"/>
      <c r="H696" s="181"/>
      <c r="I696" s="74"/>
      <c r="J696" s="74"/>
      <c r="M696" s="185"/>
      <c r="N696" s="185"/>
      <c r="O696" s="185"/>
      <c r="P696" s="185"/>
      <c r="Q696" s="185"/>
      <c r="R696" s="185"/>
    </row>
    <row r="697" spans="1:18" s="197" customFormat="1" ht="12.75" x14ac:dyDescent="0.2">
      <c r="A697" s="181"/>
      <c r="B697" s="188" t="s">
        <v>1963</v>
      </c>
      <c r="C697" s="189" t="s">
        <v>134</v>
      </c>
      <c r="D697" s="189" t="s">
        <v>123</v>
      </c>
      <c r="E697" s="190" t="s">
        <v>1964</v>
      </c>
      <c r="F697" s="191">
        <f t="shared" si="12"/>
        <v>313.25</v>
      </c>
      <c r="G697" s="185"/>
      <c r="H697" s="181"/>
      <c r="I697" s="74"/>
      <c r="J697" s="74"/>
      <c r="M697" s="185"/>
      <c r="N697" s="185"/>
      <c r="O697" s="185"/>
      <c r="P697" s="185"/>
      <c r="Q697" s="185"/>
      <c r="R697" s="185"/>
    </row>
    <row r="698" spans="1:18" s="197" customFormat="1" ht="12.75" x14ac:dyDescent="0.2">
      <c r="A698" s="181"/>
      <c r="B698" s="188" t="s">
        <v>214</v>
      </c>
      <c r="C698" s="189" t="s">
        <v>140</v>
      </c>
      <c r="D698" s="189" t="s">
        <v>123</v>
      </c>
      <c r="E698" s="190" t="s">
        <v>1965</v>
      </c>
      <c r="F698" s="191">
        <f t="shared" si="12"/>
        <v>282.48333333333335</v>
      </c>
      <c r="G698" s="185"/>
      <c r="H698" s="181"/>
      <c r="I698" s="74"/>
      <c r="J698" s="74"/>
      <c r="M698" s="185"/>
      <c r="N698" s="185"/>
      <c r="O698" s="185"/>
      <c r="P698" s="185"/>
      <c r="Q698" s="185"/>
      <c r="R698" s="185"/>
    </row>
    <row r="699" spans="1:18" s="197" customFormat="1" ht="12.75" x14ac:dyDescent="0.2">
      <c r="A699" s="181"/>
      <c r="B699" s="188" t="s">
        <v>1966</v>
      </c>
      <c r="C699" s="189" t="s">
        <v>142</v>
      </c>
      <c r="D699" s="189" t="s">
        <v>148</v>
      </c>
      <c r="E699" s="190" t="s">
        <v>1967</v>
      </c>
      <c r="F699" s="191">
        <f t="shared" si="12"/>
        <v>236.4</v>
      </c>
      <c r="G699" s="185"/>
      <c r="H699" s="181"/>
      <c r="I699" s="74"/>
      <c r="J699" s="74"/>
      <c r="M699" s="185"/>
      <c r="N699" s="185"/>
      <c r="O699" s="185"/>
      <c r="P699" s="185"/>
      <c r="Q699" s="185"/>
      <c r="R699" s="185"/>
    </row>
    <row r="700" spans="1:18" s="197" customFormat="1" ht="12.75" x14ac:dyDescent="0.2">
      <c r="A700" s="181"/>
      <c r="B700" s="188" t="s">
        <v>1968</v>
      </c>
      <c r="C700" s="189" t="s">
        <v>134</v>
      </c>
      <c r="D700" s="189" t="s">
        <v>123</v>
      </c>
      <c r="E700" s="190" t="s">
        <v>1969</v>
      </c>
      <c r="F700" s="191">
        <f t="shared" si="12"/>
        <v>203.38333333333333</v>
      </c>
      <c r="G700" s="185"/>
      <c r="H700" s="181"/>
      <c r="I700" s="74"/>
      <c r="J700" s="74"/>
      <c r="M700" s="185"/>
      <c r="N700" s="185"/>
      <c r="O700" s="185"/>
      <c r="P700" s="185"/>
      <c r="Q700" s="185"/>
      <c r="R700" s="185"/>
    </row>
    <row r="701" spans="1:18" s="197" customFormat="1" ht="12.75" x14ac:dyDescent="0.2">
      <c r="A701" s="181"/>
      <c r="B701" s="188" t="s">
        <v>366</v>
      </c>
      <c r="C701" s="189" t="s">
        <v>136</v>
      </c>
      <c r="D701" s="189" t="s">
        <v>123</v>
      </c>
      <c r="E701" s="190" t="s">
        <v>1970</v>
      </c>
      <c r="F701" s="191">
        <f t="shared" si="12"/>
        <v>253.48333333333332</v>
      </c>
      <c r="G701" s="185"/>
      <c r="H701" s="181"/>
      <c r="I701" s="74"/>
      <c r="J701" s="74"/>
      <c r="M701" s="185"/>
      <c r="N701" s="185"/>
      <c r="O701" s="185"/>
      <c r="P701" s="185"/>
      <c r="Q701" s="185"/>
      <c r="R701" s="185"/>
    </row>
    <row r="702" spans="1:18" s="197" customFormat="1" ht="12.75" x14ac:dyDescent="0.2">
      <c r="A702" s="181"/>
      <c r="B702" s="188" t="s">
        <v>1971</v>
      </c>
      <c r="C702" s="189" t="s">
        <v>124</v>
      </c>
      <c r="D702" s="189" t="s">
        <v>132</v>
      </c>
      <c r="E702" s="190" t="s">
        <v>1972</v>
      </c>
      <c r="F702" s="191">
        <f t="shared" si="12"/>
        <v>260.58333333333331</v>
      </c>
      <c r="G702" s="185"/>
      <c r="H702" s="181"/>
      <c r="I702" s="74"/>
      <c r="J702" s="74"/>
      <c r="M702" s="185"/>
      <c r="N702" s="185"/>
      <c r="O702" s="185"/>
      <c r="P702" s="185"/>
      <c r="Q702" s="185"/>
      <c r="R702" s="185"/>
    </row>
    <row r="703" spans="1:18" s="197" customFormat="1" ht="12.75" x14ac:dyDescent="0.2">
      <c r="A703" s="181"/>
      <c r="B703" s="188" t="s">
        <v>1973</v>
      </c>
      <c r="C703" s="189" t="s">
        <v>125</v>
      </c>
      <c r="D703" s="189" t="s">
        <v>123</v>
      </c>
      <c r="E703" s="190" t="s">
        <v>1974</v>
      </c>
      <c r="F703" s="191">
        <f t="shared" si="12"/>
        <v>286.55</v>
      </c>
      <c r="G703" s="185"/>
      <c r="H703" s="181"/>
      <c r="I703" s="74"/>
      <c r="J703" s="74"/>
      <c r="M703" s="185"/>
      <c r="N703" s="185"/>
      <c r="O703" s="185"/>
      <c r="P703" s="185"/>
      <c r="Q703" s="185"/>
      <c r="R703" s="185"/>
    </row>
    <row r="704" spans="1:18" s="197" customFormat="1" ht="12.75" x14ac:dyDescent="0.2">
      <c r="A704" s="181"/>
      <c r="B704" s="188" t="s">
        <v>1975</v>
      </c>
      <c r="C704" s="189" t="s">
        <v>126</v>
      </c>
      <c r="D704" s="189" t="s">
        <v>123</v>
      </c>
      <c r="E704" s="190" t="s">
        <v>1976</v>
      </c>
      <c r="F704" s="191">
        <f t="shared" si="12"/>
        <v>239.05</v>
      </c>
      <c r="G704" s="185"/>
      <c r="H704" s="181"/>
      <c r="I704" s="74"/>
      <c r="J704" s="74"/>
      <c r="M704" s="185"/>
      <c r="N704" s="185"/>
      <c r="O704" s="185"/>
      <c r="P704" s="185"/>
      <c r="Q704" s="185"/>
      <c r="R704" s="185"/>
    </row>
    <row r="705" spans="1:18" s="197" customFormat="1" ht="12.75" x14ac:dyDescent="0.2">
      <c r="A705" s="181"/>
      <c r="B705" s="188" t="s">
        <v>557</v>
      </c>
      <c r="C705" s="189" t="s">
        <v>125</v>
      </c>
      <c r="D705" s="189" t="s">
        <v>123</v>
      </c>
      <c r="E705" s="190" t="s">
        <v>1977</v>
      </c>
      <c r="F705" s="191">
        <f t="shared" si="12"/>
        <v>323.78333333333336</v>
      </c>
      <c r="G705" s="185"/>
      <c r="H705" s="181"/>
      <c r="I705" s="74"/>
      <c r="J705" s="74"/>
      <c r="M705" s="185"/>
      <c r="N705" s="185"/>
      <c r="O705" s="185"/>
      <c r="P705" s="185"/>
      <c r="Q705" s="185"/>
      <c r="R705" s="185"/>
    </row>
    <row r="706" spans="1:18" s="197" customFormat="1" ht="12.75" x14ac:dyDescent="0.2">
      <c r="A706" s="181"/>
      <c r="B706" s="188" t="s">
        <v>1978</v>
      </c>
      <c r="C706" s="189" t="s">
        <v>130</v>
      </c>
      <c r="D706" s="189" t="s">
        <v>127</v>
      </c>
      <c r="E706" s="190" t="s">
        <v>1979</v>
      </c>
      <c r="F706" s="191">
        <f t="shared" si="12"/>
        <v>202</v>
      </c>
      <c r="G706" s="185"/>
      <c r="H706" s="181"/>
      <c r="I706" s="74"/>
      <c r="J706" s="74"/>
      <c r="M706" s="185"/>
      <c r="N706" s="185"/>
      <c r="O706" s="185"/>
      <c r="P706" s="185"/>
      <c r="Q706" s="185"/>
      <c r="R706" s="185"/>
    </row>
    <row r="707" spans="1:18" s="197" customFormat="1" ht="12.75" x14ac:dyDescent="0.2">
      <c r="A707" s="181"/>
      <c r="B707" s="188" t="s">
        <v>331</v>
      </c>
      <c r="C707" s="189" t="s">
        <v>142</v>
      </c>
      <c r="D707" s="189" t="s">
        <v>123</v>
      </c>
      <c r="E707" s="190" t="s">
        <v>1980</v>
      </c>
      <c r="F707" s="191">
        <f t="shared" si="12"/>
        <v>304.10000000000002</v>
      </c>
      <c r="G707" s="185"/>
      <c r="H707" s="181"/>
      <c r="I707" s="74"/>
      <c r="J707" s="74"/>
      <c r="M707" s="185"/>
      <c r="N707" s="185"/>
      <c r="O707" s="185"/>
      <c r="P707" s="185"/>
      <c r="Q707" s="185"/>
      <c r="R707" s="185"/>
    </row>
    <row r="708" spans="1:18" s="197" customFormat="1" ht="12.75" x14ac:dyDescent="0.2">
      <c r="A708" s="181"/>
      <c r="B708" s="188" t="s">
        <v>1981</v>
      </c>
      <c r="C708" s="189" t="s">
        <v>222</v>
      </c>
      <c r="D708" s="189" t="s">
        <v>148</v>
      </c>
      <c r="E708" s="190" t="s">
        <v>1982</v>
      </c>
      <c r="F708" s="191">
        <f t="shared" si="12"/>
        <v>336</v>
      </c>
      <c r="G708" s="185"/>
      <c r="H708" s="181"/>
      <c r="I708" s="74"/>
      <c r="J708" s="74"/>
      <c r="M708" s="185"/>
      <c r="N708" s="185"/>
      <c r="O708" s="185"/>
      <c r="P708" s="185"/>
      <c r="Q708" s="185"/>
      <c r="R708" s="185"/>
    </row>
    <row r="709" spans="1:18" s="197" customFormat="1" ht="12.75" x14ac:dyDescent="0.2">
      <c r="A709" s="181"/>
      <c r="B709" s="188" t="s">
        <v>1983</v>
      </c>
      <c r="C709" s="189" t="s">
        <v>135</v>
      </c>
      <c r="D709" s="189" t="s">
        <v>141</v>
      </c>
      <c r="E709" s="190" t="s">
        <v>1655</v>
      </c>
      <c r="F709" s="191">
        <f t="shared" si="12"/>
        <v>220.71666666666667</v>
      </c>
      <c r="G709" s="185"/>
      <c r="H709" s="181"/>
      <c r="I709" s="74"/>
      <c r="J709" s="74"/>
      <c r="M709" s="185"/>
      <c r="N709" s="185"/>
      <c r="O709" s="185"/>
      <c r="P709" s="185"/>
      <c r="Q709" s="185"/>
      <c r="R709" s="185"/>
    </row>
    <row r="710" spans="1:18" s="197" customFormat="1" ht="12.75" x14ac:dyDescent="0.2">
      <c r="A710" s="181"/>
      <c r="B710" s="188" t="s">
        <v>1984</v>
      </c>
      <c r="C710" s="189" t="s">
        <v>124</v>
      </c>
      <c r="D710" s="189" t="s">
        <v>157</v>
      </c>
      <c r="E710" s="190" t="s">
        <v>1985</v>
      </c>
      <c r="F710" s="191">
        <f t="shared" si="12"/>
        <v>199.75</v>
      </c>
      <c r="G710" s="185"/>
      <c r="H710" s="181"/>
      <c r="I710" s="74"/>
      <c r="J710" s="74"/>
      <c r="M710" s="185"/>
      <c r="N710" s="185"/>
      <c r="O710" s="185"/>
      <c r="P710" s="185"/>
      <c r="Q710" s="185"/>
      <c r="R710" s="185"/>
    </row>
    <row r="711" spans="1:18" s="197" customFormat="1" ht="12.75" x14ac:dyDescent="0.2">
      <c r="A711" s="181"/>
      <c r="B711" s="188" t="s">
        <v>412</v>
      </c>
      <c r="C711" s="189" t="s">
        <v>134</v>
      </c>
      <c r="D711" s="189" t="s">
        <v>123</v>
      </c>
      <c r="E711" s="190" t="s">
        <v>1986</v>
      </c>
      <c r="F711" s="191">
        <f t="shared" si="12"/>
        <v>303.7</v>
      </c>
      <c r="G711" s="185"/>
      <c r="H711" s="181"/>
      <c r="I711" s="74"/>
      <c r="J711" s="74"/>
      <c r="M711" s="185"/>
      <c r="N711" s="185"/>
      <c r="O711" s="185"/>
      <c r="P711" s="185"/>
      <c r="Q711" s="185"/>
      <c r="R711" s="185"/>
    </row>
    <row r="712" spans="1:18" s="197" customFormat="1" ht="12.75" x14ac:dyDescent="0.2">
      <c r="A712" s="181"/>
      <c r="B712" s="188" t="s">
        <v>1987</v>
      </c>
      <c r="C712" s="189" t="s">
        <v>130</v>
      </c>
      <c r="D712" s="189" t="s">
        <v>123</v>
      </c>
      <c r="E712" s="190" t="s">
        <v>1988</v>
      </c>
      <c r="F712" s="191">
        <f t="shared" si="12"/>
        <v>255.76666666666668</v>
      </c>
      <c r="G712" s="185"/>
      <c r="H712" s="181"/>
      <c r="I712" s="74"/>
      <c r="J712" s="74"/>
      <c r="M712" s="185"/>
      <c r="N712" s="185"/>
      <c r="O712" s="185"/>
      <c r="P712" s="185"/>
      <c r="Q712" s="185"/>
      <c r="R712" s="185"/>
    </row>
    <row r="713" spans="1:18" s="197" customFormat="1" ht="12.75" x14ac:dyDescent="0.2">
      <c r="A713" s="181"/>
      <c r="B713" s="188" t="s">
        <v>1989</v>
      </c>
      <c r="C713" s="189" t="s">
        <v>126</v>
      </c>
      <c r="D713" s="189" t="s">
        <v>131</v>
      </c>
      <c r="E713" s="190" t="s">
        <v>1990</v>
      </c>
      <c r="F713" s="191">
        <f t="shared" si="12"/>
        <v>242.93333333333334</v>
      </c>
      <c r="G713" s="185"/>
      <c r="H713" s="181"/>
      <c r="I713" s="74"/>
      <c r="J713" s="74"/>
      <c r="M713" s="185"/>
      <c r="N713" s="185"/>
      <c r="O713" s="185"/>
      <c r="P713" s="185"/>
      <c r="Q713" s="185"/>
      <c r="R713" s="185"/>
    </row>
    <row r="714" spans="1:18" s="197" customFormat="1" ht="12.75" x14ac:dyDescent="0.2">
      <c r="A714" s="181"/>
      <c r="B714" s="188" t="s">
        <v>1991</v>
      </c>
      <c r="C714" s="189" t="s">
        <v>136</v>
      </c>
      <c r="D714" s="189" t="s">
        <v>131</v>
      </c>
      <c r="E714" s="190" t="s">
        <v>1992</v>
      </c>
      <c r="F714" s="191">
        <f t="shared" si="12"/>
        <v>272.78333333333336</v>
      </c>
      <c r="G714" s="185"/>
      <c r="H714" s="181"/>
      <c r="I714" s="74"/>
      <c r="J714" s="74"/>
      <c r="M714" s="185"/>
      <c r="N714" s="185"/>
      <c r="O714" s="185"/>
      <c r="P714" s="185"/>
      <c r="Q714" s="185"/>
      <c r="R714" s="185"/>
    </row>
    <row r="715" spans="1:18" s="197" customFormat="1" ht="12.75" x14ac:dyDescent="0.2">
      <c r="A715" s="181"/>
      <c r="B715" s="188" t="s">
        <v>1993</v>
      </c>
      <c r="C715" s="189" t="s">
        <v>130</v>
      </c>
      <c r="D715" s="189" t="s">
        <v>123</v>
      </c>
      <c r="E715" s="190" t="s">
        <v>1994</v>
      </c>
      <c r="F715" s="191">
        <f t="shared" ref="F715:F778" si="13">HOUR(E715)*60+MINUTE(E715)+SECOND(E715)/60</f>
        <v>231.61666666666667</v>
      </c>
      <c r="G715" s="185"/>
      <c r="H715" s="181"/>
      <c r="I715" s="74"/>
      <c r="J715" s="74"/>
      <c r="M715" s="185"/>
      <c r="N715" s="185"/>
      <c r="O715" s="185"/>
      <c r="P715" s="185"/>
      <c r="Q715" s="185"/>
      <c r="R715" s="185"/>
    </row>
    <row r="716" spans="1:18" s="197" customFormat="1" ht="12.75" x14ac:dyDescent="0.2">
      <c r="A716" s="181"/>
      <c r="B716" s="188" t="s">
        <v>1995</v>
      </c>
      <c r="C716" s="189" t="s">
        <v>142</v>
      </c>
      <c r="D716" s="189" t="s">
        <v>160</v>
      </c>
      <c r="E716" s="190" t="s">
        <v>1996</v>
      </c>
      <c r="F716" s="191">
        <f t="shared" si="13"/>
        <v>256.01666666666665</v>
      </c>
      <c r="G716" s="185"/>
      <c r="H716" s="181"/>
      <c r="I716" s="74"/>
      <c r="J716" s="74"/>
      <c r="M716" s="185"/>
      <c r="N716" s="185"/>
      <c r="O716" s="185"/>
      <c r="P716" s="185"/>
      <c r="Q716" s="185"/>
      <c r="R716" s="185"/>
    </row>
    <row r="717" spans="1:18" s="197" customFormat="1" ht="12.75" x14ac:dyDescent="0.2">
      <c r="A717" s="181"/>
      <c r="B717" s="188" t="s">
        <v>1997</v>
      </c>
      <c r="C717" s="189" t="s">
        <v>134</v>
      </c>
      <c r="D717" s="189" t="s">
        <v>131</v>
      </c>
      <c r="E717" s="190" t="s">
        <v>1998</v>
      </c>
      <c r="F717" s="191">
        <f t="shared" si="13"/>
        <v>205.56666666666666</v>
      </c>
      <c r="G717" s="185"/>
      <c r="H717" s="181"/>
      <c r="I717" s="74"/>
      <c r="J717" s="74"/>
      <c r="M717" s="185"/>
      <c r="N717" s="185"/>
      <c r="O717" s="185"/>
      <c r="P717" s="185"/>
      <c r="Q717" s="185"/>
      <c r="R717" s="185"/>
    </row>
    <row r="718" spans="1:18" s="197" customFormat="1" ht="12.75" x14ac:dyDescent="0.2">
      <c r="A718" s="181"/>
      <c r="B718" s="188" t="s">
        <v>1999</v>
      </c>
      <c r="C718" s="189" t="s">
        <v>128</v>
      </c>
      <c r="D718" s="189" t="s">
        <v>123</v>
      </c>
      <c r="E718" s="190" t="s">
        <v>2000</v>
      </c>
      <c r="F718" s="191">
        <f t="shared" si="13"/>
        <v>242.26666666666668</v>
      </c>
      <c r="G718" s="185"/>
      <c r="H718" s="181"/>
      <c r="I718" s="74"/>
      <c r="J718" s="74"/>
      <c r="M718" s="185"/>
      <c r="N718" s="185"/>
      <c r="O718" s="185"/>
      <c r="P718" s="185"/>
      <c r="Q718" s="185"/>
      <c r="R718" s="185"/>
    </row>
    <row r="719" spans="1:18" s="197" customFormat="1" ht="12.75" x14ac:dyDescent="0.2">
      <c r="A719" s="181"/>
      <c r="B719" s="188" t="s">
        <v>2001</v>
      </c>
      <c r="C719" s="189" t="s">
        <v>142</v>
      </c>
      <c r="D719" s="189" t="s">
        <v>131</v>
      </c>
      <c r="E719" s="190" t="s">
        <v>2002</v>
      </c>
      <c r="F719" s="191">
        <f t="shared" si="13"/>
        <v>257.39999999999998</v>
      </c>
      <c r="G719" s="185"/>
      <c r="H719" s="181"/>
      <c r="I719" s="74"/>
      <c r="J719" s="74"/>
      <c r="M719" s="185"/>
      <c r="N719" s="185"/>
      <c r="O719" s="185"/>
      <c r="P719" s="185"/>
      <c r="Q719" s="185"/>
      <c r="R719" s="185"/>
    </row>
    <row r="720" spans="1:18" s="197" customFormat="1" ht="12.75" x14ac:dyDescent="0.2">
      <c r="A720" s="181"/>
      <c r="B720" s="188" t="s">
        <v>2003</v>
      </c>
      <c r="C720" s="189" t="s">
        <v>124</v>
      </c>
      <c r="D720" s="189" t="s">
        <v>157</v>
      </c>
      <c r="E720" s="190" t="s">
        <v>2004</v>
      </c>
      <c r="F720" s="191">
        <f t="shared" si="13"/>
        <v>253.93333333333334</v>
      </c>
      <c r="G720" s="185"/>
      <c r="H720" s="181"/>
      <c r="I720" s="74"/>
      <c r="J720" s="74"/>
      <c r="M720" s="185"/>
      <c r="N720" s="185"/>
      <c r="O720" s="185"/>
      <c r="P720" s="185"/>
      <c r="Q720" s="185"/>
      <c r="R720" s="185"/>
    </row>
    <row r="721" spans="1:18" s="197" customFormat="1" ht="12.75" x14ac:dyDescent="0.2">
      <c r="A721" s="181"/>
      <c r="B721" s="188" t="s">
        <v>624</v>
      </c>
      <c r="C721" s="189" t="s">
        <v>125</v>
      </c>
      <c r="D721" s="189" t="s">
        <v>123</v>
      </c>
      <c r="E721" s="190" t="s">
        <v>2005</v>
      </c>
      <c r="F721" s="191">
        <f t="shared" si="13"/>
        <v>236.95</v>
      </c>
      <c r="G721" s="185"/>
      <c r="H721" s="181"/>
      <c r="I721" s="74"/>
      <c r="J721" s="74"/>
      <c r="M721" s="185"/>
      <c r="N721" s="185"/>
      <c r="O721" s="185"/>
      <c r="P721" s="185"/>
      <c r="Q721" s="185"/>
      <c r="R721" s="185"/>
    </row>
    <row r="722" spans="1:18" s="197" customFormat="1" ht="12.75" x14ac:dyDescent="0.2">
      <c r="A722" s="181"/>
      <c r="B722" s="188" t="s">
        <v>481</v>
      </c>
      <c r="C722" s="189" t="s">
        <v>124</v>
      </c>
      <c r="D722" s="189" t="s">
        <v>123</v>
      </c>
      <c r="E722" s="190" t="s">
        <v>2006</v>
      </c>
      <c r="F722" s="191">
        <f t="shared" si="13"/>
        <v>249.21666666666667</v>
      </c>
      <c r="G722" s="185"/>
      <c r="H722" s="181"/>
      <c r="I722" s="74"/>
      <c r="J722" s="74"/>
      <c r="M722" s="185"/>
      <c r="N722" s="185"/>
      <c r="O722" s="185"/>
      <c r="P722" s="185"/>
      <c r="Q722" s="185"/>
      <c r="R722" s="185"/>
    </row>
    <row r="723" spans="1:18" s="197" customFormat="1" ht="12.75" x14ac:dyDescent="0.2">
      <c r="A723" s="181"/>
      <c r="B723" s="188" t="s">
        <v>2007</v>
      </c>
      <c r="C723" s="189" t="s">
        <v>134</v>
      </c>
      <c r="D723" s="189" t="s">
        <v>123</v>
      </c>
      <c r="E723" s="190" t="s">
        <v>2008</v>
      </c>
      <c r="F723" s="191">
        <f t="shared" si="13"/>
        <v>268.7</v>
      </c>
      <c r="G723" s="185"/>
      <c r="H723" s="181"/>
      <c r="I723" s="74"/>
      <c r="J723" s="74"/>
      <c r="M723" s="185"/>
      <c r="N723" s="185"/>
      <c r="O723" s="185"/>
      <c r="P723" s="185"/>
      <c r="Q723" s="185"/>
      <c r="R723" s="185"/>
    </row>
    <row r="724" spans="1:18" s="197" customFormat="1" ht="12.75" x14ac:dyDescent="0.2">
      <c r="A724" s="181"/>
      <c r="B724" s="188" t="s">
        <v>2009</v>
      </c>
      <c r="C724" s="189" t="s">
        <v>134</v>
      </c>
      <c r="D724" s="189" t="s">
        <v>127</v>
      </c>
      <c r="E724" s="190" t="s">
        <v>2010</v>
      </c>
      <c r="F724" s="191">
        <f t="shared" si="13"/>
        <v>175.93333333333334</v>
      </c>
      <c r="G724" s="185"/>
      <c r="H724" s="181"/>
      <c r="I724" s="74"/>
      <c r="J724" s="74"/>
      <c r="M724" s="185"/>
      <c r="N724" s="185"/>
      <c r="O724" s="185"/>
      <c r="P724" s="185"/>
      <c r="Q724" s="185"/>
      <c r="R724" s="185"/>
    </row>
    <row r="725" spans="1:18" s="197" customFormat="1" ht="12.75" x14ac:dyDescent="0.2">
      <c r="A725" s="181"/>
      <c r="B725" s="188" t="s">
        <v>291</v>
      </c>
      <c r="C725" s="189" t="s">
        <v>124</v>
      </c>
      <c r="D725" s="189" t="s">
        <v>123</v>
      </c>
      <c r="E725" s="190" t="s">
        <v>2011</v>
      </c>
      <c r="F725" s="191">
        <f t="shared" si="13"/>
        <v>196.35</v>
      </c>
      <c r="G725" s="185"/>
      <c r="H725" s="181"/>
      <c r="I725" s="74"/>
      <c r="J725" s="74"/>
      <c r="M725" s="185"/>
      <c r="N725" s="185"/>
      <c r="O725" s="185"/>
      <c r="P725" s="185"/>
      <c r="Q725" s="185"/>
      <c r="R725" s="185"/>
    </row>
    <row r="726" spans="1:18" s="197" customFormat="1" ht="12.75" x14ac:dyDescent="0.2">
      <c r="A726" s="181"/>
      <c r="B726" s="188" t="s">
        <v>2012</v>
      </c>
      <c r="C726" s="189" t="s">
        <v>128</v>
      </c>
      <c r="D726" s="189" t="s">
        <v>147</v>
      </c>
      <c r="E726" s="190" t="s">
        <v>2013</v>
      </c>
      <c r="F726" s="191">
        <f t="shared" si="13"/>
        <v>268.28333333333336</v>
      </c>
      <c r="G726" s="185"/>
      <c r="H726" s="181"/>
      <c r="I726" s="74"/>
      <c r="J726" s="74"/>
      <c r="M726" s="185"/>
      <c r="N726" s="185"/>
      <c r="O726" s="185"/>
      <c r="P726" s="185"/>
      <c r="Q726" s="185"/>
      <c r="R726" s="185"/>
    </row>
    <row r="727" spans="1:18" s="197" customFormat="1" ht="12.75" x14ac:dyDescent="0.2">
      <c r="A727" s="181"/>
      <c r="B727" s="188" t="s">
        <v>2014</v>
      </c>
      <c r="C727" s="189" t="s">
        <v>135</v>
      </c>
      <c r="D727" s="189" t="s">
        <v>132</v>
      </c>
      <c r="E727" s="190" t="s">
        <v>2015</v>
      </c>
      <c r="F727" s="191">
        <f t="shared" si="13"/>
        <v>202.98333333333332</v>
      </c>
      <c r="G727" s="185"/>
      <c r="H727" s="181"/>
      <c r="I727" s="74"/>
      <c r="J727" s="74"/>
      <c r="M727" s="185"/>
      <c r="N727" s="185"/>
      <c r="O727" s="185"/>
      <c r="P727" s="185"/>
      <c r="Q727" s="185"/>
      <c r="R727" s="185"/>
    </row>
    <row r="728" spans="1:18" s="197" customFormat="1" ht="12.75" x14ac:dyDescent="0.2">
      <c r="A728" s="181"/>
      <c r="B728" s="188" t="s">
        <v>225</v>
      </c>
      <c r="C728" s="189" t="s">
        <v>125</v>
      </c>
      <c r="D728" s="189" t="s">
        <v>123</v>
      </c>
      <c r="E728" s="190" t="s">
        <v>2016</v>
      </c>
      <c r="F728" s="191">
        <f t="shared" si="13"/>
        <v>230.9</v>
      </c>
      <c r="G728" s="185"/>
      <c r="H728" s="181"/>
      <c r="I728" s="74"/>
      <c r="J728" s="74"/>
      <c r="M728" s="185"/>
      <c r="N728" s="185"/>
      <c r="O728" s="185"/>
      <c r="P728" s="185"/>
      <c r="Q728" s="185"/>
      <c r="R728" s="185"/>
    </row>
    <row r="729" spans="1:18" s="197" customFormat="1" ht="12.75" x14ac:dyDescent="0.2">
      <c r="A729" s="181"/>
      <c r="B729" s="188" t="s">
        <v>2017</v>
      </c>
      <c r="C729" s="189" t="s">
        <v>134</v>
      </c>
      <c r="D729" s="189" t="s">
        <v>123</v>
      </c>
      <c r="E729" s="190" t="s">
        <v>2018</v>
      </c>
      <c r="F729" s="191">
        <f t="shared" si="13"/>
        <v>236.66666666666666</v>
      </c>
      <c r="G729" s="185"/>
      <c r="H729" s="181"/>
      <c r="I729" s="74"/>
      <c r="J729" s="74"/>
      <c r="M729" s="185"/>
      <c r="N729" s="185"/>
      <c r="O729" s="185"/>
      <c r="P729" s="185"/>
      <c r="Q729" s="185"/>
      <c r="R729" s="185"/>
    </row>
    <row r="730" spans="1:18" s="197" customFormat="1" ht="12.75" x14ac:dyDescent="0.2">
      <c r="A730" s="181"/>
      <c r="B730" s="188" t="s">
        <v>2019</v>
      </c>
      <c r="C730" s="189" t="s">
        <v>125</v>
      </c>
      <c r="D730" s="189" t="s">
        <v>151</v>
      </c>
      <c r="E730" s="190" t="s">
        <v>2020</v>
      </c>
      <c r="F730" s="191">
        <f t="shared" si="13"/>
        <v>280.25</v>
      </c>
      <c r="G730" s="185"/>
      <c r="H730" s="181"/>
      <c r="I730" s="74"/>
      <c r="J730" s="74"/>
      <c r="M730" s="185"/>
      <c r="N730" s="185"/>
      <c r="O730" s="185"/>
      <c r="P730" s="185"/>
      <c r="Q730" s="185"/>
      <c r="R730" s="185"/>
    </row>
    <row r="731" spans="1:18" s="197" customFormat="1" ht="12.75" x14ac:dyDescent="0.2">
      <c r="A731" s="181"/>
      <c r="B731" s="188" t="s">
        <v>2021</v>
      </c>
      <c r="C731" s="189" t="s">
        <v>142</v>
      </c>
      <c r="D731" s="189" t="s">
        <v>141</v>
      </c>
      <c r="E731" s="190" t="s">
        <v>2022</v>
      </c>
      <c r="F731" s="191">
        <f t="shared" si="13"/>
        <v>229.61666666666667</v>
      </c>
      <c r="G731" s="185"/>
      <c r="H731" s="181"/>
      <c r="I731" s="74"/>
      <c r="J731" s="74"/>
      <c r="M731" s="185"/>
      <c r="N731" s="185"/>
      <c r="O731" s="185"/>
      <c r="P731" s="185"/>
      <c r="Q731" s="185"/>
      <c r="R731" s="185"/>
    </row>
    <row r="732" spans="1:18" s="197" customFormat="1" ht="12.75" x14ac:dyDescent="0.2">
      <c r="A732" s="181"/>
      <c r="B732" s="188" t="s">
        <v>2023</v>
      </c>
      <c r="C732" s="189" t="s">
        <v>134</v>
      </c>
      <c r="D732" s="189" t="s">
        <v>131</v>
      </c>
      <c r="E732" s="190" t="s">
        <v>2024</v>
      </c>
      <c r="F732" s="191">
        <f t="shared" si="13"/>
        <v>207</v>
      </c>
      <c r="G732" s="185"/>
      <c r="H732" s="181"/>
      <c r="I732" s="74"/>
      <c r="J732" s="74"/>
      <c r="M732" s="185"/>
      <c r="N732" s="185"/>
      <c r="O732" s="185"/>
      <c r="P732" s="185"/>
      <c r="Q732" s="185"/>
      <c r="R732" s="185"/>
    </row>
    <row r="733" spans="1:18" s="197" customFormat="1" ht="12.75" x14ac:dyDescent="0.2">
      <c r="A733" s="181"/>
      <c r="B733" s="188" t="s">
        <v>2025</v>
      </c>
      <c r="C733" s="189" t="s">
        <v>142</v>
      </c>
      <c r="D733" s="189" t="s">
        <v>147</v>
      </c>
      <c r="E733" s="190" t="s">
        <v>2026</v>
      </c>
      <c r="F733" s="191">
        <f t="shared" si="13"/>
        <v>237.61666666666667</v>
      </c>
      <c r="G733" s="185"/>
      <c r="H733" s="181"/>
      <c r="I733" s="74"/>
      <c r="J733" s="74"/>
      <c r="M733" s="185"/>
      <c r="N733" s="185"/>
      <c r="O733" s="185"/>
      <c r="P733" s="185"/>
      <c r="Q733" s="185"/>
      <c r="R733" s="185"/>
    </row>
    <row r="734" spans="1:18" s="197" customFormat="1" ht="12.75" x14ac:dyDescent="0.2">
      <c r="A734" s="181"/>
      <c r="B734" s="188" t="s">
        <v>2027</v>
      </c>
      <c r="C734" s="189" t="s">
        <v>125</v>
      </c>
      <c r="D734" s="189" t="s">
        <v>123</v>
      </c>
      <c r="E734" s="190" t="s">
        <v>2028</v>
      </c>
      <c r="F734" s="191">
        <f t="shared" si="13"/>
        <v>258.95</v>
      </c>
      <c r="G734" s="185"/>
      <c r="H734" s="181"/>
      <c r="I734" s="74"/>
      <c r="J734" s="74"/>
      <c r="M734" s="185"/>
      <c r="N734" s="185"/>
      <c r="O734" s="185"/>
      <c r="P734" s="185"/>
      <c r="Q734" s="185"/>
      <c r="R734" s="185"/>
    </row>
    <row r="735" spans="1:18" s="197" customFormat="1" ht="12.75" x14ac:dyDescent="0.2">
      <c r="A735" s="181"/>
      <c r="B735" s="188" t="s">
        <v>2029</v>
      </c>
      <c r="C735" s="189" t="s">
        <v>125</v>
      </c>
      <c r="D735" s="189" t="s">
        <v>123</v>
      </c>
      <c r="E735" s="190" t="s">
        <v>2030</v>
      </c>
      <c r="F735" s="191">
        <f t="shared" si="13"/>
        <v>275.2</v>
      </c>
      <c r="G735" s="185"/>
      <c r="H735" s="181"/>
      <c r="I735" s="74"/>
      <c r="J735" s="74"/>
      <c r="M735" s="185"/>
      <c r="N735" s="185"/>
      <c r="O735" s="185"/>
      <c r="P735" s="185"/>
      <c r="Q735" s="185"/>
      <c r="R735" s="185"/>
    </row>
    <row r="736" spans="1:18" s="197" customFormat="1" ht="12.75" x14ac:dyDescent="0.2">
      <c r="A736" s="181"/>
      <c r="B736" s="188" t="s">
        <v>486</v>
      </c>
      <c r="C736" s="189" t="s">
        <v>125</v>
      </c>
      <c r="D736" s="189" t="s">
        <v>123</v>
      </c>
      <c r="E736" s="190" t="s">
        <v>2031</v>
      </c>
      <c r="F736" s="191">
        <f t="shared" si="13"/>
        <v>214.03333333333333</v>
      </c>
      <c r="G736" s="185"/>
      <c r="H736" s="181"/>
      <c r="I736" s="74"/>
      <c r="J736" s="74"/>
      <c r="M736" s="185"/>
      <c r="N736" s="185"/>
      <c r="O736" s="185"/>
      <c r="P736" s="185"/>
      <c r="Q736" s="185"/>
      <c r="R736" s="185"/>
    </row>
    <row r="737" spans="1:18" s="197" customFormat="1" ht="12.75" x14ac:dyDescent="0.2">
      <c r="A737" s="181"/>
      <c r="B737" s="188" t="s">
        <v>2032</v>
      </c>
      <c r="C737" s="189" t="s">
        <v>128</v>
      </c>
      <c r="D737" s="189" t="s">
        <v>155</v>
      </c>
      <c r="E737" s="190" t="s">
        <v>2033</v>
      </c>
      <c r="F737" s="191">
        <f t="shared" si="13"/>
        <v>196.46666666666667</v>
      </c>
      <c r="G737" s="185"/>
      <c r="H737" s="181"/>
      <c r="I737" s="74"/>
      <c r="J737" s="74"/>
      <c r="M737" s="185"/>
      <c r="N737" s="185"/>
      <c r="O737" s="185"/>
      <c r="P737" s="185"/>
      <c r="Q737" s="185"/>
      <c r="R737" s="185"/>
    </row>
    <row r="738" spans="1:18" s="197" customFormat="1" ht="12.75" x14ac:dyDescent="0.2">
      <c r="A738" s="181"/>
      <c r="B738" s="188" t="s">
        <v>287</v>
      </c>
      <c r="C738" s="189" t="s">
        <v>142</v>
      </c>
      <c r="D738" s="189" t="s">
        <v>123</v>
      </c>
      <c r="E738" s="190" t="s">
        <v>2034</v>
      </c>
      <c r="F738" s="191">
        <f t="shared" si="13"/>
        <v>197.5</v>
      </c>
      <c r="G738" s="185"/>
      <c r="H738" s="181"/>
      <c r="I738" s="74"/>
      <c r="J738" s="74"/>
      <c r="M738" s="185"/>
      <c r="N738" s="185"/>
      <c r="O738" s="185"/>
      <c r="P738" s="185"/>
      <c r="Q738" s="185"/>
      <c r="R738" s="185"/>
    </row>
    <row r="739" spans="1:18" s="197" customFormat="1" ht="12.75" x14ac:dyDescent="0.2">
      <c r="A739" s="181"/>
      <c r="B739" s="188" t="s">
        <v>199</v>
      </c>
      <c r="C739" s="189" t="s">
        <v>125</v>
      </c>
      <c r="D739" s="189" t="s">
        <v>123</v>
      </c>
      <c r="E739" s="190" t="s">
        <v>2035</v>
      </c>
      <c r="F739" s="191">
        <f t="shared" si="13"/>
        <v>254.96666666666667</v>
      </c>
      <c r="G739" s="185"/>
      <c r="H739" s="181"/>
      <c r="I739" s="74"/>
      <c r="J739" s="74"/>
      <c r="M739" s="185"/>
      <c r="N739" s="185"/>
      <c r="O739" s="185"/>
      <c r="P739" s="185"/>
      <c r="Q739" s="185"/>
      <c r="R739" s="185"/>
    </row>
    <row r="740" spans="1:18" s="197" customFormat="1" ht="12.75" x14ac:dyDescent="0.2">
      <c r="A740" s="181"/>
      <c r="B740" s="188" t="s">
        <v>2036</v>
      </c>
      <c r="C740" s="189" t="s">
        <v>142</v>
      </c>
      <c r="D740" s="189" t="s">
        <v>123</v>
      </c>
      <c r="E740" s="190" t="s">
        <v>2037</v>
      </c>
      <c r="F740" s="191">
        <f t="shared" si="13"/>
        <v>295.41666666666669</v>
      </c>
      <c r="G740" s="185"/>
      <c r="H740" s="181"/>
      <c r="I740" s="74"/>
      <c r="J740" s="74"/>
      <c r="M740" s="185"/>
      <c r="N740" s="185"/>
      <c r="O740" s="185"/>
      <c r="P740" s="185"/>
      <c r="Q740" s="185"/>
      <c r="R740" s="185"/>
    </row>
    <row r="741" spans="1:18" s="197" customFormat="1" ht="12.75" x14ac:dyDescent="0.2">
      <c r="A741" s="181"/>
      <c r="B741" s="188" t="s">
        <v>2038</v>
      </c>
      <c r="C741" s="189" t="s">
        <v>125</v>
      </c>
      <c r="D741" s="189" t="s">
        <v>123</v>
      </c>
      <c r="E741" s="190" t="s">
        <v>2039</v>
      </c>
      <c r="F741" s="191">
        <f t="shared" si="13"/>
        <v>271.55</v>
      </c>
      <c r="G741" s="185"/>
      <c r="H741" s="181"/>
      <c r="I741" s="74"/>
      <c r="J741" s="74"/>
      <c r="M741" s="185"/>
      <c r="N741" s="185"/>
      <c r="O741" s="185"/>
      <c r="P741" s="185"/>
      <c r="Q741" s="185"/>
      <c r="R741" s="185"/>
    </row>
    <row r="742" spans="1:18" s="197" customFormat="1" ht="12.75" x14ac:dyDescent="0.2">
      <c r="A742" s="181"/>
      <c r="B742" s="188" t="s">
        <v>2040</v>
      </c>
      <c r="C742" s="189" t="s">
        <v>130</v>
      </c>
      <c r="D742" s="189" t="s">
        <v>123</v>
      </c>
      <c r="E742" s="190" t="s">
        <v>2041</v>
      </c>
      <c r="F742" s="191">
        <f t="shared" si="13"/>
        <v>236.56666666666666</v>
      </c>
      <c r="G742" s="185"/>
      <c r="H742" s="181"/>
      <c r="I742" s="74"/>
      <c r="J742" s="74"/>
      <c r="M742" s="185"/>
      <c r="N742" s="185"/>
      <c r="O742" s="185"/>
      <c r="P742" s="185"/>
      <c r="Q742" s="185"/>
      <c r="R742" s="185"/>
    </row>
    <row r="743" spans="1:18" s="197" customFormat="1" ht="12.75" x14ac:dyDescent="0.2">
      <c r="A743" s="181"/>
      <c r="B743" s="188" t="s">
        <v>2042</v>
      </c>
      <c r="C743" s="189" t="s">
        <v>125</v>
      </c>
      <c r="D743" s="189" t="s">
        <v>151</v>
      </c>
      <c r="E743" s="190" t="s">
        <v>2043</v>
      </c>
      <c r="F743" s="191">
        <f t="shared" si="13"/>
        <v>231.5</v>
      </c>
      <c r="G743" s="185"/>
      <c r="H743" s="181"/>
      <c r="I743" s="74"/>
      <c r="J743" s="74"/>
      <c r="M743" s="185"/>
      <c r="N743" s="185"/>
      <c r="O743" s="185"/>
      <c r="P743" s="185"/>
      <c r="Q743" s="185"/>
      <c r="R743" s="185"/>
    </row>
    <row r="744" spans="1:18" s="197" customFormat="1" ht="12.75" x14ac:dyDescent="0.2">
      <c r="A744" s="181"/>
      <c r="B744" s="188" t="s">
        <v>2044</v>
      </c>
      <c r="C744" s="189" t="s">
        <v>124</v>
      </c>
      <c r="D744" s="189" t="s">
        <v>123</v>
      </c>
      <c r="E744" s="190" t="s">
        <v>1605</v>
      </c>
      <c r="F744" s="191">
        <f t="shared" si="13"/>
        <v>207.5</v>
      </c>
      <c r="G744" s="185"/>
      <c r="H744" s="181"/>
      <c r="I744" s="74"/>
      <c r="J744" s="74"/>
      <c r="M744" s="185"/>
      <c r="N744" s="185"/>
      <c r="O744" s="185"/>
      <c r="P744" s="185"/>
      <c r="Q744" s="185"/>
      <c r="R744" s="185"/>
    </row>
    <row r="745" spans="1:18" s="197" customFormat="1" ht="12.75" x14ac:dyDescent="0.2">
      <c r="A745" s="181"/>
      <c r="B745" s="188" t="s">
        <v>2045</v>
      </c>
      <c r="C745" s="189" t="s">
        <v>124</v>
      </c>
      <c r="D745" s="189" t="s">
        <v>123</v>
      </c>
      <c r="E745" s="190" t="s">
        <v>2046</v>
      </c>
      <c r="F745" s="191">
        <f t="shared" si="13"/>
        <v>252.86666666666667</v>
      </c>
      <c r="G745" s="185"/>
      <c r="H745" s="181"/>
      <c r="I745" s="74"/>
      <c r="J745" s="74"/>
      <c r="M745" s="185"/>
      <c r="N745" s="185"/>
      <c r="O745" s="185"/>
      <c r="P745" s="185"/>
      <c r="Q745" s="185"/>
      <c r="R745" s="185"/>
    </row>
    <row r="746" spans="1:18" s="197" customFormat="1" ht="12.75" x14ac:dyDescent="0.2">
      <c r="A746" s="181"/>
      <c r="B746" s="188" t="s">
        <v>2047</v>
      </c>
      <c r="C746" s="189" t="s">
        <v>134</v>
      </c>
      <c r="D746" s="189" t="s">
        <v>123</v>
      </c>
      <c r="E746" s="190" t="s">
        <v>1202</v>
      </c>
      <c r="F746" s="191">
        <f t="shared" si="13"/>
        <v>226.68333333333334</v>
      </c>
      <c r="G746" s="185"/>
      <c r="H746" s="181"/>
      <c r="I746" s="74"/>
      <c r="J746" s="74"/>
      <c r="M746" s="185"/>
      <c r="N746" s="185"/>
      <c r="O746" s="185"/>
      <c r="P746" s="185"/>
      <c r="Q746" s="185"/>
      <c r="R746" s="185"/>
    </row>
    <row r="747" spans="1:18" s="197" customFormat="1" ht="12.75" x14ac:dyDescent="0.2">
      <c r="A747" s="181"/>
      <c r="B747" s="188" t="s">
        <v>2048</v>
      </c>
      <c r="C747" s="189" t="s">
        <v>126</v>
      </c>
      <c r="D747" s="189" t="s">
        <v>139</v>
      </c>
      <c r="E747" s="190" t="s">
        <v>2049</v>
      </c>
      <c r="F747" s="191">
        <f t="shared" si="13"/>
        <v>224.5</v>
      </c>
      <c r="G747" s="185"/>
      <c r="H747" s="181"/>
      <c r="I747" s="74"/>
      <c r="J747" s="74"/>
      <c r="M747" s="185"/>
      <c r="N747" s="185"/>
      <c r="O747" s="185"/>
      <c r="P747" s="185"/>
      <c r="Q747" s="185"/>
      <c r="R747" s="185"/>
    </row>
    <row r="748" spans="1:18" s="197" customFormat="1" ht="12.75" x14ac:dyDescent="0.2">
      <c r="A748" s="181"/>
      <c r="B748" s="188" t="s">
        <v>2050</v>
      </c>
      <c r="C748" s="189" t="s">
        <v>124</v>
      </c>
      <c r="D748" s="189" t="s">
        <v>123</v>
      </c>
      <c r="E748" s="190" t="s">
        <v>2051</v>
      </c>
      <c r="F748" s="191">
        <f t="shared" si="13"/>
        <v>247.08333333333334</v>
      </c>
      <c r="G748" s="185"/>
      <c r="H748" s="181"/>
      <c r="I748" s="74"/>
      <c r="J748" s="74"/>
      <c r="M748" s="185"/>
      <c r="N748" s="185"/>
      <c r="O748" s="185"/>
      <c r="P748" s="185"/>
      <c r="Q748" s="185"/>
      <c r="R748" s="185"/>
    </row>
    <row r="749" spans="1:18" s="197" customFormat="1" ht="12.75" x14ac:dyDescent="0.2">
      <c r="A749" s="181"/>
      <c r="B749" s="188" t="s">
        <v>2052</v>
      </c>
      <c r="C749" s="189" t="s">
        <v>134</v>
      </c>
      <c r="D749" s="189" t="s">
        <v>123</v>
      </c>
      <c r="E749" s="190" t="s">
        <v>2053</v>
      </c>
      <c r="F749" s="191">
        <f t="shared" si="13"/>
        <v>278.13333333333333</v>
      </c>
      <c r="G749" s="185"/>
      <c r="H749" s="181"/>
      <c r="I749" s="74"/>
      <c r="J749" s="74"/>
      <c r="M749" s="185"/>
      <c r="N749" s="185"/>
      <c r="O749" s="185"/>
      <c r="P749" s="185"/>
      <c r="Q749" s="185"/>
      <c r="R749" s="185"/>
    </row>
    <row r="750" spans="1:18" s="197" customFormat="1" ht="12.75" x14ac:dyDescent="0.2">
      <c r="A750" s="181"/>
      <c r="B750" s="188" t="s">
        <v>1406</v>
      </c>
      <c r="C750" s="189" t="s">
        <v>142</v>
      </c>
      <c r="D750" s="189" t="s">
        <v>147</v>
      </c>
      <c r="E750" s="190" t="s">
        <v>1407</v>
      </c>
      <c r="F750" s="191">
        <f t="shared" si="13"/>
        <v>191.01666666666668</v>
      </c>
      <c r="G750" s="185"/>
      <c r="H750" s="181"/>
      <c r="I750" s="74"/>
      <c r="J750" s="74"/>
      <c r="M750" s="185"/>
      <c r="N750" s="185"/>
      <c r="O750" s="185"/>
      <c r="P750" s="185"/>
      <c r="Q750" s="185"/>
      <c r="R750" s="185"/>
    </row>
    <row r="751" spans="1:18" s="197" customFormat="1" ht="12.75" x14ac:dyDescent="0.2">
      <c r="A751" s="181"/>
      <c r="B751" s="188" t="s">
        <v>2054</v>
      </c>
      <c r="C751" s="189" t="s">
        <v>125</v>
      </c>
      <c r="D751" s="189" t="s">
        <v>157</v>
      </c>
      <c r="E751" s="190" t="s">
        <v>2055</v>
      </c>
      <c r="F751" s="191">
        <f t="shared" si="13"/>
        <v>255.78333333333333</v>
      </c>
      <c r="G751" s="185"/>
      <c r="H751" s="181"/>
      <c r="I751" s="74"/>
      <c r="J751" s="74"/>
      <c r="M751" s="185"/>
      <c r="N751" s="185"/>
      <c r="O751" s="185"/>
      <c r="P751" s="185"/>
      <c r="Q751" s="185"/>
      <c r="R751" s="185"/>
    </row>
    <row r="752" spans="1:18" s="197" customFormat="1" ht="12.75" x14ac:dyDescent="0.2">
      <c r="A752" s="181"/>
      <c r="B752" s="188" t="s">
        <v>2056</v>
      </c>
      <c r="C752" s="189" t="s">
        <v>126</v>
      </c>
      <c r="D752" s="189" t="s">
        <v>210</v>
      </c>
      <c r="E752" s="190" t="s">
        <v>2057</v>
      </c>
      <c r="F752" s="191">
        <f t="shared" si="13"/>
        <v>196.78333333333333</v>
      </c>
      <c r="G752" s="185"/>
      <c r="H752" s="181"/>
      <c r="I752" s="74"/>
      <c r="J752" s="74"/>
      <c r="M752" s="185"/>
      <c r="N752" s="185"/>
      <c r="O752" s="185"/>
      <c r="P752" s="185"/>
      <c r="Q752" s="185"/>
      <c r="R752" s="185"/>
    </row>
    <row r="753" spans="1:18" s="197" customFormat="1" ht="12.75" x14ac:dyDescent="0.2">
      <c r="A753" s="181"/>
      <c r="B753" s="188" t="s">
        <v>2058</v>
      </c>
      <c r="C753" s="189" t="s">
        <v>142</v>
      </c>
      <c r="D753" s="189" t="s">
        <v>138</v>
      </c>
      <c r="E753" s="190" t="s">
        <v>2059</v>
      </c>
      <c r="F753" s="191">
        <f t="shared" si="13"/>
        <v>249.88333333333333</v>
      </c>
      <c r="G753" s="185"/>
      <c r="H753" s="181"/>
      <c r="I753" s="74"/>
      <c r="J753" s="74"/>
      <c r="M753" s="185"/>
      <c r="N753" s="185"/>
      <c r="O753" s="185"/>
      <c r="P753" s="185"/>
      <c r="Q753" s="185"/>
      <c r="R753" s="185"/>
    </row>
    <row r="754" spans="1:18" s="197" customFormat="1" ht="12.75" x14ac:dyDescent="0.2">
      <c r="A754" s="181"/>
      <c r="B754" s="188" t="s">
        <v>2060</v>
      </c>
      <c r="C754" s="189" t="s">
        <v>140</v>
      </c>
      <c r="D754" s="189" t="s">
        <v>171</v>
      </c>
      <c r="E754" s="190" t="s">
        <v>2061</v>
      </c>
      <c r="F754" s="191">
        <f t="shared" si="13"/>
        <v>324.66666666666669</v>
      </c>
      <c r="G754" s="185"/>
      <c r="H754" s="181"/>
      <c r="I754" s="74"/>
      <c r="J754" s="74"/>
      <c r="M754" s="185"/>
      <c r="N754" s="185"/>
      <c r="O754" s="185"/>
      <c r="P754" s="185"/>
      <c r="Q754" s="185"/>
      <c r="R754" s="185"/>
    </row>
    <row r="755" spans="1:18" s="197" customFormat="1" ht="12.75" x14ac:dyDescent="0.2">
      <c r="A755" s="181"/>
      <c r="B755" s="188" t="s">
        <v>2062</v>
      </c>
      <c r="C755" s="189" t="s">
        <v>124</v>
      </c>
      <c r="D755" s="189" t="s">
        <v>123</v>
      </c>
      <c r="E755" s="190" t="s">
        <v>2063</v>
      </c>
      <c r="F755" s="191">
        <f t="shared" si="13"/>
        <v>217.6</v>
      </c>
      <c r="G755" s="185"/>
      <c r="H755" s="181"/>
      <c r="I755" s="74"/>
      <c r="J755" s="74"/>
      <c r="M755" s="185"/>
      <c r="N755" s="185"/>
      <c r="O755" s="185"/>
      <c r="P755" s="185"/>
      <c r="Q755" s="185"/>
      <c r="R755" s="185"/>
    </row>
    <row r="756" spans="1:18" s="197" customFormat="1" ht="12.75" x14ac:dyDescent="0.2">
      <c r="A756" s="181"/>
      <c r="B756" s="188" t="s">
        <v>2064</v>
      </c>
      <c r="C756" s="189" t="s">
        <v>130</v>
      </c>
      <c r="D756" s="189" t="s">
        <v>123</v>
      </c>
      <c r="E756" s="190" t="s">
        <v>1858</v>
      </c>
      <c r="F756" s="191">
        <f t="shared" si="13"/>
        <v>259</v>
      </c>
      <c r="G756" s="185"/>
      <c r="H756" s="181"/>
      <c r="I756" s="74"/>
      <c r="J756" s="74"/>
      <c r="M756" s="185"/>
      <c r="N756" s="185"/>
      <c r="O756" s="185"/>
      <c r="P756" s="185"/>
      <c r="Q756" s="185"/>
      <c r="R756" s="185"/>
    </row>
    <row r="757" spans="1:18" s="197" customFormat="1" ht="12.75" x14ac:dyDescent="0.2">
      <c r="A757" s="181"/>
      <c r="B757" s="188" t="s">
        <v>2065</v>
      </c>
      <c r="C757" s="189" t="s">
        <v>124</v>
      </c>
      <c r="D757" s="189" t="s">
        <v>123</v>
      </c>
      <c r="E757" s="190" t="s">
        <v>2066</v>
      </c>
      <c r="F757" s="191">
        <f t="shared" si="13"/>
        <v>256.43333333333334</v>
      </c>
      <c r="G757" s="185"/>
      <c r="H757" s="181"/>
      <c r="I757" s="74"/>
      <c r="J757" s="74"/>
      <c r="M757" s="185"/>
      <c r="N757" s="185"/>
      <c r="O757" s="185"/>
      <c r="P757" s="185"/>
      <c r="Q757" s="185"/>
      <c r="R757" s="185"/>
    </row>
    <row r="758" spans="1:18" s="197" customFormat="1" ht="12.75" x14ac:dyDescent="0.2">
      <c r="A758" s="181"/>
      <c r="B758" s="188" t="s">
        <v>2067</v>
      </c>
      <c r="C758" s="189" t="s">
        <v>125</v>
      </c>
      <c r="D758" s="189" t="s">
        <v>123</v>
      </c>
      <c r="E758" s="190" t="s">
        <v>2068</v>
      </c>
      <c r="F758" s="191">
        <f t="shared" si="13"/>
        <v>265.73333333333335</v>
      </c>
      <c r="G758" s="185"/>
      <c r="H758" s="181"/>
      <c r="I758" s="74"/>
      <c r="J758" s="74"/>
      <c r="M758" s="185"/>
      <c r="N758" s="185"/>
      <c r="O758" s="185"/>
      <c r="P758" s="185"/>
      <c r="Q758" s="185"/>
      <c r="R758" s="185"/>
    </row>
    <row r="759" spans="1:18" s="197" customFormat="1" ht="12.75" x14ac:dyDescent="0.2">
      <c r="A759" s="181"/>
      <c r="B759" s="188" t="s">
        <v>2069</v>
      </c>
      <c r="C759" s="189" t="s">
        <v>134</v>
      </c>
      <c r="D759" s="189" t="s">
        <v>123</v>
      </c>
      <c r="E759" s="190" t="s">
        <v>2070</v>
      </c>
      <c r="F759" s="191">
        <f t="shared" si="13"/>
        <v>296.41666666666669</v>
      </c>
      <c r="G759" s="185"/>
      <c r="H759" s="181"/>
      <c r="I759" s="74"/>
      <c r="J759" s="74"/>
      <c r="M759" s="185"/>
      <c r="N759" s="185"/>
      <c r="O759" s="185"/>
      <c r="P759" s="185"/>
      <c r="Q759" s="185"/>
      <c r="R759" s="185"/>
    </row>
    <row r="760" spans="1:18" s="197" customFormat="1" ht="12.75" x14ac:dyDescent="0.2">
      <c r="A760" s="181"/>
      <c r="B760" s="188" t="s">
        <v>2071</v>
      </c>
      <c r="C760" s="189" t="s">
        <v>140</v>
      </c>
      <c r="D760" s="189" t="s">
        <v>148</v>
      </c>
      <c r="E760" s="190" t="s">
        <v>2072</v>
      </c>
      <c r="F760" s="191">
        <f t="shared" si="13"/>
        <v>265.85000000000002</v>
      </c>
      <c r="G760" s="185"/>
      <c r="H760" s="181"/>
      <c r="I760" s="74"/>
      <c r="J760" s="74"/>
      <c r="M760" s="185"/>
      <c r="N760" s="185"/>
      <c r="O760" s="185"/>
      <c r="P760" s="185"/>
      <c r="Q760" s="185"/>
      <c r="R760" s="185"/>
    </row>
    <row r="761" spans="1:18" s="197" customFormat="1" ht="12.75" x14ac:dyDescent="0.2">
      <c r="A761" s="181"/>
      <c r="B761" s="188" t="s">
        <v>2073</v>
      </c>
      <c r="C761" s="189" t="s">
        <v>135</v>
      </c>
      <c r="D761" s="189" t="s">
        <v>123</v>
      </c>
      <c r="E761" s="190" t="s">
        <v>1523</v>
      </c>
      <c r="F761" s="191">
        <f t="shared" si="13"/>
        <v>271.10000000000002</v>
      </c>
      <c r="G761" s="185"/>
      <c r="H761" s="181"/>
      <c r="I761" s="74"/>
      <c r="J761" s="74"/>
      <c r="M761" s="185"/>
      <c r="N761" s="185"/>
      <c r="O761" s="185"/>
      <c r="P761" s="185"/>
      <c r="Q761" s="185"/>
      <c r="R761" s="185"/>
    </row>
    <row r="762" spans="1:18" s="197" customFormat="1" ht="12.75" x14ac:dyDescent="0.2">
      <c r="A762" s="181"/>
      <c r="B762" s="188" t="s">
        <v>558</v>
      </c>
      <c r="C762" s="189" t="s">
        <v>124</v>
      </c>
      <c r="D762" s="189" t="s">
        <v>123</v>
      </c>
      <c r="E762" s="190" t="s">
        <v>946</v>
      </c>
      <c r="F762" s="191">
        <f t="shared" si="13"/>
        <v>224.13333333333333</v>
      </c>
      <c r="G762" s="185"/>
      <c r="H762" s="181"/>
      <c r="I762" s="74"/>
      <c r="J762" s="74"/>
      <c r="M762" s="185"/>
      <c r="N762" s="185"/>
      <c r="O762" s="185"/>
      <c r="P762" s="185"/>
      <c r="Q762" s="185"/>
      <c r="R762" s="185"/>
    </row>
    <row r="763" spans="1:18" s="197" customFormat="1" ht="12.75" x14ac:dyDescent="0.2">
      <c r="A763" s="181"/>
      <c r="B763" s="188" t="s">
        <v>2074</v>
      </c>
      <c r="C763" s="189" t="s">
        <v>130</v>
      </c>
      <c r="D763" s="189" t="s">
        <v>148</v>
      </c>
      <c r="E763" s="190" t="s">
        <v>2075</v>
      </c>
      <c r="F763" s="191">
        <f t="shared" si="13"/>
        <v>180.55</v>
      </c>
      <c r="G763" s="185"/>
      <c r="H763" s="181"/>
      <c r="I763" s="74"/>
      <c r="J763" s="74"/>
      <c r="M763" s="185"/>
      <c r="N763" s="185"/>
      <c r="O763" s="185"/>
      <c r="P763" s="185"/>
      <c r="Q763" s="185"/>
      <c r="R763" s="185"/>
    </row>
    <row r="764" spans="1:18" s="197" customFormat="1" ht="12.75" x14ac:dyDescent="0.2">
      <c r="A764" s="181"/>
      <c r="B764" s="188" t="s">
        <v>359</v>
      </c>
      <c r="C764" s="189" t="s">
        <v>125</v>
      </c>
      <c r="D764" s="189" t="s">
        <v>123</v>
      </c>
      <c r="E764" s="190" t="s">
        <v>2076</v>
      </c>
      <c r="F764" s="191">
        <f t="shared" si="13"/>
        <v>284.11666666666667</v>
      </c>
      <c r="G764" s="185"/>
      <c r="H764" s="181"/>
      <c r="I764" s="74"/>
      <c r="J764" s="74"/>
      <c r="M764" s="185"/>
      <c r="N764" s="185"/>
      <c r="O764" s="185"/>
      <c r="P764" s="185"/>
      <c r="Q764" s="185"/>
      <c r="R764" s="185"/>
    </row>
    <row r="765" spans="1:18" s="197" customFormat="1" ht="12.75" x14ac:dyDescent="0.2">
      <c r="A765" s="181"/>
      <c r="B765" s="188" t="s">
        <v>2077</v>
      </c>
      <c r="C765" s="189" t="s">
        <v>140</v>
      </c>
      <c r="D765" s="189" t="s">
        <v>168</v>
      </c>
      <c r="E765" s="190" t="s">
        <v>2078</v>
      </c>
      <c r="F765" s="191">
        <f t="shared" si="13"/>
        <v>298.35000000000002</v>
      </c>
      <c r="G765" s="185"/>
      <c r="H765" s="181"/>
      <c r="I765" s="74"/>
      <c r="J765" s="74"/>
      <c r="M765" s="185"/>
      <c r="N765" s="185"/>
      <c r="O765" s="185"/>
      <c r="P765" s="185"/>
      <c r="Q765" s="185"/>
      <c r="R765" s="185"/>
    </row>
    <row r="766" spans="1:18" s="197" customFormat="1" ht="12.75" x14ac:dyDescent="0.2">
      <c r="A766" s="181"/>
      <c r="B766" s="188" t="s">
        <v>2079</v>
      </c>
      <c r="C766" s="189" t="s">
        <v>125</v>
      </c>
      <c r="D766" s="189" t="s">
        <v>123</v>
      </c>
      <c r="E766" s="190" t="s">
        <v>2080</v>
      </c>
      <c r="F766" s="191">
        <f t="shared" si="13"/>
        <v>298.89999999999998</v>
      </c>
      <c r="G766" s="185"/>
      <c r="H766" s="181"/>
      <c r="I766" s="74"/>
      <c r="J766" s="74"/>
      <c r="M766" s="185"/>
      <c r="N766" s="185"/>
      <c r="O766" s="185"/>
      <c r="P766" s="185"/>
      <c r="Q766" s="185"/>
      <c r="R766" s="185"/>
    </row>
    <row r="767" spans="1:18" s="197" customFormat="1" ht="12.75" x14ac:dyDescent="0.2">
      <c r="A767" s="181"/>
      <c r="B767" s="188" t="s">
        <v>2081</v>
      </c>
      <c r="C767" s="189" t="s">
        <v>142</v>
      </c>
      <c r="D767" s="189" t="s">
        <v>132</v>
      </c>
      <c r="E767" s="190" t="s">
        <v>2082</v>
      </c>
      <c r="F767" s="191">
        <f t="shared" si="13"/>
        <v>230.43333333333334</v>
      </c>
      <c r="G767" s="185"/>
      <c r="H767" s="181"/>
      <c r="I767" s="74"/>
      <c r="J767" s="74"/>
      <c r="M767" s="185"/>
      <c r="N767" s="185"/>
      <c r="O767" s="185"/>
      <c r="P767" s="185"/>
      <c r="Q767" s="185"/>
      <c r="R767" s="185"/>
    </row>
    <row r="768" spans="1:18" s="197" customFormat="1" ht="12.75" x14ac:dyDescent="0.2">
      <c r="A768" s="181"/>
      <c r="B768" s="188" t="s">
        <v>2083</v>
      </c>
      <c r="C768" s="189" t="s">
        <v>125</v>
      </c>
      <c r="D768" s="189" t="s">
        <v>129</v>
      </c>
      <c r="E768" s="190" t="s">
        <v>2084</v>
      </c>
      <c r="F768" s="191">
        <f t="shared" si="13"/>
        <v>266.14999999999998</v>
      </c>
      <c r="G768" s="185"/>
      <c r="H768" s="181"/>
      <c r="I768" s="74"/>
      <c r="J768" s="74"/>
      <c r="M768" s="185"/>
      <c r="N768" s="185"/>
      <c r="O768" s="185"/>
      <c r="P768" s="185"/>
      <c r="Q768" s="185"/>
      <c r="R768" s="185"/>
    </row>
    <row r="769" spans="1:18" s="197" customFormat="1" ht="12.75" x14ac:dyDescent="0.2">
      <c r="A769" s="181"/>
      <c r="B769" s="188" t="s">
        <v>2085</v>
      </c>
      <c r="C769" s="189" t="s">
        <v>125</v>
      </c>
      <c r="D769" s="189" t="s">
        <v>132</v>
      </c>
      <c r="E769" s="190" t="s">
        <v>2086</v>
      </c>
      <c r="F769" s="191">
        <f t="shared" si="13"/>
        <v>235.66666666666666</v>
      </c>
      <c r="G769" s="185"/>
      <c r="H769" s="181"/>
      <c r="I769" s="74"/>
      <c r="J769" s="74"/>
      <c r="M769" s="185"/>
      <c r="N769" s="185"/>
      <c r="O769" s="185"/>
      <c r="P769" s="185"/>
      <c r="Q769" s="185"/>
      <c r="R769" s="185"/>
    </row>
    <row r="770" spans="1:18" s="197" customFormat="1" ht="12.75" x14ac:dyDescent="0.2">
      <c r="A770" s="181"/>
      <c r="B770" s="188" t="s">
        <v>2087</v>
      </c>
      <c r="C770" s="189" t="s">
        <v>125</v>
      </c>
      <c r="D770" s="189" t="s">
        <v>131</v>
      </c>
      <c r="E770" s="190" t="s">
        <v>2088</v>
      </c>
      <c r="F770" s="191">
        <f t="shared" si="13"/>
        <v>290.25</v>
      </c>
      <c r="G770" s="185"/>
      <c r="H770" s="181"/>
      <c r="I770" s="74"/>
      <c r="J770" s="74"/>
      <c r="M770" s="185"/>
      <c r="N770" s="185"/>
      <c r="O770" s="185"/>
      <c r="P770" s="185"/>
      <c r="Q770" s="185"/>
      <c r="R770" s="185"/>
    </row>
    <row r="771" spans="1:18" s="197" customFormat="1" ht="12.75" x14ac:dyDescent="0.2">
      <c r="A771" s="181"/>
      <c r="B771" s="188" t="s">
        <v>2089</v>
      </c>
      <c r="C771" s="189" t="s">
        <v>142</v>
      </c>
      <c r="D771" s="189" t="s">
        <v>131</v>
      </c>
      <c r="E771" s="190" t="s">
        <v>2090</v>
      </c>
      <c r="F771" s="191">
        <f t="shared" si="13"/>
        <v>208.53333333333333</v>
      </c>
      <c r="G771" s="185"/>
      <c r="H771" s="181"/>
      <c r="I771" s="74"/>
      <c r="J771" s="74"/>
      <c r="M771" s="185"/>
      <c r="N771" s="185"/>
      <c r="O771" s="185"/>
      <c r="P771" s="185"/>
      <c r="Q771" s="185"/>
      <c r="R771" s="185"/>
    </row>
    <row r="772" spans="1:18" s="197" customFormat="1" ht="12.75" x14ac:dyDescent="0.2">
      <c r="A772" s="181"/>
      <c r="B772" s="188" t="s">
        <v>2091</v>
      </c>
      <c r="C772" s="189" t="s">
        <v>135</v>
      </c>
      <c r="D772" s="189" t="s">
        <v>132</v>
      </c>
      <c r="E772" s="190" t="s">
        <v>2092</v>
      </c>
      <c r="F772" s="191">
        <f t="shared" si="13"/>
        <v>228.6</v>
      </c>
      <c r="G772" s="185"/>
      <c r="H772" s="181"/>
      <c r="I772" s="74"/>
      <c r="J772" s="74"/>
      <c r="M772" s="185"/>
      <c r="N772" s="185"/>
      <c r="O772" s="185"/>
      <c r="P772" s="185"/>
      <c r="Q772" s="185"/>
      <c r="R772" s="185"/>
    </row>
    <row r="773" spans="1:18" s="197" customFormat="1" ht="12.75" x14ac:dyDescent="0.2">
      <c r="A773" s="181"/>
      <c r="B773" s="188" t="s">
        <v>2093</v>
      </c>
      <c r="C773" s="189" t="s">
        <v>128</v>
      </c>
      <c r="D773" s="189" t="s">
        <v>123</v>
      </c>
      <c r="E773" s="190" t="s">
        <v>2094</v>
      </c>
      <c r="F773" s="191">
        <f t="shared" si="13"/>
        <v>269.64999999999998</v>
      </c>
      <c r="G773" s="185"/>
      <c r="H773" s="181"/>
      <c r="I773" s="74"/>
      <c r="J773" s="74"/>
      <c r="M773" s="185"/>
      <c r="N773" s="185"/>
      <c r="O773" s="185"/>
      <c r="P773" s="185"/>
      <c r="Q773" s="185"/>
      <c r="R773" s="185"/>
    </row>
    <row r="774" spans="1:18" s="197" customFormat="1" ht="12.75" x14ac:dyDescent="0.2">
      <c r="A774" s="181"/>
      <c r="B774" s="188" t="s">
        <v>286</v>
      </c>
      <c r="C774" s="189" t="s">
        <v>124</v>
      </c>
      <c r="D774" s="189" t="s">
        <v>123</v>
      </c>
      <c r="E774" s="190" t="s">
        <v>2095</v>
      </c>
      <c r="F774" s="191">
        <f t="shared" si="13"/>
        <v>285.43333333333334</v>
      </c>
      <c r="G774" s="185"/>
      <c r="H774" s="181"/>
      <c r="I774" s="74"/>
      <c r="J774" s="74"/>
      <c r="M774" s="185"/>
      <c r="N774" s="185"/>
      <c r="O774" s="185"/>
      <c r="P774" s="185"/>
      <c r="Q774" s="185"/>
      <c r="R774" s="185"/>
    </row>
    <row r="775" spans="1:18" s="197" customFormat="1" ht="12.75" x14ac:dyDescent="0.2">
      <c r="A775" s="181"/>
      <c r="B775" s="188" t="s">
        <v>2096</v>
      </c>
      <c r="C775" s="189" t="s">
        <v>134</v>
      </c>
      <c r="D775" s="189" t="s">
        <v>123</v>
      </c>
      <c r="E775" s="190" t="s">
        <v>2097</v>
      </c>
      <c r="F775" s="191">
        <f t="shared" si="13"/>
        <v>175</v>
      </c>
      <c r="G775" s="185"/>
      <c r="H775" s="181"/>
      <c r="I775" s="74"/>
      <c r="J775" s="74"/>
      <c r="M775" s="185"/>
      <c r="N775" s="185"/>
      <c r="O775" s="185"/>
      <c r="P775" s="185"/>
      <c r="Q775" s="185"/>
      <c r="R775" s="185"/>
    </row>
    <row r="776" spans="1:18" s="197" customFormat="1" ht="12.75" x14ac:dyDescent="0.2">
      <c r="A776" s="181"/>
      <c r="B776" s="188" t="s">
        <v>2098</v>
      </c>
      <c r="C776" s="189" t="s">
        <v>126</v>
      </c>
      <c r="D776" s="189" t="s">
        <v>123</v>
      </c>
      <c r="E776" s="190" t="s">
        <v>2099</v>
      </c>
      <c r="F776" s="191">
        <f t="shared" si="13"/>
        <v>240.93333333333334</v>
      </c>
      <c r="G776" s="185"/>
      <c r="H776" s="181"/>
      <c r="I776" s="74"/>
      <c r="J776" s="74"/>
      <c r="M776" s="185"/>
      <c r="N776" s="185"/>
      <c r="O776" s="185"/>
      <c r="P776" s="185"/>
      <c r="Q776" s="185"/>
      <c r="R776" s="185"/>
    </row>
    <row r="777" spans="1:18" s="197" customFormat="1" ht="12.75" x14ac:dyDescent="0.2">
      <c r="A777" s="181"/>
      <c r="B777" s="188" t="s">
        <v>2100</v>
      </c>
      <c r="C777" s="189" t="s">
        <v>130</v>
      </c>
      <c r="D777" s="189" t="s">
        <v>157</v>
      </c>
      <c r="E777" s="190" t="s">
        <v>2101</v>
      </c>
      <c r="F777" s="191">
        <f t="shared" si="13"/>
        <v>226.18333333333334</v>
      </c>
      <c r="G777" s="185"/>
      <c r="H777" s="181"/>
      <c r="I777" s="74"/>
      <c r="J777" s="74"/>
      <c r="M777" s="185"/>
      <c r="N777" s="185"/>
      <c r="O777" s="185"/>
      <c r="P777" s="185"/>
      <c r="Q777" s="185"/>
      <c r="R777" s="185"/>
    </row>
    <row r="778" spans="1:18" s="197" customFormat="1" ht="12.75" x14ac:dyDescent="0.2">
      <c r="A778" s="181"/>
      <c r="B778" s="188" t="s">
        <v>393</v>
      </c>
      <c r="C778" s="189" t="s">
        <v>125</v>
      </c>
      <c r="D778" s="189" t="s">
        <v>123</v>
      </c>
      <c r="E778" s="190" t="s">
        <v>2102</v>
      </c>
      <c r="F778" s="191">
        <f t="shared" si="13"/>
        <v>229.68333333333334</v>
      </c>
      <c r="G778" s="185"/>
      <c r="H778" s="181"/>
      <c r="I778" s="74"/>
      <c r="J778" s="74"/>
      <c r="M778" s="185"/>
      <c r="N778" s="185"/>
      <c r="O778" s="185"/>
      <c r="P778" s="185"/>
      <c r="Q778" s="185"/>
      <c r="R778" s="185"/>
    </row>
    <row r="779" spans="1:18" s="197" customFormat="1" ht="12.75" x14ac:dyDescent="0.2">
      <c r="A779" s="181"/>
      <c r="B779" s="188" t="s">
        <v>2103</v>
      </c>
      <c r="C779" s="189" t="s">
        <v>128</v>
      </c>
      <c r="D779" s="189" t="s">
        <v>165</v>
      </c>
      <c r="E779" s="190" t="s">
        <v>2104</v>
      </c>
      <c r="F779" s="191">
        <f t="shared" ref="F779:F842" si="14">HOUR(E779)*60+MINUTE(E779)+SECOND(E779)/60</f>
        <v>219.9</v>
      </c>
      <c r="G779" s="185"/>
      <c r="H779" s="181"/>
      <c r="I779" s="74"/>
      <c r="J779" s="74"/>
      <c r="M779" s="185"/>
      <c r="N779" s="185"/>
      <c r="O779" s="185"/>
      <c r="P779" s="185"/>
      <c r="Q779" s="185"/>
      <c r="R779" s="185"/>
    </row>
    <row r="780" spans="1:18" s="197" customFormat="1" ht="12.75" x14ac:dyDescent="0.2">
      <c r="A780" s="181"/>
      <c r="B780" s="188" t="s">
        <v>2105</v>
      </c>
      <c r="C780" s="189" t="s">
        <v>126</v>
      </c>
      <c r="D780" s="189" t="s">
        <v>148</v>
      </c>
      <c r="E780" s="190" t="s">
        <v>2106</v>
      </c>
      <c r="F780" s="191">
        <f t="shared" si="14"/>
        <v>265.81666666666666</v>
      </c>
      <c r="G780" s="185"/>
      <c r="H780" s="181"/>
      <c r="I780" s="74"/>
      <c r="J780" s="74"/>
      <c r="M780" s="185"/>
      <c r="N780" s="185"/>
      <c r="O780" s="185"/>
      <c r="P780" s="185"/>
      <c r="Q780" s="185"/>
      <c r="R780" s="185"/>
    </row>
    <row r="781" spans="1:18" s="197" customFormat="1" ht="12.75" x14ac:dyDescent="0.2">
      <c r="A781" s="181"/>
      <c r="B781" s="188" t="s">
        <v>2071</v>
      </c>
      <c r="C781" s="189" t="s">
        <v>140</v>
      </c>
      <c r="D781" s="189" t="s">
        <v>148</v>
      </c>
      <c r="E781" s="190" t="s">
        <v>2072</v>
      </c>
      <c r="F781" s="191">
        <f t="shared" si="14"/>
        <v>265.85000000000002</v>
      </c>
      <c r="G781" s="185"/>
      <c r="H781" s="181"/>
      <c r="I781" s="74"/>
      <c r="J781" s="74"/>
      <c r="M781" s="185"/>
      <c r="N781" s="185"/>
      <c r="O781" s="185"/>
      <c r="P781" s="185"/>
      <c r="Q781" s="185"/>
      <c r="R781" s="185"/>
    </row>
    <row r="782" spans="1:18" s="197" customFormat="1" ht="12.75" x14ac:dyDescent="0.2">
      <c r="A782" s="181"/>
      <c r="B782" s="188" t="s">
        <v>2107</v>
      </c>
      <c r="C782" s="189" t="s">
        <v>135</v>
      </c>
      <c r="D782" s="189" t="s">
        <v>165</v>
      </c>
      <c r="E782" s="190" t="s">
        <v>2108</v>
      </c>
      <c r="F782" s="191">
        <f t="shared" si="14"/>
        <v>244.08333333333334</v>
      </c>
      <c r="G782" s="185"/>
      <c r="H782" s="181"/>
      <c r="I782" s="74"/>
      <c r="J782" s="74"/>
      <c r="M782" s="185"/>
      <c r="N782" s="185"/>
      <c r="O782" s="185"/>
      <c r="P782" s="185"/>
      <c r="Q782" s="185"/>
      <c r="R782" s="185"/>
    </row>
    <row r="783" spans="1:18" s="197" customFormat="1" ht="12.75" x14ac:dyDescent="0.2">
      <c r="A783" s="181"/>
      <c r="B783" s="188" t="s">
        <v>2109</v>
      </c>
      <c r="C783" s="189" t="s">
        <v>126</v>
      </c>
      <c r="D783" s="189" t="s">
        <v>131</v>
      </c>
      <c r="E783" s="190" t="s">
        <v>2110</v>
      </c>
      <c r="F783" s="191">
        <f t="shared" si="14"/>
        <v>235.63333333333333</v>
      </c>
      <c r="G783" s="185"/>
      <c r="H783" s="181"/>
      <c r="I783" s="74"/>
      <c r="J783" s="74"/>
      <c r="M783" s="185"/>
      <c r="N783" s="185"/>
      <c r="O783" s="185"/>
      <c r="P783" s="185"/>
      <c r="Q783" s="185"/>
      <c r="R783" s="185"/>
    </row>
    <row r="784" spans="1:18" s="197" customFormat="1" ht="12.75" x14ac:dyDescent="0.2">
      <c r="A784" s="181"/>
      <c r="B784" s="188" t="s">
        <v>2111</v>
      </c>
      <c r="C784" s="189" t="s">
        <v>124</v>
      </c>
      <c r="D784" s="189" t="s">
        <v>212</v>
      </c>
      <c r="E784" s="190" t="s">
        <v>2112</v>
      </c>
      <c r="F784" s="191">
        <f t="shared" si="14"/>
        <v>265.64999999999998</v>
      </c>
      <c r="G784" s="185"/>
      <c r="H784" s="181"/>
      <c r="I784" s="74"/>
      <c r="J784" s="74"/>
      <c r="M784" s="185"/>
      <c r="N784" s="185"/>
      <c r="O784" s="185"/>
      <c r="P784" s="185"/>
      <c r="Q784" s="185"/>
      <c r="R784" s="185"/>
    </row>
    <row r="785" spans="1:18" s="197" customFormat="1" ht="12.75" x14ac:dyDescent="0.2">
      <c r="A785" s="181"/>
      <c r="B785" s="188" t="s">
        <v>2113</v>
      </c>
      <c r="C785" s="189" t="s">
        <v>134</v>
      </c>
      <c r="D785" s="189" t="s">
        <v>155</v>
      </c>
      <c r="E785" s="190" t="s">
        <v>2114</v>
      </c>
      <c r="F785" s="191">
        <f t="shared" si="14"/>
        <v>190.26666666666668</v>
      </c>
      <c r="G785" s="185"/>
      <c r="H785" s="181"/>
      <c r="I785" s="74"/>
      <c r="J785" s="74"/>
      <c r="M785" s="185"/>
      <c r="N785" s="185"/>
      <c r="O785" s="185"/>
      <c r="P785" s="185"/>
      <c r="Q785" s="185"/>
      <c r="R785" s="185"/>
    </row>
    <row r="786" spans="1:18" s="197" customFormat="1" ht="12.75" x14ac:dyDescent="0.2">
      <c r="A786" s="181"/>
      <c r="B786" s="188" t="s">
        <v>2115</v>
      </c>
      <c r="C786" s="189" t="s">
        <v>128</v>
      </c>
      <c r="D786" s="189" t="s">
        <v>131</v>
      </c>
      <c r="E786" s="190" t="s">
        <v>2116</v>
      </c>
      <c r="F786" s="191">
        <f t="shared" si="14"/>
        <v>236.51666666666668</v>
      </c>
      <c r="G786" s="185"/>
      <c r="H786" s="181"/>
      <c r="I786" s="74"/>
      <c r="J786" s="74"/>
      <c r="M786" s="185"/>
      <c r="N786" s="185"/>
      <c r="O786" s="185"/>
      <c r="P786" s="185"/>
      <c r="Q786" s="185"/>
      <c r="R786" s="185"/>
    </row>
    <row r="787" spans="1:18" s="197" customFormat="1" ht="12.75" x14ac:dyDescent="0.2">
      <c r="A787" s="181"/>
      <c r="B787" s="188" t="s">
        <v>2117</v>
      </c>
      <c r="C787" s="189" t="s">
        <v>126</v>
      </c>
      <c r="D787" s="189" t="s">
        <v>147</v>
      </c>
      <c r="E787" s="190" t="s">
        <v>2118</v>
      </c>
      <c r="F787" s="191">
        <f t="shared" si="14"/>
        <v>297.5</v>
      </c>
      <c r="G787" s="185"/>
      <c r="H787" s="181"/>
      <c r="I787" s="74"/>
      <c r="J787" s="74"/>
      <c r="M787" s="185"/>
      <c r="N787" s="185"/>
      <c r="O787" s="185"/>
      <c r="P787" s="185"/>
      <c r="Q787" s="185"/>
      <c r="R787" s="185"/>
    </row>
    <row r="788" spans="1:18" s="197" customFormat="1" ht="12.75" x14ac:dyDescent="0.2">
      <c r="A788" s="181"/>
      <c r="B788" s="188" t="s">
        <v>2119</v>
      </c>
      <c r="C788" s="189" t="s">
        <v>135</v>
      </c>
      <c r="D788" s="189" t="s">
        <v>165</v>
      </c>
      <c r="E788" s="190" t="s">
        <v>1571</v>
      </c>
      <c r="F788" s="191">
        <f t="shared" si="14"/>
        <v>251.11666666666667</v>
      </c>
      <c r="G788" s="185"/>
      <c r="H788" s="181"/>
      <c r="I788" s="74"/>
      <c r="J788" s="74"/>
      <c r="M788" s="185"/>
      <c r="N788" s="185"/>
      <c r="O788" s="185"/>
      <c r="P788" s="185"/>
      <c r="Q788" s="185"/>
      <c r="R788" s="185"/>
    </row>
    <row r="789" spans="1:18" s="197" customFormat="1" ht="12.75" x14ac:dyDescent="0.2">
      <c r="A789" s="181"/>
      <c r="B789" s="188" t="s">
        <v>2120</v>
      </c>
      <c r="C789" s="189" t="s">
        <v>130</v>
      </c>
      <c r="D789" s="189" t="s">
        <v>157</v>
      </c>
      <c r="E789" s="190" t="s">
        <v>2121</v>
      </c>
      <c r="F789" s="191">
        <f t="shared" si="14"/>
        <v>280.83333333333331</v>
      </c>
      <c r="G789" s="185"/>
      <c r="H789" s="181"/>
      <c r="I789" s="74"/>
      <c r="J789" s="74"/>
      <c r="M789" s="185"/>
      <c r="N789" s="185"/>
      <c r="O789" s="185"/>
      <c r="P789" s="185"/>
      <c r="Q789" s="185"/>
      <c r="R789" s="185"/>
    </row>
    <row r="790" spans="1:18" s="197" customFormat="1" ht="12.75" x14ac:dyDescent="0.2">
      <c r="A790" s="181"/>
      <c r="B790" s="188" t="s">
        <v>2122</v>
      </c>
      <c r="C790" s="189" t="s">
        <v>134</v>
      </c>
      <c r="D790" s="189" t="s">
        <v>131</v>
      </c>
      <c r="E790" s="190" t="s">
        <v>1494</v>
      </c>
      <c r="F790" s="191">
        <f t="shared" si="14"/>
        <v>213.08333333333334</v>
      </c>
      <c r="G790" s="185"/>
      <c r="H790" s="181"/>
      <c r="I790" s="74"/>
      <c r="J790" s="74"/>
      <c r="M790" s="185"/>
      <c r="N790" s="185"/>
      <c r="O790" s="185"/>
      <c r="P790" s="185"/>
      <c r="Q790" s="185"/>
      <c r="R790" s="185"/>
    </row>
    <row r="791" spans="1:18" s="197" customFormat="1" ht="12.75" x14ac:dyDescent="0.2">
      <c r="A791" s="181"/>
      <c r="B791" s="188" t="s">
        <v>532</v>
      </c>
      <c r="C791" s="189" t="s">
        <v>126</v>
      </c>
      <c r="D791" s="189" t="s">
        <v>123</v>
      </c>
      <c r="E791" s="190" t="s">
        <v>2123</v>
      </c>
      <c r="F791" s="191">
        <f t="shared" si="14"/>
        <v>311.39999999999998</v>
      </c>
      <c r="G791" s="185"/>
      <c r="H791" s="181"/>
      <c r="I791" s="74"/>
      <c r="J791" s="74"/>
      <c r="M791" s="185"/>
      <c r="N791" s="185"/>
      <c r="O791" s="185"/>
      <c r="P791" s="185"/>
      <c r="Q791" s="185"/>
      <c r="R791" s="185"/>
    </row>
    <row r="792" spans="1:18" s="197" customFormat="1" ht="12.75" x14ac:dyDescent="0.2">
      <c r="A792" s="181"/>
      <c r="B792" s="188" t="s">
        <v>2124</v>
      </c>
      <c r="C792" s="189" t="s">
        <v>136</v>
      </c>
      <c r="D792" s="189" t="s">
        <v>1707</v>
      </c>
      <c r="E792" s="190" t="s">
        <v>2125</v>
      </c>
      <c r="F792" s="191">
        <f t="shared" si="14"/>
        <v>223.28333333333333</v>
      </c>
      <c r="G792" s="185"/>
      <c r="H792" s="181"/>
      <c r="I792" s="74"/>
      <c r="J792" s="74"/>
      <c r="M792" s="185"/>
      <c r="N792" s="185"/>
      <c r="O792" s="185"/>
      <c r="P792" s="185"/>
      <c r="Q792" s="185"/>
      <c r="R792" s="185"/>
    </row>
    <row r="793" spans="1:18" s="197" customFormat="1" ht="12.75" x14ac:dyDescent="0.2">
      <c r="A793" s="181"/>
      <c r="B793" s="188" t="s">
        <v>2126</v>
      </c>
      <c r="C793" s="189" t="s">
        <v>135</v>
      </c>
      <c r="D793" s="189" t="s">
        <v>123</v>
      </c>
      <c r="E793" s="190" t="s">
        <v>2127</v>
      </c>
      <c r="F793" s="191">
        <f t="shared" si="14"/>
        <v>209.21666666666667</v>
      </c>
      <c r="G793" s="185"/>
      <c r="H793" s="181"/>
      <c r="I793" s="74"/>
      <c r="J793" s="74"/>
      <c r="M793" s="185"/>
      <c r="N793" s="185"/>
      <c r="O793" s="185"/>
      <c r="P793" s="185"/>
      <c r="Q793" s="185"/>
      <c r="R793" s="185"/>
    </row>
    <row r="794" spans="1:18" s="197" customFormat="1" ht="12.75" x14ac:dyDescent="0.2">
      <c r="A794" s="181"/>
      <c r="B794" s="188" t="s">
        <v>2128</v>
      </c>
      <c r="C794" s="189" t="s">
        <v>124</v>
      </c>
      <c r="D794" s="189" t="s">
        <v>129</v>
      </c>
      <c r="E794" s="190" t="s">
        <v>1177</v>
      </c>
      <c r="F794" s="191">
        <f t="shared" si="14"/>
        <v>237.76666666666668</v>
      </c>
      <c r="G794" s="185"/>
      <c r="H794" s="181"/>
      <c r="I794" s="74"/>
      <c r="J794" s="74"/>
      <c r="M794" s="185"/>
      <c r="N794" s="185"/>
      <c r="O794" s="185"/>
      <c r="P794" s="185"/>
      <c r="Q794" s="185"/>
      <c r="R794" s="185"/>
    </row>
    <row r="795" spans="1:18" s="197" customFormat="1" ht="12.75" x14ac:dyDescent="0.2">
      <c r="A795" s="181"/>
      <c r="B795" s="188" t="s">
        <v>258</v>
      </c>
      <c r="C795" s="189" t="s">
        <v>142</v>
      </c>
      <c r="D795" s="189" t="s">
        <v>123</v>
      </c>
      <c r="E795" s="190" t="s">
        <v>2129</v>
      </c>
      <c r="F795" s="191">
        <f t="shared" si="14"/>
        <v>242.46666666666667</v>
      </c>
      <c r="G795" s="185"/>
      <c r="H795" s="181"/>
      <c r="I795" s="74"/>
      <c r="J795" s="74"/>
      <c r="M795" s="185"/>
      <c r="N795" s="185"/>
      <c r="O795" s="185"/>
      <c r="P795" s="185"/>
      <c r="Q795" s="185"/>
      <c r="R795" s="185"/>
    </row>
    <row r="796" spans="1:18" s="197" customFormat="1" ht="12.75" x14ac:dyDescent="0.2">
      <c r="A796" s="181"/>
      <c r="B796" s="188" t="s">
        <v>2130</v>
      </c>
      <c r="C796" s="189" t="s">
        <v>124</v>
      </c>
      <c r="D796" s="189" t="s">
        <v>157</v>
      </c>
      <c r="E796" s="190" t="s">
        <v>2131</v>
      </c>
      <c r="F796" s="191">
        <f t="shared" si="14"/>
        <v>300.98333333333335</v>
      </c>
      <c r="G796" s="185"/>
      <c r="H796" s="181"/>
      <c r="I796" s="74"/>
      <c r="J796" s="74"/>
      <c r="M796" s="185"/>
      <c r="N796" s="185"/>
      <c r="O796" s="185"/>
      <c r="P796" s="185"/>
      <c r="Q796" s="185"/>
      <c r="R796" s="185"/>
    </row>
    <row r="797" spans="1:18" s="197" customFormat="1" ht="12.75" x14ac:dyDescent="0.2">
      <c r="A797" s="181"/>
      <c r="B797" s="188" t="s">
        <v>2132</v>
      </c>
      <c r="C797" s="189" t="s">
        <v>125</v>
      </c>
      <c r="D797" s="189" t="s">
        <v>123</v>
      </c>
      <c r="E797" s="190" t="s">
        <v>2133</v>
      </c>
      <c r="F797" s="191">
        <f t="shared" si="14"/>
        <v>243.1</v>
      </c>
      <c r="G797" s="185"/>
      <c r="H797" s="181"/>
      <c r="I797" s="74"/>
      <c r="J797" s="74"/>
      <c r="M797" s="185"/>
      <c r="N797" s="185"/>
      <c r="O797" s="185"/>
      <c r="P797" s="185"/>
      <c r="Q797" s="185"/>
      <c r="R797" s="185"/>
    </row>
    <row r="798" spans="1:18" s="197" customFormat="1" ht="12.75" x14ac:dyDescent="0.2">
      <c r="A798" s="181"/>
      <c r="B798" s="188" t="s">
        <v>2134</v>
      </c>
      <c r="C798" s="189" t="s">
        <v>124</v>
      </c>
      <c r="D798" s="189" t="s">
        <v>123</v>
      </c>
      <c r="E798" s="190" t="s">
        <v>1336</v>
      </c>
      <c r="F798" s="191">
        <f t="shared" si="14"/>
        <v>241.91666666666666</v>
      </c>
      <c r="G798" s="185"/>
      <c r="H798" s="181"/>
      <c r="I798" s="74"/>
      <c r="J798" s="74"/>
      <c r="M798" s="185"/>
      <c r="N798" s="185"/>
      <c r="O798" s="185"/>
      <c r="P798" s="185"/>
      <c r="Q798" s="185"/>
      <c r="R798" s="185"/>
    </row>
    <row r="799" spans="1:18" s="197" customFormat="1" ht="12.75" x14ac:dyDescent="0.2">
      <c r="A799" s="181"/>
      <c r="B799" s="188" t="s">
        <v>2135</v>
      </c>
      <c r="C799" s="189" t="s">
        <v>124</v>
      </c>
      <c r="D799" s="189" t="s">
        <v>123</v>
      </c>
      <c r="E799" s="190" t="s">
        <v>2136</v>
      </c>
      <c r="F799" s="191">
        <f t="shared" si="14"/>
        <v>236.23333333333332</v>
      </c>
      <c r="G799" s="185"/>
      <c r="H799" s="181"/>
      <c r="I799" s="74"/>
      <c r="J799" s="74"/>
      <c r="M799" s="185"/>
      <c r="N799" s="185"/>
      <c r="O799" s="185"/>
      <c r="P799" s="185"/>
      <c r="Q799" s="185"/>
      <c r="R799" s="185"/>
    </row>
    <row r="800" spans="1:18" s="197" customFormat="1" ht="12.75" x14ac:dyDescent="0.2">
      <c r="A800" s="181"/>
      <c r="B800" s="188" t="s">
        <v>2137</v>
      </c>
      <c r="C800" s="189" t="s">
        <v>128</v>
      </c>
      <c r="D800" s="189" t="s">
        <v>131</v>
      </c>
      <c r="E800" s="190" t="s">
        <v>2138</v>
      </c>
      <c r="F800" s="191">
        <f t="shared" si="14"/>
        <v>264.58333333333331</v>
      </c>
      <c r="G800" s="185"/>
      <c r="H800" s="181"/>
      <c r="I800" s="74"/>
      <c r="J800" s="74"/>
      <c r="M800" s="185"/>
      <c r="N800" s="185"/>
      <c r="O800" s="185"/>
      <c r="P800" s="185"/>
      <c r="Q800" s="185"/>
      <c r="R800" s="185"/>
    </row>
    <row r="801" spans="1:18" s="197" customFormat="1" ht="12.75" x14ac:dyDescent="0.2">
      <c r="A801" s="181"/>
      <c r="B801" s="188" t="s">
        <v>2139</v>
      </c>
      <c r="C801" s="189" t="s">
        <v>125</v>
      </c>
      <c r="D801" s="189" t="s">
        <v>123</v>
      </c>
      <c r="E801" s="190" t="s">
        <v>1311</v>
      </c>
      <c r="F801" s="191">
        <f t="shared" si="14"/>
        <v>208.73333333333332</v>
      </c>
      <c r="G801" s="185"/>
      <c r="H801" s="181"/>
      <c r="I801" s="74"/>
      <c r="J801" s="74"/>
      <c r="M801" s="185"/>
      <c r="N801" s="185"/>
      <c r="O801" s="185"/>
      <c r="P801" s="185"/>
      <c r="Q801" s="185"/>
      <c r="R801" s="185"/>
    </row>
    <row r="802" spans="1:18" s="197" customFormat="1" ht="12.75" x14ac:dyDescent="0.2">
      <c r="A802" s="181"/>
      <c r="B802" s="188" t="s">
        <v>2140</v>
      </c>
      <c r="C802" s="189" t="s">
        <v>125</v>
      </c>
      <c r="D802" s="189" t="s">
        <v>155</v>
      </c>
      <c r="E802" s="190" t="s">
        <v>2141</v>
      </c>
      <c r="F802" s="191">
        <f t="shared" si="14"/>
        <v>233.45</v>
      </c>
      <c r="G802" s="185"/>
      <c r="H802" s="181"/>
      <c r="I802" s="74"/>
      <c r="J802" s="74"/>
      <c r="M802" s="185"/>
      <c r="N802" s="185"/>
      <c r="O802" s="185"/>
      <c r="P802" s="185"/>
      <c r="Q802" s="185"/>
      <c r="R802" s="185"/>
    </row>
    <row r="803" spans="1:18" s="197" customFormat="1" ht="12.75" x14ac:dyDescent="0.2">
      <c r="A803" s="181"/>
      <c r="B803" s="188" t="s">
        <v>2142</v>
      </c>
      <c r="C803" s="189" t="s">
        <v>134</v>
      </c>
      <c r="D803" s="189" t="s">
        <v>131</v>
      </c>
      <c r="E803" s="190" t="s">
        <v>2143</v>
      </c>
      <c r="F803" s="191">
        <f t="shared" si="14"/>
        <v>217.76666666666668</v>
      </c>
      <c r="G803" s="185"/>
      <c r="H803" s="181"/>
      <c r="I803" s="74"/>
      <c r="J803" s="74"/>
      <c r="M803" s="185"/>
      <c r="N803" s="185"/>
      <c r="O803" s="185"/>
      <c r="P803" s="185"/>
      <c r="Q803" s="185"/>
      <c r="R803" s="185"/>
    </row>
    <row r="804" spans="1:18" s="197" customFormat="1" ht="12.75" x14ac:dyDescent="0.2">
      <c r="A804" s="181"/>
      <c r="B804" s="188" t="s">
        <v>2144</v>
      </c>
      <c r="C804" s="189" t="s">
        <v>124</v>
      </c>
      <c r="D804" s="189" t="s">
        <v>169</v>
      </c>
      <c r="E804" s="190" t="s">
        <v>1212</v>
      </c>
      <c r="F804" s="191">
        <f t="shared" si="14"/>
        <v>241.01666666666668</v>
      </c>
      <c r="G804" s="185"/>
      <c r="H804" s="181"/>
      <c r="I804" s="74"/>
      <c r="J804" s="74"/>
      <c r="M804" s="185"/>
      <c r="N804" s="185"/>
      <c r="O804" s="185"/>
      <c r="P804" s="185"/>
      <c r="Q804" s="185"/>
      <c r="R804" s="185"/>
    </row>
    <row r="805" spans="1:18" s="197" customFormat="1" ht="12.75" x14ac:dyDescent="0.2">
      <c r="A805" s="181"/>
      <c r="B805" s="188" t="s">
        <v>406</v>
      </c>
      <c r="C805" s="189" t="s">
        <v>125</v>
      </c>
      <c r="D805" s="189" t="s">
        <v>123</v>
      </c>
      <c r="E805" s="190" t="s">
        <v>2145</v>
      </c>
      <c r="F805" s="191">
        <f t="shared" si="14"/>
        <v>277.51666666666665</v>
      </c>
      <c r="G805" s="185"/>
      <c r="H805" s="181"/>
      <c r="I805" s="74"/>
      <c r="J805" s="74"/>
      <c r="M805" s="185"/>
      <c r="N805" s="185"/>
      <c r="O805" s="185"/>
      <c r="P805" s="185"/>
      <c r="Q805" s="185"/>
      <c r="R805" s="185"/>
    </row>
    <row r="806" spans="1:18" s="197" customFormat="1" ht="12.75" x14ac:dyDescent="0.2">
      <c r="A806" s="181"/>
      <c r="B806" s="188" t="s">
        <v>2146</v>
      </c>
      <c r="C806" s="189" t="s">
        <v>128</v>
      </c>
      <c r="D806" s="189" t="s">
        <v>151</v>
      </c>
      <c r="E806" s="190" t="s">
        <v>2110</v>
      </c>
      <c r="F806" s="191">
        <f t="shared" si="14"/>
        <v>235.63333333333333</v>
      </c>
      <c r="G806" s="185"/>
      <c r="H806" s="181"/>
      <c r="I806" s="74"/>
      <c r="J806" s="74"/>
      <c r="M806" s="185"/>
      <c r="N806" s="185"/>
      <c r="O806" s="185"/>
      <c r="P806" s="185"/>
      <c r="Q806" s="185"/>
      <c r="R806" s="185"/>
    </row>
    <row r="807" spans="1:18" s="197" customFormat="1" ht="12.75" x14ac:dyDescent="0.2">
      <c r="A807" s="181"/>
      <c r="B807" s="188" t="s">
        <v>2147</v>
      </c>
      <c r="C807" s="189" t="s">
        <v>135</v>
      </c>
      <c r="D807" s="189" t="s">
        <v>123</v>
      </c>
      <c r="E807" s="190" t="s">
        <v>2148</v>
      </c>
      <c r="F807" s="191">
        <f t="shared" si="14"/>
        <v>311.91666666666669</v>
      </c>
      <c r="G807" s="185"/>
      <c r="H807" s="181"/>
      <c r="I807" s="74"/>
      <c r="J807" s="74"/>
      <c r="M807" s="185"/>
      <c r="N807" s="185"/>
      <c r="O807" s="185"/>
      <c r="P807" s="185"/>
      <c r="Q807" s="185"/>
      <c r="R807" s="185"/>
    </row>
    <row r="808" spans="1:18" s="197" customFormat="1" ht="12.75" x14ac:dyDescent="0.2">
      <c r="A808" s="181"/>
      <c r="B808" s="188" t="s">
        <v>2149</v>
      </c>
      <c r="C808" s="189" t="s">
        <v>142</v>
      </c>
      <c r="D808" s="189" t="s">
        <v>173</v>
      </c>
      <c r="E808" s="190" t="s">
        <v>2150</v>
      </c>
      <c r="F808" s="191">
        <f t="shared" si="14"/>
        <v>264.86666666666667</v>
      </c>
      <c r="G808" s="185"/>
      <c r="H808" s="181"/>
      <c r="I808" s="74"/>
      <c r="J808" s="74"/>
      <c r="M808" s="185"/>
      <c r="N808" s="185"/>
      <c r="O808" s="185"/>
      <c r="P808" s="185"/>
      <c r="Q808" s="185"/>
      <c r="R808" s="185"/>
    </row>
    <row r="809" spans="1:18" s="197" customFormat="1" ht="12.75" x14ac:dyDescent="0.2">
      <c r="A809" s="181"/>
      <c r="B809" s="188" t="s">
        <v>2151</v>
      </c>
      <c r="C809" s="189" t="s">
        <v>128</v>
      </c>
      <c r="D809" s="189" t="s">
        <v>131</v>
      </c>
      <c r="E809" s="190" t="s">
        <v>2152</v>
      </c>
      <c r="F809" s="191">
        <f t="shared" si="14"/>
        <v>188.7</v>
      </c>
      <c r="G809" s="185"/>
      <c r="H809" s="181"/>
      <c r="I809" s="74"/>
      <c r="J809" s="74"/>
      <c r="M809" s="185"/>
      <c r="N809" s="185"/>
      <c r="O809" s="185"/>
      <c r="P809" s="185"/>
      <c r="Q809" s="185"/>
      <c r="R809" s="185"/>
    </row>
    <row r="810" spans="1:18" s="197" customFormat="1" ht="12.75" x14ac:dyDescent="0.2">
      <c r="A810" s="181"/>
      <c r="B810" s="188" t="s">
        <v>2153</v>
      </c>
      <c r="C810" s="189" t="s">
        <v>128</v>
      </c>
      <c r="D810" s="189" t="s">
        <v>123</v>
      </c>
      <c r="E810" s="190" t="s">
        <v>2154</v>
      </c>
      <c r="F810" s="191">
        <f t="shared" si="14"/>
        <v>241.9</v>
      </c>
      <c r="G810" s="185"/>
      <c r="H810" s="181"/>
      <c r="I810" s="74"/>
      <c r="J810" s="74"/>
      <c r="M810" s="185"/>
      <c r="N810" s="185"/>
      <c r="O810" s="185"/>
      <c r="P810" s="185"/>
      <c r="Q810" s="185"/>
      <c r="R810" s="185"/>
    </row>
    <row r="811" spans="1:18" s="197" customFormat="1" ht="12.75" x14ac:dyDescent="0.2">
      <c r="A811" s="181"/>
      <c r="B811" s="188" t="s">
        <v>515</v>
      </c>
      <c r="C811" s="189" t="s">
        <v>142</v>
      </c>
      <c r="D811" s="189" t="s">
        <v>173</v>
      </c>
      <c r="E811" s="190" t="s">
        <v>2155</v>
      </c>
      <c r="F811" s="191">
        <f t="shared" si="14"/>
        <v>203.03333333333333</v>
      </c>
      <c r="G811" s="185"/>
      <c r="H811" s="181"/>
      <c r="I811" s="74"/>
      <c r="J811" s="74"/>
      <c r="M811" s="185"/>
      <c r="N811" s="185"/>
      <c r="O811" s="185"/>
      <c r="P811" s="185"/>
      <c r="Q811" s="185"/>
      <c r="R811" s="185"/>
    </row>
    <row r="812" spans="1:18" s="197" customFormat="1" ht="12.75" x14ac:dyDescent="0.2">
      <c r="A812" s="181"/>
      <c r="B812" s="188" t="s">
        <v>2156</v>
      </c>
      <c r="C812" s="189" t="s">
        <v>125</v>
      </c>
      <c r="D812" s="189" t="s">
        <v>123</v>
      </c>
      <c r="E812" s="190" t="s">
        <v>2157</v>
      </c>
      <c r="F812" s="191">
        <f t="shared" si="14"/>
        <v>231.58333333333334</v>
      </c>
      <c r="G812" s="185"/>
      <c r="H812" s="181"/>
      <c r="I812" s="74"/>
      <c r="J812" s="74"/>
      <c r="M812" s="185"/>
      <c r="N812" s="185"/>
      <c r="O812" s="185"/>
      <c r="P812" s="185"/>
      <c r="Q812" s="185"/>
      <c r="R812" s="185"/>
    </row>
    <row r="813" spans="1:18" s="197" customFormat="1" ht="12.75" x14ac:dyDescent="0.2">
      <c r="A813" s="181"/>
      <c r="B813" s="188" t="s">
        <v>281</v>
      </c>
      <c r="C813" s="189" t="s">
        <v>125</v>
      </c>
      <c r="D813" s="189" t="s">
        <v>123</v>
      </c>
      <c r="E813" s="190" t="s">
        <v>2158</v>
      </c>
      <c r="F813" s="191">
        <f t="shared" si="14"/>
        <v>253.55</v>
      </c>
      <c r="G813" s="185"/>
      <c r="H813" s="181"/>
      <c r="I813" s="74"/>
      <c r="J813" s="74"/>
      <c r="M813" s="185"/>
      <c r="N813" s="185"/>
      <c r="O813" s="185"/>
      <c r="P813" s="185"/>
      <c r="Q813" s="185"/>
      <c r="R813" s="185"/>
    </row>
    <row r="814" spans="1:18" s="197" customFormat="1" ht="12.75" x14ac:dyDescent="0.2">
      <c r="A814" s="181"/>
      <c r="B814" s="188" t="s">
        <v>415</v>
      </c>
      <c r="C814" s="189" t="s">
        <v>134</v>
      </c>
      <c r="D814" s="189" t="s">
        <v>123</v>
      </c>
      <c r="E814" s="190" t="s">
        <v>2159</v>
      </c>
      <c r="F814" s="191">
        <f t="shared" si="14"/>
        <v>236.31666666666666</v>
      </c>
      <c r="G814" s="185"/>
      <c r="H814" s="181"/>
      <c r="I814" s="74"/>
      <c r="J814" s="74"/>
      <c r="M814" s="185"/>
      <c r="N814" s="185"/>
      <c r="O814" s="185"/>
      <c r="P814" s="185"/>
      <c r="Q814" s="185"/>
      <c r="R814" s="185"/>
    </row>
    <row r="815" spans="1:18" s="197" customFormat="1" ht="12.75" x14ac:dyDescent="0.2">
      <c r="A815" s="181"/>
      <c r="B815" s="188" t="s">
        <v>247</v>
      </c>
      <c r="C815" s="189" t="s">
        <v>135</v>
      </c>
      <c r="D815" s="189" t="s">
        <v>123</v>
      </c>
      <c r="E815" s="190" t="s">
        <v>2160</v>
      </c>
      <c r="F815" s="191">
        <f t="shared" si="14"/>
        <v>294.39999999999998</v>
      </c>
      <c r="G815" s="185"/>
      <c r="H815" s="181"/>
      <c r="I815" s="74"/>
      <c r="J815" s="74"/>
      <c r="M815" s="185"/>
      <c r="N815" s="185"/>
      <c r="O815" s="185"/>
      <c r="P815" s="185"/>
      <c r="Q815" s="185"/>
      <c r="R815" s="185"/>
    </row>
    <row r="816" spans="1:18" s="197" customFormat="1" ht="12.75" x14ac:dyDescent="0.2">
      <c r="A816" s="181"/>
      <c r="B816" s="188" t="s">
        <v>2161</v>
      </c>
      <c r="C816" s="189" t="s">
        <v>126</v>
      </c>
      <c r="D816" s="189" t="s">
        <v>123</v>
      </c>
      <c r="E816" s="190" t="s">
        <v>2162</v>
      </c>
      <c r="F816" s="191">
        <f t="shared" si="14"/>
        <v>279.26666666666665</v>
      </c>
      <c r="G816" s="185"/>
      <c r="H816" s="181"/>
      <c r="I816" s="74"/>
      <c r="J816" s="74"/>
      <c r="M816" s="185"/>
      <c r="N816" s="185"/>
      <c r="O816" s="185"/>
      <c r="P816" s="185"/>
      <c r="Q816" s="185"/>
      <c r="R816" s="185"/>
    </row>
    <row r="817" spans="1:18" s="197" customFormat="1" ht="12.75" x14ac:dyDescent="0.2">
      <c r="A817" s="181"/>
      <c r="B817" s="188" t="s">
        <v>2163</v>
      </c>
      <c r="C817" s="189" t="s">
        <v>130</v>
      </c>
      <c r="D817" s="189" t="s">
        <v>131</v>
      </c>
      <c r="E817" s="190" t="s">
        <v>2164</v>
      </c>
      <c r="F817" s="191">
        <f t="shared" si="14"/>
        <v>214.93333333333334</v>
      </c>
      <c r="G817" s="185"/>
      <c r="H817" s="181"/>
      <c r="I817" s="74"/>
      <c r="J817" s="74"/>
      <c r="M817" s="185"/>
      <c r="N817" s="185"/>
      <c r="O817" s="185"/>
      <c r="P817" s="185"/>
      <c r="Q817" s="185"/>
      <c r="R817" s="185"/>
    </row>
    <row r="818" spans="1:18" s="197" customFormat="1" ht="12.75" x14ac:dyDescent="0.2">
      <c r="A818" s="181"/>
      <c r="B818" s="188" t="s">
        <v>213</v>
      </c>
      <c r="C818" s="189" t="s">
        <v>125</v>
      </c>
      <c r="D818" s="189" t="s">
        <v>123</v>
      </c>
      <c r="E818" s="190" t="s">
        <v>2165</v>
      </c>
      <c r="F818" s="191">
        <f t="shared" si="14"/>
        <v>334.95</v>
      </c>
      <c r="G818" s="185"/>
      <c r="H818" s="181"/>
      <c r="I818" s="74"/>
      <c r="J818" s="74"/>
      <c r="M818" s="185"/>
      <c r="N818" s="185"/>
      <c r="O818" s="185"/>
      <c r="P818" s="185"/>
      <c r="Q818" s="185"/>
      <c r="R818" s="185"/>
    </row>
    <row r="819" spans="1:18" s="197" customFormat="1" ht="12.75" x14ac:dyDescent="0.2">
      <c r="A819" s="181"/>
      <c r="B819" s="188" t="s">
        <v>2107</v>
      </c>
      <c r="C819" s="189" t="s">
        <v>135</v>
      </c>
      <c r="D819" s="189" t="s">
        <v>165</v>
      </c>
      <c r="E819" s="190" t="s">
        <v>2108</v>
      </c>
      <c r="F819" s="191">
        <f t="shared" si="14"/>
        <v>244.08333333333334</v>
      </c>
      <c r="G819" s="185"/>
      <c r="H819" s="181"/>
      <c r="I819" s="74"/>
      <c r="J819" s="74"/>
      <c r="M819" s="185"/>
      <c r="N819" s="185"/>
      <c r="O819" s="185"/>
      <c r="P819" s="185"/>
      <c r="Q819" s="185"/>
      <c r="R819" s="185"/>
    </row>
    <row r="820" spans="1:18" s="197" customFormat="1" ht="12.75" x14ac:dyDescent="0.2">
      <c r="A820" s="181"/>
      <c r="B820" s="188" t="s">
        <v>2166</v>
      </c>
      <c r="C820" s="189" t="s">
        <v>135</v>
      </c>
      <c r="D820" s="189" t="s">
        <v>147</v>
      </c>
      <c r="E820" s="190" t="s">
        <v>2167</v>
      </c>
      <c r="F820" s="191">
        <f t="shared" si="14"/>
        <v>223.51666666666668</v>
      </c>
      <c r="G820" s="185"/>
      <c r="H820" s="181"/>
      <c r="I820" s="74"/>
      <c r="J820" s="74"/>
      <c r="M820" s="185"/>
      <c r="N820" s="185"/>
      <c r="O820" s="185"/>
      <c r="P820" s="185"/>
      <c r="Q820" s="185"/>
      <c r="R820" s="185"/>
    </row>
    <row r="821" spans="1:18" s="197" customFormat="1" ht="12.75" x14ac:dyDescent="0.2">
      <c r="A821" s="181"/>
      <c r="B821" s="188" t="s">
        <v>2168</v>
      </c>
      <c r="C821" s="189" t="s">
        <v>126</v>
      </c>
      <c r="D821" s="189" t="s">
        <v>131</v>
      </c>
      <c r="E821" s="190" t="s">
        <v>1254</v>
      </c>
      <c r="F821" s="191">
        <f t="shared" si="14"/>
        <v>234.06666666666666</v>
      </c>
      <c r="G821" s="185"/>
      <c r="H821" s="181"/>
      <c r="I821" s="74"/>
      <c r="J821" s="74"/>
      <c r="M821" s="185"/>
      <c r="N821" s="185"/>
      <c r="O821" s="185"/>
      <c r="P821" s="185"/>
      <c r="Q821" s="185"/>
      <c r="R821" s="185"/>
    </row>
    <row r="822" spans="1:18" s="197" customFormat="1" ht="12.75" x14ac:dyDescent="0.2">
      <c r="A822" s="181"/>
      <c r="B822" s="188" t="s">
        <v>512</v>
      </c>
      <c r="C822" s="189" t="s">
        <v>130</v>
      </c>
      <c r="D822" s="189" t="s">
        <v>123</v>
      </c>
      <c r="E822" s="190" t="s">
        <v>880</v>
      </c>
      <c r="F822" s="191">
        <f t="shared" si="14"/>
        <v>226.8</v>
      </c>
      <c r="G822" s="185"/>
      <c r="H822" s="181"/>
      <c r="I822" s="74"/>
      <c r="J822" s="74"/>
      <c r="M822" s="185"/>
      <c r="N822" s="185"/>
      <c r="O822" s="185"/>
      <c r="P822" s="185"/>
      <c r="Q822" s="185"/>
      <c r="R822" s="185"/>
    </row>
    <row r="823" spans="1:18" s="197" customFormat="1" ht="12.75" x14ac:dyDescent="0.2">
      <c r="A823" s="181"/>
      <c r="B823" s="188" t="s">
        <v>2169</v>
      </c>
      <c r="C823" s="189" t="s">
        <v>142</v>
      </c>
      <c r="D823" s="189" t="s">
        <v>157</v>
      </c>
      <c r="E823" s="190" t="s">
        <v>2170</v>
      </c>
      <c r="F823" s="191">
        <f t="shared" si="14"/>
        <v>215.03333333333333</v>
      </c>
      <c r="G823" s="185"/>
      <c r="H823" s="181"/>
      <c r="I823" s="74"/>
      <c r="J823" s="74"/>
      <c r="M823" s="185"/>
      <c r="N823" s="185"/>
      <c r="O823" s="185"/>
      <c r="P823" s="185"/>
      <c r="Q823" s="185"/>
      <c r="R823" s="185"/>
    </row>
    <row r="824" spans="1:18" s="197" customFormat="1" ht="12.75" x14ac:dyDescent="0.2">
      <c r="A824" s="181"/>
      <c r="B824" s="188" t="s">
        <v>2171</v>
      </c>
      <c r="C824" s="189" t="s">
        <v>128</v>
      </c>
      <c r="D824" s="189" t="s">
        <v>165</v>
      </c>
      <c r="E824" s="190" t="s">
        <v>2172</v>
      </c>
      <c r="F824" s="191">
        <f t="shared" si="14"/>
        <v>316.48333333333335</v>
      </c>
      <c r="G824" s="185"/>
      <c r="H824" s="181"/>
      <c r="I824" s="74"/>
      <c r="J824" s="74"/>
      <c r="M824" s="185"/>
      <c r="N824" s="185"/>
      <c r="O824" s="185"/>
      <c r="P824" s="185"/>
      <c r="Q824" s="185"/>
      <c r="R824" s="185"/>
    </row>
    <row r="825" spans="1:18" s="197" customFormat="1" ht="12.75" x14ac:dyDescent="0.2">
      <c r="A825" s="181"/>
      <c r="B825" s="188" t="s">
        <v>2173</v>
      </c>
      <c r="C825" s="189" t="s">
        <v>126</v>
      </c>
      <c r="D825" s="189" t="s">
        <v>160</v>
      </c>
      <c r="E825" s="190" t="s">
        <v>2174</v>
      </c>
      <c r="F825" s="191">
        <f t="shared" si="14"/>
        <v>185.36666666666667</v>
      </c>
      <c r="G825" s="185"/>
      <c r="H825" s="181"/>
      <c r="I825" s="74"/>
      <c r="J825" s="74"/>
      <c r="M825" s="185"/>
      <c r="N825" s="185"/>
      <c r="O825" s="185"/>
      <c r="P825" s="185"/>
      <c r="Q825" s="185"/>
      <c r="R825" s="185"/>
    </row>
    <row r="826" spans="1:18" s="197" customFormat="1" ht="12.75" x14ac:dyDescent="0.2">
      <c r="A826" s="181"/>
      <c r="B826" s="188" t="s">
        <v>975</v>
      </c>
      <c r="C826" s="189" t="s">
        <v>142</v>
      </c>
      <c r="D826" s="189" t="s">
        <v>148</v>
      </c>
      <c r="E826" s="190" t="s">
        <v>976</v>
      </c>
      <c r="F826" s="191">
        <f t="shared" si="14"/>
        <v>202.43333333333334</v>
      </c>
      <c r="G826" s="185"/>
      <c r="H826" s="181"/>
      <c r="I826" s="74"/>
      <c r="J826" s="74"/>
      <c r="M826" s="185"/>
      <c r="N826" s="185"/>
      <c r="O826" s="185"/>
      <c r="P826" s="185"/>
      <c r="Q826" s="185"/>
      <c r="R826" s="185"/>
    </row>
    <row r="827" spans="1:18" s="197" customFormat="1" ht="12.75" x14ac:dyDescent="0.2">
      <c r="A827" s="181"/>
      <c r="B827" s="188" t="s">
        <v>2175</v>
      </c>
      <c r="C827" s="189" t="s">
        <v>135</v>
      </c>
      <c r="D827" s="189" t="s">
        <v>141</v>
      </c>
      <c r="E827" s="190" t="s">
        <v>2176</v>
      </c>
      <c r="F827" s="191">
        <f t="shared" si="14"/>
        <v>238.91666666666666</v>
      </c>
      <c r="G827" s="185"/>
      <c r="H827" s="181"/>
      <c r="I827" s="74"/>
      <c r="J827" s="74"/>
      <c r="M827" s="185"/>
      <c r="N827" s="185"/>
      <c r="O827" s="185"/>
      <c r="P827" s="185"/>
      <c r="Q827" s="185"/>
      <c r="R827" s="185"/>
    </row>
    <row r="828" spans="1:18" s="197" customFormat="1" ht="12.75" x14ac:dyDescent="0.2">
      <c r="A828" s="181"/>
      <c r="B828" s="188" t="s">
        <v>2177</v>
      </c>
      <c r="C828" s="189" t="s">
        <v>124</v>
      </c>
      <c r="D828" s="189" t="s">
        <v>174</v>
      </c>
      <c r="E828" s="190" t="s">
        <v>2178</v>
      </c>
      <c r="F828" s="191">
        <f t="shared" si="14"/>
        <v>210.01666666666668</v>
      </c>
      <c r="G828" s="185"/>
      <c r="H828" s="181"/>
      <c r="I828" s="74"/>
      <c r="J828" s="74"/>
      <c r="M828" s="185"/>
      <c r="N828" s="185"/>
      <c r="O828" s="185"/>
      <c r="P828" s="185"/>
      <c r="Q828" s="185"/>
      <c r="R828" s="185"/>
    </row>
    <row r="829" spans="1:18" s="197" customFormat="1" ht="12.75" x14ac:dyDescent="0.2">
      <c r="A829" s="181"/>
      <c r="B829" s="188" t="s">
        <v>2179</v>
      </c>
      <c r="C829" s="189" t="s">
        <v>134</v>
      </c>
      <c r="D829" s="189" t="s">
        <v>123</v>
      </c>
      <c r="E829" s="190" t="s">
        <v>2180</v>
      </c>
      <c r="F829" s="191">
        <f t="shared" si="14"/>
        <v>212.91666666666666</v>
      </c>
      <c r="G829" s="185"/>
      <c r="H829" s="181"/>
      <c r="I829" s="74"/>
      <c r="J829" s="74"/>
      <c r="M829" s="185"/>
      <c r="N829" s="185"/>
      <c r="O829" s="185"/>
      <c r="P829" s="185"/>
      <c r="Q829" s="185"/>
      <c r="R829" s="185"/>
    </row>
    <row r="830" spans="1:18" s="197" customFormat="1" ht="12.75" x14ac:dyDescent="0.2">
      <c r="A830" s="181"/>
      <c r="B830" s="188" t="s">
        <v>2181</v>
      </c>
      <c r="C830" s="189" t="s">
        <v>130</v>
      </c>
      <c r="D830" s="189" t="s">
        <v>155</v>
      </c>
      <c r="E830" s="190" t="s">
        <v>2182</v>
      </c>
      <c r="F830" s="191">
        <f t="shared" si="14"/>
        <v>233.08333333333334</v>
      </c>
      <c r="G830" s="185"/>
      <c r="H830" s="181"/>
      <c r="I830" s="74"/>
      <c r="J830" s="74"/>
      <c r="M830" s="185"/>
      <c r="N830" s="185"/>
      <c r="O830" s="185"/>
      <c r="P830" s="185"/>
      <c r="Q830" s="185"/>
      <c r="R830" s="185"/>
    </row>
    <row r="831" spans="1:18" s="197" customFormat="1" ht="12.75" x14ac:dyDescent="0.2">
      <c r="A831" s="181"/>
      <c r="B831" s="188" t="s">
        <v>231</v>
      </c>
      <c r="C831" s="189" t="s">
        <v>126</v>
      </c>
      <c r="D831" s="189" t="s">
        <v>123</v>
      </c>
      <c r="E831" s="190" t="s">
        <v>2183</v>
      </c>
      <c r="F831" s="191">
        <f t="shared" si="14"/>
        <v>179.01666666666668</v>
      </c>
      <c r="G831" s="185"/>
      <c r="H831" s="181"/>
      <c r="I831" s="74"/>
      <c r="J831" s="74"/>
      <c r="M831" s="185"/>
      <c r="N831" s="185"/>
      <c r="O831" s="185"/>
      <c r="P831" s="185"/>
      <c r="Q831" s="185"/>
      <c r="R831" s="185"/>
    </row>
    <row r="832" spans="1:18" s="197" customFormat="1" ht="12.75" x14ac:dyDescent="0.2">
      <c r="A832" s="181"/>
      <c r="B832" s="188" t="s">
        <v>2184</v>
      </c>
      <c r="C832" s="189" t="s">
        <v>128</v>
      </c>
      <c r="D832" s="189" t="s">
        <v>123</v>
      </c>
      <c r="E832" s="190" t="s">
        <v>2185</v>
      </c>
      <c r="F832" s="191">
        <f t="shared" si="14"/>
        <v>158.71666666666667</v>
      </c>
      <c r="G832" s="185"/>
      <c r="H832" s="181"/>
      <c r="I832" s="74"/>
      <c r="J832" s="74"/>
      <c r="M832" s="185"/>
      <c r="N832" s="185"/>
      <c r="O832" s="185"/>
      <c r="P832" s="185"/>
      <c r="Q832" s="185"/>
      <c r="R832" s="185"/>
    </row>
    <row r="833" spans="1:18" s="197" customFormat="1" ht="12.75" x14ac:dyDescent="0.2">
      <c r="A833" s="181"/>
      <c r="B833" s="188" t="s">
        <v>2186</v>
      </c>
      <c r="C833" s="189" t="s">
        <v>134</v>
      </c>
      <c r="D833" s="189" t="s">
        <v>155</v>
      </c>
      <c r="E833" s="190" t="s">
        <v>2187</v>
      </c>
      <c r="F833" s="191">
        <f t="shared" si="14"/>
        <v>188.03333333333333</v>
      </c>
      <c r="G833" s="185"/>
      <c r="H833" s="181"/>
      <c r="I833" s="74"/>
      <c r="J833" s="74"/>
      <c r="M833" s="185"/>
      <c r="N833" s="185"/>
      <c r="O833" s="185"/>
      <c r="P833" s="185"/>
      <c r="Q833" s="185"/>
      <c r="R833" s="185"/>
    </row>
    <row r="834" spans="1:18" s="197" customFormat="1" ht="12.75" x14ac:dyDescent="0.2">
      <c r="A834" s="181"/>
      <c r="B834" s="188" t="s">
        <v>2188</v>
      </c>
      <c r="C834" s="189" t="s">
        <v>134</v>
      </c>
      <c r="D834" s="189" t="s">
        <v>205</v>
      </c>
      <c r="E834" s="190" t="s">
        <v>2189</v>
      </c>
      <c r="F834" s="191">
        <f t="shared" si="14"/>
        <v>185.71666666666667</v>
      </c>
      <c r="G834" s="185"/>
      <c r="H834" s="181"/>
      <c r="I834" s="74"/>
      <c r="J834" s="74"/>
      <c r="M834" s="185"/>
      <c r="N834" s="185"/>
      <c r="O834" s="185"/>
      <c r="P834" s="185"/>
      <c r="Q834" s="185"/>
      <c r="R834" s="185"/>
    </row>
    <row r="835" spans="1:18" s="197" customFormat="1" ht="12.75" x14ac:dyDescent="0.2">
      <c r="A835" s="181"/>
      <c r="B835" s="188" t="s">
        <v>2190</v>
      </c>
      <c r="C835" s="189" t="s">
        <v>125</v>
      </c>
      <c r="D835" s="189" t="s">
        <v>123</v>
      </c>
      <c r="E835" s="190" t="s">
        <v>2191</v>
      </c>
      <c r="F835" s="191">
        <f t="shared" si="14"/>
        <v>240.6</v>
      </c>
      <c r="G835" s="185"/>
      <c r="H835" s="181"/>
      <c r="I835" s="74"/>
      <c r="J835" s="74"/>
      <c r="M835" s="185"/>
      <c r="N835" s="185"/>
      <c r="O835" s="185"/>
      <c r="P835" s="185"/>
      <c r="Q835" s="185"/>
      <c r="R835" s="185"/>
    </row>
    <row r="836" spans="1:18" s="197" customFormat="1" ht="12.75" x14ac:dyDescent="0.2">
      <c r="A836" s="181"/>
      <c r="B836" s="188" t="s">
        <v>2192</v>
      </c>
      <c r="C836" s="189" t="s">
        <v>142</v>
      </c>
      <c r="D836" s="189" t="s">
        <v>132</v>
      </c>
      <c r="E836" s="190" t="s">
        <v>2193</v>
      </c>
      <c r="F836" s="191">
        <f t="shared" si="14"/>
        <v>279.36666666666667</v>
      </c>
      <c r="G836" s="185"/>
      <c r="H836" s="181"/>
      <c r="I836" s="74"/>
      <c r="J836" s="74"/>
      <c r="M836" s="185"/>
      <c r="N836" s="185"/>
      <c r="O836" s="185"/>
      <c r="P836" s="185"/>
      <c r="Q836" s="185"/>
      <c r="R836" s="185"/>
    </row>
    <row r="837" spans="1:18" s="197" customFormat="1" ht="12.75" x14ac:dyDescent="0.2">
      <c r="A837" s="181"/>
      <c r="B837" s="188" t="s">
        <v>2194</v>
      </c>
      <c r="C837" s="189" t="s">
        <v>124</v>
      </c>
      <c r="D837" s="189" t="s">
        <v>123</v>
      </c>
      <c r="E837" s="190" t="s">
        <v>2195</v>
      </c>
      <c r="F837" s="191">
        <f t="shared" si="14"/>
        <v>229.91666666666666</v>
      </c>
      <c r="G837" s="185"/>
      <c r="H837" s="181"/>
      <c r="I837" s="74"/>
      <c r="J837" s="74"/>
      <c r="M837" s="185"/>
      <c r="N837" s="185"/>
      <c r="O837" s="185"/>
      <c r="P837" s="185"/>
      <c r="Q837" s="185"/>
      <c r="R837" s="185"/>
    </row>
    <row r="838" spans="1:18" s="197" customFormat="1" ht="12.75" x14ac:dyDescent="0.2">
      <c r="A838" s="181"/>
      <c r="B838" s="188" t="s">
        <v>2196</v>
      </c>
      <c r="C838" s="189" t="s">
        <v>125</v>
      </c>
      <c r="D838" s="189" t="s">
        <v>123</v>
      </c>
      <c r="E838" s="190" t="s">
        <v>1850</v>
      </c>
      <c r="F838" s="191">
        <f t="shared" si="14"/>
        <v>198.58333333333334</v>
      </c>
      <c r="G838" s="185"/>
      <c r="H838" s="181"/>
      <c r="I838" s="74"/>
      <c r="J838" s="74"/>
      <c r="M838" s="185"/>
      <c r="N838" s="185"/>
      <c r="O838" s="185"/>
      <c r="P838" s="185"/>
      <c r="Q838" s="185"/>
      <c r="R838" s="185"/>
    </row>
    <row r="839" spans="1:18" s="197" customFormat="1" ht="12.75" x14ac:dyDescent="0.2">
      <c r="A839" s="181"/>
      <c r="B839" s="188" t="s">
        <v>2197</v>
      </c>
      <c r="C839" s="189" t="s">
        <v>126</v>
      </c>
      <c r="D839" s="189" t="s">
        <v>155</v>
      </c>
      <c r="E839" s="190" t="s">
        <v>2198</v>
      </c>
      <c r="F839" s="191">
        <f t="shared" si="14"/>
        <v>221.35</v>
      </c>
      <c r="G839" s="185"/>
      <c r="H839" s="181"/>
      <c r="I839" s="74"/>
      <c r="J839" s="74"/>
      <c r="M839" s="185"/>
      <c r="N839" s="185"/>
      <c r="O839" s="185"/>
      <c r="P839" s="185"/>
      <c r="Q839" s="185"/>
      <c r="R839" s="185"/>
    </row>
    <row r="840" spans="1:18" s="197" customFormat="1" ht="12.75" x14ac:dyDescent="0.2">
      <c r="A840" s="181"/>
      <c r="B840" s="188" t="s">
        <v>2199</v>
      </c>
      <c r="C840" s="189" t="s">
        <v>142</v>
      </c>
      <c r="D840" s="189" t="s">
        <v>171</v>
      </c>
      <c r="E840" s="190" t="s">
        <v>2200</v>
      </c>
      <c r="F840" s="191">
        <f t="shared" si="14"/>
        <v>237.3</v>
      </c>
      <c r="G840" s="185"/>
      <c r="H840" s="181"/>
      <c r="I840" s="74"/>
      <c r="J840" s="74"/>
      <c r="M840" s="185"/>
      <c r="N840" s="185"/>
      <c r="O840" s="185"/>
      <c r="P840" s="185"/>
      <c r="Q840" s="185"/>
      <c r="R840" s="185"/>
    </row>
    <row r="841" spans="1:18" s="197" customFormat="1" ht="12.75" x14ac:dyDescent="0.2">
      <c r="A841" s="181"/>
      <c r="B841" s="188" t="s">
        <v>2201</v>
      </c>
      <c r="C841" s="189" t="s">
        <v>142</v>
      </c>
      <c r="D841" s="189" t="s">
        <v>149</v>
      </c>
      <c r="E841" s="190" t="s">
        <v>2202</v>
      </c>
      <c r="F841" s="191">
        <f t="shared" si="14"/>
        <v>273.89999999999998</v>
      </c>
      <c r="G841" s="185"/>
      <c r="H841" s="181"/>
      <c r="I841" s="74"/>
      <c r="J841" s="74"/>
      <c r="M841" s="185"/>
      <c r="N841" s="185"/>
      <c r="O841" s="185"/>
      <c r="P841" s="185"/>
      <c r="Q841" s="185"/>
      <c r="R841" s="185"/>
    </row>
    <row r="842" spans="1:18" s="197" customFormat="1" ht="12.75" x14ac:dyDescent="0.2">
      <c r="A842" s="181"/>
      <c r="B842" s="188" t="s">
        <v>2203</v>
      </c>
      <c r="C842" s="189" t="s">
        <v>128</v>
      </c>
      <c r="D842" s="189" t="s">
        <v>123</v>
      </c>
      <c r="E842" s="190" t="s">
        <v>981</v>
      </c>
      <c r="F842" s="191">
        <f t="shared" si="14"/>
        <v>242.75</v>
      </c>
      <c r="G842" s="185"/>
      <c r="H842" s="181"/>
      <c r="I842" s="74"/>
      <c r="J842" s="74"/>
      <c r="M842" s="185"/>
      <c r="N842" s="185"/>
      <c r="O842" s="185"/>
      <c r="P842" s="185"/>
      <c r="Q842" s="185"/>
      <c r="R842" s="185"/>
    </row>
    <row r="843" spans="1:18" s="197" customFormat="1" ht="12.75" x14ac:dyDescent="0.2">
      <c r="A843" s="181"/>
      <c r="B843" s="188" t="s">
        <v>2204</v>
      </c>
      <c r="C843" s="189" t="s">
        <v>142</v>
      </c>
      <c r="D843" s="189" t="s">
        <v>132</v>
      </c>
      <c r="E843" s="190" t="s">
        <v>2205</v>
      </c>
      <c r="F843" s="191">
        <f t="shared" ref="F843:F906" si="15">HOUR(E843)*60+MINUTE(E843)+SECOND(E843)/60</f>
        <v>269.01666666666665</v>
      </c>
      <c r="G843" s="185"/>
      <c r="H843" s="181"/>
      <c r="I843" s="74"/>
      <c r="J843" s="74"/>
      <c r="M843" s="185"/>
      <c r="N843" s="185"/>
      <c r="O843" s="185"/>
      <c r="P843" s="185"/>
      <c r="Q843" s="185"/>
      <c r="R843" s="185"/>
    </row>
    <row r="844" spans="1:18" s="197" customFormat="1" ht="12.75" x14ac:dyDescent="0.2">
      <c r="A844" s="181"/>
      <c r="B844" s="188" t="s">
        <v>2206</v>
      </c>
      <c r="C844" s="189" t="s">
        <v>124</v>
      </c>
      <c r="D844" s="189" t="s">
        <v>123</v>
      </c>
      <c r="E844" s="190" t="s">
        <v>2207</v>
      </c>
      <c r="F844" s="191">
        <f t="shared" si="15"/>
        <v>235.61666666666667</v>
      </c>
      <c r="G844" s="185"/>
      <c r="H844" s="181"/>
      <c r="I844" s="74"/>
      <c r="J844" s="74"/>
      <c r="M844" s="185"/>
      <c r="N844" s="185"/>
      <c r="O844" s="185"/>
      <c r="P844" s="185"/>
      <c r="Q844" s="185"/>
      <c r="R844" s="185"/>
    </row>
    <row r="845" spans="1:18" s="197" customFormat="1" ht="12.75" x14ac:dyDescent="0.2">
      <c r="A845" s="181"/>
      <c r="B845" s="188" t="s">
        <v>526</v>
      </c>
      <c r="C845" s="189" t="s">
        <v>142</v>
      </c>
      <c r="D845" s="189" t="s">
        <v>123</v>
      </c>
      <c r="E845" s="190" t="s">
        <v>2208</v>
      </c>
      <c r="F845" s="191">
        <f t="shared" si="15"/>
        <v>278.93333333333334</v>
      </c>
      <c r="G845" s="185"/>
      <c r="H845" s="181"/>
      <c r="I845" s="74"/>
      <c r="J845" s="74"/>
      <c r="M845" s="185"/>
      <c r="N845" s="185"/>
      <c r="O845" s="185"/>
      <c r="P845" s="185"/>
      <c r="Q845" s="185"/>
      <c r="R845" s="185"/>
    </row>
    <row r="846" spans="1:18" s="197" customFormat="1" ht="12.75" x14ac:dyDescent="0.2">
      <c r="A846" s="181"/>
      <c r="B846" s="188" t="s">
        <v>2209</v>
      </c>
      <c r="C846" s="189" t="s">
        <v>128</v>
      </c>
      <c r="D846" s="189" t="s">
        <v>427</v>
      </c>
      <c r="E846" s="190" t="s">
        <v>2210</v>
      </c>
      <c r="F846" s="191">
        <f t="shared" si="15"/>
        <v>331.6</v>
      </c>
      <c r="G846" s="185"/>
      <c r="H846" s="181"/>
      <c r="I846" s="74"/>
      <c r="J846" s="74"/>
      <c r="M846" s="185"/>
      <c r="N846" s="185"/>
      <c r="O846" s="185"/>
      <c r="P846" s="185"/>
      <c r="Q846" s="185"/>
      <c r="R846" s="185"/>
    </row>
    <row r="847" spans="1:18" s="197" customFormat="1" ht="12.75" x14ac:dyDescent="0.2">
      <c r="A847" s="181"/>
      <c r="B847" s="188" t="s">
        <v>2211</v>
      </c>
      <c r="C847" s="189" t="s">
        <v>130</v>
      </c>
      <c r="D847" s="189" t="s">
        <v>152</v>
      </c>
      <c r="E847" s="190" t="s">
        <v>2212</v>
      </c>
      <c r="F847" s="191">
        <f t="shared" si="15"/>
        <v>248.35</v>
      </c>
      <c r="G847" s="185"/>
      <c r="H847" s="181"/>
      <c r="I847" s="74"/>
      <c r="J847" s="74"/>
      <c r="M847" s="185"/>
      <c r="N847" s="185"/>
      <c r="O847" s="185"/>
      <c r="P847" s="185"/>
      <c r="Q847" s="185"/>
      <c r="R847" s="185"/>
    </row>
    <row r="848" spans="1:18" s="197" customFormat="1" ht="12.75" x14ac:dyDescent="0.2">
      <c r="A848" s="181"/>
      <c r="B848" s="188" t="s">
        <v>2213</v>
      </c>
      <c r="C848" s="189" t="s">
        <v>249</v>
      </c>
      <c r="D848" s="189" t="s">
        <v>123</v>
      </c>
      <c r="E848" s="190" t="s">
        <v>2214</v>
      </c>
      <c r="F848" s="191">
        <f t="shared" si="15"/>
        <v>240.86666666666667</v>
      </c>
      <c r="G848" s="185"/>
      <c r="H848" s="181"/>
      <c r="I848" s="74"/>
      <c r="J848" s="74"/>
      <c r="M848" s="185"/>
      <c r="N848" s="185"/>
      <c r="O848" s="185"/>
      <c r="P848" s="185"/>
      <c r="Q848" s="185"/>
      <c r="R848" s="185"/>
    </row>
    <row r="849" spans="1:18" s="197" customFormat="1" ht="12.75" x14ac:dyDescent="0.2">
      <c r="A849" s="181"/>
      <c r="B849" s="188" t="s">
        <v>2215</v>
      </c>
      <c r="C849" s="189" t="s">
        <v>134</v>
      </c>
      <c r="D849" s="189" t="s">
        <v>173</v>
      </c>
      <c r="E849" s="190" t="s">
        <v>2216</v>
      </c>
      <c r="F849" s="191">
        <f t="shared" si="15"/>
        <v>269.08333333333331</v>
      </c>
      <c r="G849" s="185"/>
      <c r="H849" s="181"/>
      <c r="I849" s="74"/>
      <c r="J849" s="74"/>
      <c r="M849" s="185"/>
      <c r="N849" s="185"/>
      <c r="O849" s="185"/>
      <c r="P849" s="185"/>
      <c r="Q849" s="185"/>
      <c r="R849" s="185"/>
    </row>
    <row r="850" spans="1:18" s="197" customFormat="1" ht="12.75" x14ac:dyDescent="0.2">
      <c r="A850" s="181"/>
      <c r="B850" s="188" t="s">
        <v>2217</v>
      </c>
      <c r="C850" s="189" t="s">
        <v>124</v>
      </c>
      <c r="D850" s="189" t="s">
        <v>132</v>
      </c>
      <c r="E850" s="190" t="s">
        <v>2218</v>
      </c>
      <c r="F850" s="191">
        <f t="shared" si="15"/>
        <v>208.1</v>
      </c>
      <c r="G850" s="185"/>
      <c r="H850" s="181"/>
      <c r="I850" s="74"/>
      <c r="J850" s="74"/>
      <c r="M850" s="185"/>
      <c r="N850" s="185"/>
      <c r="O850" s="185"/>
      <c r="P850" s="185"/>
      <c r="Q850" s="185"/>
      <c r="R850" s="185"/>
    </row>
    <row r="851" spans="1:18" s="197" customFormat="1" ht="12.75" x14ac:dyDescent="0.2">
      <c r="A851" s="181"/>
      <c r="B851" s="188" t="s">
        <v>2219</v>
      </c>
      <c r="C851" s="189" t="s">
        <v>140</v>
      </c>
      <c r="D851" s="189" t="s">
        <v>171</v>
      </c>
      <c r="E851" s="190" t="s">
        <v>2220</v>
      </c>
      <c r="F851" s="191">
        <f t="shared" si="15"/>
        <v>332.83333333333331</v>
      </c>
      <c r="G851" s="185"/>
      <c r="H851" s="181"/>
      <c r="I851" s="74"/>
      <c r="J851" s="74"/>
      <c r="M851" s="185"/>
      <c r="N851" s="185"/>
      <c r="O851" s="185"/>
      <c r="P851" s="185"/>
      <c r="Q851" s="185"/>
      <c r="R851" s="185"/>
    </row>
    <row r="852" spans="1:18" s="197" customFormat="1" ht="12.75" x14ac:dyDescent="0.2">
      <c r="A852" s="181"/>
      <c r="B852" s="188" t="s">
        <v>2221</v>
      </c>
      <c r="C852" s="189" t="s">
        <v>128</v>
      </c>
      <c r="D852" s="189" t="s">
        <v>149</v>
      </c>
      <c r="E852" s="190" t="s">
        <v>1178</v>
      </c>
      <c r="F852" s="191">
        <f t="shared" si="15"/>
        <v>253.63333333333333</v>
      </c>
      <c r="G852" s="185"/>
      <c r="H852" s="181"/>
      <c r="I852" s="74"/>
      <c r="J852" s="74"/>
      <c r="M852" s="185"/>
      <c r="N852" s="185"/>
      <c r="O852" s="185"/>
      <c r="P852" s="185"/>
      <c r="Q852" s="185"/>
      <c r="R852" s="185"/>
    </row>
    <row r="853" spans="1:18" s="197" customFormat="1" ht="12.75" x14ac:dyDescent="0.2">
      <c r="A853" s="181"/>
      <c r="B853" s="188" t="s">
        <v>2222</v>
      </c>
      <c r="C853" s="189" t="s">
        <v>128</v>
      </c>
      <c r="D853" s="189" t="s">
        <v>123</v>
      </c>
      <c r="E853" s="190" t="s">
        <v>2223</v>
      </c>
      <c r="F853" s="191">
        <f t="shared" si="15"/>
        <v>266.33333333333331</v>
      </c>
      <c r="G853" s="185"/>
      <c r="H853" s="181"/>
      <c r="I853" s="74"/>
      <c r="J853" s="74"/>
      <c r="M853" s="185"/>
      <c r="N853" s="185"/>
      <c r="O853" s="185"/>
      <c r="P853" s="185"/>
      <c r="Q853" s="185"/>
      <c r="R853" s="185"/>
    </row>
    <row r="854" spans="1:18" s="197" customFormat="1" ht="12.75" x14ac:dyDescent="0.2">
      <c r="A854" s="181"/>
      <c r="B854" s="188" t="s">
        <v>2224</v>
      </c>
      <c r="C854" s="189" t="s">
        <v>134</v>
      </c>
      <c r="D854" s="189" t="s">
        <v>141</v>
      </c>
      <c r="E854" s="190" t="s">
        <v>2225</v>
      </c>
      <c r="F854" s="191">
        <f t="shared" si="15"/>
        <v>187.65</v>
      </c>
      <c r="G854" s="185"/>
      <c r="H854" s="181"/>
      <c r="I854" s="74"/>
      <c r="J854" s="74"/>
      <c r="M854" s="185"/>
      <c r="N854" s="185"/>
      <c r="O854" s="185"/>
      <c r="P854" s="185"/>
      <c r="Q854" s="185"/>
      <c r="R854" s="185"/>
    </row>
    <row r="855" spans="1:18" s="197" customFormat="1" ht="12.75" x14ac:dyDescent="0.2">
      <c r="A855" s="181"/>
      <c r="B855" s="188" t="s">
        <v>2226</v>
      </c>
      <c r="C855" s="189" t="s">
        <v>124</v>
      </c>
      <c r="D855" s="189" t="s">
        <v>129</v>
      </c>
      <c r="E855" s="190" t="s">
        <v>2227</v>
      </c>
      <c r="F855" s="191">
        <f t="shared" si="15"/>
        <v>196.36666666666667</v>
      </c>
      <c r="G855" s="185"/>
      <c r="H855" s="181"/>
      <c r="I855" s="74"/>
      <c r="J855" s="74"/>
      <c r="M855" s="185"/>
      <c r="N855" s="185"/>
      <c r="O855" s="185"/>
      <c r="P855" s="185"/>
      <c r="Q855" s="185"/>
      <c r="R855" s="185"/>
    </row>
    <row r="856" spans="1:18" s="197" customFormat="1" ht="12.75" x14ac:dyDescent="0.2">
      <c r="A856" s="181"/>
      <c r="B856" s="188" t="s">
        <v>2228</v>
      </c>
      <c r="C856" s="189" t="s">
        <v>130</v>
      </c>
      <c r="D856" s="189" t="s">
        <v>123</v>
      </c>
      <c r="E856" s="190" t="s">
        <v>2229</v>
      </c>
      <c r="F856" s="191">
        <f t="shared" si="15"/>
        <v>240.63333333333333</v>
      </c>
      <c r="G856" s="185"/>
      <c r="H856" s="181"/>
      <c r="I856" s="74"/>
      <c r="J856" s="74"/>
      <c r="M856" s="185"/>
      <c r="N856" s="185"/>
      <c r="O856" s="185"/>
      <c r="P856" s="185"/>
      <c r="Q856" s="185"/>
      <c r="R856" s="185"/>
    </row>
    <row r="857" spans="1:18" s="197" customFormat="1" ht="12.75" x14ac:dyDescent="0.2">
      <c r="A857" s="181"/>
      <c r="B857" s="188" t="s">
        <v>635</v>
      </c>
      <c r="C857" s="189" t="s">
        <v>142</v>
      </c>
      <c r="D857" s="189" t="s">
        <v>123</v>
      </c>
      <c r="E857" s="190" t="s">
        <v>2230</v>
      </c>
      <c r="F857" s="191">
        <f t="shared" si="15"/>
        <v>233.31666666666666</v>
      </c>
      <c r="G857" s="185"/>
      <c r="H857" s="181"/>
      <c r="I857" s="74"/>
      <c r="J857" s="74"/>
      <c r="M857" s="185"/>
      <c r="N857" s="185"/>
      <c r="O857" s="185"/>
      <c r="P857" s="185"/>
      <c r="Q857" s="185"/>
      <c r="R857" s="185"/>
    </row>
    <row r="858" spans="1:18" s="197" customFormat="1" ht="12.75" x14ac:dyDescent="0.2">
      <c r="A858" s="181"/>
      <c r="B858" s="188" t="s">
        <v>2231</v>
      </c>
      <c r="C858" s="189" t="s">
        <v>126</v>
      </c>
      <c r="D858" s="189" t="s">
        <v>139</v>
      </c>
      <c r="E858" s="190" t="s">
        <v>2232</v>
      </c>
      <c r="F858" s="191">
        <f t="shared" si="15"/>
        <v>165.91666666666666</v>
      </c>
      <c r="G858" s="185"/>
      <c r="H858" s="181"/>
      <c r="I858" s="74"/>
      <c r="J858" s="74"/>
      <c r="M858" s="185"/>
      <c r="N858" s="185"/>
      <c r="O858" s="185"/>
      <c r="P858" s="185"/>
      <c r="Q858" s="185"/>
      <c r="R858" s="185"/>
    </row>
    <row r="859" spans="1:18" s="197" customFormat="1" ht="12.75" x14ac:dyDescent="0.2">
      <c r="A859" s="181"/>
      <c r="B859" s="188" t="s">
        <v>2233</v>
      </c>
      <c r="C859" s="189" t="s">
        <v>125</v>
      </c>
      <c r="D859" s="189" t="s">
        <v>123</v>
      </c>
      <c r="E859" s="190" t="s">
        <v>2234</v>
      </c>
      <c r="F859" s="191">
        <f t="shared" si="15"/>
        <v>250.2</v>
      </c>
      <c r="G859" s="185"/>
      <c r="H859" s="181"/>
      <c r="I859" s="74"/>
      <c r="J859" s="74"/>
      <c r="M859" s="185"/>
      <c r="N859" s="185"/>
      <c r="O859" s="185"/>
      <c r="P859" s="185"/>
      <c r="Q859" s="185"/>
      <c r="R859" s="185"/>
    </row>
    <row r="860" spans="1:18" s="197" customFormat="1" ht="12.75" x14ac:dyDescent="0.2">
      <c r="A860" s="181"/>
      <c r="B860" s="188" t="s">
        <v>310</v>
      </c>
      <c r="C860" s="189" t="s">
        <v>125</v>
      </c>
      <c r="D860" s="189" t="s">
        <v>123</v>
      </c>
      <c r="E860" s="190" t="s">
        <v>2235</v>
      </c>
      <c r="F860" s="191">
        <f t="shared" si="15"/>
        <v>306.45</v>
      </c>
      <c r="G860" s="185"/>
      <c r="H860" s="181"/>
      <c r="I860" s="74"/>
      <c r="J860" s="74"/>
      <c r="M860" s="185"/>
      <c r="N860" s="185"/>
      <c r="O860" s="185"/>
      <c r="P860" s="185"/>
      <c r="Q860" s="185"/>
      <c r="R860" s="185"/>
    </row>
    <row r="861" spans="1:18" s="197" customFormat="1" ht="12.75" x14ac:dyDescent="0.2">
      <c r="A861" s="181"/>
      <c r="B861" s="188" t="s">
        <v>2236</v>
      </c>
      <c r="C861" s="189" t="s">
        <v>124</v>
      </c>
      <c r="D861" s="189" t="s">
        <v>160</v>
      </c>
      <c r="E861" s="190" t="s">
        <v>2237</v>
      </c>
      <c r="F861" s="191">
        <f t="shared" si="15"/>
        <v>229.85</v>
      </c>
      <c r="G861" s="185"/>
      <c r="H861" s="181"/>
      <c r="I861" s="74"/>
      <c r="J861" s="74"/>
      <c r="M861" s="185"/>
      <c r="N861" s="185"/>
      <c r="O861" s="185"/>
      <c r="P861" s="185"/>
      <c r="Q861" s="185"/>
      <c r="R861" s="185"/>
    </row>
    <row r="862" spans="1:18" s="197" customFormat="1" ht="12.75" x14ac:dyDescent="0.2">
      <c r="A862" s="181"/>
      <c r="B862" s="188" t="s">
        <v>2238</v>
      </c>
      <c r="C862" s="189" t="s">
        <v>125</v>
      </c>
      <c r="D862" s="189" t="s">
        <v>123</v>
      </c>
      <c r="E862" s="190" t="s">
        <v>2239</v>
      </c>
      <c r="F862" s="191">
        <f t="shared" si="15"/>
        <v>235.31666666666666</v>
      </c>
      <c r="G862" s="185"/>
      <c r="H862" s="181"/>
      <c r="I862" s="74"/>
      <c r="J862" s="74"/>
      <c r="M862" s="185"/>
      <c r="N862" s="185"/>
      <c r="O862" s="185"/>
      <c r="P862" s="185"/>
      <c r="Q862" s="185"/>
      <c r="R862" s="185"/>
    </row>
    <row r="863" spans="1:18" s="197" customFormat="1" ht="12.75" x14ac:dyDescent="0.2">
      <c r="A863" s="181"/>
      <c r="B863" s="188" t="s">
        <v>2240</v>
      </c>
      <c r="C863" s="189" t="s">
        <v>124</v>
      </c>
      <c r="D863" s="189" t="s">
        <v>123</v>
      </c>
      <c r="E863" s="190" t="s">
        <v>2241</v>
      </c>
      <c r="F863" s="191">
        <f t="shared" si="15"/>
        <v>289.93333333333334</v>
      </c>
      <c r="G863" s="185"/>
      <c r="H863" s="181"/>
      <c r="I863" s="74"/>
      <c r="J863" s="74"/>
      <c r="M863" s="185"/>
      <c r="N863" s="185"/>
      <c r="O863" s="185"/>
      <c r="P863" s="185"/>
      <c r="Q863" s="185"/>
      <c r="R863" s="185"/>
    </row>
    <row r="864" spans="1:18" s="197" customFormat="1" ht="12.75" x14ac:dyDescent="0.2">
      <c r="A864" s="181"/>
      <c r="B864" s="188" t="s">
        <v>2242</v>
      </c>
      <c r="C864" s="189" t="s">
        <v>124</v>
      </c>
      <c r="D864" s="189" t="s">
        <v>123</v>
      </c>
      <c r="E864" s="190" t="s">
        <v>2243</v>
      </c>
      <c r="F864" s="191">
        <f t="shared" si="15"/>
        <v>340.58333333333331</v>
      </c>
      <c r="G864" s="185"/>
      <c r="H864" s="181"/>
      <c r="I864" s="74"/>
      <c r="J864" s="74"/>
      <c r="M864" s="185"/>
      <c r="N864" s="185"/>
      <c r="O864" s="185"/>
      <c r="P864" s="185"/>
      <c r="Q864" s="185"/>
      <c r="R864" s="185"/>
    </row>
    <row r="865" spans="1:18" s="197" customFormat="1" ht="12.75" x14ac:dyDescent="0.2">
      <c r="A865" s="181"/>
      <c r="B865" s="188" t="s">
        <v>2244</v>
      </c>
      <c r="C865" s="189" t="s">
        <v>125</v>
      </c>
      <c r="D865" s="189" t="s">
        <v>123</v>
      </c>
      <c r="E865" s="190" t="s">
        <v>2245</v>
      </c>
      <c r="F865" s="191">
        <f t="shared" si="15"/>
        <v>216.31666666666666</v>
      </c>
      <c r="G865" s="185"/>
      <c r="H865" s="181"/>
      <c r="I865" s="74"/>
      <c r="J865" s="74"/>
      <c r="M865" s="185"/>
      <c r="N865" s="185"/>
      <c r="O865" s="185"/>
      <c r="P865" s="185"/>
      <c r="Q865" s="185"/>
      <c r="R865" s="185"/>
    </row>
    <row r="866" spans="1:18" s="197" customFormat="1" ht="12.75" x14ac:dyDescent="0.2">
      <c r="A866" s="181"/>
      <c r="B866" s="188" t="s">
        <v>511</v>
      </c>
      <c r="C866" s="189" t="s">
        <v>125</v>
      </c>
      <c r="D866" s="189" t="s">
        <v>123</v>
      </c>
      <c r="E866" s="190" t="s">
        <v>2246</v>
      </c>
      <c r="F866" s="191">
        <f t="shared" si="15"/>
        <v>208.86666666666667</v>
      </c>
      <c r="G866" s="185"/>
      <c r="H866" s="181"/>
      <c r="I866" s="74"/>
      <c r="J866" s="74"/>
      <c r="M866" s="185"/>
      <c r="N866" s="185"/>
      <c r="O866" s="185"/>
      <c r="P866" s="185"/>
      <c r="Q866" s="185"/>
      <c r="R866" s="185"/>
    </row>
    <row r="867" spans="1:18" s="197" customFormat="1" ht="12.75" x14ac:dyDescent="0.2">
      <c r="A867" s="181"/>
      <c r="B867" s="188" t="s">
        <v>2247</v>
      </c>
      <c r="C867" s="189" t="s">
        <v>128</v>
      </c>
      <c r="D867" s="189" t="s">
        <v>132</v>
      </c>
      <c r="E867" s="190" t="s">
        <v>2248</v>
      </c>
      <c r="F867" s="191">
        <f t="shared" si="15"/>
        <v>310.38333333333333</v>
      </c>
      <c r="G867" s="185"/>
      <c r="H867" s="181"/>
      <c r="I867" s="74"/>
      <c r="J867" s="74"/>
      <c r="M867" s="185"/>
      <c r="N867" s="185"/>
      <c r="O867" s="185"/>
      <c r="P867" s="185"/>
      <c r="Q867" s="185"/>
      <c r="R867" s="185"/>
    </row>
    <row r="868" spans="1:18" s="197" customFormat="1" ht="12.75" x14ac:dyDescent="0.2">
      <c r="A868" s="181"/>
      <c r="B868" s="188" t="s">
        <v>457</v>
      </c>
      <c r="C868" s="189" t="s">
        <v>124</v>
      </c>
      <c r="D868" s="189" t="s">
        <v>123</v>
      </c>
      <c r="E868" s="190" t="s">
        <v>2249</v>
      </c>
      <c r="F868" s="191">
        <f t="shared" si="15"/>
        <v>332.8</v>
      </c>
      <c r="G868" s="185"/>
      <c r="H868" s="181"/>
      <c r="I868" s="74"/>
      <c r="J868" s="74"/>
      <c r="M868" s="185"/>
      <c r="N868" s="185"/>
      <c r="O868" s="185"/>
      <c r="P868" s="185"/>
      <c r="Q868" s="185"/>
      <c r="R868" s="185"/>
    </row>
    <row r="869" spans="1:18" s="197" customFormat="1" ht="12.75" x14ac:dyDescent="0.2">
      <c r="A869" s="181"/>
      <c r="B869" s="188" t="s">
        <v>303</v>
      </c>
      <c r="C869" s="189" t="s">
        <v>134</v>
      </c>
      <c r="D869" s="189" t="s">
        <v>123</v>
      </c>
      <c r="E869" s="190" t="s">
        <v>1552</v>
      </c>
      <c r="F869" s="191">
        <f t="shared" si="15"/>
        <v>240.7</v>
      </c>
      <c r="G869" s="185"/>
      <c r="H869" s="181"/>
      <c r="I869" s="74"/>
      <c r="J869" s="74"/>
      <c r="M869" s="185"/>
      <c r="N869" s="185"/>
      <c r="O869" s="185"/>
      <c r="P869" s="185"/>
      <c r="Q869" s="185"/>
      <c r="R869" s="185"/>
    </row>
    <row r="870" spans="1:18" s="197" customFormat="1" ht="12.75" x14ac:dyDescent="0.2">
      <c r="A870" s="181"/>
      <c r="B870" s="188" t="s">
        <v>2250</v>
      </c>
      <c r="C870" s="189" t="s">
        <v>124</v>
      </c>
      <c r="D870" s="189" t="s">
        <v>123</v>
      </c>
      <c r="E870" s="190" t="s">
        <v>2251</v>
      </c>
      <c r="F870" s="191">
        <f t="shared" si="15"/>
        <v>267.83333333333331</v>
      </c>
      <c r="G870" s="185"/>
      <c r="H870" s="181"/>
      <c r="I870" s="74"/>
      <c r="J870" s="74"/>
      <c r="M870" s="185"/>
      <c r="N870" s="185"/>
      <c r="O870" s="185"/>
      <c r="P870" s="185"/>
      <c r="Q870" s="185"/>
      <c r="R870" s="185"/>
    </row>
    <row r="871" spans="1:18" s="197" customFormat="1" ht="12.75" x14ac:dyDescent="0.2">
      <c r="A871" s="181"/>
      <c r="B871" s="188" t="s">
        <v>553</v>
      </c>
      <c r="C871" s="189" t="s">
        <v>124</v>
      </c>
      <c r="D871" s="189" t="s">
        <v>123</v>
      </c>
      <c r="E871" s="190" t="s">
        <v>2252</v>
      </c>
      <c r="F871" s="191">
        <f t="shared" si="15"/>
        <v>287.98333333333335</v>
      </c>
      <c r="G871" s="185"/>
      <c r="H871" s="181"/>
      <c r="I871" s="74"/>
      <c r="J871" s="74"/>
      <c r="M871" s="185"/>
      <c r="N871" s="185"/>
      <c r="O871" s="185"/>
      <c r="P871" s="185"/>
      <c r="Q871" s="185"/>
      <c r="R871" s="185"/>
    </row>
    <row r="872" spans="1:18" s="197" customFormat="1" ht="12.75" x14ac:dyDescent="0.2">
      <c r="A872" s="181"/>
      <c r="B872" s="188" t="s">
        <v>2253</v>
      </c>
      <c r="C872" s="189" t="s">
        <v>140</v>
      </c>
      <c r="D872" s="189" t="s">
        <v>155</v>
      </c>
      <c r="E872" s="190" t="s">
        <v>2254</v>
      </c>
      <c r="F872" s="191">
        <f t="shared" si="15"/>
        <v>298.18333333333334</v>
      </c>
      <c r="G872" s="185"/>
      <c r="H872" s="181"/>
      <c r="I872" s="74"/>
      <c r="J872" s="74"/>
      <c r="M872" s="185"/>
      <c r="N872" s="185"/>
      <c r="O872" s="185"/>
      <c r="P872" s="185"/>
      <c r="Q872" s="185"/>
      <c r="R872" s="185"/>
    </row>
    <row r="873" spans="1:18" s="197" customFormat="1" ht="12.75" x14ac:dyDescent="0.2">
      <c r="A873" s="181"/>
      <c r="B873" s="188" t="s">
        <v>2255</v>
      </c>
      <c r="C873" s="189" t="s">
        <v>128</v>
      </c>
      <c r="D873" s="189" t="s">
        <v>123</v>
      </c>
      <c r="E873" s="190" t="s">
        <v>2256</v>
      </c>
      <c r="F873" s="191">
        <f t="shared" si="15"/>
        <v>262.39999999999998</v>
      </c>
      <c r="G873" s="185"/>
      <c r="H873" s="181"/>
      <c r="I873" s="74"/>
      <c r="J873" s="74"/>
      <c r="M873" s="185"/>
      <c r="N873" s="185"/>
      <c r="O873" s="185"/>
      <c r="P873" s="185"/>
      <c r="Q873" s="185"/>
      <c r="R873" s="185"/>
    </row>
    <row r="874" spans="1:18" s="197" customFormat="1" ht="12.75" x14ac:dyDescent="0.2">
      <c r="A874" s="181"/>
      <c r="B874" s="188" t="s">
        <v>2257</v>
      </c>
      <c r="C874" s="189" t="s">
        <v>125</v>
      </c>
      <c r="D874" s="189" t="s">
        <v>123</v>
      </c>
      <c r="E874" s="190" t="s">
        <v>2258</v>
      </c>
      <c r="F874" s="191">
        <f t="shared" si="15"/>
        <v>178.36666666666667</v>
      </c>
      <c r="G874" s="185"/>
      <c r="H874" s="181"/>
      <c r="I874" s="74"/>
      <c r="J874" s="74"/>
      <c r="M874" s="185"/>
      <c r="N874" s="185"/>
      <c r="O874" s="185"/>
      <c r="P874" s="185"/>
      <c r="Q874" s="185"/>
      <c r="R874" s="185"/>
    </row>
    <row r="875" spans="1:18" s="197" customFormat="1" ht="12.75" x14ac:dyDescent="0.2">
      <c r="A875" s="181"/>
      <c r="B875" s="188" t="s">
        <v>2259</v>
      </c>
      <c r="C875" s="189" t="s">
        <v>134</v>
      </c>
      <c r="D875" s="189" t="s">
        <v>2260</v>
      </c>
      <c r="E875" s="190" t="s">
        <v>2261</v>
      </c>
      <c r="F875" s="191">
        <f t="shared" si="15"/>
        <v>206.06666666666666</v>
      </c>
      <c r="G875" s="185"/>
      <c r="H875" s="181"/>
      <c r="I875" s="74"/>
      <c r="J875" s="74"/>
      <c r="M875" s="185"/>
      <c r="N875" s="185"/>
      <c r="O875" s="185"/>
      <c r="P875" s="185"/>
      <c r="Q875" s="185"/>
      <c r="R875" s="185"/>
    </row>
    <row r="876" spans="1:18" s="197" customFormat="1" ht="12.75" x14ac:dyDescent="0.2">
      <c r="A876" s="181"/>
      <c r="B876" s="188" t="s">
        <v>328</v>
      </c>
      <c r="C876" s="189" t="s">
        <v>124</v>
      </c>
      <c r="D876" s="189" t="s">
        <v>123</v>
      </c>
      <c r="E876" s="190" t="s">
        <v>1529</v>
      </c>
      <c r="F876" s="191">
        <f t="shared" si="15"/>
        <v>272.7</v>
      </c>
      <c r="G876" s="185"/>
      <c r="H876" s="181"/>
      <c r="I876" s="74"/>
      <c r="J876" s="74"/>
      <c r="M876" s="185"/>
      <c r="N876" s="185"/>
      <c r="O876" s="185"/>
      <c r="P876" s="185"/>
      <c r="Q876" s="185"/>
      <c r="R876" s="185"/>
    </row>
    <row r="877" spans="1:18" s="197" customFormat="1" ht="12.75" x14ac:dyDescent="0.2">
      <c r="A877" s="181"/>
      <c r="B877" s="188" t="s">
        <v>2262</v>
      </c>
      <c r="C877" s="189" t="s">
        <v>134</v>
      </c>
      <c r="D877" s="189" t="s">
        <v>123</v>
      </c>
      <c r="E877" s="190" t="s">
        <v>2263</v>
      </c>
      <c r="F877" s="191">
        <f t="shared" si="15"/>
        <v>227.35</v>
      </c>
      <c r="G877" s="185"/>
      <c r="H877" s="181"/>
      <c r="I877" s="74"/>
      <c r="J877" s="74"/>
      <c r="M877" s="185"/>
      <c r="N877" s="185"/>
      <c r="O877" s="185"/>
      <c r="P877" s="185"/>
      <c r="Q877" s="185"/>
      <c r="R877" s="185"/>
    </row>
    <row r="878" spans="1:18" s="197" customFormat="1" ht="12.75" x14ac:dyDescent="0.2">
      <c r="A878" s="181"/>
      <c r="B878" s="188" t="s">
        <v>2264</v>
      </c>
      <c r="C878" s="189" t="s">
        <v>249</v>
      </c>
      <c r="D878" s="189" t="s">
        <v>131</v>
      </c>
      <c r="E878" s="190" t="s">
        <v>2265</v>
      </c>
      <c r="F878" s="191">
        <f t="shared" si="15"/>
        <v>240.25</v>
      </c>
      <c r="G878" s="185"/>
      <c r="H878" s="181"/>
      <c r="I878" s="74"/>
      <c r="J878" s="74"/>
      <c r="M878" s="185"/>
      <c r="N878" s="185"/>
      <c r="O878" s="185"/>
      <c r="P878" s="185"/>
      <c r="Q878" s="185"/>
      <c r="R878" s="185"/>
    </row>
    <row r="879" spans="1:18" s="197" customFormat="1" ht="12.75" x14ac:dyDescent="0.2">
      <c r="A879" s="181"/>
      <c r="B879" s="188" t="s">
        <v>2266</v>
      </c>
      <c r="C879" s="189" t="s">
        <v>126</v>
      </c>
      <c r="D879" s="189" t="s">
        <v>132</v>
      </c>
      <c r="E879" s="190" t="s">
        <v>2267</v>
      </c>
      <c r="F879" s="191">
        <f t="shared" si="15"/>
        <v>194.95</v>
      </c>
      <c r="G879" s="185"/>
      <c r="H879" s="181"/>
      <c r="I879" s="74"/>
      <c r="J879" s="74"/>
      <c r="M879" s="185"/>
      <c r="N879" s="185"/>
      <c r="O879" s="185"/>
      <c r="P879" s="185"/>
      <c r="Q879" s="185"/>
      <c r="R879" s="185"/>
    </row>
    <row r="880" spans="1:18" s="197" customFormat="1" ht="12.75" x14ac:dyDescent="0.2">
      <c r="A880" s="181"/>
      <c r="B880" s="188" t="s">
        <v>2268</v>
      </c>
      <c r="C880" s="189" t="s">
        <v>135</v>
      </c>
      <c r="D880" s="189" t="s">
        <v>155</v>
      </c>
      <c r="E880" s="190" t="s">
        <v>1167</v>
      </c>
      <c r="F880" s="191">
        <f t="shared" si="15"/>
        <v>195.73333333333332</v>
      </c>
      <c r="G880" s="185"/>
      <c r="H880" s="181"/>
      <c r="I880" s="74"/>
      <c r="J880" s="74"/>
      <c r="M880" s="185"/>
      <c r="N880" s="185"/>
      <c r="O880" s="185"/>
      <c r="P880" s="185"/>
      <c r="Q880" s="185"/>
      <c r="R880" s="185"/>
    </row>
    <row r="881" spans="1:18" s="197" customFormat="1" ht="12.75" x14ac:dyDescent="0.2">
      <c r="A881" s="181"/>
      <c r="B881" s="188" t="s">
        <v>2269</v>
      </c>
      <c r="C881" s="189" t="s">
        <v>142</v>
      </c>
      <c r="D881" s="189" t="s">
        <v>123</v>
      </c>
      <c r="E881" s="190" t="s">
        <v>2270</v>
      </c>
      <c r="F881" s="191">
        <f t="shared" si="15"/>
        <v>303.06666666666666</v>
      </c>
      <c r="G881" s="185"/>
      <c r="H881" s="181"/>
      <c r="I881" s="74"/>
      <c r="J881" s="74"/>
      <c r="M881" s="185"/>
      <c r="N881" s="185"/>
      <c r="O881" s="185"/>
      <c r="P881" s="185"/>
      <c r="Q881" s="185"/>
      <c r="R881" s="185"/>
    </row>
    <row r="882" spans="1:18" s="197" customFormat="1" ht="12.75" x14ac:dyDescent="0.2">
      <c r="A882" s="181"/>
      <c r="B882" s="188" t="s">
        <v>320</v>
      </c>
      <c r="C882" s="189" t="s">
        <v>125</v>
      </c>
      <c r="D882" s="189" t="s">
        <v>123</v>
      </c>
      <c r="E882" s="190" t="s">
        <v>2271</v>
      </c>
      <c r="F882" s="191">
        <f t="shared" si="15"/>
        <v>315.2</v>
      </c>
      <c r="G882" s="185"/>
      <c r="H882" s="181"/>
      <c r="I882" s="74"/>
      <c r="J882" s="74"/>
      <c r="M882" s="185"/>
      <c r="N882" s="185"/>
      <c r="O882" s="185"/>
      <c r="P882" s="185"/>
      <c r="Q882" s="185"/>
      <c r="R882" s="185"/>
    </row>
    <row r="883" spans="1:18" s="197" customFormat="1" ht="12.75" x14ac:dyDescent="0.2">
      <c r="A883" s="181"/>
      <c r="B883" s="188" t="s">
        <v>284</v>
      </c>
      <c r="C883" s="189" t="s">
        <v>140</v>
      </c>
      <c r="D883" s="189" t="s">
        <v>123</v>
      </c>
      <c r="E883" s="190" t="s">
        <v>2272</v>
      </c>
      <c r="F883" s="191">
        <f t="shared" si="15"/>
        <v>264.26666666666665</v>
      </c>
      <c r="G883" s="185"/>
      <c r="H883" s="181"/>
      <c r="I883" s="74"/>
      <c r="J883" s="74"/>
      <c r="M883" s="185"/>
      <c r="N883" s="185"/>
      <c r="O883" s="185"/>
      <c r="P883" s="185"/>
      <c r="Q883" s="185"/>
      <c r="R883" s="185"/>
    </row>
    <row r="884" spans="1:18" s="197" customFormat="1" ht="12.75" x14ac:dyDescent="0.2">
      <c r="A884" s="181"/>
      <c r="B884" s="188" t="s">
        <v>2273</v>
      </c>
      <c r="C884" s="189" t="s">
        <v>134</v>
      </c>
      <c r="D884" s="189" t="s">
        <v>123</v>
      </c>
      <c r="E884" s="190" t="s">
        <v>2274</v>
      </c>
      <c r="F884" s="191">
        <f t="shared" si="15"/>
        <v>269.58333333333331</v>
      </c>
      <c r="G884" s="185"/>
      <c r="H884" s="181"/>
      <c r="I884" s="74"/>
      <c r="J884" s="74"/>
      <c r="M884" s="185"/>
      <c r="N884" s="185"/>
      <c r="O884" s="185"/>
      <c r="P884" s="185"/>
      <c r="Q884" s="185"/>
      <c r="R884" s="185"/>
    </row>
    <row r="885" spans="1:18" s="197" customFormat="1" ht="12.75" x14ac:dyDescent="0.2">
      <c r="A885" s="181"/>
      <c r="B885" s="188" t="s">
        <v>2275</v>
      </c>
      <c r="C885" s="189" t="s">
        <v>124</v>
      </c>
      <c r="D885" s="189" t="s">
        <v>138</v>
      </c>
      <c r="E885" s="190" t="s">
        <v>2276</v>
      </c>
      <c r="F885" s="191">
        <f t="shared" si="15"/>
        <v>247.93333333333334</v>
      </c>
      <c r="G885" s="185"/>
      <c r="H885" s="181"/>
      <c r="I885" s="74"/>
      <c r="J885" s="74"/>
      <c r="M885" s="185"/>
      <c r="N885" s="185"/>
      <c r="O885" s="185"/>
      <c r="P885" s="185"/>
      <c r="Q885" s="185"/>
      <c r="R885" s="185"/>
    </row>
    <row r="886" spans="1:18" s="197" customFormat="1" ht="12.75" x14ac:dyDescent="0.2">
      <c r="A886" s="181"/>
      <c r="B886" s="188" t="s">
        <v>2277</v>
      </c>
      <c r="C886" s="189" t="s">
        <v>135</v>
      </c>
      <c r="D886" s="189" t="s">
        <v>123</v>
      </c>
      <c r="E886" s="190" t="s">
        <v>2278</v>
      </c>
      <c r="F886" s="191">
        <f t="shared" si="15"/>
        <v>253.16666666666666</v>
      </c>
      <c r="G886" s="185"/>
      <c r="H886" s="181"/>
      <c r="I886" s="74"/>
      <c r="J886" s="74"/>
      <c r="M886" s="185"/>
      <c r="N886" s="185"/>
      <c r="O886" s="185"/>
      <c r="P886" s="185"/>
      <c r="Q886" s="185"/>
      <c r="R886" s="185"/>
    </row>
    <row r="887" spans="1:18" s="197" customFormat="1" ht="12.75" x14ac:dyDescent="0.2">
      <c r="A887" s="181"/>
      <c r="B887" s="188" t="s">
        <v>2279</v>
      </c>
      <c r="C887" s="189" t="s">
        <v>126</v>
      </c>
      <c r="D887" s="189" t="s">
        <v>123</v>
      </c>
      <c r="E887" s="190" t="s">
        <v>2280</v>
      </c>
      <c r="F887" s="191">
        <f t="shared" si="15"/>
        <v>268.13333333333333</v>
      </c>
      <c r="G887" s="185"/>
      <c r="H887" s="181"/>
      <c r="I887" s="74"/>
      <c r="J887" s="74"/>
      <c r="M887" s="185"/>
      <c r="N887" s="185"/>
      <c r="O887" s="185"/>
      <c r="P887" s="185"/>
      <c r="Q887" s="185"/>
      <c r="R887" s="185"/>
    </row>
    <row r="888" spans="1:18" s="197" customFormat="1" ht="12.75" x14ac:dyDescent="0.2">
      <c r="A888" s="181"/>
      <c r="B888" s="188" t="s">
        <v>2281</v>
      </c>
      <c r="C888" s="189" t="s">
        <v>124</v>
      </c>
      <c r="D888" s="189" t="s">
        <v>123</v>
      </c>
      <c r="E888" s="190" t="s">
        <v>2282</v>
      </c>
      <c r="F888" s="191">
        <f t="shared" si="15"/>
        <v>195.1</v>
      </c>
      <c r="G888" s="185"/>
      <c r="H888" s="181"/>
      <c r="I888" s="74"/>
      <c r="J888" s="74"/>
      <c r="M888" s="185"/>
      <c r="N888" s="185"/>
      <c r="O888" s="185"/>
      <c r="P888" s="185"/>
      <c r="Q888" s="185"/>
      <c r="R888" s="185"/>
    </row>
    <row r="889" spans="1:18" s="197" customFormat="1" ht="12.75" x14ac:dyDescent="0.2">
      <c r="A889" s="181"/>
      <c r="B889" s="188" t="s">
        <v>237</v>
      </c>
      <c r="C889" s="189" t="s">
        <v>124</v>
      </c>
      <c r="D889" s="189" t="s">
        <v>123</v>
      </c>
      <c r="E889" s="190" t="s">
        <v>2283</v>
      </c>
      <c r="F889" s="191">
        <f t="shared" si="15"/>
        <v>266.39999999999998</v>
      </c>
      <c r="G889" s="185"/>
      <c r="H889" s="181"/>
      <c r="I889" s="74"/>
      <c r="J889" s="74"/>
      <c r="M889" s="185"/>
      <c r="N889" s="185"/>
      <c r="O889" s="185"/>
      <c r="P889" s="185"/>
      <c r="Q889" s="185"/>
      <c r="R889" s="185"/>
    </row>
    <row r="890" spans="1:18" s="197" customFormat="1" ht="12.75" x14ac:dyDescent="0.2">
      <c r="A890" s="181"/>
      <c r="B890" s="188" t="s">
        <v>2284</v>
      </c>
      <c r="C890" s="189" t="s">
        <v>126</v>
      </c>
      <c r="D890" s="189" t="s">
        <v>132</v>
      </c>
      <c r="E890" s="190" t="s">
        <v>2285</v>
      </c>
      <c r="F890" s="191">
        <f t="shared" si="15"/>
        <v>205.3</v>
      </c>
      <c r="G890" s="185"/>
      <c r="H890" s="181"/>
      <c r="I890" s="74"/>
      <c r="J890" s="74"/>
      <c r="M890" s="185"/>
      <c r="N890" s="185"/>
      <c r="O890" s="185"/>
      <c r="P890" s="185"/>
      <c r="Q890" s="185"/>
      <c r="R890" s="185"/>
    </row>
    <row r="891" spans="1:18" s="197" customFormat="1" ht="12.75" x14ac:dyDescent="0.2">
      <c r="A891" s="181"/>
      <c r="B891" s="188" t="s">
        <v>1678</v>
      </c>
      <c r="C891" s="189" t="s">
        <v>125</v>
      </c>
      <c r="D891" s="189" t="s">
        <v>223</v>
      </c>
      <c r="E891" s="190" t="s">
        <v>1679</v>
      </c>
      <c r="F891" s="191">
        <f t="shared" si="15"/>
        <v>222.08333333333334</v>
      </c>
      <c r="G891" s="185"/>
      <c r="H891" s="181"/>
      <c r="I891" s="74"/>
      <c r="J891" s="74"/>
      <c r="M891" s="185"/>
      <c r="N891" s="185"/>
      <c r="O891" s="185"/>
      <c r="P891" s="185"/>
      <c r="Q891" s="185"/>
      <c r="R891" s="185"/>
    </row>
    <row r="892" spans="1:18" s="197" customFormat="1" ht="12.75" x14ac:dyDescent="0.2">
      <c r="A892" s="181"/>
      <c r="B892" s="188" t="s">
        <v>2286</v>
      </c>
      <c r="C892" s="189" t="s">
        <v>142</v>
      </c>
      <c r="D892" s="189" t="s">
        <v>165</v>
      </c>
      <c r="E892" s="190" t="s">
        <v>2287</v>
      </c>
      <c r="F892" s="191">
        <f t="shared" si="15"/>
        <v>264.13333333333333</v>
      </c>
      <c r="G892" s="185"/>
      <c r="H892" s="181"/>
      <c r="I892" s="74"/>
      <c r="J892" s="74"/>
      <c r="M892" s="185"/>
      <c r="N892" s="185"/>
      <c r="O892" s="185"/>
      <c r="P892" s="185"/>
      <c r="Q892" s="185"/>
      <c r="R892" s="185"/>
    </row>
    <row r="893" spans="1:18" s="197" customFormat="1" ht="12.75" x14ac:dyDescent="0.2">
      <c r="A893" s="181"/>
      <c r="B893" s="188" t="s">
        <v>2288</v>
      </c>
      <c r="C893" s="189" t="s">
        <v>142</v>
      </c>
      <c r="D893" s="189" t="s">
        <v>123</v>
      </c>
      <c r="E893" s="190" t="s">
        <v>2289</v>
      </c>
      <c r="F893" s="191">
        <f t="shared" si="15"/>
        <v>275.76666666666665</v>
      </c>
      <c r="G893" s="185"/>
      <c r="H893" s="181"/>
      <c r="I893" s="74"/>
      <c r="J893" s="74"/>
      <c r="M893" s="185"/>
      <c r="N893" s="185"/>
      <c r="O893" s="185"/>
      <c r="P893" s="185"/>
      <c r="Q893" s="185"/>
      <c r="R893" s="185"/>
    </row>
    <row r="894" spans="1:18" s="197" customFormat="1" ht="12.75" x14ac:dyDescent="0.2">
      <c r="A894" s="181"/>
      <c r="B894" s="188" t="s">
        <v>2290</v>
      </c>
      <c r="C894" s="189" t="s">
        <v>126</v>
      </c>
      <c r="D894" s="189" t="s">
        <v>127</v>
      </c>
      <c r="E894" s="190" t="s">
        <v>2291</v>
      </c>
      <c r="F894" s="191">
        <f t="shared" si="15"/>
        <v>247.73333333333332</v>
      </c>
      <c r="G894" s="185"/>
      <c r="H894" s="181"/>
      <c r="I894" s="74"/>
      <c r="J894" s="74"/>
      <c r="M894" s="185"/>
      <c r="N894" s="185"/>
      <c r="O894" s="185"/>
      <c r="P894" s="185"/>
      <c r="Q894" s="185"/>
      <c r="R894" s="185"/>
    </row>
    <row r="895" spans="1:18" s="197" customFormat="1" ht="12.75" x14ac:dyDescent="0.2">
      <c r="A895" s="181"/>
      <c r="B895" s="188" t="s">
        <v>2292</v>
      </c>
      <c r="C895" s="189" t="s">
        <v>128</v>
      </c>
      <c r="D895" s="189" t="s">
        <v>123</v>
      </c>
      <c r="E895" s="190" t="s">
        <v>1089</v>
      </c>
      <c r="F895" s="191">
        <f t="shared" si="15"/>
        <v>287.13333333333333</v>
      </c>
      <c r="G895" s="185"/>
      <c r="H895" s="181"/>
      <c r="I895" s="74"/>
      <c r="J895" s="74"/>
      <c r="M895" s="185"/>
      <c r="N895" s="185"/>
      <c r="O895" s="185"/>
      <c r="P895" s="185"/>
      <c r="Q895" s="185"/>
      <c r="R895" s="185"/>
    </row>
    <row r="896" spans="1:18" s="197" customFormat="1" ht="12.75" x14ac:dyDescent="0.2">
      <c r="A896" s="181"/>
      <c r="B896" s="188" t="s">
        <v>2293</v>
      </c>
      <c r="C896" s="189" t="s">
        <v>134</v>
      </c>
      <c r="D896" s="189" t="s">
        <v>123</v>
      </c>
      <c r="E896" s="190" t="s">
        <v>2294</v>
      </c>
      <c r="F896" s="191">
        <f t="shared" si="15"/>
        <v>229.51666666666668</v>
      </c>
      <c r="G896" s="185"/>
      <c r="H896" s="181"/>
      <c r="I896" s="74"/>
      <c r="J896" s="74"/>
      <c r="M896" s="185"/>
      <c r="N896" s="185"/>
      <c r="O896" s="185"/>
      <c r="P896" s="185"/>
      <c r="Q896" s="185"/>
      <c r="R896" s="185"/>
    </row>
    <row r="897" spans="1:18" s="197" customFormat="1" ht="12.75" x14ac:dyDescent="0.2">
      <c r="A897" s="181"/>
      <c r="B897" s="188" t="s">
        <v>2295</v>
      </c>
      <c r="C897" s="189" t="s">
        <v>125</v>
      </c>
      <c r="D897" s="189" t="s">
        <v>129</v>
      </c>
      <c r="E897" s="190" t="s">
        <v>2296</v>
      </c>
      <c r="F897" s="191">
        <f t="shared" si="15"/>
        <v>267.46666666666664</v>
      </c>
      <c r="G897" s="185"/>
      <c r="H897" s="181"/>
      <c r="I897" s="74"/>
      <c r="J897" s="74"/>
      <c r="M897" s="185"/>
      <c r="N897" s="185"/>
      <c r="O897" s="185"/>
      <c r="P897" s="185"/>
      <c r="Q897" s="185"/>
      <c r="R897" s="185"/>
    </row>
    <row r="898" spans="1:18" s="197" customFormat="1" ht="12.75" x14ac:dyDescent="0.2">
      <c r="A898" s="181"/>
      <c r="B898" s="188" t="s">
        <v>2297</v>
      </c>
      <c r="C898" s="189" t="s">
        <v>125</v>
      </c>
      <c r="D898" s="189" t="s">
        <v>263</v>
      </c>
      <c r="E898" s="190" t="s">
        <v>2298</v>
      </c>
      <c r="F898" s="191">
        <f t="shared" si="15"/>
        <v>277.23333333333335</v>
      </c>
      <c r="G898" s="185"/>
      <c r="H898" s="181"/>
      <c r="I898" s="74"/>
      <c r="J898" s="74"/>
      <c r="M898" s="185"/>
      <c r="N898" s="185"/>
      <c r="O898" s="185"/>
      <c r="P898" s="185"/>
      <c r="Q898" s="185"/>
      <c r="R898" s="185"/>
    </row>
    <row r="899" spans="1:18" s="197" customFormat="1" ht="12.75" x14ac:dyDescent="0.2">
      <c r="A899" s="181"/>
      <c r="B899" s="188" t="s">
        <v>2299</v>
      </c>
      <c r="C899" s="189" t="s">
        <v>134</v>
      </c>
      <c r="D899" s="189" t="s">
        <v>540</v>
      </c>
      <c r="E899" s="190" t="s">
        <v>2300</v>
      </c>
      <c r="F899" s="191">
        <f t="shared" si="15"/>
        <v>237.18333333333334</v>
      </c>
      <c r="G899" s="185"/>
      <c r="H899" s="181"/>
      <c r="I899" s="74"/>
      <c r="J899" s="74"/>
      <c r="M899" s="185"/>
      <c r="N899" s="185"/>
      <c r="O899" s="185"/>
      <c r="P899" s="185"/>
      <c r="Q899" s="185"/>
      <c r="R899" s="185"/>
    </row>
    <row r="900" spans="1:18" s="197" customFormat="1" ht="12.75" x14ac:dyDescent="0.2">
      <c r="A900" s="181"/>
      <c r="B900" s="188" t="s">
        <v>2301</v>
      </c>
      <c r="C900" s="189" t="s">
        <v>124</v>
      </c>
      <c r="D900" s="189" t="s">
        <v>123</v>
      </c>
      <c r="E900" s="190" t="s">
        <v>2302</v>
      </c>
      <c r="F900" s="191">
        <f t="shared" si="15"/>
        <v>214.25</v>
      </c>
      <c r="G900" s="185"/>
      <c r="H900" s="181"/>
      <c r="I900" s="74"/>
      <c r="J900" s="74"/>
      <c r="M900" s="185"/>
      <c r="N900" s="185"/>
      <c r="O900" s="185"/>
      <c r="P900" s="185"/>
      <c r="Q900" s="185"/>
      <c r="R900" s="185"/>
    </row>
    <row r="901" spans="1:18" s="197" customFormat="1" ht="12.75" x14ac:dyDescent="0.2">
      <c r="A901" s="181"/>
      <c r="B901" s="188" t="s">
        <v>429</v>
      </c>
      <c r="C901" s="189" t="s">
        <v>222</v>
      </c>
      <c r="D901" s="189" t="s">
        <v>129</v>
      </c>
      <c r="E901" s="190" t="s">
        <v>2303</v>
      </c>
      <c r="F901" s="191">
        <f t="shared" si="15"/>
        <v>239.16666666666666</v>
      </c>
      <c r="G901" s="185"/>
      <c r="H901" s="181"/>
      <c r="I901" s="74"/>
      <c r="J901" s="74"/>
      <c r="M901" s="185"/>
      <c r="N901" s="185"/>
      <c r="O901" s="185"/>
      <c r="P901" s="185"/>
      <c r="Q901" s="185"/>
      <c r="R901" s="185"/>
    </row>
    <row r="902" spans="1:18" s="197" customFormat="1" ht="12.75" x14ac:dyDescent="0.2">
      <c r="A902" s="181"/>
      <c r="B902" s="188" t="s">
        <v>2304</v>
      </c>
      <c r="C902" s="189" t="s">
        <v>134</v>
      </c>
      <c r="D902" s="189" t="s">
        <v>148</v>
      </c>
      <c r="E902" s="190" t="s">
        <v>2305</v>
      </c>
      <c r="F902" s="191">
        <f t="shared" si="15"/>
        <v>239.8</v>
      </c>
      <c r="G902" s="185"/>
      <c r="H902" s="181"/>
      <c r="I902" s="74"/>
      <c r="J902" s="74"/>
      <c r="M902" s="185"/>
      <c r="N902" s="185"/>
      <c r="O902" s="185"/>
      <c r="P902" s="185"/>
      <c r="Q902" s="185"/>
      <c r="R902" s="185"/>
    </row>
    <row r="903" spans="1:18" s="197" customFormat="1" ht="12.75" x14ac:dyDescent="0.2">
      <c r="A903" s="181"/>
      <c r="B903" s="188" t="s">
        <v>2306</v>
      </c>
      <c r="C903" s="189" t="s">
        <v>135</v>
      </c>
      <c r="D903" s="189" t="s">
        <v>123</v>
      </c>
      <c r="E903" s="190" t="s">
        <v>1152</v>
      </c>
      <c r="F903" s="191">
        <f t="shared" si="15"/>
        <v>213.93333333333334</v>
      </c>
      <c r="G903" s="185"/>
      <c r="H903" s="181"/>
      <c r="I903" s="74"/>
      <c r="J903" s="74"/>
      <c r="M903" s="185"/>
      <c r="N903" s="185"/>
      <c r="O903" s="185"/>
      <c r="P903" s="185"/>
      <c r="Q903" s="185"/>
      <c r="R903" s="185"/>
    </row>
    <row r="904" spans="1:18" s="197" customFormat="1" ht="12.75" x14ac:dyDescent="0.2">
      <c r="A904" s="181"/>
      <c r="B904" s="188" t="s">
        <v>2307</v>
      </c>
      <c r="C904" s="189" t="s">
        <v>126</v>
      </c>
      <c r="D904" s="189" t="s">
        <v>123</v>
      </c>
      <c r="E904" s="190" t="s">
        <v>2308</v>
      </c>
      <c r="F904" s="191">
        <f t="shared" si="15"/>
        <v>258.61666666666667</v>
      </c>
      <c r="G904" s="185"/>
      <c r="H904" s="181"/>
      <c r="I904" s="74"/>
      <c r="J904" s="74"/>
      <c r="M904" s="185"/>
      <c r="N904" s="185"/>
      <c r="O904" s="185"/>
      <c r="P904" s="185"/>
      <c r="Q904" s="185"/>
      <c r="R904" s="185"/>
    </row>
    <row r="905" spans="1:18" s="197" customFormat="1" ht="12.75" x14ac:dyDescent="0.2">
      <c r="A905" s="181"/>
      <c r="B905" s="188" t="s">
        <v>2309</v>
      </c>
      <c r="C905" s="189" t="s">
        <v>128</v>
      </c>
      <c r="D905" s="189" t="s">
        <v>123</v>
      </c>
      <c r="E905" s="190" t="s">
        <v>2310</v>
      </c>
      <c r="F905" s="191">
        <f t="shared" si="15"/>
        <v>231.51666666666668</v>
      </c>
      <c r="G905" s="185"/>
      <c r="H905" s="181"/>
      <c r="I905" s="74"/>
      <c r="J905" s="74"/>
      <c r="M905" s="185"/>
      <c r="N905" s="185"/>
      <c r="O905" s="185"/>
      <c r="P905" s="185"/>
      <c r="Q905" s="185"/>
      <c r="R905" s="185"/>
    </row>
    <row r="906" spans="1:18" s="197" customFormat="1" ht="12.75" x14ac:dyDescent="0.2">
      <c r="A906" s="181"/>
      <c r="B906" s="188" t="s">
        <v>2311</v>
      </c>
      <c r="C906" s="189" t="s">
        <v>130</v>
      </c>
      <c r="D906" s="189" t="s">
        <v>123</v>
      </c>
      <c r="E906" s="190" t="s">
        <v>2312</v>
      </c>
      <c r="F906" s="191">
        <f t="shared" si="15"/>
        <v>213.46666666666667</v>
      </c>
      <c r="G906" s="185"/>
      <c r="H906" s="181"/>
      <c r="I906" s="74"/>
      <c r="J906" s="74"/>
      <c r="M906" s="185"/>
      <c r="N906" s="185"/>
      <c r="O906" s="185"/>
      <c r="P906" s="185"/>
      <c r="Q906" s="185"/>
      <c r="R906" s="185"/>
    </row>
    <row r="907" spans="1:18" s="197" customFormat="1" ht="12.75" x14ac:dyDescent="0.2">
      <c r="A907" s="181"/>
      <c r="B907" s="188" t="s">
        <v>2313</v>
      </c>
      <c r="C907" s="189" t="s">
        <v>134</v>
      </c>
      <c r="D907" s="189" t="s">
        <v>123</v>
      </c>
      <c r="E907" s="190" t="s">
        <v>2314</v>
      </c>
      <c r="F907" s="191">
        <f t="shared" ref="F907:F970" si="16">HOUR(E907)*60+MINUTE(E907)+SECOND(E907)/60</f>
        <v>229.35</v>
      </c>
      <c r="G907" s="185"/>
      <c r="H907" s="181"/>
      <c r="I907" s="74"/>
      <c r="J907" s="74"/>
      <c r="M907" s="185"/>
      <c r="N907" s="185"/>
      <c r="O907" s="185"/>
      <c r="P907" s="185"/>
      <c r="Q907" s="185"/>
      <c r="R907" s="185"/>
    </row>
    <row r="908" spans="1:18" s="197" customFormat="1" ht="12.75" x14ac:dyDescent="0.2">
      <c r="A908" s="181"/>
      <c r="B908" s="188" t="s">
        <v>2315</v>
      </c>
      <c r="C908" s="189" t="s">
        <v>128</v>
      </c>
      <c r="D908" s="189" t="s">
        <v>123</v>
      </c>
      <c r="E908" s="190" t="s">
        <v>2316</v>
      </c>
      <c r="F908" s="191">
        <f t="shared" si="16"/>
        <v>197.4</v>
      </c>
      <c r="G908" s="185"/>
      <c r="H908" s="181"/>
      <c r="I908" s="74"/>
      <c r="J908" s="74"/>
      <c r="M908" s="185"/>
      <c r="N908" s="185"/>
      <c r="O908" s="185"/>
      <c r="P908" s="185"/>
      <c r="Q908" s="185"/>
      <c r="R908" s="185"/>
    </row>
    <row r="909" spans="1:18" s="197" customFormat="1" ht="12.75" x14ac:dyDescent="0.2">
      <c r="A909" s="181"/>
      <c r="B909" s="188" t="s">
        <v>2317</v>
      </c>
      <c r="C909" s="189" t="s">
        <v>142</v>
      </c>
      <c r="D909" s="189" t="s">
        <v>123</v>
      </c>
      <c r="E909" s="190" t="s">
        <v>2318</v>
      </c>
      <c r="F909" s="191">
        <f t="shared" si="16"/>
        <v>220.96666666666667</v>
      </c>
      <c r="G909" s="185"/>
      <c r="H909" s="181"/>
      <c r="I909" s="74"/>
      <c r="J909" s="74"/>
      <c r="M909" s="185"/>
      <c r="N909" s="185"/>
      <c r="O909" s="185"/>
      <c r="P909" s="185"/>
      <c r="Q909" s="185"/>
      <c r="R909" s="185"/>
    </row>
    <row r="910" spans="1:18" s="197" customFormat="1" ht="12.75" x14ac:dyDescent="0.2">
      <c r="A910" s="181"/>
      <c r="B910" s="188" t="s">
        <v>2319</v>
      </c>
      <c r="C910" s="189" t="s">
        <v>124</v>
      </c>
      <c r="D910" s="189" t="s">
        <v>123</v>
      </c>
      <c r="E910" s="190" t="s">
        <v>2320</v>
      </c>
      <c r="F910" s="191">
        <f t="shared" si="16"/>
        <v>226.51666666666668</v>
      </c>
      <c r="G910" s="185"/>
      <c r="H910" s="181"/>
      <c r="I910" s="74"/>
      <c r="J910" s="74"/>
      <c r="M910" s="185"/>
      <c r="N910" s="185"/>
      <c r="O910" s="185"/>
      <c r="P910" s="185"/>
      <c r="Q910" s="185"/>
      <c r="R910" s="185"/>
    </row>
    <row r="911" spans="1:18" s="197" customFormat="1" ht="12.75" x14ac:dyDescent="0.2">
      <c r="A911" s="181"/>
      <c r="B911" s="188" t="s">
        <v>2321</v>
      </c>
      <c r="C911" s="189" t="s">
        <v>142</v>
      </c>
      <c r="D911" s="189" t="s">
        <v>289</v>
      </c>
      <c r="E911" s="190" t="s">
        <v>2294</v>
      </c>
      <c r="F911" s="191">
        <f t="shared" si="16"/>
        <v>229.51666666666668</v>
      </c>
      <c r="G911" s="185"/>
      <c r="H911" s="181"/>
      <c r="I911" s="74"/>
      <c r="J911" s="74"/>
      <c r="M911" s="185"/>
      <c r="N911" s="185"/>
      <c r="O911" s="185"/>
      <c r="P911" s="185"/>
      <c r="Q911" s="185"/>
      <c r="R911" s="185"/>
    </row>
    <row r="912" spans="1:18" s="197" customFormat="1" ht="12.75" x14ac:dyDescent="0.2">
      <c r="A912" s="181"/>
      <c r="B912" s="188" t="s">
        <v>2322</v>
      </c>
      <c r="C912" s="189" t="s">
        <v>125</v>
      </c>
      <c r="D912" s="189" t="s">
        <v>131</v>
      </c>
      <c r="E912" s="190" t="s">
        <v>2323</v>
      </c>
      <c r="F912" s="191">
        <f t="shared" si="16"/>
        <v>275.46666666666664</v>
      </c>
      <c r="G912" s="185"/>
      <c r="H912" s="181"/>
      <c r="I912" s="74"/>
      <c r="J912" s="74"/>
      <c r="M912" s="185"/>
      <c r="N912" s="185"/>
      <c r="O912" s="185"/>
      <c r="P912" s="185"/>
      <c r="Q912" s="185"/>
      <c r="R912" s="185"/>
    </row>
    <row r="913" spans="1:18" s="197" customFormat="1" ht="12.75" x14ac:dyDescent="0.2">
      <c r="A913" s="181"/>
      <c r="B913" s="188" t="s">
        <v>2324</v>
      </c>
      <c r="C913" s="189" t="s">
        <v>130</v>
      </c>
      <c r="D913" s="189" t="s">
        <v>123</v>
      </c>
      <c r="E913" s="190" t="s">
        <v>2325</v>
      </c>
      <c r="F913" s="191">
        <f t="shared" si="16"/>
        <v>189.15</v>
      </c>
      <c r="G913" s="185"/>
      <c r="H913" s="181"/>
      <c r="I913" s="74"/>
      <c r="J913" s="74"/>
      <c r="M913" s="185"/>
      <c r="N913" s="185"/>
      <c r="O913" s="185"/>
      <c r="P913" s="185"/>
      <c r="Q913" s="185"/>
      <c r="R913" s="185"/>
    </row>
    <row r="914" spans="1:18" s="197" customFormat="1" ht="12.75" x14ac:dyDescent="0.2">
      <c r="A914" s="181"/>
      <c r="B914" s="188" t="s">
        <v>2326</v>
      </c>
      <c r="C914" s="189" t="s">
        <v>124</v>
      </c>
      <c r="D914" s="189" t="s">
        <v>129</v>
      </c>
      <c r="E914" s="190" t="s">
        <v>2327</v>
      </c>
      <c r="F914" s="191">
        <f t="shared" si="16"/>
        <v>228.23333333333332</v>
      </c>
      <c r="G914" s="185"/>
      <c r="H914" s="181"/>
      <c r="I914" s="74"/>
      <c r="J914" s="74"/>
      <c r="M914" s="185"/>
      <c r="N914" s="185"/>
      <c r="O914" s="185"/>
      <c r="P914" s="185"/>
      <c r="Q914" s="185"/>
      <c r="R914" s="185"/>
    </row>
    <row r="915" spans="1:18" s="197" customFormat="1" ht="12.75" x14ac:dyDescent="0.2">
      <c r="A915" s="181"/>
      <c r="B915" s="188" t="s">
        <v>2328</v>
      </c>
      <c r="C915" s="189" t="s">
        <v>140</v>
      </c>
      <c r="D915" s="189" t="s">
        <v>123</v>
      </c>
      <c r="E915" s="190" t="s">
        <v>2329</v>
      </c>
      <c r="F915" s="191">
        <f t="shared" si="16"/>
        <v>256.25</v>
      </c>
      <c r="G915" s="185"/>
      <c r="H915" s="181"/>
      <c r="I915" s="74"/>
      <c r="J915" s="74"/>
      <c r="M915" s="185"/>
      <c r="N915" s="185"/>
      <c r="O915" s="185"/>
      <c r="P915" s="185"/>
      <c r="Q915" s="185"/>
      <c r="R915" s="185"/>
    </row>
    <row r="916" spans="1:18" s="197" customFormat="1" ht="12.75" x14ac:dyDescent="0.2">
      <c r="A916" s="181"/>
      <c r="B916" s="188" t="s">
        <v>2330</v>
      </c>
      <c r="C916" s="189" t="s">
        <v>124</v>
      </c>
      <c r="D916" s="189" t="s">
        <v>133</v>
      </c>
      <c r="E916" s="190" t="s">
        <v>2331</v>
      </c>
      <c r="F916" s="191">
        <f t="shared" si="16"/>
        <v>282</v>
      </c>
      <c r="G916" s="185"/>
      <c r="H916" s="181"/>
      <c r="I916" s="74"/>
      <c r="J916" s="74"/>
      <c r="M916" s="185"/>
      <c r="N916" s="185"/>
      <c r="O916" s="185"/>
      <c r="P916" s="185"/>
      <c r="Q916" s="185"/>
      <c r="R916" s="185"/>
    </row>
    <row r="917" spans="1:18" s="197" customFormat="1" ht="12.75" x14ac:dyDescent="0.2">
      <c r="A917" s="181"/>
      <c r="B917" s="188" t="s">
        <v>2332</v>
      </c>
      <c r="C917" s="189" t="s">
        <v>134</v>
      </c>
      <c r="D917" s="189" t="s">
        <v>123</v>
      </c>
      <c r="E917" s="190" t="s">
        <v>2333</v>
      </c>
      <c r="F917" s="191">
        <f t="shared" si="16"/>
        <v>184.81666666666666</v>
      </c>
      <c r="G917" s="185"/>
      <c r="H917" s="181"/>
      <c r="I917" s="74"/>
      <c r="J917" s="74"/>
      <c r="M917" s="185"/>
      <c r="N917" s="185"/>
      <c r="O917" s="185"/>
      <c r="P917" s="185"/>
      <c r="Q917" s="185"/>
      <c r="R917" s="185"/>
    </row>
    <row r="918" spans="1:18" s="197" customFormat="1" ht="12.75" x14ac:dyDescent="0.2">
      <c r="A918" s="181"/>
      <c r="B918" s="188" t="s">
        <v>2334</v>
      </c>
      <c r="C918" s="189" t="s">
        <v>134</v>
      </c>
      <c r="D918" s="189" t="s">
        <v>129</v>
      </c>
      <c r="E918" s="190" t="s">
        <v>2335</v>
      </c>
      <c r="F918" s="191">
        <f t="shared" si="16"/>
        <v>325.28333333333336</v>
      </c>
      <c r="G918" s="185"/>
      <c r="H918" s="181"/>
      <c r="I918" s="74"/>
      <c r="J918" s="74"/>
      <c r="M918" s="185"/>
      <c r="N918" s="185"/>
      <c r="O918" s="185"/>
      <c r="P918" s="185"/>
      <c r="Q918" s="185"/>
      <c r="R918" s="185"/>
    </row>
    <row r="919" spans="1:18" s="197" customFormat="1" ht="12.75" x14ac:dyDescent="0.2">
      <c r="A919" s="181"/>
      <c r="B919" s="188" t="s">
        <v>2336</v>
      </c>
      <c r="C919" s="189" t="s">
        <v>128</v>
      </c>
      <c r="D919" s="189" t="s">
        <v>123</v>
      </c>
      <c r="E919" s="190" t="s">
        <v>2337</v>
      </c>
      <c r="F919" s="191">
        <f t="shared" si="16"/>
        <v>215.15</v>
      </c>
      <c r="G919" s="185"/>
      <c r="H919" s="181"/>
      <c r="I919" s="74"/>
      <c r="J919" s="74"/>
      <c r="M919" s="185"/>
      <c r="N919" s="185"/>
      <c r="O919" s="185"/>
      <c r="P919" s="185"/>
      <c r="Q919" s="185"/>
      <c r="R919" s="185"/>
    </row>
    <row r="920" spans="1:18" s="197" customFormat="1" ht="12.75" x14ac:dyDescent="0.2">
      <c r="A920" s="181"/>
      <c r="B920" s="188" t="s">
        <v>2338</v>
      </c>
      <c r="C920" s="189" t="s">
        <v>124</v>
      </c>
      <c r="D920" s="189" t="s">
        <v>123</v>
      </c>
      <c r="E920" s="190" t="s">
        <v>2339</v>
      </c>
      <c r="F920" s="191">
        <f t="shared" si="16"/>
        <v>236.08333333333334</v>
      </c>
      <c r="G920" s="185"/>
      <c r="H920" s="181"/>
      <c r="I920" s="74"/>
      <c r="J920" s="74"/>
      <c r="M920" s="185"/>
      <c r="N920" s="185"/>
      <c r="O920" s="185"/>
      <c r="P920" s="185"/>
      <c r="Q920" s="185"/>
      <c r="R920" s="185"/>
    </row>
    <row r="921" spans="1:18" s="197" customFormat="1" ht="12.75" x14ac:dyDescent="0.2">
      <c r="A921" s="181"/>
      <c r="B921" s="188" t="s">
        <v>2340</v>
      </c>
      <c r="C921" s="189" t="s">
        <v>124</v>
      </c>
      <c r="D921" s="189" t="s">
        <v>123</v>
      </c>
      <c r="E921" s="190" t="s">
        <v>2341</v>
      </c>
      <c r="F921" s="191">
        <f t="shared" si="16"/>
        <v>240.33333333333334</v>
      </c>
      <c r="G921" s="185"/>
      <c r="H921" s="181"/>
      <c r="I921" s="74"/>
      <c r="J921" s="74"/>
      <c r="M921" s="185"/>
      <c r="N921" s="185"/>
      <c r="O921" s="185"/>
      <c r="P921" s="185"/>
      <c r="Q921" s="185"/>
      <c r="R921" s="185"/>
    </row>
    <row r="922" spans="1:18" s="197" customFormat="1" ht="12.75" x14ac:dyDescent="0.2">
      <c r="A922" s="181"/>
      <c r="B922" s="188" t="s">
        <v>2342</v>
      </c>
      <c r="C922" s="189" t="s">
        <v>126</v>
      </c>
      <c r="D922" s="189" t="s">
        <v>123</v>
      </c>
      <c r="E922" s="190" t="s">
        <v>2343</v>
      </c>
      <c r="F922" s="191">
        <f t="shared" si="16"/>
        <v>295.73333333333335</v>
      </c>
      <c r="G922" s="185"/>
      <c r="H922" s="181"/>
      <c r="I922" s="74"/>
      <c r="J922" s="74"/>
      <c r="M922" s="185"/>
      <c r="N922" s="185"/>
      <c r="O922" s="185"/>
      <c r="P922" s="185"/>
      <c r="Q922" s="185"/>
      <c r="R922" s="185"/>
    </row>
    <row r="923" spans="1:18" s="197" customFormat="1" ht="12.75" x14ac:dyDescent="0.2">
      <c r="A923" s="181"/>
      <c r="B923" s="188" t="s">
        <v>2344</v>
      </c>
      <c r="C923" s="189" t="s">
        <v>128</v>
      </c>
      <c r="D923" s="189" t="s">
        <v>210</v>
      </c>
      <c r="E923" s="190" t="s">
        <v>2345</v>
      </c>
      <c r="F923" s="191">
        <f t="shared" si="16"/>
        <v>210.36666666666667</v>
      </c>
      <c r="G923" s="185"/>
      <c r="H923" s="181"/>
      <c r="I923" s="74"/>
      <c r="J923" s="74"/>
      <c r="M923" s="185"/>
      <c r="N923" s="185"/>
      <c r="O923" s="185"/>
      <c r="P923" s="185"/>
      <c r="Q923" s="185"/>
      <c r="R923" s="185"/>
    </row>
    <row r="924" spans="1:18" s="197" customFormat="1" ht="12.75" x14ac:dyDescent="0.2">
      <c r="A924" s="181"/>
      <c r="B924" s="188" t="s">
        <v>2346</v>
      </c>
      <c r="C924" s="189" t="s">
        <v>130</v>
      </c>
      <c r="D924" s="189" t="s">
        <v>289</v>
      </c>
      <c r="E924" s="190" t="s">
        <v>2347</v>
      </c>
      <c r="F924" s="191">
        <f t="shared" si="16"/>
        <v>218.38333333333333</v>
      </c>
      <c r="G924" s="185"/>
      <c r="H924" s="181"/>
      <c r="I924" s="74"/>
      <c r="J924" s="74"/>
      <c r="M924" s="185"/>
      <c r="N924" s="185"/>
      <c r="O924" s="185"/>
      <c r="P924" s="185"/>
      <c r="Q924" s="185"/>
      <c r="R924" s="185"/>
    </row>
    <row r="925" spans="1:18" s="197" customFormat="1" ht="12.75" x14ac:dyDescent="0.2">
      <c r="A925" s="181"/>
      <c r="B925" s="188" t="s">
        <v>577</v>
      </c>
      <c r="C925" s="189" t="s">
        <v>140</v>
      </c>
      <c r="D925" s="189" t="s">
        <v>123</v>
      </c>
      <c r="E925" s="190" t="s">
        <v>918</v>
      </c>
      <c r="F925" s="191">
        <f t="shared" si="16"/>
        <v>300.83333333333331</v>
      </c>
      <c r="G925" s="185"/>
      <c r="H925" s="181"/>
      <c r="I925" s="74"/>
      <c r="J925" s="74"/>
      <c r="M925" s="185"/>
      <c r="N925" s="185"/>
      <c r="O925" s="185"/>
      <c r="P925" s="185"/>
      <c r="Q925" s="185"/>
      <c r="R925" s="185"/>
    </row>
    <row r="926" spans="1:18" s="197" customFormat="1" ht="12.75" x14ac:dyDescent="0.2">
      <c r="A926" s="181"/>
      <c r="B926" s="188" t="s">
        <v>434</v>
      </c>
      <c r="C926" s="189" t="s">
        <v>124</v>
      </c>
      <c r="D926" s="189" t="s">
        <v>123</v>
      </c>
      <c r="E926" s="190" t="s">
        <v>1567</v>
      </c>
      <c r="F926" s="191">
        <f t="shared" si="16"/>
        <v>208.05</v>
      </c>
      <c r="G926" s="185"/>
      <c r="H926" s="181"/>
      <c r="I926" s="74"/>
      <c r="J926" s="74"/>
      <c r="M926" s="185"/>
      <c r="N926" s="185"/>
      <c r="O926" s="185"/>
      <c r="P926" s="185"/>
      <c r="Q926" s="185"/>
      <c r="R926" s="185"/>
    </row>
    <row r="927" spans="1:18" s="197" customFormat="1" ht="12.75" x14ac:dyDescent="0.2">
      <c r="A927" s="181"/>
      <c r="B927" s="188" t="s">
        <v>2348</v>
      </c>
      <c r="C927" s="189" t="s">
        <v>130</v>
      </c>
      <c r="D927" s="189" t="s">
        <v>123</v>
      </c>
      <c r="E927" s="190" t="s">
        <v>2349</v>
      </c>
      <c r="F927" s="191">
        <f t="shared" si="16"/>
        <v>221.93333333333334</v>
      </c>
      <c r="G927" s="185"/>
      <c r="H927" s="181"/>
      <c r="I927" s="74"/>
      <c r="J927" s="74"/>
      <c r="M927" s="185"/>
      <c r="N927" s="185"/>
      <c r="O927" s="185"/>
      <c r="P927" s="185"/>
      <c r="Q927" s="185"/>
      <c r="R927" s="185"/>
    </row>
    <row r="928" spans="1:18" s="197" customFormat="1" ht="12.75" x14ac:dyDescent="0.2">
      <c r="A928" s="181"/>
      <c r="B928" s="188" t="s">
        <v>567</v>
      </c>
      <c r="C928" s="189" t="s">
        <v>125</v>
      </c>
      <c r="D928" s="189" t="s">
        <v>123</v>
      </c>
      <c r="E928" s="190" t="s">
        <v>1653</v>
      </c>
      <c r="F928" s="191">
        <f t="shared" si="16"/>
        <v>299.39999999999998</v>
      </c>
      <c r="G928" s="185"/>
      <c r="H928" s="181"/>
      <c r="I928" s="74"/>
      <c r="J928" s="74"/>
      <c r="M928" s="185"/>
      <c r="N928" s="185"/>
      <c r="O928" s="185"/>
      <c r="P928" s="185"/>
      <c r="Q928" s="185"/>
      <c r="R928" s="185"/>
    </row>
    <row r="929" spans="1:18" s="197" customFormat="1" ht="12.75" x14ac:dyDescent="0.2">
      <c r="A929" s="181"/>
      <c r="B929" s="188" t="s">
        <v>2350</v>
      </c>
      <c r="C929" s="189" t="s">
        <v>128</v>
      </c>
      <c r="D929" s="189" t="s">
        <v>123</v>
      </c>
      <c r="E929" s="190" t="s">
        <v>2351</v>
      </c>
      <c r="F929" s="191">
        <f t="shared" si="16"/>
        <v>224.73333333333332</v>
      </c>
      <c r="G929" s="185"/>
      <c r="H929" s="181"/>
      <c r="I929" s="74"/>
      <c r="J929" s="74"/>
      <c r="M929" s="185"/>
      <c r="N929" s="185"/>
      <c r="O929" s="185"/>
      <c r="P929" s="185"/>
      <c r="Q929" s="185"/>
      <c r="R929" s="185"/>
    </row>
    <row r="930" spans="1:18" s="197" customFormat="1" ht="12.75" x14ac:dyDescent="0.2">
      <c r="A930" s="181"/>
      <c r="B930" s="188" t="s">
        <v>2352</v>
      </c>
      <c r="C930" s="189" t="s">
        <v>135</v>
      </c>
      <c r="D930" s="189" t="s">
        <v>123</v>
      </c>
      <c r="E930" s="190" t="s">
        <v>2353</v>
      </c>
      <c r="F930" s="191">
        <f t="shared" si="16"/>
        <v>284.89999999999998</v>
      </c>
      <c r="G930" s="185"/>
      <c r="H930" s="181"/>
      <c r="I930" s="74"/>
      <c r="J930" s="74"/>
      <c r="M930" s="185"/>
      <c r="N930" s="185"/>
      <c r="O930" s="185"/>
      <c r="P930" s="185"/>
      <c r="Q930" s="185"/>
      <c r="R930" s="185"/>
    </row>
    <row r="931" spans="1:18" s="197" customFormat="1" ht="12.75" x14ac:dyDescent="0.2">
      <c r="A931" s="181"/>
      <c r="B931" s="188" t="s">
        <v>2354</v>
      </c>
      <c r="C931" s="189" t="s">
        <v>125</v>
      </c>
      <c r="D931" s="189" t="s">
        <v>132</v>
      </c>
      <c r="E931" s="190" t="s">
        <v>2355</v>
      </c>
      <c r="F931" s="191">
        <f t="shared" si="16"/>
        <v>223.11666666666667</v>
      </c>
      <c r="G931" s="185"/>
      <c r="H931" s="181"/>
      <c r="I931" s="74"/>
      <c r="J931" s="74"/>
      <c r="M931" s="185"/>
      <c r="N931" s="185"/>
      <c r="O931" s="185"/>
      <c r="P931" s="185"/>
      <c r="Q931" s="185"/>
      <c r="R931" s="185"/>
    </row>
    <row r="932" spans="1:18" s="197" customFormat="1" ht="12.75" x14ac:dyDescent="0.2">
      <c r="A932" s="181"/>
      <c r="B932" s="188" t="s">
        <v>2356</v>
      </c>
      <c r="C932" s="189" t="s">
        <v>125</v>
      </c>
      <c r="D932" s="189" t="s">
        <v>123</v>
      </c>
      <c r="E932" s="190" t="s">
        <v>2357</v>
      </c>
      <c r="F932" s="191">
        <f t="shared" si="16"/>
        <v>228.05</v>
      </c>
      <c r="G932" s="185"/>
      <c r="H932" s="181"/>
      <c r="I932" s="74"/>
      <c r="J932" s="74"/>
      <c r="M932" s="185"/>
      <c r="N932" s="185"/>
      <c r="O932" s="185"/>
      <c r="P932" s="185"/>
      <c r="Q932" s="185"/>
      <c r="R932" s="185"/>
    </row>
    <row r="933" spans="1:18" s="197" customFormat="1" ht="12.75" x14ac:dyDescent="0.2">
      <c r="A933" s="181"/>
      <c r="B933" s="188" t="s">
        <v>2358</v>
      </c>
      <c r="C933" s="189" t="s">
        <v>124</v>
      </c>
      <c r="D933" s="189" t="s">
        <v>123</v>
      </c>
      <c r="E933" s="190" t="s">
        <v>2359</v>
      </c>
      <c r="F933" s="191">
        <f t="shared" si="16"/>
        <v>225.08333333333334</v>
      </c>
      <c r="G933" s="185"/>
      <c r="H933" s="181"/>
      <c r="I933" s="74"/>
      <c r="J933" s="74"/>
      <c r="M933" s="185"/>
      <c r="N933" s="185"/>
      <c r="O933" s="185"/>
      <c r="P933" s="185"/>
      <c r="Q933" s="185"/>
      <c r="R933" s="185"/>
    </row>
    <row r="934" spans="1:18" s="197" customFormat="1" ht="12.75" x14ac:dyDescent="0.2">
      <c r="A934" s="181"/>
      <c r="B934" s="188" t="s">
        <v>2360</v>
      </c>
      <c r="C934" s="189" t="s">
        <v>126</v>
      </c>
      <c r="D934" s="189" t="s">
        <v>123</v>
      </c>
      <c r="E934" s="190" t="s">
        <v>2361</v>
      </c>
      <c r="F934" s="191">
        <f t="shared" si="16"/>
        <v>307.61666666666667</v>
      </c>
      <c r="G934" s="185"/>
      <c r="H934" s="181"/>
      <c r="I934" s="74"/>
      <c r="J934" s="74"/>
      <c r="M934" s="185"/>
      <c r="N934" s="185"/>
      <c r="O934" s="185"/>
      <c r="P934" s="185"/>
      <c r="Q934" s="185"/>
      <c r="R934" s="185"/>
    </row>
    <row r="935" spans="1:18" s="197" customFormat="1" ht="12.75" x14ac:dyDescent="0.2">
      <c r="A935" s="181"/>
      <c r="B935" s="188" t="s">
        <v>2362</v>
      </c>
      <c r="C935" s="189" t="s">
        <v>125</v>
      </c>
      <c r="D935" s="189" t="s">
        <v>123</v>
      </c>
      <c r="E935" s="190" t="s">
        <v>2363</v>
      </c>
      <c r="F935" s="191">
        <f t="shared" si="16"/>
        <v>248.4</v>
      </c>
      <c r="G935" s="185"/>
      <c r="H935" s="181"/>
      <c r="I935" s="74"/>
      <c r="J935" s="74"/>
      <c r="M935" s="185"/>
      <c r="N935" s="185"/>
      <c r="O935" s="185"/>
      <c r="P935" s="185"/>
      <c r="Q935" s="185"/>
      <c r="R935" s="185"/>
    </row>
    <row r="936" spans="1:18" s="197" customFormat="1" ht="12.75" x14ac:dyDescent="0.2">
      <c r="A936" s="181"/>
      <c r="B936" s="188" t="s">
        <v>2364</v>
      </c>
      <c r="C936" s="189" t="s">
        <v>135</v>
      </c>
      <c r="D936" s="189" t="s">
        <v>132</v>
      </c>
      <c r="E936" s="190" t="s">
        <v>2365</v>
      </c>
      <c r="F936" s="191">
        <f t="shared" si="16"/>
        <v>237.1</v>
      </c>
      <c r="G936" s="185"/>
      <c r="H936" s="181"/>
      <c r="I936" s="74"/>
      <c r="J936" s="74"/>
      <c r="M936" s="185"/>
      <c r="N936" s="185"/>
      <c r="O936" s="185"/>
      <c r="P936" s="185"/>
      <c r="Q936" s="185"/>
      <c r="R936" s="185"/>
    </row>
    <row r="937" spans="1:18" s="197" customFormat="1" ht="12.75" x14ac:dyDescent="0.2">
      <c r="A937" s="181"/>
      <c r="B937" s="188" t="s">
        <v>2366</v>
      </c>
      <c r="C937" s="189" t="s">
        <v>124</v>
      </c>
      <c r="D937" s="189" t="s">
        <v>123</v>
      </c>
      <c r="E937" s="190" t="s">
        <v>2367</v>
      </c>
      <c r="F937" s="191">
        <f t="shared" si="16"/>
        <v>250.01666666666668</v>
      </c>
      <c r="G937" s="185"/>
      <c r="H937" s="181"/>
      <c r="I937" s="74"/>
      <c r="J937" s="74"/>
      <c r="M937" s="185"/>
      <c r="N937" s="185"/>
      <c r="O937" s="185"/>
      <c r="P937" s="185"/>
      <c r="Q937" s="185"/>
      <c r="R937" s="185"/>
    </row>
    <row r="938" spans="1:18" s="197" customFormat="1" ht="12.75" x14ac:dyDescent="0.2">
      <c r="A938" s="181"/>
      <c r="B938" s="188" t="s">
        <v>2368</v>
      </c>
      <c r="C938" s="189" t="s">
        <v>128</v>
      </c>
      <c r="D938" s="189" t="s">
        <v>123</v>
      </c>
      <c r="E938" s="190" t="s">
        <v>2369</v>
      </c>
      <c r="F938" s="191">
        <f t="shared" si="16"/>
        <v>335.45</v>
      </c>
      <c r="G938" s="185"/>
      <c r="H938" s="181"/>
      <c r="I938" s="74"/>
      <c r="J938" s="74"/>
      <c r="M938" s="185"/>
      <c r="N938" s="185"/>
      <c r="O938" s="185"/>
      <c r="P938" s="185"/>
      <c r="Q938" s="185"/>
      <c r="R938" s="185"/>
    </row>
    <row r="939" spans="1:18" s="197" customFormat="1" ht="12.75" x14ac:dyDescent="0.2">
      <c r="A939" s="181"/>
      <c r="B939" s="188" t="s">
        <v>2370</v>
      </c>
      <c r="C939" s="189" t="s">
        <v>142</v>
      </c>
      <c r="D939" s="189" t="s">
        <v>123</v>
      </c>
      <c r="E939" s="190" t="s">
        <v>2371</v>
      </c>
      <c r="F939" s="191">
        <f t="shared" si="16"/>
        <v>237.75</v>
      </c>
      <c r="G939" s="185"/>
      <c r="H939" s="181"/>
      <c r="I939" s="74"/>
      <c r="J939" s="74"/>
      <c r="M939" s="185"/>
      <c r="N939" s="185"/>
      <c r="O939" s="185"/>
      <c r="P939" s="185"/>
      <c r="Q939" s="185"/>
      <c r="R939" s="185"/>
    </row>
    <row r="940" spans="1:18" s="197" customFormat="1" ht="12.75" x14ac:dyDescent="0.2">
      <c r="A940" s="181"/>
      <c r="B940" s="188" t="s">
        <v>2372</v>
      </c>
      <c r="C940" s="189" t="s">
        <v>125</v>
      </c>
      <c r="D940" s="189" t="s">
        <v>157</v>
      </c>
      <c r="E940" s="190" t="s">
        <v>2373</v>
      </c>
      <c r="F940" s="191">
        <f t="shared" si="16"/>
        <v>205.36666666666667</v>
      </c>
      <c r="G940" s="185"/>
      <c r="H940" s="181"/>
      <c r="I940" s="74"/>
      <c r="J940" s="74"/>
      <c r="M940" s="185"/>
      <c r="N940" s="185"/>
      <c r="O940" s="185"/>
      <c r="P940" s="185"/>
      <c r="Q940" s="185"/>
      <c r="R940" s="185"/>
    </row>
    <row r="941" spans="1:18" s="197" customFormat="1" ht="12.75" x14ac:dyDescent="0.2">
      <c r="A941" s="181"/>
      <c r="B941" s="188" t="s">
        <v>2374</v>
      </c>
      <c r="C941" s="189" t="s">
        <v>142</v>
      </c>
      <c r="D941" s="189" t="s">
        <v>152</v>
      </c>
      <c r="E941" s="190" t="s">
        <v>2375</v>
      </c>
      <c r="F941" s="191">
        <f t="shared" si="16"/>
        <v>236.61666666666667</v>
      </c>
      <c r="G941" s="185"/>
      <c r="H941" s="181"/>
      <c r="I941" s="74"/>
      <c r="J941" s="74"/>
      <c r="M941" s="185"/>
      <c r="N941" s="185"/>
      <c r="O941" s="185"/>
      <c r="P941" s="185"/>
      <c r="Q941" s="185"/>
      <c r="R941" s="185"/>
    </row>
    <row r="942" spans="1:18" s="197" customFormat="1" ht="12.75" x14ac:dyDescent="0.2">
      <c r="A942" s="181"/>
      <c r="B942" s="188" t="s">
        <v>2376</v>
      </c>
      <c r="C942" s="189" t="s">
        <v>124</v>
      </c>
      <c r="D942" s="189" t="s">
        <v>123</v>
      </c>
      <c r="E942" s="190" t="s">
        <v>2377</v>
      </c>
      <c r="F942" s="191">
        <f t="shared" si="16"/>
        <v>230.25</v>
      </c>
      <c r="G942" s="185"/>
      <c r="H942" s="181"/>
      <c r="I942" s="74"/>
      <c r="J942" s="74"/>
      <c r="M942" s="185"/>
      <c r="N942" s="185"/>
      <c r="O942" s="185"/>
      <c r="P942" s="185"/>
      <c r="Q942" s="185"/>
      <c r="R942" s="185"/>
    </row>
    <row r="943" spans="1:18" s="197" customFormat="1" ht="12.75" x14ac:dyDescent="0.2">
      <c r="A943" s="181"/>
      <c r="B943" s="188" t="s">
        <v>2378</v>
      </c>
      <c r="C943" s="189" t="s">
        <v>130</v>
      </c>
      <c r="D943" s="189" t="s">
        <v>123</v>
      </c>
      <c r="E943" s="190" t="s">
        <v>2379</v>
      </c>
      <c r="F943" s="191">
        <f t="shared" si="16"/>
        <v>182.06666666666666</v>
      </c>
      <c r="G943" s="185"/>
      <c r="H943" s="181"/>
      <c r="I943" s="74"/>
      <c r="J943" s="74"/>
      <c r="M943" s="185"/>
      <c r="N943" s="185"/>
      <c r="O943" s="185"/>
      <c r="P943" s="185"/>
      <c r="Q943" s="185"/>
      <c r="R943" s="185"/>
    </row>
    <row r="944" spans="1:18" s="197" customFormat="1" ht="12.75" x14ac:dyDescent="0.2">
      <c r="A944" s="181"/>
      <c r="B944" s="188" t="s">
        <v>2380</v>
      </c>
      <c r="C944" s="189" t="s">
        <v>142</v>
      </c>
      <c r="D944" s="189" t="s">
        <v>123</v>
      </c>
      <c r="E944" s="190" t="s">
        <v>2381</v>
      </c>
      <c r="F944" s="191">
        <f t="shared" si="16"/>
        <v>185.81666666666666</v>
      </c>
      <c r="G944" s="185"/>
      <c r="H944" s="181"/>
      <c r="I944" s="74"/>
      <c r="J944" s="74"/>
      <c r="M944" s="185"/>
      <c r="N944" s="185"/>
      <c r="O944" s="185"/>
      <c r="P944" s="185"/>
      <c r="Q944" s="185"/>
      <c r="R944" s="185"/>
    </row>
    <row r="945" spans="1:18" s="197" customFormat="1" ht="12.75" x14ac:dyDescent="0.2">
      <c r="A945" s="181"/>
      <c r="B945" s="188" t="s">
        <v>2382</v>
      </c>
      <c r="C945" s="189" t="s">
        <v>124</v>
      </c>
      <c r="D945" s="189" t="s">
        <v>123</v>
      </c>
      <c r="E945" s="190" t="s">
        <v>2383</v>
      </c>
      <c r="F945" s="191">
        <f t="shared" si="16"/>
        <v>300.45</v>
      </c>
      <c r="G945" s="185"/>
      <c r="H945" s="181"/>
      <c r="I945" s="74"/>
      <c r="J945" s="74"/>
      <c r="M945" s="185"/>
      <c r="N945" s="185"/>
      <c r="O945" s="185"/>
      <c r="P945" s="185"/>
      <c r="Q945" s="185"/>
      <c r="R945" s="185"/>
    </row>
    <row r="946" spans="1:18" s="197" customFormat="1" ht="12.75" x14ac:dyDescent="0.2">
      <c r="A946" s="181"/>
      <c r="B946" s="188" t="s">
        <v>1893</v>
      </c>
      <c r="C946" s="189" t="s">
        <v>134</v>
      </c>
      <c r="D946" s="189" t="s">
        <v>148</v>
      </c>
      <c r="E946" s="190" t="s">
        <v>1894</v>
      </c>
      <c r="F946" s="191">
        <f t="shared" si="16"/>
        <v>302.93333333333334</v>
      </c>
      <c r="G946" s="185"/>
      <c r="H946" s="181"/>
      <c r="I946" s="74"/>
      <c r="J946" s="74"/>
      <c r="M946" s="185"/>
      <c r="N946" s="185"/>
      <c r="O946" s="185"/>
      <c r="P946" s="185"/>
      <c r="Q946" s="185"/>
      <c r="R946" s="185"/>
    </row>
    <row r="947" spans="1:18" s="197" customFormat="1" ht="12.75" x14ac:dyDescent="0.2">
      <c r="A947" s="181"/>
      <c r="B947" s="188" t="s">
        <v>2384</v>
      </c>
      <c r="C947" s="189" t="s">
        <v>134</v>
      </c>
      <c r="D947" s="189" t="s">
        <v>129</v>
      </c>
      <c r="E947" s="190" t="s">
        <v>2385</v>
      </c>
      <c r="F947" s="191">
        <f t="shared" si="16"/>
        <v>255.73333333333332</v>
      </c>
      <c r="G947" s="185"/>
      <c r="H947" s="181"/>
      <c r="I947" s="74"/>
      <c r="J947" s="74"/>
      <c r="M947" s="185"/>
      <c r="N947" s="185"/>
      <c r="O947" s="185"/>
      <c r="P947" s="185"/>
      <c r="Q947" s="185"/>
      <c r="R947" s="185"/>
    </row>
    <row r="948" spans="1:18" s="197" customFormat="1" ht="12.75" x14ac:dyDescent="0.2">
      <c r="A948" s="181"/>
      <c r="B948" s="188" t="s">
        <v>2386</v>
      </c>
      <c r="C948" s="189" t="s">
        <v>130</v>
      </c>
      <c r="D948" s="189" t="s">
        <v>123</v>
      </c>
      <c r="E948" s="190" t="s">
        <v>2387</v>
      </c>
      <c r="F948" s="191">
        <f t="shared" si="16"/>
        <v>253.76666666666668</v>
      </c>
      <c r="G948" s="185"/>
      <c r="H948" s="181"/>
      <c r="I948" s="74"/>
      <c r="J948" s="74"/>
      <c r="M948" s="185"/>
      <c r="N948" s="185"/>
      <c r="O948" s="185"/>
      <c r="P948" s="185"/>
      <c r="Q948" s="185"/>
      <c r="R948" s="185"/>
    </row>
    <row r="949" spans="1:18" s="197" customFormat="1" ht="12.75" x14ac:dyDescent="0.2">
      <c r="A949" s="181"/>
      <c r="B949" s="188" t="s">
        <v>2388</v>
      </c>
      <c r="C949" s="189" t="s">
        <v>126</v>
      </c>
      <c r="D949" s="189" t="s">
        <v>123</v>
      </c>
      <c r="E949" s="190" t="s">
        <v>2389</v>
      </c>
      <c r="F949" s="191">
        <f t="shared" si="16"/>
        <v>280.89999999999998</v>
      </c>
      <c r="G949" s="185"/>
      <c r="H949" s="181"/>
      <c r="I949" s="74"/>
      <c r="J949" s="74"/>
      <c r="M949" s="185"/>
      <c r="N949" s="185"/>
      <c r="O949" s="185"/>
      <c r="P949" s="185"/>
      <c r="Q949" s="185"/>
      <c r="R949" s="185"/>
    </row>
    <row r="950" spans="1:18" s="197" customFormat="1" ht="12.75" x14ac:dyDescent="0.2">
      <c r="A950" s="181"/>
      <c r="B950" s="188" t="s">
        <v>2390</v>
      </c>
      <c r="C950" s="189" t="s">
        <v>126</v>
      </c>
      <c r="D950" s="189" t="s">
        <v>123</v>
      </c>
      <c r="E950" s="190" t="s">
        <v>2391</v>
      </c>
      <c r="F950" s="191">
        <f t="shared" si="16"/>
        <v>240.96666666666667</v>
      </c>
      <c r="G950" s="185"/>
      <c r="H950" s="181"/>
      <c r="I950" s="74"/>
      <c r="J950" s="74"/>
      <c r="M950" s="185"/>
      <c r="N950" s="185"/>
      <c r="O950" s="185"/>
      <c r="P950" s="185"/>
      <c r="Q950" s="185"/>
      <c r="R950" s="185"/>
    </row>
    <row r="951" spans="1:18" s="197" customFormat="1" ht="12.75" x14ac:dyDescent="0.2">
      <c r="A951" s="181"/>
      <c r="B951" s="188" t="s">
        <v>2392</v>
      </c>
      <c r="C951" s="189" t="s">
        <v>136</v>
      </c>
      <c r="D951" s="189" t="s">
        <v>123</v>
      </c>
      <c r="E951" s="190" t="s">
        <v>2393</v>
      </c>
      <c r="F951" s="191">
        <f t="shared" si="16"/>
        <v>208.11666666666667</v>
      </c>
      <c r="G951" s="185"/>
      <c r="H951" s="181"/>
      <c r="I951" s="74"/>
      <c r="J951" s="74"/>
      <c r="M951" s="185"/>
      <c r="N951" s="185"/>
      <c r="O951" s="185"/>
      <c r="P951" s="185"/>
      <c r="Q951" s="185"/>
      <c r="R951" s="185"/>
    </row>
    <row r="952" spans="1:18" s="197" customFormat="1" ht="12.75" x14ac:dyDescent="0.2">
      <c r="A952" s="181"/>
      <c r="B952" s="188" t="s">
        <v>2394</v>
      </c>
      <c r="C952" s="189" t="s">
        <v>134</v>
      </c>
      <c r="D952" s="189" t="s">
        <v>123</v>
      </c>
      <c r="E952" s="190" t="s">
        <v>2395</v>
      </c>
      <c r="F952" s="191">
        <f t="shared" si="16"/>
        <v>263.71666666666664</v>
      </c>
      <c r="G952" s="185"/>
      <c r="H952" s="181"/>
      <c r="I952" s="74"/>
      <c r="J952" s="74"/>
      <c r="M952" s="185"/>
      <c r="N952" s="185"/>
      <c r="O952" s="185"/>
      <c r="P952" s="185"/>
      <c r="Q952" s="185"/>
      <c r="R952" s="185"/>
    </row>
    <row r="953" spans="1:18" s="197" customFormat="1" ht="12.75" x14ac:dyDescent="0.2">
      <c r="A953" s="181"/>
      <c r="B953" s="188" t="s">
        <v>2396</v>
      </c>
      <c r="C953" s="189" t="s">
        <v>142</v>
      </c>
      <c r="D953" s="189" t="s">
        <v>123</v>
      </c>
      <c r="E953" s="190" t="s">
        <v>2397</v>
      </c>
      <c r="F953" s="191">
        <f t="shared" si="16"/>
        <v>325.88333333333333</v>
      </c>
      <c r="G953" s="185"/>
      <c r="H953" s="181"/>
      <c r="I953" s="74"/>
      <c r="J953" s="74"/>
      <c r="M953" s="185"/>
      <c r="N953" s="185"/>
      <c r="O953" s="185"/>
      <c r="P953" s="185"/>
      <c r="Q953" s="185"/>
      <c r="R953" s="185"/>
    </row>
    <row r="954" spans="1:18" s="197" customFormat="1" ht="12.75" x14ac:dyDescent="0.2">
      <c r="A954" s="181"/>
      <c r="B954" s="188" t="s">
        <v>2398</v>
      </c>
      <c r="C954" s="189" t="s">
        <v>134</v>
      </c>
      <c r="D954" s="189" t="s">
        <v>123</v>
      </c>
      <c r="E954" s="190" t="s">
        <v>2399</v>
      </c>
      <c r="F954" s="191">
        <f t="shared" si="16"/>
        <v>303.53333333333336</v>
      </c>
      <c r="G954" s="185"/>
      <c r="H954" s="181"/>
      <c r="I954" s="74"/>
      <c r="J954" s="74"/>
      <c r="M954" s="185"/>
      <c r="N954" s="185"/>
      <c r="O954" s="185"/>
      <c r="P954" s="185"/>
      <c r="Q954" s="185"/>
      <c r="R954" s="185"/>
    </row>
    <row r="955" spans="1:18" s="197" customFormat="1" ht="12.75" x14ac:dyDescent="0.2">
      <c r="A955" s="181"/>
      <c r="B955" s="188" t="s">
        <v>2400</v>
      </c>
      <c r="C955" s="189" t="s">
        <v>125</v>
      </c>
      <c r="D955" s="189" t="s">
        <v>123</v>
      </c>
      <c r="E955" s="190" t="s">
        <v>2401</v>
      </c>
      <c r="F955" s="191">
        <f t="shared" si="16"/>
        <v>198.56666666666666</v>
      </c>
      <c r="G955" s="185"/>
      <c r="H955" s="181"/>
      <c r="I955" s="74"/>
      <c r="J955" s="74"/>
      <c r="M955" s="185"/>
      <c r="N955" s="185"/>
      <c r="O955" s="185"/>
      <c r="P955" s="185"/>
      <c r="Q955" s="185"/>
      <c r="R955" s="185"/>
    </row>
    <row r="956" spans="1:18" s="197" customFormat="1" ht="12.75" x14ac:dyDescent="0.2">
      <c r="A956" s="181"/>
      <c r="B956" s="188" t="s">
        <v>2402</v>
      </c>
      <c r="C956" s="189" t="s">
        <v>142</v>
      </c>
      <c r="D956" s="189" t="s">
        <v>263</v>
      </c>
      <c r="E956" s="190" t="s">
        <v>1113</v>
      </c>
      <c r="F956" s="191">
        <f t="shared" si="16"/>
        <v>237.53333333333333</v>
      </c>
      <c r="G956" s="185"/>
      <c r="H956" s="181"/>
      <c r="I956" s="74"/>
      <c r="J956" s="74"/>
      <c r="M956" s="185"/>
      <c r="N956" s="185"/>
      <c r="O956" s="185"/>
      <c r="P956" s="185"/>
      <c r="Q956" s="185"/>
      <c r="R956" s="185"/>
    </row>
    <row r="957" spans="1:18" s="197" customFormat="1" ht="12.75" x14ac:dyDescent="0.2">
      <c r="A957" s="181"/>
      <c r="B957" s="188" t="s">
        <v>428</v>
      </c>
      <c r="C957" s="189" t="s">
        <v>124</v>
      </c>
      <c r="D957" s="189" t="s">
        <v>123</v>
      </c>
      <c r="E957" s="190" t="s">
        <v>2403</v>
      </c>
      <c r="F957" s="191">
        <f t="shared" si="16"/>
        <v>275.95</v>
      </c>
      <c r="G957" s="185"/>
      <c r="H957" s="181"/>
      <c r="I957" s="74"/>
      <c r="J957" s="74"/>
      <c r="M957" s="185"/>
      <c r="N957" s="185"/>
      <c r="O957" s="185"/>
      <c r="P957" s="185"/>
      <c r="Q957" s="185"/>
      <c r="R957" s="185"/>
    </row>
    <row r="958" spans="1:18" s="197" customFormat="1" ht="12.75" x14ac:dyDescent="0.2">
      <c r="A958" s="181"/>
      <c r="B958" s="188" t="s">
        <v>465</v>
      </c>
      <c r="C958" s="189" t="s">
        <v>124</v>
      </c>
      <c r="D958" s="189" t="s">
        <v>123</v>
      </c>
      <c r="E958" s="190" t="s">
        <v>2404</v>
      </c>
      <c r="F958" s="191">
        <f t="shared" si="16"/>
        <v>243.08333333333334</v>
      </c>
      <c r="G958" s="185"/>
      <c r="H958" s="181"/>
      <c r="I958" s="74"/>
      <c r="J958" s="74"/>
      <c r="M958" s="185"/>
      <c r="N958" s="185"/>
      <c r="O958" s="185"/>
      <c r="P958" s="185"/>
      <c r="Q958" s="185"/>
      <c r="R958" s="185"/>
    </row>
    <row r="959" spans="1:18" s="197" customFormat="1" ht="12.75" x14ac:dyDescent="0.2">
      <c r="A959" s="181"/>
      <c r="B959" s="188" t="s">
        <v>2405</v>
      </c>
      <c r="C959" s="189" t="s">
        <v>249</v>
      </c>
      <c r="D959" s="189" t="s">
        <v>123</v>
      </c>
      <c r="E959" s="190" t="s">
        <v>2406</v>
      </c>
      <c r="F959" s="191">
        <f t="shared" si="16"/>
        <v>331.53333333333336</v>
      </c>
      <c r="G959" s="185"/>
      <c r="H959" s="181"/>
      <c r="I959" s="74"/>
      <c r="J959" s="74"/>
      <c r="M959" s="185"/>
      <c r="N959" s="185"/>
      <c r="O959" s="185"/>
      <c r="P959" s="185"/>
      <c r="Q959" s="185"/>
      <c r="R959" s="185"/>
    </row>
    <row r="960" spans="1:18" s="197" customFormat="1" ht="12.75" x14ac:dyDescent="0.2">
      <c r="A960" s="181"/>
      <c r="B960" s="188" t="s">
        <v>301</v>
      </c>
      <c r="C960" s="189" t="s">
        <v>135</v>
      </c>
      <c r="D960" s="189" t="s">
        <v>123</v>
      </c>
      <c r="E960" s="190" t="s">
        <v>2407</v>
      </c>
      <c r="F960" s="191">
        <f t="shared" si="16"/>
        <v>290.55</v>
      </c>
      <c r="G960" s="185"/>
      <c r="H960" s="181"/>
      <c r="I960" s="74"/>
      <c r="J960" s="74"/>
      <c r="M960" s="185"/>
      <c r="N960" s="185"/>
      <c r="O960" s="185"/>
      <c r="P960" s="185"/>
      <c r="Q960" s="185"/>
      <c r="R960" s="185"/>
    </row>
    <row r="961" spans="1:18" s="197" customFormat="1" ht="12.75" x14ac:dyDescent="0.2">
      <c r="A961" s="181"/>
      <c r="B961" s="188" t="s">
        <v>2408</v>
      </c>
      <c r="C961" s="189" t="s">
        <v>124</v>
      </c>
      <c r="D961" s="189" t="s">
        <v>123</v>
      </c>
      <c r="E961" s="190" t="s">
        <v>2409</v>
      </c>
      <c r="F961" s="191">
        <f t="shared" si="16"/>
        <v>303.14999999999998</v>
      </c>
      <c r="G961" s="185"/>
      <c r="H961" s="181"/>
      <c r="I961" s="74"/>
      <c r="J961" s="74"/>
      <c r="M961" s="185"/>
      <c r="N961" s="185"/>
      <c r="O961" s="185"/>
      <c r="P961" s="185"/>
      <c r="Q961" s="185"/>
      <c r="R961" s="185"/>
    </row>
    <row r="962" spans="1:18" s="197" customFormat="1" ht="12.75" x14ac:dyDescent="0.2">
      <c r="A962" s="181"/>
      <c r="B962" s="188" t="s">
        <v>2410</v>
      </c>
      <c r="C962" s="189" t="s">
        <v>126</v>
      </c>
      <c r="D962" s="189" t="s">
        <v>123</v>
      </c>
      <c r="E962" s="190" t="s">
        <v>2411</v>
      </c>
      <c r="F962" s="191">
        <f t="shared" si="16"/>
        <v>177.25</v>
      </c>
      <c r="G962" s="185"/>
      <c r="H962" s="181"/>
      <c r="I962" s="74"/>
      <c r="J962" s="74"/>
      <c r="M962" s="185"/>
      <c r="N962" s="185"/>
      <c r="O962" s="185"/>
      <c r="P962" s="185"/>
      <c r="Q962" s="185"/>
      <c r="R962" s="185"/>
    </row>
    <row r="963" spans="1:18" s="197" customFormat="1" ht="12.75" x14ac:dyDescent="0.2">
      <c r="A963" s="181"/>
      <c r="B963" s="188" t="s">
        <v>2412</v>
      </c>
      <c r="C963" s="189" t="s">
        <v>124</v>
      </c>
      <c r="D963" s="189" t="s">
        <v>123</v>
      </c>
      <c r="E963" s="190" t="s">
        <v>2413</v>
      </c>
      <c r="F963" s="191">
        <f t="shared" si="16"/>
        <v>198.5</v>
      </c>
      <c r="G963" s="185"/>
      <c r="H963" s="181"/>
      <c r="I963" s="74"/>
      <c r="J963" s="74"/>
      <c r="M963" s="185"/>
      <c r="N963" s="185"/>
      <c r="O963" s="185"/>
      <c r="P963" s="185"/>
      <c r="Q963" s="185"/>
      <c r="R963" s="185"/>
    </row>
    <row r="964" spans="1:18" s="197" customFormat="1" ht="12.75" x14ac:dyDescent="0.2">
      <c r="A964" s="181"/>
      <c r="B964" s="188" t="s">
        <v>2414</v>
      </c>
      <c r="C964" s="189" t="s">
        <v>124</v>
      </c>
      <c r="D964" s="189" t="s">
        <v>147</v>
      </c>
      <c r="E964" s="190" t="s">
        <v>2415</v>
      </c>
      <c r="F964" s="191">
        <f t="shared" si="16"/>
        <v>199.25</v>
      </c>
      <c r="G964" s="185"/>
      <c r="H964" s="181"/>
      <c r="I964" s="74"/>
      <c r="J964" s="74"/>
      <c r="M964" s="185"/>
      <c r="N964" s="185"/>
      <c r="O964" s="185"/>
      <c r="P964" s="185"/>
      <c r="Q964" s="185"/>
      <c r="R964" s="185"/>
    </row>
    <row r="965" spans="1:18" s="197" customFormat="1" ht="12.75" x14ac:dyDescent="0.2">
      <c r="A965" s="181"/>
      <c r="B965" s="188" t="s">
        <v>2416</v>
      </c>
      <c r="C965" s="189" t="s">
        <v>134</v>
      </c>
      <c r="D965" s="189" t="s">
        <v>123</v>
      </c>
      <c r="E965" s="190" t="s">
        <v>2417</v>
      </c>
      <c r="F965" s="191">
        <f t="shared" si="16"/>
        <v>284.05</v>
      </c>
      <c r="G965" s="185"/>
      <c r="H965" s="181"/>
      <c r="I965" s="74"/>
      <c r="J965" s="74"/>
      <c r="M965" s="185"/>
      <c r="N965" s="185"/>
      <c r="O965" s="185"/>
      <c r="P965" s="185"/>
      <c r="Q965" s="185"/>
      <c r="R965" s="185"/>
    </row>
    <row r="966" spans="1:18" s="197" customFormat="1" ht="12.75" x14ac:dyDescent="0.2">
      <c r="A966" s="181"/>
      <c r="B966" s="188" t="s">
        <v>2418</v>
      </c>
      <c r="C966" s="189" t="s">
        <v>126</v>
      </c>
      <c r="D966" s="189" t="s">
        <v>123</v>
      </c>
      <c r="E966" s="190" t="s">
        <v>2419</v>
      </c>
      <c r="F966" s="191">
        <f t="shared" si="16"/>
        <v>243.75</v>
      </c>
      <c r="G966" s="185"/>
      <c r="H966" s="181"/>
      <c r="I966" s="74"/>
      <c r="J966" s="74"/>
      <c r="M966" s="185"/>
      <c r="N966" s="185"/>
      <c r="O966" s="185"/>
      <c r="P966" s="185"/>
      <c r="Q966" s="185"/>
      <c r="R966" s="185"/>
    </row>
    <row r="967" spans="1:18" s="197" customFormat="1" ht="12.75" x14ac:dyDescent="0.2">
      <c r="A967" s="181"/>
      <c r="B967" s="188" t="s">
        <v>2420</v>
      </c>
      <c r="C967" s="189" t="s">
        <v>125</v>
      </c>
      <c r="D967" s="189" t="s">
        <v>123</v>
      </c>
      <c r="E967" s="190" t="s">
        <v>2421</v>
      </c>
      <c r="F967" s="191">
        <f t="shared" si="16"/>
        <v>174.51666666666668</v>
      </c>
      <c r="G967" s="185"/>
      <c r="H967" s="181"/>
      <c r="I967" s="74"/>
      <c r="J967" s="74"/>
      <c r="M967" s="185"/>
      <c r="N967" s="185"/>
      <c r="O967" s="185"/>
      <c r="P967" s="185"/>
      <c r="Q967" s="185"/>
      <c r="R967" s="185"/>
    </row>
    <row r="968" spans="1:18" s="197" customFormat="1" ht="12.75" x14ac:dyDescent="0.2">
      <c r="A968" s="181"/>
      <c r="B968" s="188" t="s">
        <v>2422</v>
      </c>
      <c r="C968" s="189" t="s">
        <v>135</v>
      </c>
      <c r="D968" s="189" t="s">
        <v>123</v>
      </c>
      <c r="E968" s="190" t="s">
        <v>2423</v>
      </c>
      <c r="F968" s="191">
        <f t="shared" si="16"/>
        <v>276.39999999999998</v>
      </c>
      <c r="G968" s="185"/>
      <c r="H968" s="181"/>
      <c r="I968" s="74"/>
      <c r="J968" s="74"/>
      <c r="M968" s="185"/>
      <c r="N968" s="185"/>
      <c r="O968" s="185"/>
      <c r="P968" s="185"/>
      <c r="Q968" s="185"/>
      <c r="R968" s="185"/>
    </row>
    <row r="969" spans="1:18" s="197" customFormat="1" ht="12.75" x14ac:dyDescent="0.2">
      <c r="A969" s="181"/>
      <c r="B969" s="188" t="s">
        <v>2424</v>
      </c>
      <c r="C969" s="189" t="s">
        <v>124</v>
      </c>
      <c r="D969" s="189" t="s">
        <v>123</v>
      </c>
      <c r="E969" s="190" t="s">
        <v>1972</v>
      </c>
      <c r="F969" s="191">
        <f t="shared" si="16"/>
        <v>260.58333333333331</v>
      </c>
      <c r="G969" s="185"/>
      <c r="H969" s="181"/>
      <c r="I969" s="74"/>
      <c r="J969" s="74"/>
      <c r="M969" s="185"/>
      <c r="N969" s="185"/>
      <c r="O969" s="185"/>
      <c r="P969" s="185"/>
      <c r="Q969" s="185"/>
      <c r="R969" s="185"/>
    </row>
    <row r="970" spans="1:18" s="197" customFormat="1" ht="12.75" x14ac:dyDescent="0.2">
      <c r="A970" s="181"/>
      <c r="B970" s="188" t="s">
        <v>2425</v>
      </c>
      <c r="C970" s="189" t="s">
        <v>125</v>
      </c>
      <c r="D970" s="189" t="s">
        <v>123</v>
      </c>
      <c r="E970" s="190" t="s">
        <v>2426</v>
      </c>
      <c r="F970" s="191">
        <f t="shared" si="16"/>
        <v>234.56666666666666</v>
      </c>
      <c r="G970" s="185"/>
      <c r="H970" s="181"/>
      <c r="I970" s="74"/>
      <c r="J970" s="74"/>
      <c r="M970" s="185"/>
      <c r="N970" s="185"/>
      <c r="O970" s="185"/>
      <c r="P970" s="185"/>
      <c r="Q970" s="185"/>
      <c r="R970" s="185"/>
    </row>
    <row r="971" spans="1:18" s="197" customFormat="1" ht="12.75" x14ac:dyDescent="0.2">
      <c r="A971" s="181"/>
      <c r="B971" s="188" t="s">
        <v>2427</v>
      </c>
      <c r="C971" s="189" t="s">
        <v>125</v>
      </c>
      <c r="D971" s="189" t="s">
        <v>123</v>
      </c>
      <c r="E971" s="190" t="s">
        <v>2428</v>
      </c>
      <c r="F971" s="191">
        <f t="shared" ref="F971:F1034" si="17">HOUR(E971)*60+MINUTE(E971)+SECOND(E971)/60</f>
        <v>203.13333333333333</v>
      </c>
      <c r="G971" s="185"/>
      <c r="H971" s="181"/>
      <c r="I971" s="74"/>
      <c r="J971" s="74"/>
      <c r="M971" s="185"/>
      <c r="N971" s="185"/>
      <c r="O971" s="185"/>
      <c r="P971" s="185"/>
      <c r="Q971" s="185"/>
      <c r="R971" s="185"/>
    </row>
    <row r="972" spans="1:18" s="197" customFormat="1" ht="12.75" x14ac:dyDescent="0.2">
      <c r="A972" s="181"/>
      <c r="B972" s="188" t="s">
        <v>2429</v>
      </c>
      <c r="C972" s="189" t="s">
        <v>130</v>
      </c>
      <c r="D972" s="189" t="s">
        <v>123</v>
      </c>
      <c r="E972" s="190" t="s">
        <v>2430</v>
      </c>
      <c r="F972" s="191">
        <f t="shared" si="17"/>
        <v>300.75</v>
      </c>
      <c r="G972" s="185"/>
      <c r="H972" s="181"/>
      <c r="I972" s="74"/>
      <c r="J972" s="74"/>
      <c r="M972" s="185"/>
      <c r="N972" s="185"/>
      <c r="O972" s="185"/>
      <c r="P972" s="185"/>
      <c r="Q972" s="185"/>
      <c r="R972" s="185"/>
    </row>
    <row r="973" spans="1:18" s="197" customFormat="1" ht="12.75" x14ac:dyDescent="0.2">
      <c r="A973" s="181"/>
      <c r="B973" s="188" t="s">
        <v>2431</v>
      </c>
      <c r="C973" s="189" t="s">
        <v>135</v>
      </c>
      <c r="D973" s="189" t="s">
        <v>123</v>
      </c>
      <c r="E973" s="190" t="s">
        <v>2432</v>
      </c>
      <c r="F973" s="191">
        <f t="shared" si="17"/>
        <v>226.4</v>
      </c>
      <c r="G973" s="185"/>
      <c r="H973" s="181"/>
      <c r="I973" s="74"/>
      <c r="J973" s="74"/>
      <c r="M973" s="185"/>
      <c r="N973" s="185"/>
      <c r="O973" s="185"/>
      <c r="P973" s="185"/>
      <c r="Q973" s="185"/>
      <c r="R973" s="185"/>
    </row>
    <row r="974" spans="1:18" s="197" customFormat="1" ht="12.75" x14ac:dyDescent="0.2">
      <c r="A974" s="181"/>
      <c r="B974" s="188" t="s">
        <v>2433</v>
      </c>
      <c r="C974" s="189" t="s">
        <v>128</v>
      </c>
      <c r="D974" s="189" t="s">
        <v>141</v>
      </c>
      <c r="E974" s="190" t="s">
        <v>2434</v>
      </c>
      <c r="F974" s="191">
        <f t="shared" si="17"/>
        <v>267.91666666666669</v>
      </c>
      <c r="G974" s="185"/>
      <c r="H974" s="181"/>
      <c r="I974" s="74"/>
      <c r="J974" s="74"/>
      <c r="M974" s="185"/>
      <c r="N974" s="185"/>
      <c r="O974" s="185"/>
      <c r="P974" s="185"/>
      <c r="Q974" s="185"/>
      <c r="R974" s="185"/>
    </row>
    <row r="975" spans="1:18" s="197" customFormat="1" ht="12.75" x14ac:dyDescent="0.2">
      <c r="A975" s="181"/>
      <c r="B975" s="188" t="s">
        <v>475</v>
      </c>
      <c r="C975" s="189" t="s">
        <v>140</v>
      </c>
      <c r="D975" s="189" t="s">
        <v>123</v>
      </c>
      <c r="E975" s="190" t="s">
        <v>2435</v>
      </c>
      <c r="F975" s="191">
        <f t="shared" si="17"/>
        <v>273.38333333333333</v>
      </c>
      <c r="G975" s="185"/>
      <c r="H975" s="181"/>
      <c r="I975" s="74"/>
      <c r="J975" s="74"/>
      <c r="M975" s="185"/>
      <c r="N975" s="185"/>
      <c r="O975" s="185"/>
      <c r="P975" s="185"/>
      <c r="Q975" s="185"/>
      <c r="R975" s="185"/>
    </row>
    <row r="976" spans="1:18" s="197" customFormat="1" ht="12.75" x14ac:dyDescent="0.2">
      <c r="A976" s="181"/>
      <c r="B976" s="188" t="s">
        <v>2436</v>
      </c>
      <c r="C976" s="189" t="s">
        <v>125</v>
      </c>
      <c r="D976" s="189" t="s">
        <v>123</v>
      </c>
      <c r="E976" s="190" t="s">
        <v>2437</v>
      </c>
      <c r="F976" s="191">
        <f t="shared" si="17"/>
        <v>282.8</v>
      </c>
      <c r="G976" s="185"/>
      <c r="H976" s="181"/>
      <c r="I976" s="74"/>
      <c r="J976" s="74"/>
      <c r="M976" s="185"/>
      <c r="N976" s="185"/>
      <c r="O976" s="185"/>
      <c r="P976" s="185"/>
      <c r="Q976" s="185"/>
      <c r="R976" s="185"/>
    </row>
    <row r="977" spans="1:18" s="197" customFormat="1" ht="12.75" x14ac:dyDescent="0.2">
      <c r="A977" s="181"/>
      <c r="B977" s="188" t="s">
        <v>2438</v>
      </c>
      <c r="C977" s="189" t="s">
        <v>134</v>
      </c>
      <c r="D977" s="189" t="s">
        <v>160</v>
      </c>
      <c r="E977" s="190" t="s">
        <v>792</v>
      </c>
      <c r="F977" s="191">
        <f t="shared" si="17"/>
        <v>285.5</v>
      </c>
      <c r="G977" s="185"/>
      <c r="H977" s="181"/>
      <c r="I977" s="74"/>
      <c r="J977" s="74"/>
      <c r="M977" s="185"/>
      <c r="N977" s="185"/>
      <c r="O977" s="185"/>
      <c r="P977" s="185"/>
      <c r="Q977" s="185"/>
      <c r="R977" s="185"/>
    </row>
    <row r="978" spans="1:18" s="197" customFormat="1" ht="12.75" x14ac:dyDescent="0.2">
      <c r="A978" s="181"/>
      <c r="B978" s="188" t="s">
        <v>2439</v>
      </c>
      <c r="C978" s="189" t="s">
        <v>124</v>
      </c>
      <c r="D978" s="189" t="s">
        <v>123</v>
      </c>
      <c r="E978" s="190" t="s">
        <v>2440</v>
      </c>
      <c r="F978" s="191">
        <f t="shared" si="17"/>
        <v>233.63333333333333</v>
      </c>
      <c r="G978" s="185"/>
      <c r="H978" s="181"/>
      <c r="I978" s="74"/>
      <c r="J978" s="74"/>
      <c r="M978" s="185"/>
      <c r="N978" s="185"/>
      <c r="O978" s="185"/>
      <c r="P978" s="185"/>
      <c r="Q978" s="185"/>
      <c r="R978" s="185"/>
    </row>
    <row r="979" spans="1:18" s="197" customFormat="1" ht="12.75" x14ac:dyDescent="0.2">
      <c r="A979" s="181"/>
      <c r="B979" s="188" t="s">
        <v>2441</v>
      </c>
      <c r="C979" s="189" t="s">
        <v>134</v>
      </c>
      <c r="D979" s="189" t="s">
        <v>131</v>
      </c>
      <c r="E979" s="190" t="s">
        <v>852</v>
      </c>
      <c r="F979" s="191">
        <f t="shared" si="17"/>
        <v>259.58333333333331</v>
      </c>
      <c r="G979" s="185"/>
      <c r="H979" s="181"/>
      <c r="I979" s="74"/>
      <c r="J979" s="74"/>
      <c r="M979" s="185"/>
      <c r="N979" s="185"/>
      <c r="O979" s="185"/>
      <c r="P979" s="185"/>
      <c r="Q979" s="185"/>
      <c r="R979" s="185"/>
    </row>
    <row r="980" spans="1:18" s="197" customFormat="1" ht="12.75" x14ac:dyDescent="0.2">
      <c r="A980" s="181"/>
      <c r="B980" s="188" t="s">
        <v>2442</v>
      </c>
      <c r="C980" s="189" t="s">
        <v>125</v>
      </c>
      <c r="D980" s="189" t="s">
        <v>531</v>
      </c>
      <c r="E980" s="190" t="s">
        <v>2443</v>
      </c>
      <c r="F980" s="191">
        <f t="shared" si="17"/>
        <v>300.63333333333333</v>
      </c>
      <c r="G980" s="185"/>
      <c r="H980" s="181"/>
      <c r="I980" s="74"/>
      <c r="J980" s="74"/>
      <c r="M980" s="185"/>
      <c r="N980" s="185"/>
      <c r="O980" s="185"/>
      <c r="P980" s="185"/>
      <c r="Q980" s="185"/>
      <c r="R980" s="185"/>
    </row>
    <row r="981" spans="1:18" s="197" customFormat="1" ht="12.75" x14ac:dyDescent="0.2">
      <c r="A981" s="181"/>
      <c r="B981" s="188" t="s">
        <v>2444</v>
      </c>
      <c r="C981" s="189" t="s">
        <v>130</v>
      </c>
      <c r="D981" s="189" t="s">
        <v>131</v>
      </c>
      <c r="E981" s="190" t="s">
        <v>2445</v>
      </c>
      <c r="F981" s="191">
        <f t="shared" si="17"/>
        <v>229.6</v>
      </c>
      <c r="G981" s="185"/>
      <c r="H981" s="181"/>
      <c r="I981" s="74"/>
      <c r="J981" s="74"/>
      <c r="M981" s="185"/>
      <c r="N981" s="185"/>
      <c r="O981" s="185"/>
      <c r="P981" s="185"/>
      <c r="Q981" s="185"/>
      <c r="R981" s="185"/>
    </row>
    <row r="982" spans="1:18" s="197" customFormat="1" ht="12.75" x14ac:dyDescent="0.2">
      <c r="A982" s="181"/>
      <c r="B982" s="188" t="s">
        <v>2446</v>
      </c>
      <c r="C982" s="189" t="s">
        <v>124</v>
      </c>
      <c r="D982" s="189" t="s">
        <v>148</v>
      </c>
      <c r="E982" s="190" t="s">
        <v>2447</v>
      </c>
      <c r="F982" s="191">
        <f t="shared" si="17"/>
        <v>248.9</v>
      </c>
      <c r="G982" s="185"/>
      <c r="H982" s="181"/>
      <c r="I982" s="74"/>
      <c r="J982" s="74"/>
      <c r="M982" s="185"/>
      <c r="N982" s="185"/>
      <c r="O982" s="185"/>
      <c r="P982" s="185"/>
      <c r="Q982" s="185"/>
      <c r="R982" s="185"/>
    </row>
    <row r="983" spans="1:18" s="197" customFormat="1" ht="12.75" x14ac:dyDescent="0.2">
      <c r="A983" s="181"/>
      <c r="B983" s="188" t="s">
        <v>2448</v>
      </c>
      <c r="C983" s="189" t="s">
        <v>124</v>
      </c>
      <c r="D983" s="189" t="s">
        <v>123</v>
      </c>
      <c r="E983" s="190" t="s">
        <v>2449</v>
      </c>
      <c r="F983" s="191">
        <f t="shared" si="17"/>
        <v>251.06666666666666</v>
      </c>
      <c r="G983" s="185"/>
      <c r="H983" s="181"/>
      <c r="I983" s="74"/>
      <c r="J983" s="74"/>
      <c r="M983" s="185"/>
      <c r="N983" s="185"/>
      <c r="O983" s="185"/>
      <c r="P983" s="185"/>
      <c r="Q983" s="185"/>
      <c r="R983" s="185"/>
    </row>
    <row r="984" spans="1:18" s="197" customFormat="1" ht="12.75" x14ac:dyDescent="0.2">
      <c r="A984" s="181"/>
      <c r="B984" s="188" t="s">
        <v>2450</v>
      </c>
      <c r="C984" s="189" t="s">
        <v>135</v>
      </c>
      <c r="D984" s="189" t="s">
        <v>139</v>
      </c>
      <c r="E984" s="190" t="s">
        <v>2451</v>
      </c>
      <c r="F984" s="191">
        <f t="shared" si="17"/>
        <v>238.93333333333334</v>
      </c>
      <c r="G984" s="185"/>
      <c r="H984" s="181"/>
      <c r="I984" s="74"/>
      <c r="J984" s="74"/>
      <c r="M984" s="185"/>
      <c r="N984" s="185"/>
      <c r="O984" s="185"/>
      <c r="P984" s="185"/>
      <c r="Q984" s="185"/>
      <c r="R984" s="185"/>
    </row>
    <row r="985" spans="1:18" s="197" customFormat="1" ht="12.75" x14ac:dyDescent="0.2">
      <c r="A985" s="181"/>
      <c r="B985" s="188" t="s">
        <v>2452</v>
      </c>
      <c r="C985" s="189" t="s">
        <v>125</v>
      </c>
      <c r="D985" s="189" t="s">
        <v>169</v>
      </c>
      <c r="E985" s="190" t="s">
        <v>2453</v>
      </c>
      <c r="F985" s="191">
        <f t="shared" si="17"/>
        <v>259.75</v>
      </c>
      <c r="G985" s="185"/>
      <c r="H985" s="181"/>
      <c r="I985" s="74"/>
      <c r="J985" s="74"/>
      <c r="M985" s="185"/>
      <c r="N985" s="185"/>
      <c r="O985" s="185"/>
      <c r="P985" s="185"/>
      <c r="Q985" s="185"/>
      <c r="R985" s="185"/>
    </row>
    <row r="986" spans="1:18" s="197" customFormat="1" ht="12.75" x14ac:dyDescent="0.2">
      <c r="A986" s="181"/>
      <c r="B986" s="188" t="s">
        <v>2454</v>
      </c>
      <c r="C986" s="189" t="s">
        <v>124</v>
      </c>
      <c r="D986" s="189" t="s">
        <v>132</v>
      </c>
      <c r="E986" s="190" t="s">
        <v>2455</v>
      </c>
      <c r="F986" s="191">
        <f t="shared" si="17"/>
        <v>269.46666666666664</v>
      </c>
      <c r="G986" s="185"/>
      <c r="H986" s="181"/>
      <c r="I986" s="74"/>
      <c r="J986" s="74"/>
      <c r="M986" s="185"/>
      <c r="N986" s="185"/>
      <c r="O986" s="185"/>
      <c r="P986" s="185"/>
      <c r="Q986" s="185"/>
      <c r="R986" s="185"/>
    </row>
    <row r="987" spans="1:18" s="197" customFormat="1" ht="12.75" x14ac:dyDescent="0.2">
      <c r="A987" s="181"/>
      <c r="B987" s="188" t="s">
        <v>2456</v>
      </c>
      <c r="C987" s="189" t="s">
        <v>125</v>
      </c>
      <c r="D987" s="189" t="s">
        <v>123</v>
      </c>
      <c r="E987" s="190" t="s">
        <v>1567</v>
      </c>
      <c r="F987" s="191">
        <f t="shared" si="17"/>
        <v>208.05</v>
      </c>
      <c r="G987" s="185"/>
      <c r="H987" s="181"/>
      <c r="I987" s="74"/>
      <c r="J987" s="74"/>
      <c r="M987" s="185"/>
      <c r="N987" s="185"/>
      <c r="O987" s="185"/>
      <c r="P987" s="185"/>
      <c r="Q987" s="185"/>
      <c r="R987" s="185"/>
    </row>
    <row r="988" spans="1:18" s="197" customFormat="1" ht="12.75" x14ac:dyDescent="0.2">
      <c r="A988" s="181"/>
      <c r="B988" s="188" t="s">
        <v>2457</v>
      </c>
      <c r="C988" s="189" t="s">
        <v>126</v>
      </c>
      <c r="D988" s="189" t="s">
        <v>123</v>
      </c>
      <c r="E988" s="190" t="s">
        <v>2458</v>
      </c>
      <c r="F988" s="191">
        <f t="shared" si="17"/>
        <v>240.83333333333334</v>
      </c>
      <c r="G988" s="185"/>
      <c r="H988" s="181"/>
      <c r="I988" s="74"/>
      <c r="J988" s="74"/>
      <c r="M988" s="185"/>
      <c r="N988" s="185"/>
      <c r="O988" s="185"/>
      <c r="P988" s="185"/>
      <c r="Q988" s="185"/>
      <c r="R988" s="185"/>
    </row>
    <row r="989" spans="1:18" s="197" customFormat="1" ht="12.75" x14ac:dyDescent="0.2">
      <c r="A989" s="181"/>
      <c r="B989" s="188" t="s">
        <v>2459</v>
      </c>
      <c r="C989" s="189" t="s">
        <v>124</v>
      </c>
      <c r="D989" s="189" t="s">
        <v>132</v>
      </c>
      <c r="E989" s="190" t="s">
        <v>2460</v>
      </c>
      <c r="F989" s="191">
        <f t="shared" si="17"/>
        <v>304.18333333333334</v>
      </c>
      <c r="G989" s="185"/>
      <c r="H989" s="181"/>
      <c r="I989" s="74"/>
      <c r="J989" s="74"/>
      <c r="M989" s="185"/>
      <c r="N989" s="185"/>
      <c r="O989" s="185"/>
      <c r="P989" s="185"/>
      <c r="Q989" s="185"/>
      <c r="R989" s="185"/>
    </row>
    <row r="990" spans="1:18" s="197" customFormat="1" ht="12.75" x14ac:dyDescent="0.2">
      <c r="A990" s="181"/>
      <c r="B990" s="188" t="s">
        <v>2461</v>
      </c>
      <c r="C990" s="189" t="s">
        <v>126</v>
      </c>
      <c r="D990" s="189" t="s">
        <v>123</v>
      </c>
      <c r="E990" s="190" t="s">
        <v>2462</v>
      </c>
      <c r="F990" s="191">
        <f t="shared" si="17"/>
        <v>188.68333333333334</v>
      </c>
      <c r="G990" s="185"/>
      <c r="H990" s="181"/>
      <c r="I990" s="74"/>
      <c r="J990" s="74"/>
      <c r="M990" s="185"/>
      <c r="N990" s="185"/>
      <c r="O990" s="185"/>
      <c r="P990" s="185"/>
      <c r="Q990" s="185"/>
      <c r="R990" s="185"/>
    </row>
    <row r="991" spans="1:18" s="197" customFormat="1" ht="12.75" x14ac:dyDescent="0.2">
      <c r="A991" s="181"/>
      <c r="B991" s="188" t="s">
        <v>2463</v>
      </c>
      <c r="C991" s="189" t="s">
        <v>142</v>
      </c>
      <c r="D991" s="189" t="s">
        <v>152</v>
      </c>
      <c r="E991" s="190" t="s">
        <v>2464</v>
      </c>
      <c r="F991" s="191">
        <f t="shared" si="17"/>
        <v>301.58333333333331</v>
      </c>
      <c r="G991" s="185"/>
      <c r="H991" s="181"/>
      <c r="I991" s="74"/>
      <c r="J991" s="74"/>
      <c r="M991" s="185"/>
      <c r="N991" s="185"/>
      <c r="O991" s="185"/>
      <c r="P991" s="185"/>
      <c r="Q991" s="185"/>
      <c r="R991" s="185"/>
    </row>
    <row r="992" spans="1:18" s="197" customFormat="1" ht="12.75" x14ac:dyDescent="0.2">
      <c r="A992" s="181"/>
      <c r="B992" s="188" t="s">
        <v>2465</v>
      </c>
      <c r="C992" s="189" t="s">
        <v>142</v>
      </c>
      <c r="D992" s="189" t="s">
        <v>123</v>
      </c>
      <c r="E992" s="190" t="s">
        <v>2466</v>
      </c>
      <c r="F992" s="191">
        <f t="shared" si="17"/>
        <v>212.31666666666666</v>
      </c>
      <c r="G992" s="185"/>
      <c r="H992" s="181"/>
      <c r="I992" s="74"/>
      <c r="J992" s="74"/>
      <c r="M992" s="185"/>
      <c r="N992" s="185"/>
      <c r="O992" s="185"/>
      <c r="P992" s="185"/>
      <c r="Q992" s="185"/>
      <c r="R992" s="185"/>
    </row>
    <row r="993" spans="1:18" s="197" customFormat="1" ht="12.75" x14ac:dyDescent="0.2">
      <c r="A993" s="181"/>
      <c r="B993" s="188" t="s">
        <v>2467</v>
      </c>
      <c r="C993" s="189" t="s">
        <v>134</v>
      </c>
      <c r="D993" s="189" t="s">
        <v>123</v>
      </c>
      <c r="E993" s="190" t="s">
        <v>1370</v>
      </c>
      <c r="F993" s="191">
        <f t="shared" si="17"/>
        <v>240.9</v>
      </c>
      <c r="G993" s="185"/>
      <c r="H993" s="181"/>
      <c r="I993" s="74"/>
      <c r="J993" s="74"/>
      <c r="M993" s="185"/>
      <c r="N993" s="185"/>
      <c r="O993" s="185"/>
      <c r="P993" s="185"/>
      <c r="Q993" s="185"/>
      <c r="R993" s="185"/>
    </row>
    <row r="994" spans="1:18" s="197" customFormat="1" ht="12.75" x14ac:dyDescent="0.2">
      <c r="A994" s="181"/>
      <c r="B994" s="188" t="s">
        <v>2468</v>
      </c>
      <c r="C994" s="189" t="s">
        <v>140</v>
      </c>
      <c r="D994" s="189" t="s">
        <v>123</v>
      </c>
      <c r="E994" s="190" t="s">
        <v>2469</v>
      </c>
      <c r="F994" s="191">
        <f t="shared" si="17"/>
        <v>300.01666666666665</v>
      </c>
      <c r="G994" s="185"/>
      <c r="H994" s="181"/>
      <c r="I994" s="74"/>
      <c r="J994" s="74"/>
      <c r="M994" s="185"/>
      <c r="N994" s="185"/>
      <c r="O994" s="185"/>
      <c r="P994" s="185"/>
      <c r="Q994" s="185"/>
      <c r="R994" s="185"/>
    </row>
    <row r="995" spans="1:18" s="197" customFormat="1" ht="12.75" x14ac:dyDescent="0.2">
      <c r="A995" s="181"/>
      <c r="B995" s="188" t="s">
        <v>2470</v>
      </c>
      <c r="C995" s="189" t="s">
        <v>124</v>
      </c>
      <c r="D995" s="189" t="s">
        <v>123</v>
      </c>
      <c r="E995" s="190" t="s">
        <v>2471</v>
      </c>
      <c r="F995" s="191">
        <f t="shared" si="17"/>
        <v>266.26666666666665</v>
      </c>
      <c r="G995" s="185"/>
      <c r="H995" s="181"/>
      <c r="I995" s="74"/>
      <c r="J995" s="74"/>
      <c r="M995" s="185"/>
      <c r="N995" s="185"/>
      <c r="O995" s="185"/>
      <c r="P995" s="185"/>
      <c r="Q995" s="185"/>
      <c r="R995" s="185"/>
    </row>
    <row r="996" spans="1:18" s="197" customFormat="1" ht="12.75" x14ac:dyDescent="0.2">
      <c r="A996" s="181"/>
      <c r="B996" s="188" t="s">
        <v>2472</v>
      </c>
      <c r="C996" s="189" t="s">
        <v>130</v>
      </c>
      <c r="D996" s="189" t="s">
        <v>148</v>
      </c>
      <c r="E996" s="190" t="s">
        <v>2473</v>
      </c>
      <c r="F996" s="191">
        <f t="shared" si="17"/>
        <v>285.01666666666665</v>
      </c>
      <c r="G996" s="185"/>
      <c r="H996" s="181"/>
      <c r="I996" s="74"/>
      <c r="J996" s="74"/>
      <c r="M996" s="185"/>
      <c r="N996" s="185"/>
      <c r="O996" s="185"/>
      <c r="P996" s="185"/>
      <c r="Q996" s="185"/>
      <c r="R996" s="185"/>
    </row>
    <row r="997" spans="1:18" s="197" customFormat="1" ht="12.75" x14ac:dyDescent="0.2">
      <c r="A997" s="181"/>
      <c r="B997" s="188" t="s">
        <v>2474</v>
      </c>
      <c r="C997" s="189" t="s">
        <v>134</v>
      </c>
      <c r="D997" s="189" t="s">
        <v>131</v>
      </c>
      <c r="E997" s="190" t="s">
        <v>898</v>
      </c>
      <c r="F997" s="191">
        <f t="shared" si="17"/>
        <v>298.71666666666664</v>
      </c>
      <c r="G997" s="185"/>
      <c r="H997" s="181"/>
      <c r="I997" s="74"/>
      <c r="J997" s="74"/>
      <c r="M997" s="185"/>
      <c r="N997" s="185"/>
      <c r="O997" s="185"/>
      <c r="P997" s="185"/>
      <c r="Q997" s="185"/>
      <c r="R997" s="185"/>
    </row>
    <row r="998" spans="1:18" s="197" customFormat="1" ht="12.75" x14ac:dyDescent="0.2">
      <c r="A998" s="181"/>
      <c r="B998" s="188" t="s">
        <v>2475</v>
      </c>
      <c r="C998" s="189" t="s">
        <v>128</v>
      </c>
      <c r="D998" s="189" t="s">
        <v>123</v>
      </c>
      <c r="E998" s="190" t="s">
        <v>2476</v>
      </c>
      <c r="F998" s="191">
        <f t="shared" si="17"/>
        <v>236.76666666666668</v>
      </c>
      <c r="G998" s="185"/>
      <c r="H998" s="181"/>
      <c r="I998" s="74"/>
      <c r="J998" s="74"/>
      <c r="M998" s="185"/>
      <c r="N998" s="185"/>
      <c r="O998" s="185"/>
      <c r="P998" s="185"/>
      <c r="Q998" s="185"/>
      <c r="R998" s="185"/>
    </row>
    <row r="999" spans="1:18" s="197" customFormat="1" ht="12.75" x14ac:dyDescent="0.2">
      <c r="A999" s="181"/>
      <c r="B999" s="188" t="s">
        <v>2477</v>
      </c>
      <c r="C999" s="189" t="s">
        <v>142</v>
      </c>
      <c r="D999" s="189" t="s">
        <v>123</v>
      </c>
      <c r="E999" s="190" t="s">
        <v>2478</v>
      </c>
      <c r="F999" s="191">
        <f t="shared" si="17"/>
        <v>245.31666666666666</v>
      </c>
      <c r="G999" s="185"/>
      <c r="H999" s="181"/>
      <c r="I999" s="74"/>
      <c r="J999" s="74"/>
      <c r="M999" s="185"/>
      <c r="N999" s="185"/>
      <c r="O999" s="185"/>
      <c r="P999" s="185"/>
      <c r="Q999" s="185"/>
      <c r="R999" s="185"/>
    </row>
    <row r="1000" spans="1:18" s="197" customFormat="1" ht="12.75" x14ac:dyDescent="0.2">
      <c r="A1000" s="181"/>
      <c r="B1000" s="188" t="s">
        <v>2479</v>
      </c>
      <c r="C1000" s="189" t="s">
        <v>130</v>
      </c>
      <c r="D1000" s="189" t="s">
        <v>123</v>
      </c>
      <c r="E1000" s="190" t="s">
        <v>2480</v>
      </c>
      <c r="F1000" s="191">
        <f t="shared" si="17"/>
        <v>280.18333333333334</v>
      </c>
      <c r="G1000" s="185"/>
      <c r="H1000" s="181"/>
      <c r="I1000" s="74"/>
      <c r="J1000" s="74"/>
      <c r="M1000" s="185"/>
      <c r="N1000" s="185"/>
      <c r="O1000" s="185"/>
      <c r="P1000" s="185"/>
      <c r="Q1000" s="185"/>
      <c r="R1000" s="185"/>
    </row>
    <row r="1001" spans="1:18" s="197" customFormat="1" ht="12.75" x14ac:dyDescent="0.2">
      <c r="A1001" s="181"/>
      <c r="B1001" s="188" t="s">
        <v>2481</v>
      </c>
      <c r="C1001" s="189" t="s">
        <v>128</v>
      </c>
      <c r="D1001" s="189" t="s">
        <v>123</v>
      </c>
      <c r="E1001" s="190" t="s">
        <v>2482</v>
      </c>
      <c r="F1001" s="191">
        <f t="shared" si="17"/>
        <v>215.1</v>
      </c>
      <c r="G1001" s="185"/>
      <c r="H1001" s="181"/>
      <c r="I1001" s="74"/>
      <c r="J1001" s="74"/>
      <c r="M1001" s="185"/>
      <c r="N1001" s="185"/>
      <c r="O1001" s="185"/>
      <c r="P1001" s="185"/>
      <c r="Q1001" s="185"/>
      <c r="R1001" s="185"/>
    </row>
    <row r="1002" spans="1:18" s="197" customFormat="1" ht="12.75" x14ac:dyDescent="0.2">
      <c r="A1002" s="181"/>
      <c r="B1002" s="188" t="s">
        <v>2483</v>
      </c>
      <c r="C1002" s="189" t="s">
        <v>125</v>
      </c>
      <c r="D1002" s="189" t="s">
        <v>123</v>
      </c>
      <c r="E1002" s="190" t="s">
        <v>2484</v>
      </c>
      <c r="F1002" s="191">
        <f t="shared" si="17"/>
        <v>252.96666666666667</v>
      </c>
      <c r="G1002" s="185"/>
      <c r="H1002" s="181"/>
      <c r="I1002" s="74"/>
      <c r="J1002" s="74"/>
      <c r="M1002" s="185"/>
      <c r="N1002" s="185"/>
      <c r="O1002" s="185"/>
      <c r="P1002" s="185"/>
      <c r="Q1002" s="185"/>
      <c r="R1002" s="185"/>
    </row>
    <row r="1003" spans="1:18" s="197" customFormat="1" ht="12.75" x14ac:dyDescent="0.2">
      <c r="A1003" s="181"/>
      <c r="B1003" s="188" t="s">
        <v>628</v>
      </c>
      <c r="C1003" s="189" t="s">
        <v>125</v>
      </c>
      <c r="D1003" s="189" t="s">
        <v>123</v>
      </c>
      <c r="E1003" s="190" t="s">
        <v>2485</v>
      </c>
      <c r="F1003" s="191">
        <f t="shared" si="17"/>
        <v>251.18333333333334</v>
      </c>
      <c r="G1003" s="185"/>
      <c r="H1003" s="181"/>
      <c r="I1003" s="74"/>
      <c r="J1003" s="74"/>
      <c r="M1003" s="185"/>
      <c r="N1003" s="185"/>
      <c r="O1003" s="185"/>
      <c r="P1003" s="185"/>
      <c r="Q1003" s="185"/>
      <c r="R1003" s="185"/>
    </row>
    <row r="1004" spans="1:18" s="197" customFormat="1" ht="12.75" x14ac:dyDescent="0.2">
      <c r="A1004" s="181"/>
      <c r="B1004" s="188" t="s">
        <v>2486</v>
      </c>
      <c r="C1004" s="189" t="s">
        <v>130</v>
      </c>
      <c r="D1004" s="189" t="s">
        <v>129</v>
      </c>
      <c r="E1004" s="190" t="s">
        <v>2487</v>
      </c>
      <c r="F1004" s="191">
        <f t="shared" si="17"/>
        <v>218.96666666666667</v>
      </c>
      <c r="G1004" s="185"/>
      <c r="H1004" s="181"/>
      <c r="I1004" s="74"/>
      <c r="J1004" s="74"/>
      <c r="M1004" s="185"/>
      <c r="N1004" s="185"/>
      <c r="O1004" s="185"/>
      <c r="P1004" s="185"/>
      <c r="Q1004" s="185"/>
      <c r="R1004" s="185"/>
    </row>
    <row r="1005" spans="1:18" s="197" customFormat="1" ht="12.75" x14ac:dyDescent="0.2">
      <c r="A1005" s="181"/>
      <c r="B1005" s="188" t="s">
        <v>2488</v>
      </c>
      <c r="C1005" s="189" t="s">
        <v>126</v>
      </c>
      <c r="D1005" s="189" t="s">
        <v>123</v>
      </c>
      <c r="E1005" s="190" t="s">
        <v>2489</v>
      </c>
      <c r="F1005" s="191">
        <f t="shared" si="17"/>
        <v>277.98333333333335</v>
      </c>
      <c r="G1005" s="185"/>
      <c r="H1005" s="181"/>
      <c r="I1005" s="74"/>
      <c r="J1005" s="74"/>
      <c r="M1005" s="185"/>
      <c r="N1005" s="185"/>
      <c r="O1005" s="185"/>
      <c r="P1005" s="185"/>
      <c r="Q1005" s="185"/>
      <c r="R1005" s="185"/>
    </row>
    <row r="1006" spans="1:18" s="197" customFormat="1" ht="12.75" x14ac:dyDescent="0.2">
      <c r="A1006" s="181"/>
      <c r="B1006" s="188" t="s">
        <v>2490</v>
      </c>
      <c r="C1006" s="189" t="s">
        <v>130</v>
      </c>
      <c r="D1006" s="189" t="s">
        <v>123</v>
      </c>
      <c r="E1006" s="190" t="s">
        <v>2491</v>
      </c>
      <c r="F1006" s="191">
        <f t="shared" si="17"/>
        <v>238.13333333333333</v>
      </c>
      <c r="G1006" s="185"/>
      <c r="H1006" s="181"/>
      <c r="I1006" s="74"/>
      <c r="J1006" s="74"/>
      <c r="M1006" s="185"/>
      <c r="N1006" s="185"/>
      <c r="O1006" s="185"/>
      <c r="P1006" s="185"/>
      <c r="Q1006" s="185"/>
      <c r="R1006" s="185"/>
    </row>
    <row r="1007" spans="1:18" s="197" customFormat="1" ht="12.75" x14ac:dyDescent="0.2">
      <c r="A1007" s="181"/>
      <c r="B1007" s="188" t="s">
        <v>586</v>
      </c>
      <c r="C1007" s="189" t="s">
        <v>142</v>
      </c>
      <c r="D1007" s="189" t="s">
        <v>155</v>
      </c>
      <c r="E1007" s="190" t="s">
        <v>2492</v>
      </c>
      <c r="F1007" s="191">
        <f t="shared" si="17"/>
        <v>255.65</v>
      </c>
      <c r="G1007" s="185"/>
      <c r="H1007" s="181"/>
      <c r="I1007" s="74"/>
      <c r="J1007" s="74"/>
      <c r="M1007" s="185"/>
      <c r="N1007" s="185"/>
      <c r="O1007" s="185"/>
      <c r="P1007" s="185"/>
      <c r="Q1007" s="185"/>
      <c r="R1007" s="185"/>
    </row>
    <row r="1008" spans="1:18" s="197" customFormat="1" ht="12.75" x14ac:dyDescent="0.2">
      <c r="A1008" s="181"/>
      <c r="B1008" s="188" t="s">
        <v>2493</v>
      </c>
      <c r="C1008" s="189" t="s">
        <v>134</v>
      </c>
      <c r="D1008" s="189" t="s">
        <v>123</v>
      </c>
      <c r="E1008" s="190" t="s">
        <v>2494</v>
      </c>
      <c r="F1008" s="191">
        <f t="shared" si="17"/>
        <v>280.48333333333335</v>
      </c>
      <c r="G1008" s="185"/>
      <c r="H1008" s="181"/>
      <c r="I1008" s="74"/>
      <c r="J1008" s="74"/>
      <c r="M1008" s="185"/>
      <c r="N1008" s="185"/>
      <c r="O1008" s="185"/>
      <c r="P1008" s="185"/>
      <c r="Q1008" s="185"/>
      <c r="R1008" s="185"/>
    </row>
    <row r="1009" spans="1:18" s="197" customFormat="1" ht="12.75" x14ac:dyDescent="0.2">
      <c r="A1009" s="181"/>
      <c r="B1009" s="188" t="s">
        <v>2495</v>
      </c>
      <c r="C1009" s="189" t="s">
        <v>140</v>
      </c>
      <c r="D1009" s="189" t="s">
        <v>123</v>
      </c>
      <c r="E1009" s="190" t="s">
        <v>1703</v>
      </c>
      <c r="F1009" s="191">
        <f t="shared" si="17"/>
        <v>300.03333333333336</v>
      </c>
      <c r="G1009" s="185"/>
      <c r="H1009" s="181"/>
      <c r="I1009" s="74"/>
      <c r="J1009" s="74"/>
      <c r="M1009" s="185"/>
      <c r="N1009" s="185"/>
      <c r="O1009" s="185"/>
      <c r="P1009" s="185"/>
      <c r="Q1009" s="185"/>
      <c r="R1009" s="185"/>
    </row>
    <row r="1010" spans="1:18" s="197" customFormat="1" ht="12.75" x14ac:dyDescent="0.2">
      <c r="A1010" s="181"/>
      <c r="B1010" s="188" t="s">
        <v>2496</v>
      </c>
      <c r="C1010" s="189" t="s">
        <v>125</v>
      </c>
      <c r="D1010" s="189" t="s">
        <v>123</v>
      </c>
      <c r="E1010" s="190" t="s">
        <v>2497</v>
      </c>
      <c r="F1010" s="191">
        <f t="shared" si="17"/>
        <v>190.58333333333334</v>
      </c>
      <c r="G1010" s="185"/>
      <c r="H1010" s="181"/>
      <c r="I1010" s="74"/>
      <c r="J1010" s="74"/>
      <c r="M1010" s="185"/>
      <c r="N1010" s="185"/>
      <c r="O1010" s="185"/>
      <c r="P1010" s="185"/>
      <c r="Q1010" s="185"/>
      <c r="R1010" s="185"/>
    </row>
    <row r="1011" spans="1:18" s="197" customFormat="1" ht="12.75" x14ac:dyDescent="0.2">
      <c r="A1011" s="181"/>
      <c r="B1011" s="188" t="s">
        <v>785</v>
      </c>
      <c r="C1011" s="189" t="s">
        <v>126</v>
      </c>
      <c r="D1011" s="189" t="s">
        <v>123</v>
      </c>
      <c r="E1011" s="190" t="s">
        <v>786</v>
      </c>
      <c r="F1011" s="191">
        <f t="shared" si="17"/>
        <v>189.13333333333333</v>
      </c>
      <c r="G1011" s="185"/>
      <c r="H1011" s="181"/>
      <c r="I1011" s="74"/>
      <c r="J1011" s="74"/>
      <c r="M1011" s="185"/>
      <c r="N1011" s="185"/>
      <c r="O1011" s="185"/>
      <c r="P1011" s="185"/>
      <c r="Q1011" s="185"/>
      <c r="R1011" s="185"/>
    </row>
    <row r="1012" spans="1:18" s="197" customFormat="1" ht="12.75" x14ac:dyDescent="0.2">
      <c r="A1012" s="181"/>
      <c r="B1012" s="188" t="s">
        <v>2498</v>
      </c>
      <c r="C1012" s="189" t="s">
        <v>130</v>
      </c>
      <c r="D1012" s="189" t="s">
        <v>123</v>
      </c>
      <c r="E1012" s="190" t="s">
        <v>2499</v>
      </c>
      <c r="F1012" s="191">
        <f t="shared" si="17"/>
        <v>198.13333333333333</v>
      </c>
      <c r="G1012" s="185"/>
      <c r="H1012" s="181"/>
      <c r="I1012" s="74"/>
      <c r="J1012" s="74"/>
      <c r="M1012" s="185"/>
      <c r="N1012" s="185"/>
      <c r="O1012" s="185"/>
      <c r="P1012" s="185"/>
      <c r="Q1012" s="185"/>
      <c r="R1012" s="185"/>
    </row>
    <row r="1013" spans="1:18" s="197" customFormat="1" ht="12.75" x14ac:dyDescent="0.2">
      <c r="A1013" s="181"/>
      <c r="B1013" s="188" t="s">
        <v>2500</v>
      </c>
      <c r="C1013" s="189" t="s">
        <v>130</v>
      </c>
      <c r="D1013" s="189" t="s">
        <v>123</v>
      </c>
      <c r="E1013" s="190" t="s">
        <v>2501</v>
      </c>
      <c r="F1013" s="191">
        <f t="shared" si="17"/>
        <v>206.71666666666667</v>
      </c>
      <c r="G1013" s="185"/>
      <c r="H1013" s="181"/>
      <c r="I1013" s="74"/>
      <c r="J1013" s="74"/>
      <c r="M1013" s="185"/>
      <c r="N1013" s="185"/>
      <c r="O1013" s="185"/>
      <c r="P1013" s="185"/>
      <c r="Q1013" s="185"/>
      <c r="R1013" s="185"/>
    </row>
    <row r="1014" spans="1:18" s="197" customFormat="1" ht="12.75" x14ac:dyDescent="0.2">
      <c r="A1014" s="181"/>
      <c r="B1014" s="188" t="s">
        <v>277</v>
      </c>
      <c r="C1014" s="189" t="s">
        <v>130</v>
      </c>
      <c r="D1014" s="189" t="s">
        <v>123</v>
      </c>
      <c r="E1014" s="190" t="s">
        <v>2502</v>
      </c>
      <c r="F1014" s="191">
        <f t="shared" si="17"/>
        <v>206.5</v>
      </c>
      <c r="G1014" s="185"/>
      <c r="H1014" s="181"/>
      <c r="I1014" s="74"/>
      <c r="J1014" s="74"/>
      <c r="M1014" s="185"/>
      <c r="N1014" s="185"/>
      <c r="O1014" s="185"/>
      <c r="P1014" s="185"/>
      <c r="Q1014" s="185"/>
      <c r="R1014" s="185"/>
    </row>
    <row r="1015" spans="1:18" s="197" customFormat="1" ht="12.75" x14ac:dyDescent="0.2">
      <c r="A1015" s="181"/>
      <c r="B1015" s="188" t="s">
        <v>2503</v>
      </c>
      <c r="C1015" s="189" t="s">
        <v>136</v>
      </c>
      <c r="D1015" s="189" t="s">
        <v>123</v>
      </c>
      <c r="E1015" s="190" t="s">
        <v>2365</v>
      </c>
      <c r="F1015" s="191">
        <f t="shared" si="17"/>
        <v>237.1</v>
      </c>
      <c r="G1015" s="185"/>
      <c r="H1015" s="181"/>
      <c r="I1015" s="74"/>
      <c r="J1015" s="74"/>
      <c r="M1015" s="185"/>
      <c r="N1015" s="185"/>
      <c r="O1015" s="185"/>
      <c r="P1015" s="185"/>
      <c r="Q1015" s="185"/>
      <c r="R1015" s="185"/>
    </row>
    <row r="1016" spans="1:18" s="197" customFormat="1" ht="12.75" x14ac:dyDescent="0.2">
      <c r="A1016" s="181"/>
      <c r="B1016" s="188" t="s">
        <v>383</v>
      </c>
      <c r="C1016" s="189" t="s">
        <v>135</v>
      </c>
      <c r="D1016" s="189" t="s">
        <v>123</v>
      </c>
      <c r="E1016" s="190" t="s">
        <v>2504</v>
      </c>
      <c r="F1016" s="191">
        <f t="shared" si="17"/>
        <v>298.63333333333333</v>
      </c>
      <c r="G1016" s="185"/>
      <c r="H1016" s="181"/>
      <c r="I1016" s="74"/>
      <c r="J1016" s="74"/>
      <c r="M1016" s="185"/>
      <c r="N1016" s="185"/>
      <c r="O1016" s="185"/>
      <c r="P1016" s="185"/>
      <c r="Q1016" s="185"/>
      <c r="R1016" s="185"/>
    </row>
    <row r="1017" spans="1:18" s="197" customFormat="1" ht="12.75" x14ac:dyDescent="0.2">
      <c r="A1017" s="181"/>
      <c r="B1017" s="188" t="s">
        <v>2505</v>
      </c>
      <c r="C1017" s="189" t="s">
        <v>142</v>
      </c>
      <c r="D1017" s="189" t="s">
        <v>131</v>
      </c>
      <c r="E1017" s="190" t="s">
        <v>2506</v>
      </c>
      <c r="F1017" s="191">
        <f t="shared" si="17"/>
        <v>324.86666666666667</v>
      </c>
      <c r="G1017" s="185"/>
      <c r="H1017" s="181"/>
      <c r="I1017" s="74"/>
      <c r="J1017" s="74"/>
      <c r="M1017" s="185"/>
      <c r="N1017" s="185"/>
      <c r="O1017" s="185"/>
      <c r="P1017" s="185"/>
      <c r="Q1017" s="185"/>
      <c r="R1017" s="185"/>
    </row>
    <row r="1018" spans="1:18" s="197" customFormat="1" ht="12.75" x14ac:dyDescent="0.2">
      <c r="A1018" s="181"/>
      <c r="B1018" s="188" t="s">
        <v>2507</v>
      </c>
      <c r="C1018" s="189" t="s">
        <v>134</v>
      </c>
      <c r="D1018" s="189" t="s">
        <v>123</v>
      </c>
      <c r="E1018" s="190" t="s">
        <v>2508</v>
      </c>
      <c r="F1018" s="191">
        <f t="shared" si="17"/>
        <v>335.46666666666664</v>
      </c>
      <c r="G1018" s="185"/>
      <c r="H1018" s="181"/>
      <c r="I1018" s="74"/>
      <c r="J1018" s="74"/>
      <c r="M1018" s="185"/>
      <c r="N1018" s="185"/>
      <c r="O1018" s="185"/>
      <c r="P1018" s="185"/>
      <c r="Q1018" s="185"/>
      <c r="R1018" s="185"/>
    </row>
    <row r="1019" spans="1:18" s="197" customFormat="1" ht="12.75" x14ac:dyDescent="0.2">
      <c r="A1019" s="181"/>
      <c r="B1019" s="188" t="s">
        <v>2509</v>
      </c>
      <c r="C1019" s="189" t="s">
        <v>135</v>
      </c>
      <c r="D1019" s="189" t="s">
        <v>123</v>
      </c>
      <c r="E1019" s="190" t="s">
        <v>2510</v>
      </c>
      <c r="F1019" s="191">
        <f t="shared" si="17"/>
        <v>217.68333333333334</v>
      </c>
      <c r="G1019" s="185"/>
      <c r="H1019" s="181"/>
      <c r="I1019" s="74"/>
      <c r="J1019" s="74"/>
      <c r="M1019" s="185"/>
      <c r="N1019" s="185"/>
      <c r="O1019" s="185"/>
      <c r="P1019" s="185"/>
      <c r="Q1019" s="185"/>
      <c r="R1019" s="185"/>
    </row>
    <row r="1020" spans="1:18" s="197" customFormat="1" ht="12.75" x14ac:dyDescent="0.2">
      <c r="A1020" s="181"/>
      <c r="B1020" s="188" t="s">
        <v>572</v>
      </c>
      <c r="C1020" s="189" t="s">
        <v>125</v>
      </c>
      <c r="D1020" s="189" t="s">
        <v>123</v>
      </c>
      <c r="E1020" s="190" t="s">
        <v>836</v>
      </c>
      <c r="F1020" s="191">
        <f t="shared" si="17"/>
        <v>234.05</v>
      </c>
      <c r="G1020" s="185"/>
      <c r="H1020" s="181"/>
      <c r="I1020" s="74"/>
      <c r="J1020" s="74"/>
      <c r="M1020" s="185"/>
      <c r="N1020" s="185"/>
      <c r="O1020" s="185"/>
      <c r="P1020" s="185"/>
      <c r="Q1020" s="185"/>
      <c r="R1020" s="185"/>
    </row>
    <row r="1021" spans="1:18" s="197" customFormat="1" ht="12.75" x14ac:dyDescent="0.2">
      <c r="A1021" s="181"/>
      <c r="B1021" s="188" t="s">
        <v>2511</v>
      </c>
      <c r="C1021" s="189" t="s">
        <v>130</v>
      </c>
      <c r="D1021" s="189" t="s">
        <v>123</v>
      </c>
      <c r="E1021" s="190" t="s">
        <v>2512</v>
      </c>
      <c r="F1021" s="191">
        <f t="shared" si="17"/>
        <v>259.14999999999998</v>
      </c>
      <c r="G1021" s="185"/>
      <c r="H1021" s="181"/>
      <c r="I1021" s="74"/>
      <c r="J1021" s="74"/>
      <c r="M1021" s="185"/>
      <c r="N1021" s="185"/>
      <c r="O1021" s="185"/>
      <c r="P1021" s="185"/>
      <c r="Q1021" s="185"/>
      <c r="R1021" s="185"/>
    </row>
    <row r="1022" spans="1:18" s="197" customFormat="1" ht="12.75" x14ac:dyDescent="0.2">
      <c r="A1022" s="181"/>
      <c r="B1022" s="188" t="s">
        <v>2513</v>
      </c>
      <c r="C1022" s="189" t="s">
        <v>124</v>
      </c>
      <c r="D1022" s="189" t="s">
        <v>123</v>
      </c>
      <c r="E1022" s="190" t="s">
        <v>2514</v>
      </c>
      <c r="F1022" s="191">
        <f t="shared" si="17"/>
        <v>248.96666666666667</v>
      </c>
      <c r="G1022" s="185"/>
      <c r="H1022" s="181"/>
      <c r="I1022" s="74"/>
      <c r="J1022" s="74"/>
      <c r="M1022" s="185"/>
      <c r="N1022" s="185"/>
      <c r="O1022" s="185"/>
      <c r="P1022" s="185"/>
      <c r="Q1022" s="185"/>
      <c r="R1022" s="185"/>
    </row>
    <row r="1023" spans="1:18" s="197" customFormat="1" ht="12.75" x14ac:dyDescent="0.2">
      <c r="A1023" s="181"/>
      <c r="B1023" s="188" t="s">
        <v>2515</v>
      </c>
      <c r="C1023" s="189" t="s">
        <v>124</v>
      </c>
      <c r="D1023" s="189" t="s">
        <v>123</v>
      </c>
      <c r="E1023" s="190" t="s">
        <v>2516</v>
      </c>
      <c r="F1023" s="191">
        <f t="shared" si="17"/>
        <v>303.75</v>
      </c>
      <c r="G1023" s="185"/>
      <c r="H1023" s="181"/>
      <c r="I1023" s="74"/>
      <c r="J1023" s="74"/>
      <c r="M1023" s="185"/>
      <c r="N1023" s="185"/>
      <c r="O1023" s="185"/>
      <c r="P1023" s="185"/>
      <c r="Q1023" s="185"/>
      <c r="R1023" s="185"/>
    </row>
    <row r="1024" spans="1:18" s="197" customFormat="1" ht="12.75" x14ac:dyDescent="0.2">
      <c r="A1024" s="181"/>
      <c r="B1024" s="188" t="s">
        <v>2517</v>
      </c>
      <c r="C1024" s="189" t="s">
        <v>125</v>
      </c>
      <c r="D1024" s="189" t="s">
        <v>152</v>
      </c>
      <c r="E1024" s="190" t="s">
        <v>2518</v>
      </c>
      <c r="F1024" s="191">
        <f t="shared" si="17"/>
        <v>214.23333333333332</v>
      </c>
      <c r="G1024" s="185"/>
      <c r="H1024" s="181"/>
      <c r="I1024" s="74"/>
      <c r="J1024" s="74"/>
      <c r="M1024" s="185"/>
      <c r="N1024" s="185"/>
      <c r="O1024" s="185"/>
      <c r="P1024" s="185"/>
      <c r="Q1024" s="185"/>
      <c r="R1024" s="185"/>
    </row>
    <row r="1025" spans="1:18" s="197" customFormat="1" ht="12.75" x14ac:dyDescent="0.2">
      <c r="A1025" s="181"/>
      <c r="B1025" s="188" t="s">
        <v>2519</v>
      </c>
      <c r="C1025" s="189" t="s">
        <v>125</v>
      </c>
      <c r="D1025" s="189" t="s">
        <v>155</v>
      </c>
      <c r="E1025" s="190" t="s">
        <v>2520</v>
      </c>
      <c r="F1025" s="191">
        <f t="shared" si="17"/>
        <v>296.45</v>
      </c>
      <c r="G1025" s="185"/>
      <c r="H1025" s="181"/>
      <c r="I1025" s="74"/>
      <c r="J1025" s="74"/>
      <c r="M1025" s="185"/>
      <c r="N1025" s="185"/>
      <c r="O1025" s="185"/>
      <c r="P1025" s="185"/>
      <c r="Q1025" s="185"/>
      <c r="R1025" s="185"/>
    </row>
    <row r="1026" spans="1:18" s="197" customFormat="1" ht="12.75" x14ac:dyDescent="0.2">
      <c r="A1026" s="181"/>
      <c r="B1026" s="188" t="s">
        <v>2521</v>
      </c>
      <c r="C1026" s="189" t="s">
        <v>130</v>
      </c>
      <c r="D1026" s="189" t="s">
        <v>123</v>
      </c>
      <c r="E1026" s="190" t="s">
        <v>2522</v>
      </c>
      <c r="F1026" s="191">
        <f t="shared" si="17"/>
        <v>190.43333333333334</v>
      </c>
      <c r="G1026" s="185"/>
      <c r="H1026" s="181"/>
      <c r="I1026" s="74"/>
      <c r="J1026" s="74"/>
      <c r="M1026" s="185"/>
      <c r="N1026" s="185"/>
      <c r="O1026" s="185"/>
      <c r="P1026" s="185"/>
      <c r="Q1026" s="185"/>
      <c r="R1026" s="185"/>
    </row>
    <row r="1027" spans="1:18" s="197" customFormat="1" ht="12.75" x14ac:dyDescent="0.2">
      <c r="A1027" s="181"/>
      <c r="B1027" s="188" t="s">
        <v>2523</v>
      </c>
      <c r="C1027" s="189" t="s">
        <v>126</v>
      </c>
      <c r="D1027" s="189" t="s">
        <v>129</v>
      </c>
      <c r="E1027" s="190" t="s">
        <v>1862</v>
      </c>
      <c r="F1027" s="191">
        <f t="shared" si="17"/>
        <v>223.76666666666668</v>
      </c>
      <c r="G1027" s="185"/>
      <c r="H1027" s="181"/>
      <c r="I1027" s="74"/>
      <c r="J1027" s="74"/>
      <c r="M1027" s="185"/>
      <c r="N1027" s="185"/>
      <c r="O1027" s="185"/>
      <c r="P1027" s="185"/>
      <c r="Q1027" s="185"/>
      <c r="R1027" s="185"/>
    </row>
    <row r="1028" spans="1:18" s="197" customFormat="1" ht="12.75" x14ac:dyDescent="0.2">
      <c r="A1028" s="181"/>
      <c r="B1028" s="188" t="s">
        <v>2524</v>
      </c>
      <c r="C1028" s="189" t="s">
        <v>125</v>
      </c>
      <c r="D1028" s="189" t="s">
        <v>152</v>
      </c>
      <c r="E1028" s="190" t="s">
        <v>2033</v>
      </c>
      <c r="F1028" s="191">
        <f t="shared" si="17"/>
        <v>196.46666666666667</v>
      </c>
      <c r="G1028" s="185"/>
      <c r="H1028" s="181"/>
      <c r="I1028" s="74"/>
      <c r="J1028" s="74"/>
      <c r="M1028" s="185"/>
      <c r="N1028" s="185"/>
      <c r="O1028" s="185"/>
      <c r="P1028" s="185"/>
      <c r="Q1028" s="185"/>
      <c r="R1028" s="185"/>
    </row>
    <row r="1029" spans="1:18" s="197" customFormat="1" ht="12.75" x14ac:dyDescent="0.2">
      <c r="A1029" s="181"/>
      <c r="B1029" s="188" t="s">
        <v>2525</v>
      </c>
      <c r="C1029" s="189" t="s">
        <v>128</v>
      </c>
      <c r="D1029" s="189" t="s">
        <v>131</v>
      </c>
      <c r="E1029" s="190" t="s">
        <v>1256</v>
      </c>
      <c r="F1029" s="191">
        <f t="shared" si="17"/>
        <v>235.3</v>
      </c>
      <c r="G1029" s="185"/>
      <c r="H1029" s="181"/>
      <c r="I1029" s="74"/>
      <c r="J1029" s="74"/>
      <c r="M1029" s="185"/>
      <c r="N1029" s="185"/>
      <c r="O1029" s="185"/>
      <c r="P1029" s="185"/>
      <c r="Q1029" s="185"/>
      <c r="R1029" s="185"/>
    </row>
    <row r="1030" spans="1:18" s="197" customFormat="1" ht="12.75" x14ac:dyDescent="0.2">
      <c r="A1030" s="181"/>
      <c r="B1030" s="188" t="s">
        <v>2526</v>
      </c>
      <c r="C1030" s="189" t="s">
        <v>124</v>
      </c>
      <c r="D1030" s="189" t="s">
        <v>123</v>
      </c>
      <c r="E1030" s="190" t="s">
        <v>2527</v>
      </c>
      <c r="F1030" s="191">
        <f t="shared" si="17"/>
        <v>251.2</v>
      </c>
      <c r="G1030" s="185"/>
      <c r="H1030" s="181"/>
      <c r="I1030" s="74"/>
      <c r="J1030" s="74"/>
      <c r="M1030" s="185"/>
      <c r="N1030" s="185"/>
      <c r="O1030" s="185"/>
      <c r="P1030" s="185"/>
      <c r="Q1030" s="185"/>
      <c r="R1030" s="185"/>
    </row>
    <row r="1031" spans="1:18" s="197" customFormat="1" ht="12.75" x14ac:dyDescent="0.2">
      <c r="A1031" s="181"/>
      <c r="B1031" s="188" t="s">
        <v>2528</v>
      </c>
      <c r="C1031" s="189" t="s">
        <v>135</v>
      </c>
      <c r="D1031" s="189" t="s">
        <v>123</v>
      </c>
      <c r="E1031" s="190" t="s">
        <v>2529</v>
      </c>
      <c r="F1031" s="191">
        <f t="shared" si="17"/>
        <v>203.35</v>
      </c>
      <c r="G1031" s="185"/>
      <c r="H1031" s="181"/>
      <c r="I1031" s="74"/>
      <c r="J1031" s="74"/>
      <c r="M1031" s="185"/>
      <c r="N1031" s="185"/>
      <c r="O1031" s="185"/>
      <c r="P1031" s="185"/>
      <c r="Q1031" s="185"/>
      <c r="R1031" s="185"/>
    </row>
    <row r="1032" spans="1:18" s="197" customFormat="1" ht="12.75" x14ac:dyDescent="0.2">
      <c r="A1032" s="181"/>
      <c r="B1032" s="188" t="s">
        <v>2530</v>
      </c>
      <c r="C1032" s="189" t="s">
        <v>136</v>
      </c>
      <c r="D1032" s="189" t="s">
        <v>123</v>
      </c>
      <c r="E1032" s="190" t="s">
        <v>2531</v>
      </c>
      <c r="F1032" s="191">
        <f t="shared" si="17"/>
        <v>271.86666666666667</v>
      </c>
      <c r="G1032" s="185"/>
      <c r="H1032" s="181"/>
      <c r="I1032" s="74"/>
      <c r="J1032" s="74"/>
      <c r="M1032" s="185"/>
      <c r="N1032" s="185"/>
      <c r="O1032" s="185"/>
      <c r="P1032" s="185"/>
      <c r="Q1032" s="185"/>
      <c r="R1032" s="185"/>
    </row>
    <row r="1033" spans="1:18" s="197" customFormat="1" ht="12.75" x14ac:dyDescent="0.2">
      <c r="A1033" s="181"/>
      <c r="B1033" s="188" t="s">
        <v>2532</v>
      </c>
      <c r="C1033" s="189" t="s">
        <v>126</v>
      </c>
      <c r="D1033" s="189" t="s">
        <v>131</v>
      </c>
      <c r="E1033" s="190" t="s">
        <v>2533</v>
      </c>
      <c r="F1033" s="191">
        <f t="shared" si="17"/>
        <v>157.46666666666667</v>
      </c>
      <c r="G1033" s="185"/>
      <c r="H1033" s="181"/>
      <c r="I1033" s="74"/>
      <c r="J1033" s="74"/>
      <c r="M1033" s="185"/>
      <c r="N1033" s="185"/>
      <c r="O1033" s="185"/>
      <c r="P1033" s="185"/>
      <c r="Q1033" s="185"/>
      <c r="R1033" s="185"/>
    </row>
    <row r="1034" spans="1:18" s="197" customFormat="1" ht="12.75" x14ac:dyDescent="0.2">
      <c r="A1034" s="181"/>
      <c r="B1034" s="188" t="s">
        <v>2534</v>
      </c>
      <c r="C1034" s="189" t="s">
        <v>125</v>
      </c>
      <c r="D1034" s="189" t="s">
        <v>123</v>
      </c>
      <c r="E1034" s="190" t="s">
        <v>2535</v>
      </c>
      <c r="F1034" s="191">
        <f t="shared" si="17"/>
        <v>263.91666666666669</v>
      </c>
      <c r="G1034" s="185"/>
      <c r="H1034" s="181"/>
      <c r="I1034" s="74"/>
      <c r="J1034" s="74"/>
      <c r="M1034" s="185"/>
      <c r="N1034" s="185"/>
      <c r="O1034" s="185"/>
      <c r="P1034" s="185"/>
      <c r="Q1034" s="185"/>
      <c r="R1034" s="185"/>
    </row>
    <row r="1035" spans="1:18" s="197" customFormat="1" ht="12.75" x14ac:dyDescent="0.2">
      <c r="A1035" s="181"/>
      <c r="B1035" s="188" t="s">
        <v>2536</v>
      </c>
      <c r="C1035" s="189" t="s">
        <v>135</v>
      </c>
      <c r="D1035" s="189" t="s">
        <v>123</v>
      </c>
      <c r="E1035" s="190" t="s">
        <v>2537</v>
      </c>
      <c r="F1035" s="191">
        <f t="shared" ref="F1035:F1098" si="18">HOUR(E1035)*60+MINUTE(E1035)+SECOND(E1035)/60</f>
        <v>242.28333333333333</v>
      </c>
      <c r="G1035" s="185"/>
      <c r="H1035" s="181"/>
      <c r="I1035" s="74"/>
      <c r="J1035" s="74"/>
      <c r="M1035" s="185"/>
      <c r="N1035" s="185"/>
      <c r="O1035" s="185"/>
      <c r="P1035" s="185"/>
      <c r="Q1035" s="185"/>
      <c r="R1035" s="185"/>
    </row>
    <row r="1036" spans="1:18" s="197" customFormat="1" ht="12.75" x14ac:dyDescent="0.2">
      <c r="A1036" s="181"/>
      <c r="B1036" s="188" t="s">
        <v>2538</v>
      </c>
      <c r="C1036" s="189" t="s">
        <v>135</v>
      </c>
      <c r="D1036" s="189" t="s">
        <v>132</v>
      </c>
      <c r="E1036" s="190" t="s">
        <v>2539</v>
      </c>
      <c r="F1036" s="191">
        <f t="shared" si="18"/>
        <v>260.8</v>
      </c>
      <c r="G1036" s="185"/>
      <c r="H1036" s="181"/>
      <c r="I1036" s="74"/>
      <c r="J1036" s="74"/>
      <c r="M1036" s="185"/>
      <c r="N1036" s="185"/>
      <c r="O1036" s="185"/>
      <c r="P1036" s="185"/>
      <c r="Q1036" s="185"/>
      <c r="R1036" s="185"/>
    </row>
    <row r="1037" spans="1:18" s="197" customFormat="1" ht="12.75" x14ac:dyDescent="0.2">
      <c r="A1037" s="181"/>
      <c r="B1037" s="188" t="s">
        <v>2540</v>
      </c>
      <c r="C1037" s="189" t="s">
        <v>249</v>
      </c>
      <c r="D1037" s="189" t="s">
        <v>148</v>
      </c>
      <c r="E1037" s="190" t="s">
        <v>2541</v>
      </c>
      <c r="F1037" s="191">
        <f t="shared" si="18"/>
        <v>328.01666666666665</v>
      </c>
      <c r="G1037" s="185"/>
      <c r="H1037" s="181"/>
      <c r="I1037" s="74"/>
      <c r="J1037" s="74"/>
      <c r="M1037" s="185"/>
      <c r="N1037" s="185"/>
      <c r="O1037" s="185"/>
      <c r="P1037" s="185"/>
      <c r="Q1037" s="185"/>
      <c r="R1037" s="185"/>
    </row>
    <row r="1038" spans="1:18" s="197" customFormat="1" ht="12.75" x14ac:dyDescent="0.2">
      <c r="A1038" s="181"/>
      <c r="B1038" s="188" t="s">
        <v>2542</v>
      </c>
      <c r="C1038" s="189" t="s">
        <v>142</v>
      </c>
      <c r="D1038" s="189" t="s">
        <v>123</v>
      </c>
      <c r="E1038" s="190" t="s">
        <v>2543</v>
      </c>
      <c r="F1038" s="191">
        <f t="shared" si="18"/>
        <v>205.91666666666666</v>
      </c>
      <c r="G1038" s="185"/>
      <c r="H1038" s="181"/>
      <c r="I1038" s="74"/>
      <c r="J1038" s="74"/>
      <c r="M1038" s="185"/>
      <c r="N1038" s="185"/>
      <c r="O1038" s="185"/>
      <c r="P1038" s="185"/>
      <c r="Q1038" s="185"/>
      <c r="R1038" s="185"/>
    </row>
    <row r="1039" spans="1:18" s="197" customFormat="1" ht="12.75" x14ac:dyDescent="0.2">
      <c r="A1039" s="181"/>
      <c r="B1039" s="188" t="s">
        <v>2544</v>
      </c>
      <c r="C1039" s="189" t="s">
        <v>128</v>
      </c>
      <c r="D1039" s="189" t="s">
        <v>133</v>
      </c>
      <c r="E1039" s="190" t="s">
        <v>994</v>
      </c>
      <c r="F1039" s="191">
        <f t="shared" si="18"/>
        <v>298.68333333333334</v>
      </c>
      <c r="G1039" s="185"/>
      <c r="H1039" s="181"/>
      <c r="I1039" s="74"/>
      <c r="J1039" s="74"/>
      <c r="M1039" s="185"/>
      <c r="N1039" s="185"/>
      <c r="O1039" s="185"/>
      <c r="P1039" s="185"/>
      <c r="Q1039" s="185"/>
      <c r="R1039" s="185"/>
    </row>
    <row r="1040" spans="1:18" s="197" customFormat="1" ht="12.75" x14ac:dyDescent="0.2">
      <c r="A1040" s="181"/>
      <c r="B1040" s="188" t="s">
        <v>2545</v>
      </c>
      <c r="C1040" s="189" t="s">
        <v>124</v>
      </c>
      <c r="D1040" s="189" t="s">
        <v>123</v>
      </c>
      <c r="E1040" s="190" t="s">
        <v>2546</v>
      </c>
      <c r="F1040" s="191">
        <f t="shared" si="18"/>
        <v>208.4</v>
      </c>
      <c r="G1040" s="185"/>
      <c r="H1040" s="181"/>
      <c r="I1040" s="74"/>
      <c r="J1040" s="74"/>
      <c r="M1040" s="185"/>
      <c r="N1040" s="185"/>
      <c r="O1040" s="185"/>
      <c r="P1040" s="185"/>
      <c r="Q1040" s="185"/>
      <c r="R1040" s="185"/>
    </row>
    <row r="1041" spans="1:18" s="197" customFormat="1" ht="12.75" x14ac:dyDescent="0.2">
      <c r="A1041" s="181"/>
      <c r="B1041" s="188" t="s">
        <v>2547</v>
      </c>
      <c r="C1041" s="189" t="s">
        <v>124</v>
      </c>
      <c r="D1041" s="189" t="s">
        <v>123</v>
      </c>
      <c r="E1041" s="190" t="s">
        <v>2548</v>
      </c>
      <c r="F1041" s="191">
        <f t="shared" si="18"/>
        <v>203.63333333333333</v>
      </c>
      <c r="G1041" s="185"/>
      <c r="H1041" s="181"/>
      <c r="I1041" s="74"/>
      <c r="J1041" s="74"/>
      <c r="M1041" s="185"/>
      <c r="N1041" s="185"/>
      <c r="O1041" s="185"/>
      <c r="P1041" s="185"/>
      <c r="Q1041" s="185"/>
      <c r="R1041" s="185"/>
    </row>
    <row r="1042" spans="1:18" s="197" customFormat="1" ht="12.75" x14ac:dyDescent="0.2">
      <c r="A1042" s="181"/>
      <c r="B1042" s="188" t="s">
        <v>616</v>
      </c>
      <c r="C1042" s="189" t="s">
        <v>124</v>
      </c>
      <c r="D1042" s="189" t="s">
        <v>131</v>
      </c>
      <c r="E1042" s="190" t="s">
        <v>2549</v>
      </c>
      <c r="F1042" s="191">
        <f t="shared" si="18"/>
        <v>234.41666666666666</v>
      </c>
      <c r="G1042" s="185"/>
      <c r="H1042" s="181"/>
      <c r="I1042" s="74"/>
      <c r="J1042" s="74"/>
      <c r="M1042" s="185"/>
      <c r="N1042" s="185"/>
      <c r="O1042" s="185"/>
      <c r="P1042" s="185"/>
      <c r="Q1042" s="185"/>
      <c r="R1042" s="185"/>
    </row>
    <row r="1043" spans="1:18" s="197" customFormat="1" ht="12.75" x14ac:dyDescent="0.2">
      <c r="A1043" s="181"/>
      <c r="B1043" s="188" t="s">
        <v>533</v>
      </c>
      <c r="C1043" s="189" t="s">
        <v>125</v>
      </c>
      <c r="D1043" s="189" t="s">
        <v>123</v>
      </c>
      <c r="E1043" s="190" t="s">
        <v>2550</v>
      </c>
      <c r="F1043" s="191">
        <f t="shared" si="18"/>
        <v>248.75</v>
      </c>
      <c r="G1043" s="185"/>
      <c r="H1043" s="181"/>
      <c r="I1043" s="74"/>
      <c r="J1043" s="74"/>
      <c r="M1043" s="185"/>
      <c r="N1043" s="185"/>
      <c r="O1043" s="185"/>
      <c r="P1043" s="185"/>
      <c r="Q1043" s="185"/>
      <c r="R1043" s="185"/>
    </row>
    <row r="1044" spans="1:18" s="197" customFormat="1" ht="12.75" x14ac:dyDescent="0.2">
      <c r="A1044" s="181"/>
      <c r="B1044" s="188" t="s">
        <v>2551</v>
      </c>
      <c r="C1044" s="189" t="s">
        <v>134</v>
      </c>
      <c r="D1044" s="189" t="s">
        <v>123</v>
      </c>
      <c r="E1044" s="190" t="s">
        <v>2510</v>
      </c>
      <c r="F1044" s="191">
        <f t="shared" si="18"/>
        <v>217.68333333333334</v>
      </c>
      <c r="G1044" s="185"/>
      <c r="H1044" s="181"/>
      <c r="I1044" s="74"/>
      <c r="J1044" s="74"/>
      <c r="M1044" s="185"/>
      <c r="N1044" s="185"/>
      <c r="O1044" s="185"/>
      <c r="P1044" s="185"/>
      <c r="Q1044" s="185"/>
      <c r="R1044" s="185"/>
    </row>
    <row r="1045" spans="1:18" s="197" customFormat="1" ht="12.75" x14ac:dyDescent="0.2">
      <c r="A1045" s="181"/>
      <c r="B1045" s="188" t="s">
        <v>2552</v>
      </c>
      <c r="C1045" s="189" t="s">
        <v>126</v>
      </c>
      <c r="D1045" s="189" t="s">
        <v>168</v>
      </c>
      <c r="E1045" s="190" t="s">
        <v>2553</v>
      </c>
      <c r="F1045" s="191">
        <f t="shared" si="18"/>
        <v>259.63333333333333</v>
      </c>
      <c r="G1045" s="185"/>
      <c r="H1045" s="181"/>
      <c r="I1045" s="74"/>
      <c r="J1045" s="74"/>
      <c r="M1045" s="185"/>
      <c r="N1045" s="185"/>
      <c r="O1045" s="185"/>
      <c r="P1045" s="185"/>
      <c r="Q1045" s="185"/>
      <c r="R1045" s="185"/>
    </row>
    <row r="1046" spans="1:18" s="197" customFormat="1" ht="12.75" x14ac:dyDescent="0.2">
      <c r="A1046" s="181"/>
      <c r="B1046" s="188" t="s">
        <v>2554</v>
      </c>
      <c r="C1046" s="189" t="s">
        <v>124</v>
      </c>
      <c r="D1046" s="189" t="s">
        <v>123</v>
      </c>
      <c r="E1046" s="190" t="s">
        <v>2555</v>
      </c>
      <c r="F1046" s="191">
        <f t="shared" si="18"/>
        <v>294.28333333333336</v>
      </c>
      <c r="G1046" s="185"/>
      <c r="H1046" s="181"/>
      <c r="I1046" s="74"/>
      <c r="J1046" s="74"/>
      <c r="M1046" s="185"/>
      <c r="N1046" s="185"/>
      <c r="O1046" s="185"/>
      <c r="P1046" s="185"/>
      <c r="Q1046" s="185"/>
      <c r="R1046" s="185"/>
    </row>
    <row r="1047" spans="1:18" s="197" customFormat="1" ht="12.75" x14ac:dyDescent="0.2">
      <c r="A1047" s="181"/>
      <c r="B1047" s="188" t="s">
        <v>601</v>
      </c>
      <c r="C1047" s="189" t="s">
        <v>135</v>
      </c>
      <c r="D1047" s="189" t="s">
        <v>123</v>
      </c>
      <c r="E1047" s="190" t="s">
        <v>2556</v>
      </c>
      <c r="F1047" s="191">
        <f t="shared" si="18"/>
        <v>233.88333333333333</v>
      </c>
      <c r="G1047" s="185"/>
      <c r="H1047" s="181"/>
      <c r="I1047" s="74"/>
      <c r="J1047" s="74"/>
      <c r="M1047" s="185"/>
      <c r="N1047" s="185"/>
      <c r="O1047" s="185"/>
      <c r="P1047" s="185"/>
      <c r="Q1047" s="185"/>
      <c r="R1047" s="185"/>
    </row>
    <row r="1048" spans="1:18" s="197" customFormat="1" ht="12.75" x14ac:dyDescent="0.2">
      <c r="A1048" s="181"/>
      <c r="B1048" s="188" t="s">
        <v>342</v>
      </c>
      <c r="C1048" s="189" t="s">
        <v>125</v>
      </c>
      <c r="D1048" s="189" t="s">
        <v>123</v>
      </c>
      <c r="E1048" s="190" t="s">
        <v>2557</v>
      </c>
      <c r="F1048" s="191">
        <f t="shared" si="18"/>
        <v>313.86666666666667</v>
      </c>
      <c r="G1048" s="185"/>
      <c r="H1048" s="181"/>
      <c r="I1048" s="74"/>
      <c r="J1048" s="74"/>
      <c r="M1048" s="185"/>
      <c r="N1048" s="185"/>
      <c r="O1048" s="185"/>
      <c r="P1048" s="185"/>
      <c r="Q1048" s="185"/>
      <c r="R1048" s="185"/>
    </row>
    <row r="1049" spans="1:18" s="197" customFormat="1" ht="12.75" x14ac:dyDescent="0.2">
      <c r="A1049" s="181"/>
      <c r="B1049" s="188" t="s">
        <v>2558</v>
      </c>
      <c r="C1049" s="189" t="s">
        <v>128</v>
      </c>
      <c r="D1049" s="189" t="s">
        <v>123</v>
      </c>
      <c r="E1049" s="190" t="s">
        <v>2559</v>
      </c>
      <c r="F1049" s="191">
        <f t="shared" si="18"/>
        <v>306.98333333333335</v>
      </c>
      <c r="G1049" s="185"/>
      <c r="H1049" s="181"/>
      <c r="I1049" s="74"/>
      <c r="J1049" s="74"/>
      <c r="M1049" s="185"/>
      <c r="N1049" s="185"/>
      <c r="O1049" s="185"/>
      <c r="P1049" s="185"/>
      <c r="Q1049" s="185"/>
      <c r="R1049" s="185"/>
    </row>
    <row r="1050" spans="1:18" s="197" customFormat="1" ht="12.75" x14ac:dyDescent="0.2">
      <c r="A1050" s="181"/>
      <c r="B1050" s="188" t="s">
        <v>2560</v>
      </c>
      <c r="C1050" s="189" t="s">
        <v>125</v>
      </c>
      <c r="D1050" s="189" t="s">
        <v>123</v>
      </c>
      <c r="E1050" s="190" t="s">
        <v>2561</v>
      </c>
      <c r="F1050" s="191">
        <f t="shared" si="18"/>
        <v>264.75</v>
      </c>
      <c r="G1050" s="185"/>
      <c r="H1050" s="181"/>
      <c r="I1050" s="74"/>
      <c r="J1050" s="74"/>
      <c r="M1050" s="185"/>
      <c r="N1050" s="185"/>
      <c r="O1050" s="185"/>
      <c r="P1050" s="185"/>
      <c r="Q1050" s="185"/>
      <c r="R1050" s="185"/>
    </row>
    <row r="1051" spans="1:18" s="197" customFormat="1" ht="12.75" x14ac:dyDescent="0.2">
      <c r="A1051" s="181"/>
      <c r="B1051" s="188" t="s">
        <v>2562</v>
      </c>
      <c r="C1051" s="189" t="s">
        <v>125</v>
      </c>
      <c r="D1051" s="189" t="s">
        <v>123</v>
      </c>
      <c r="E1051" s="190" t="s">
        <v>2563</v>
      </c>
      <c r="F1051" s="191">
        <f t="shared" si="18"/>
        <v>290.53333333333336</v>
      </c>
      <c r="G1051" s="185"/>
      <c r="H1051" s="181"/>
      <c r="I1051" s="74"/>
      <c r="J1051" s="74"/>
      <c r="M1051" s="185"/>
      <c r="N1051" s="185"/>
      <c r="O1051" s="185"/>
      <c r="P1051" s="185"/>
      <c r="Q1051" s="185"/>
      <c r="R1051" s="185"/>
    </row>
    <row r="1052" spans="1:18" s="197" customFormat="1" ht="12.75" x14ac:dyDescent="0.2">
      <c r="A1052" s="181"/>
      <c r="B1052" s="188" t="s">
        <v>2564</v>
      </c>
      <c r="C1052" s="189" t="s">
        <v>134</v>
      </c>
      <c r="D1052" s="189" t="s">
        <v>123</v>
      </c>
      <c r="E1052" s="190" t="s">
        <v>1008</v>
      </c>
      <c r="F1052" s="191">
        <f t="shared" si="18"/>
        <v>223.48333333333332</v>
      </c>
      <c r="G1052" s="185"/>
      <c r="H1052" s="181"/>
      <c r="I1052" s="74"/>
      <c r="J1052" s="74"/>
      <c r="M1052" s="185"/>
      <c r="N1052" s="185"/>
      <c r="O1052" s="185"/>
      <c r="P1052" s="185"/>
      <c r="Q1052" s="185"/>
      <c r="R1052" s="185"/>
    </row>
    <row r="1053" spans="1:18" s="197" customFormat="1" ht="12.75" x14ac:dyDescent="0.2">
      <c r="A1053" s="181"/>
      <c r="B1053" s="188" t="s">
        <v>2565</v>
      </c>
      <c r="C1053" s="189" t="s">
        <v>124</v>
      </c>
      <c r="D1053" s="189" t="s">
        <v>123</v>
      </c>
      <c r="E1053" s="190" t="s">
        <v>2566</v>
      </c>
      <c r="F1053" s="191">
        <f t="shared" si="18"/>
        <v>235.11666666666667</v>
      </c>
      <c r="G1053" s="185"/>
      <c r="H1053" s="181"/>
      <c r="I1053" s="74"/>
      <c r="J1053" s="74"/>
      <c r="M1053" s="185"/>
      <c r="N1053" s="185"/>
      <c r="O1053" s="185"/>
      <c r="P1053" s="185"/>
      <c r="Q1053" s="185"/>
      <c r="R1053" s="185"/>
    </row>
    <row r="1054" spans="1:18" s="197" customFormat="1" ht="12.75" x14ac:dyDescent="0.2">
      <c r="A1054" s="181"/>
      <c r="B1054" s="188" t="s">
        <v>2567</v>
      </c>
      <c r="C1054" s="189" t="s">
        <v>142</v>
      </c>
      <c r="D1054" s="189" t="s">
        <v>339</v>
      </c>
      <c r="E1054" s="190" t="s">
        <v>2568</v>
      </c>
      <c r="F1054" s="191">
        <f t="shared" si="18"/>
        <v>250.73333333333332</v>
      </c>
      <c r="G1054" s="185"/>
      <c r="H1054" s="181"/>
      <c r="I1054" s="74"/>
      <c r="J1054" s="74"/>
      <c r="M1054" s="185"/>
      <c r="N1054" s="185"/>
      <c r="O1054" s="185"/>
      <c r="P1054" s="185"/>
      <c r="Q1054" s="185"/>
      <c r="R1054" s="185"/>
    </row>
    <row r="1055" spans="1:18" s="197" customFormat="1" ht="12.75" x14ac:dyDescent="0.2">
      <c r="A1055" s="181"/>
      <c r="B1055" s="188" t="s">
        <v>2569</v>
      </c>
      <c r="C1055" s="189" t="s">
        <v>130</v>
      </c>
      <c r="D1055" s="189" t="s">
        <v>123</v>
      </c>
      <c r="E1055" s="190" t="s">
        <v>2570</v>
      </c>
      <c r="F1055" s="191">
        <f t="shared" si="18"/>
        <v>215.41666666666666</v>
      </c>
      <c r="G1055" s="185"/>
      <c r="H1055" s="181"/>
      <c r="I1055" s="74"/>
      <c r="J1055" s="74"/>
      <c r="M1055" s="185"/>
      <c r="N1055" s="185"/>
      <c r="O1055" s="185"/>
      <c r="P1055" s="185"/>
      <c r="Q1055" s="185"/>
      <c r="R1055" s="185"/>
    </row>
    <row r="1056" spans="1:18" s="197" customFormat="1" ht="12.75" x14ac:dyDescent="0.2">
      <c r="A1056" s="181"/>
      <c r="B1056" s="188" t="s">
        <v>2571</v>
      </c>
      <c r="C1056" s="189" t="s">
        <v>125</v>
      </c>
      <c r="D1056" s="189" t="s">
        <v>157</v>
      </c>
      <c r="E1056" s="190" t="s">
        <v>2572</v>
      </c>
      <c r="F1056" s="191">
        <f t="shared" si="18"/>
        <v>208.95</v>
      </c>
      <c r="G1056" s="185"/>
      <c r="H1056" s="181"/>
      <c r="I1056" s="74"/>
      <c r="J1056" s="74"/>
      <c r="M1056" s="185"/>
      <c r="N1056" s="185"/>
      <c r="O1056" s="185"/>
      <c r="P1056" s="185"/>
      <c r="Q1056" s="185"/>
      <c r="R1056" s="185"/>
    </row>
    <row r="1057" spans="1:18" s="197" customFormat="1" ht="12.75" x14ac:dyDescent="0.2">
      <c r="A1057" s="181"/>
      <c r="B1057" s="188" t="s">
        <v>180</v>
      </c>
      <c r="C1057" s="189" t="s">
        <v>124</v>
      </c>
      <c r="D1057" s="189" t="s">
        <v>263</v>
      </c>
      <c r="E1057" s="190" t="s">
        <v>2573</v>
      </c>
      <c r="F1057" s="191">
        <f t="shared" si="18"/>
        <v>268.01666666666665</v>
      </c>
      <c r="G1057" s="185"/>
      <c r="H1057" s="181"/>
      <c r="I1057" s="74"/>
      <c r="J1057" s="74"/>
      <c r="M1057" s="185"/>
      <c r="N1057" s="185"/>
      <c r="O1057" s="185"/>
      <c r="P1057" s="185"/>
      <c r="Q1057" s="185"/>
      <c r="R1057" s="185"/>
    </row>
    <row r="1058" spans="1:18" s="197" customFormat="1" ht="12.75" x14ac:dyDescent="0.2">
      <c r="A1058" s="181"/>
      <c r="B1058" s="188" t="s">
        <v>2574</v>
      </c>
      <c r="C1058" s="189" t="s">
        <v>134</v>
      </c>
      <c r="D1058" s="189" t="s">
        <v>132</v>
      </c>
      <c r="E1058" s="190" t="s">
        <v>2575</v>
      </c>
      <c r="F1058" s="191">
        <f t="shared" si="18"/>
        <v>170.66666666666666</v>
      </c>
      <c r="G1058" s="185"/>
      <c r="H1058" s="181"/>
      <c r="I1058" s="74"/>
      <c r="J1058" s="74"/>
      <c r="M1058" s="185"/>
      <c r="N1058" s="185"/>
      <c r="O1058" s="185"/>
      <c r="P1058" s="185"/>
      <c r="Q1058" s="185"/>
      <c r="R1058" s="185"/>
    </row>
    <row r="1059" spans="1:18" s="197" customFormat="1" ht="12.75" x14ac:dyDescent="0.2">
      <c r="A1059" s="181"/>
      <c r="B1059" s="188" t="s">
        <v>2576</v>
      </c>
      <c r="C1059" s="189" t="s">
        <v>130</v>
      </c>
      <c r="D1059" s="189" t="s">
        <v>260</v>
      </c>
      <c r="E1059" s="190" t="s">
        <v>2577</v>
      </c>
      <c r="F1059" s="191">
        <f t="shared" si="18"/>
        <v>252.16666666666666</v>
      </c>
      <c r="G1059" s="185"/>
      <c r="H1059" s="181"/>
      <c r="I1059" s="74"/>
      <c r="J1059" s="74"/>
      <c r="M1059" s="185"/>
      <c r="N1059" s="185"/>
      <c r="O1059" s="185"/>
      <c r="P1059" s="185"/>
      <c r="Q1059" s="185"/>
      <c r="R1059" s="185"/>
    </row>
    <row r="1060" spans="1:18" s="197" customFormat="1" ht="12.75" x14ac:dyDescent="0.2">
      <c r="A1060" s="181"/>
      <c r="B1060" s="188" t="s">
        <v>488</v>
      </c>
      <c r="C1060" s="189" t="s">
        <v>125</v>
      </c>
      <c r="D1060" s="189" t="s">
        <v>141</v>
      </c>
      <c r="E1060" s="190" t="s">
        <v>2578</v>
      </c>
      <c r="F1060" s="191">
        <f t="shared" si="18"/>
        <v>219.81666666666666</v>
      </c>
      <c r="G1060" s="185"/>
      <c r="H1060" s="181"/>
      <c r="I1060" s="74"/>
      <c r="J1060" s="74"/>
      <c r="M1060" s="185"/>
      <c r="N1060" s="185"/>
      <c r="O1060" s="185"/>
      <c r="P1060" s="185"/>
      <c r="Q1060" s="185"/>
      <c r="R1060" s="185"/>
    </row>
    <row r="1061" spans="1:18" s="197" customFormat="1" ht="12.75" x14ac:dyDescent="0.2">
      <c r="A1061" s="181"/>
      <c r="B1061" s="188" t="s">
        <v>391</v>
      </c>
      <c r="C1061" s="189" t="s">
        <v>125</v>
      </c>
      <c r="D1061" s="189" t="s">
        <v>169</v>
      </c>
      <c r="E1061" s="190" t="s">
        <v>2579</v>
      </c>
      <c r="F1061" s="191">
        <f t="shared" si="18"/>
        <v>224.33333333333334</v>
      </c>
      <c r="G1061" s="185"/>
      <c r="H1061" s="181"/>
      <c r="I1061" s="74"/>
      <c r="J1061" s="74"/>
      <c r="M1061" s="185"/>
      <c r="N1061" s="185"/>
      <c r="O1061" s="185"/>
      <c r="P1061" s="185"/>
      <c r="Q1061" s="185"/>
      <c r="R1061" s="185"/>
    </row>
    <row r="1062" spans="1:18" s="197" customFormat="1" ht="12.75" x14ac:dyDescent="0.2">
      <c r="A1062" s="181"/>
      <c r="B1062" s="188" t="s">
        <v>2580</v>
      </c>
      <c r="C1062" s="189" t="s">
        <v>222</v>
      </c>
      <c r="D1062" s="189" t="s">
        <v>123</v>
      </c>
      <c r="E1062" s="190" t="s">
        <v>2581</v>
      </c>
      <c r="F1062" s="191">
        <f t="shared" si="18"/>
        <v>294.89999999999998</v>
      </c>
      <c r="G1062" s="185"/>
      <c r="H1062" s="181"/>
      <c r="I1062" s="74"/>
      <c r="J1062" s="74"/>
      <c r="M1062" s="185"/>
      <c r="N1062" s="185"/>
      <c r="O1062" s="185"/>
      <c r="P1062" s="185"/>
      <c r="Q1062" s="185"/>
      <c r="R1062" s="185"/>
    </row>
    <row r="1063" spans="1:18" s="197" customFormat="1" ht="12.75" x14ac:dyDescent="0.2">
      <c r="A1063" s="181"/>
      <c r="B1063" s="188" t="s">
        <v>2582</v>
      </c>
      <c r="C1063" s="189" t="s">
        <v>134</v>
      </c>
      <c r="D1063" s="189" t="s">
        <v>123</v>
      </c>
      <c r="E1063" s="190" t="s">
        <v>2583</v>
      </c>
      <c r="F1063" s="191">
        <f t="shared" si="18"/>
        <v>248.58333333333334</v>
      </c>
      <c r="G1063" s="185"/>
      <c r="H1063" s="181"/>
      <c r="I1063" s="74"/>
      <c r="J1063" s="74"/>
      <c r="M1063" s="185"/>
      <c r="N1063" s="185"/>
      <c r="O1063" s="185"/>
      <c r="P1063" s="185"/>
      <c r="Q1063" s="185"/>
      <c r="R1063" s="185"/>
    </row>
    <row r="1064" spans="1:18" s="197" customFormat="1" ht="12.75" x14ac:dyDescent="0.2">
      <c r="A1064" s="181"/>
      <c r="B1064" s="188" t="s">
        <v>2584</v>
      </c>
      <c r="C1064" s="189" t="s">
        <v>136</v>
      </c>
      <c r="D1064" s="189" t="s">
        <v>123</v>
      </c>
      <c r="E1064" s="190" t="s">
        <v>2585</v>
      </c>
      <c r="F1064" s="191">
        <f t="shared" si="18"/>
        <v>252.93333333333334</v>
      </c>
      <c r="G1064" s="185"/>
      <c r="H1064" s="181"/>
      <c r="I1064" s="74"/>
      <c r="J1064" s="74"/>
      <c r="M1064" s="185"/>
      <c r="N1064" s="185"/>
      <c r="O1064" s="185"/>
      <c r="P1064" s="185"/>
      <c r="Q1064" s="185"/>
      <c r="R1064" s="185"/>
    </row>
    <row r="1065" spans="1:18" s="197" customFormat="1" ht="12.75" x14ac:dyDescent="0.2">
      <c r="A1065" s="181"/>
      <c r="B1065" s="188" t="s">
        <v>2586</v>
      </c>
      <c r="C1065" s="189" t="s">
        <v>125</v>
      </c>
      <c r="D1065" s="189" t="s">
        <v>132</v>
      </c>
      <c r="E1065" s="190" t="s">
        <v>2587</v>
      </c>
      <c r="F1065" s="191">
        <f t="shared" si="18"/>
        <v>226.81666666666666</v>
      </c>
      <c r="G1065" s="185"/>
      <c r="H1065" s="181"/>
      <c r="I1065" s="74"/>
      <c r="J1065" s="74"/>
      <c r="M1065" s="185"/>
      <c r="N1065" s="185"/>
      <c r="O1065" s="185"/>
      <c r="P1065" s="185"/>
      <c r="Q1065" s="185"/>
      <c r="R1065" s="185"/>
    </row>
    <row r="1066" spans="1:18" s="197" customFormat="1" ht="12.75" x14ac:dyDescent="0.2">
      <c r="A1066" s="181"/>
      <c r="B1066" s="188" t="s">
        <v>2588</v>
      </c>
      <c r="C1066" s="189" t="s">
        <v>130</v>
      </c>
      <c r="D1066" s="189" t="s">
        <v>131</v>
      </c>
      <c r="E1066" s="190" t="s">
        <v>2589</v>
      </c>
      <c r="F1066" s="191">
        <f t="shared" si="18"/>
        <v>252.63333333333333</v>
      </c>
      <c r="G1066" s="185"/>
      <c r="H1066" s="181"/>
      <c r="I1066" s="74"/>
      <c r="J1066" s="74"/>
      <c r="M1066" s="185"/>
      <c r="N1066" s="185"/>
      <c r="O1066" s="185"/>
      <c r="P1066" s="185"/>
      <c r="Q1066" s="185"/>
      <c r="R1066" s="185"/>
    </row>
    <row r="1067" spans="1:18" s="197" customFormat="1" ht="12.75" x14ac:dyDescent="0.2">
      <c r="A1067" s="181"/>
      <c r="B1067" s="188" t="s">
        <v>2590</v>
      </c>
      <c r="C1067" s="189" t="s">
        <v>135</v>
      </c>
      <c r="D1067" s="189" t="s">
        <v>123</v>
      </c>
      <c r="E1067" s="190" t="s">
        <v>2591</v>
      </c>
      <c r="F1067" s="191">
        <f t="shared" si="18"/>
        <v>280.86666666666667</v>
      </c>
      <c r="G1067" s="185"/>
      <c r="H1067" s="181"/>
      <c r="I1067" s="74"/>
      <c r="J1067" s="74"/>
      <c r="M1067" s="185"/>
      <c r="N1067" s="185"/>
      <c r="O1067" s="185"/>
      <c r="P1067" s="185"/>
      <c r="Q1067" s="185"/>
      <c r="R1067" s="185"/>
    </row>
    <row r="1068" spans="1:18" s="197" customFormat="1" ht="12.75" x14ac:dyDescent="0.2">
      <c r="A1068" s="181"/>
      <c r="B1068" s="188" t="s">
        <v>2592</v>
      </c>
      <c r="C1068" s="189" t="s">
        <v>130</v>
      </c>
      <c r="D1068" s="189" t="s">
        <v>165</v>
      </c>
      <c r="E1068" s="190" t="s">
        <v>2593</v>
      </c>
      <c r="F1068" s="191">
        <f t="shared" si="18"/>
        <v>280.2</v>
      </c>
      <c r="G1068" s="185"/>
      <c r="H1068" s="181"/>
      <c r="I1068" s="74"/>
      <c r="J1068" s="74"/>
      <c r="M1068" s="185"/>
      <c r="N1068" s="185"/>
      <c r="O1068" s="185"/>
      <c r="P1068" s="185"/>
      <c r="Q1068" s="185"/>
      <c r="R1068" s="185"/>
    </row>
    <row r="1069" spans="1:18" s="197" customFormat="1" ht="12.75" x14ac:dyDescent="0.2">
      <c r="A1069" s="181"/>
      <c r="B1069" s="188" t="s">
        <v>2594</v>
      </c>
      <c r="C1069" s="189" t="s">
        <v>142</v>
      </c>
      <c r="D1069" s="189" t="s">
        <v>309</v>
      </c>
      <c r="E1069" s="190" t="s">
        <v>2595</v>
      </c>
      <c r="F1069" s="191">
        <f t="shared" si="18"/>
        <v>210.63333333333333</v>
      </c>
      <c r="G1069" s="185"/>
      <c r="H1069" s="181"/>
      <c r="I1069" s="74"/>
      <c r="J1069" s="74"/>
      <c r="M1069" s="185"/>
      <c r="N1069" s="185"/>
      <c r="O1069" s="185"/>
      <c r="P1069" s="185"/>
      <c r="Q1069" s="185"/>
      <c r="R1069" s="185"/>
    </row>
    <row r="1070" spans="1:18" s="197" customFormat="1" ht="12.75" x14ac:dyDescent="0.2">
      <c r="A1070" s="181"/>
      <c r="B1070" s="188" t="s">
        <v>2596</v>
      </c>
      <c r="C1070" s="189" t="s">
        <v>249</v>
      </c>
      <c r="D1070" s="189" t="s">
        <v>123</v>
      </c>
      <c r="E1070" s="190" t="s">
        <v>2597</v>
      </c>
      <c r="F1070" s="191">
        <f t="shared" si="18"/>
        <v>216.13333333333333</v>
      </c>
      <c r="G1070" s="185"/>
      <c r="H1070" s="181"/>
      <c r="I1070" s="74"/>
      <c r="J1070" s="74"/>
      <c r="M1070" s="185"/>
      <c r="N1070" s="185"/>
      <c r="O1070" s="185"/>
      <c r="P1070" s="185"/>
      <c r="Q1070" s="185"/>
      <c r="R1070" s="185"/>
    </row>
    <row r="1071" spans="1:18" s="197" customFormat="1" ht="12.75" x14ac:dyDescent="0.2">
      <c r="A1071" s="181"/>
      <c r="B1071" s="188" t="s">
        <v>2598</v>
      </c>
      <c r="C1071" s="189" t="s">
        <v>142</v>
      </c>
      <c r="D1071" s="189" t="s">
        <v>165</v>
      </c>
      <c r="E1071" s="190" t="s">
        <v>2599</v>
      </c>
      <c r="F1071" s="191">
        <f t="shared" si="18"/>
        <v>232.1</v>
      </c>
      <c r="G1071" s="185"/>
      <c r="H1071" s="181"/>
      <c r="I1071" s="74"/>
      <c r="J1071" s="74"/>
      <c r="M1071" s="185"/>
      <c r="N1071" s="185"/>
      <c r="O1071" s="185"/>
      <c r="P1071" s="185"/>
      <c r="Q1071" s="185"/>
      <c r="R1071" s="185"/>
    </row>
    <row r="1072" spans="1:18" s="197" customFormat="1" ht="12.75" x14ac:dyDescent="0.2">
      <c r="A1072" s="181"/>
      <c r="B1072" s="188" t="s">
        <v>2600</v>
      </c>
      <c r="C1072" s="189" t="s">
        <v>134</v>
      </c>
      <c r="D1072" s="189" t="s">
        <v>123</v>
      </c>
      <c r="E1072" s="190" t="s">
        <v>1552</v>
      </c>
      <c r="F1072" s="191">
        <f t="shared" si="18"/>
        <v>240.7</v>
      </c>
      <c r="G1072" s="185"/>
      <c r="H1072" s="181"/>
      <c r="I1072" s="74"/>
      <c r="J1072" s="74"/>
      <c r="M1072" s="185"/>
      <c r="N1072" s="185"/>
      <c r="O1072" s="185"/>
      <c r="P1072" s="185"/>
      <c r="Q1072" s="185"/>
      <c r="R1072" s="185"/>
    </row>
    <row r="1073" spans="1:18" s="197" customFormat="1" ht="12.75" x14ac:dyDescent="0.2">
      <c r="A1073" s="181"/>
      <c r="B1073" s="188" t="s">
        <v>454</v>
      </c>
      <c r="C1073" s="189" t="s">
        <v>125</v>
      </c>
      <c r="D1073" s="189" t="s">
        <v>123</v>
      </c>
      <c r="E1073" s="190" t="s">
        <v>2601</v>
      </c>
      <c r="F1073" s="191">
        <f t="shared" si="18"/>
        <v>187.93333333333334</v>
      </c>
      <c r="G1073" s="185"/>
      <c r="H1073" s="181"/>
      <c r="I1073" s="74"/>
      <c r="J1073" s="74"/>
      <c r="M1073" s="185"/>
      <c r="N1073" s="185"/>
      <c r="O1073" s="185"/>
      <c r="P1073" s="185"/>
      <c r="Q1073" s="185"/>
      <c r="R1073" s="185"/>
    </row>
    <row r="1074" spans="1:18" s="197" customFormat="1" ht="12.75" x14ac:dyDescent="0.2">
      <c r="A1074" s="181"/>
      <c r="B1074" s="188" t="s">
        <v>544</v>
      </c>
      <c r="C1074" s="189" t="s">
        <v>125</v>
      </c>
      <c r="D1074" s="189" t="s">
        <v>123</v>
      </c>
      <c r="E1074" s="190" t="s">
        <v>828</v>
      </c>
      <c r="F1074" s="191">
        <f t="shared" si="18"/>
        <v>219.76666666666668</v>
      </c>
      <c r="G1074" s="185"/>
      <c r="H1074" s="181"/>
      <c r="I1074" s="74"/>
      <c r="J1074" s="74"/>
      <c r="M1074" s="185"/>
      <c r="N1074" s="185"/>
      <c r="O1074" s="185"/>
      <c r="P1074" s="185"/>
      <c r="Q1074" s="185"/>
      <c r="R1074" s="185"/>
    </row>
    <row r="1075" spans="1:18" s="197" customFormat="1" ht="12.75" x14ac:dyDescent="0.2">
      <c r="A1075" s="181"/>
      <c r="B1075" s="188" t="s">
        <v>2602</v>
      </c>
      <c r="C1075" s="189" t="s">
        <v>130</v>
      </c>
      <c r="D1075" s="189" t="s">
        <v>123</v>
      </c>
      <c r="E1075" s="190" t="s">
        <v>1846</v>
      </c>
      <c r="F1075" s="191">
        <f t="shared" si="18"/>
        <v>239</v>
      </c>
      <c r="G1075" s="185"/>
      <c r="H1075" s="181"/>
      <c r="I1075" s="74"/>
      <c r="J1075" s="74"/>
      <c r="M1075" s="185"/>
      <c r="N1075" s="185"/>
      <c r="O1075" s="185"/>
      <c r="P1075" s="185"/>
      <c r="Q1075" s="185"/>
      <c r="R1075" s="185"/>
    </row>
    <row r="1076" spans="1:18" s="197" customFormat="1" ht="12.75" x14ac:dyDescent="0.2">
      <c r="A1076" s="181"/>
      <c r="B1076" s="188" t="s">
        <v>2603</v>
      </c>
      <c r="C1076" s="189" t="s">
        <v>142</v>
      </c>
      <c r="D1076" s="189" t="s">
        <v>131</v>
      </c>
      <c r="E1076" s="190" t="s">
        <v>2604</v>
      </c>
      <c r="F1076" s="191">
        <f t="shared" si="18"/>
        <v>229.23333333333332</v>
      </c>
      <c r="G1076" s="185"/>
      <c r="H1076" s="181"/>
      <c r="I1076" s="74"/>
      <c r="J1076" s="74"/>
      <c r="M1076" s="185"/>
      <c r="N1076" s="185"/>
      <c r="O1076" s="185"/>
      <c r="P1076" s="185"/>
      <c r="Q1076" s="185"/>
      <c r="R1076" s="185"/>
    </row>
    <row r="1077" spans="1:18" s="197" customFormat="1" ht="12.75" x14ac:dyDescent="0.2">
      <c r="A1077" s="181"/>
      <c r="B1077" s="188" t="s">
        <v>2605</v>
      </c>
      <c r="C1077" s="189" t="s">
        <v>130</v>
      </c>
      <c r="D1077" s="189" t="s">
        <v>123</v>
      </c>
      <c r="E1077" s="190" t="s">
        <v>2606</v>
      </c>
      <c r="F1077" s="191">
        <f t="shared" si="18"/>
        <v>268.95</v>
      </c>
      <c r="G1077" s="185"/>
      <c r="H1077" s="181"/>
      <c r="I1077" s="74"/>
      <c r="J1077" s="74"/>
      <c r="M1077" s="185"/>
      <c r="N1077" s="185"/>
      <c r="O1077" s="185"/>
      <c r="P1077" s="185"/>
      <c r="Q1077" s="185"/>
      <c r="R1077" s="185"/>
    </row>
    <row r="1078" spans="1:18" s="197" customFormat="1" ht="12.75" x14ac:dyDescent="0.2">
      <c r="A1078" s="181"/>
      <c r="B1078" s="188" t="s">
        <v>2607</v>
      </c>
      <c r="C1078" s="189" t="s">
        <v>124</v>
      </c>
      <c r="D1078" s="189" t="s">
        <v>123</v>
      </c>
      <c r="E1078" s="190" t="s">
        <v>2608</v>
      </c>
      <c r="F1078" s="191">
        <f t="shared" si="18"/>
        <v>256.14999999999998</v>
      </c>
      <c r="G1078" s="185"/>
      <c r="H1078" s="181"/>
      <c r="I1078" s="74"/>
      <c r="J1078" s="74"/>
      <c r="M1078" s="185"/>
      <c r="N1078" s="185"/>
      <c r="O1078" s="185"/>
      <c r="P1078" s="185"/>
      <c r="Q1078" s="185"/>
      <c r="R1078" s="185"/>
    </row>
    <row r="1079" spans="1:18" s="197" customFormat="1" ht="12.75" x14ac:dyDescent="0.2">
      <c r="A1079" s="181"/>
      <c r="B1079" s="188" t="s">
        <v>2609</v>
      </c>
      <c r="C1079" s="189" t="s">
        <v>124</v>
      </c>
      <c r="D1079" s="189" t="s">
        <v>123</v>
      </c>
      <c r="E1079" s="190" t="s">
        <v>2610</v>
      </c>
      <c r="F1079" s="191">
        <f t="shared" si="18"/>
        <v>266.11666666666667</v>
      </c>
      <c r="G1079" s="185"/>
      <c r="H1079" s="181"/>
      <c r="I1079" s="74"/>
      <c r="J1079" s="74"/>
      <c r="M1079" s="185"/>
      <c r="N1079" s="185"/>
      <c r="O1079" s="185"/>
      <c r="P1079" s="185"/>
      <c r="Q1079" s="185"/>
      <c r="R1079" s="185"/>
    </row>
    <row r="1080" spans="1:18" s="197" customFormat="1" ht="12.75" x14ac:dyDescent="0.2">
      <c r="A1080" s="181"/>
      <c r="B1080" s="188" t="s">
        <v>2611</v>
      </c>
      <c r="C1080" s="189" t="s">
        <v>125</v>
      </c>
      <c r="D1080" s="189" t="s">
        <v>123</v>
      </c>
      <c r="E1080" s="190" t="s">
        <v>2612</v>
      </c>
      <c r="F1080" s="191">
        <f t="shared" si="18"/>
        <v>253.8</v>
      </c>
      <c r="G1080" s="185"/>
      <c r="H1080" s="181"/>
      <c r="I1080" s="74"/>
      <c r="J1080" s="74"/>
      <c r="M1080" s="185"/>
      <c r="N1080" s="185"/>
      <c r="O1080" s="185"/>
      <c r="P1080" s="185"/>
      <c r="Q1080" s="185"/>
      <c r="R1080" s="185"/>
    </row>
    <row r="1081" spans="1:18" s="197" customFormat="1" ht="12.75" x14ac:dyDescent="0.2">
      <c r="A1081" s="181"/>
      <c r="B1081" s="188" t="s">
        <v>2613</v>
      </c>
      <c r="C1081" s="189" t="s">
        <v>124</v>
      </c>
      <c r="D1081" s="189" t="s">
        <v>173</v>
      </c>
      <c r="E1081" s="190" t="s">
        <v>798</v>
      </c>
      <c r="F1081" s="191">
        <f t="shared" si="18"/>
        <v>205.85</v>
      </c>
      <c r="G1081" s="185"/>
      <c r="H1081" s="181"/>
      <c r="I1081" s="74"/>
      <c r="J1081" s="74"/>
      <c r="M1081" s="185"/>
      <c r="N1081" s="185"/>
      <c r="O1081" s="185"/>
      <c r="P1081" s="185"/>
      <c r="Q1081" s="185"/>
      <c r="R1081" s="185"/>
    </row>
    <row r="1082" spans="1:18" s="197" customFormat="1" ht="12.75" x14ac:dyDescent="0.2">
      <c r="A1082" s="181"/>
      <c r="B1082" s="188" t="s">
        <v>201</v>
      </c>
      <c r="C1082" s="189" t="s">
        <v>130</v>
      </c>
      <c r="D1082" s="189" t="s">
        <v>127</v>
      </c>
      <c r="E1082" s="190" t="s">
        <v>2614</v>
      </c>
      <c r="F1082" s="191">
        <f t="shared" si="18"/>
        <v>263.2</v>
      </c>
      <c r="G1082" s="185"/>
      <c r="H1082" s="181"/>
      <c r="I1082" s="74"/>
      <c r="J1082" s="74"/>
      <c r="M1082" s="185"/>
      <c r="N1082" s="185"/>
      <c r="O1082" s="185"/>
      <c r="P1082" s="185"/>
      <c r="Q1082" s="185"/>
      <c r="R1082" s="185"/>
    </row>
    <row r="1083" spans="1:18" s="197" customFormat="1" ht="12.75" x14ac:dyDescent="0.2">
      <c r="A1083" s="181"/>
      <c r="B1083" s="188" t="s">
        <v>1600</v>
      </c>
      <c r="C1083" s="189" t="s">
        <v>134</v>
      </c>
      <c r="D1083" s="189" t="s">
        <v>139</v>
      </c>
      <c r="E1083" s="190" t="s">
        <v>1601</v>
      </c>
      <c r="F1083" s="191">
        <f t="shared" si="18"/>
        <v>202.85</v>
      </c>
      <c r="G1083" s="185"/>
      <c r="H1083" s="181"/>
      <c r="I1083" s="74"/>
      <c r="J1083" s="74"/>
      <c r="M1083" s="185"/>
      <c r="N1083" s="185"/>
      <c r="O1083" s="185"/>
      <c r="P1083" s="185"/>
      <c r="Q1083" s="185"/>
      <c r="R1083" s="185"/>
    </row>
    <row r="1084" spans="1:18" s="197" customFormat="1" ht="12.75" x14ac:dyDescent="0.2">
      <c r="A1084" s="181"/>
      <c r="B1084" s="188" t="s">
        <v>2615</v>
      </c>
      <c r="C1084" s="189" t="s">
        <v>142</v>
      </c>
      <c r="D1084" s="189" t="s">
        <v>131</v>
      </c>
      <c r="E1084" s="190" t="s">
        <v>2616</v>
      </c>
      <c r="F1084" s="191">
        <f t="shared" si="18"/>
        <v>185.1</v>
      </c>
      <c r="G1084" s="185"/>
      <c r="H1084" s="181"/>
      <c r="I1084" s="74"/>
      <c r="J1084" s="74"/>
      <c r="M1084" s="185"/>
      <c r="N1084" s="185"/>
      <c r="O1084" s="185"/>
      <c r="P1084" s="185"/>
      <c r="Q1084" s="185"/>
      <c r="R1084" s="185"/>
    </row>
    <row r="1085" spans="1:18" s="197" customFormat="1" ht="12.75" x14ac:dyDescent="0.2">
      <c r="A1085" s="181"/>
      <c r="B1085" s="188" t="s">
        <v>2617</v>
      </c>
      <c r="C1085" s="189" t="s">
        <v>125</v>
      </c>
      <c r="D1085" s="189" t="s">
        <v>123</v>
      </c>
      <c r="E1085" s="190" t="s">
        <v>2618</v>
      </c>
      <c r="F1085" s="191">
        <f t="shared" si="18"/>
        <v>221.81666666666666</v>
      </c>
      <c r="G1085" s="185"/>
      <c r="H1085" s="181"/>
      <c r="I1085" s="74"/>
      <c r="J1085" s="74"/>
      <c r="M1085" s="185"/>
      <c r="N1085" s="185"/>
      <c r="O1085" s="185"/>
      <c r="P1085" s="185"/>
      <c r="Q1085" s="185"/>
      <c r="R1085" s="185"/>
    </row>
    <row r="1086" spans="1:18" s="197" customFormat="1" ht="12.75" x14ac:dyDescent="0.2">
      <c r="A1086" s="181"/>
      <c r="B1086" s="188" t="s">
        <v>278</v>
      </c>
      <c r="C1086" s="189" t="s">
        <v>124</v>
      </c>
      <c r="D1086" s="189" t="s">
        <v>123</v>
      </c>
      <c r="E1086" s="190" t="s">
        <v>2619</v>
      </c>
      <c r="F1086" s="191">
        <f t="shared" si="18"/>
        <v>316.21666666666664</v>
      </c>
      <c r="G1086" s="185"/>
      <c r="H1086" s="181"/>
      <c r="I1086" s="74"/>
      <c r="J1086" s="74"/>
      <c r="M1086" s="185"/>
      <c r="N1086" s="185"/>
      <c r="O1086" s="185"/>
      <c r="P1086" s="185"/>
      <c r="Q1086" s="185"/>
      <c r="R1086" s="185"/>
    </row>
    <row r="1087" spans="1:18" s="197" customFormat="1" ht="12.75" x14ac:dyDescent="0.2">
      <c r="A1087" s="181"/>
      <c r="B1087" s="188" t="s">
        <v>2620</v>
      </c>
      <c r="C1087" s="189" t="s">
        <v>134</v>
      </c>
      <c r="D1087" s="189" t="s">
        <v>123</v>
      </c>
      <c r="E1087" s="190" t="s">
        <v>2621</v>
      </c>
      <c r="F1087" s="191">
        <f t="shared" si="18"/>
        <v>209.1</v>
      </c>
      <c r="G1087" s="185"/>
      <c r="H1087" s="181"/>
      <c r="I1087" s="74"/>
      <c r="J1087" s="74"/>
      <c r="M1087" s="185"/>
      <c r="N1087" s="185"/>
      <c r="O1087" s="185"/>
      <c r="P1087" s="185"/>
      <c r="Q1087" s="185"/>
      <c r="R1087" s="185"/>
    </row>
    <row r="1088" spans="1:18" s="197" customFormat="1" ht="12.75" x14ac:dyDescent="0.2">
      <c r="A1088" s="181"/>
      <c r="B1088" s="188" t="s">
        <v>2622</v>
      </c>
      <c r="C1088" s="189" t="s">
        <v>134</v>
      </c>
      <c r="D1088" s="189" t="s">
        <v>123</v>
      </c>
      <c r="E1088" s="190" t="s">
        <v>2623</v>
      </c>
      <c r="F1088" s="191">
        <f t="shared" si="18"/>
        <v>270.25</v>
      </c>
      <c r="G1088" s="185"/>
      <c r="H1088" s="181"/>
      <c r="I1088" s="74"/>
      <c r="J1088" s="74"/>
      <c r="M1088" s="185"/>
      <c r="N1088" s="185"/>
      <c r="O1088" s="185"/>
      <c r="P1088" s="185"/>
      <c r="Q1088" s="185"/>
      <c r="R1088" s="185"/>
    </row>
    <row r="1089" spans="1:18" s="197" customFormat="1" ht="12.75" x14ac:dyDescent="0.2">
      <c r="A1089" s="181"/>
      <c r="B1089" s="188" t="s">
        <v>2624</v>
      </c>
      <c r="C1089" s="189" t="s">
        <v>134</v>
      </c>
      <c r="D1089" s="189" t="s">
        <v>123</v>
      </c>
      <c r="E1089" s="190" t="s">
        <v>2625</v>
      </c>
      <c r="F1089" s="191">
        <f t="shared" si="18"/>
        <v>271.39999999999998</v>
      </c>
      <c r="G1089" s="185"/>
      <c r="H1089" s="181"/>
      <c r="I1089" s="74"/>
      <c r="J1089" s="74"/>
      <c r="M1089" s="185"/>
      <c r="N1089" s="185"/>
      <c r="O1089" s="185"/>
      <c r="P1089" s="185"/>
      <c r="Q1089" s="185"/>
      <c r="R1089" s="185"/>
    </row>
    <row r="1090" spans="1:18" s="197" customFormat="1" ht="12.75" x14ac:dyDescent="0.2">
      <c r="A1090" s="181"/>
      <c r="B1090" s="188" t="s">
        <v>199</v>
      </c>
      <c r="C1090" s="189" t="s">
        <v>142</v>
      </c>
      <c r="D1090" s="189" t="s">
        <v>123</v>
      </c>
      <c r="E1090" s="190" t="s">
        <v>2626</v>
      </c>
      <c r="F1090" s="191">
        <f t="shared" si="18"/>
        <v>227.31666666666666</v>
      </c>
      <c r="G1090" s="185"/>
      <c r="H1090" s="181"/>
      <c r="I1090" s="74"/>
      <c r="J1090" s="74"/>
      <c r="M1090" s="185"/>
      <c r="N1090" s="185"/>
      <c r="O1090" s="185"/>
      <c r="P1090" s="185"/>
      <c r="Q1090" s="185"/>
      <c r="R1090" s="185"/>
    </row>
    <row r="1091" spans="1:18" s="197" customFormat="1" ht="12.75" x14ac:dyDescent="0.2">
      <c r="A1091" s="181"/>
      <c r="B1091" s="188" t="s">
        <v>2627</v>
      </c>
      <c r="C1091" s="189" t="s">
        <v>128</v>
      </c>
      <c r="D1091" s="189" t="s">
        <v>123</v>
      </c>
      <c r="E1091" s="190" t="s">
        <v>2628</v>
      </c>
      <c r="F1091" s="191">
        <f t="shared" si="18"/>
        <v>252.11666666666667</v>
      </c>
      <c r="G1091" s="185"/>
      <c r="H1091" s="181"/>
      <c r="I1091" s="74"/>
      <c r="J1091" s="74"/>
      <c r="M1091" s="185"/>
      <c r="N1091" s="185"/>
      <c r="O1091" s="185"/>
      <c r="P1091" s="185"/>
      <c r="Q1091" s="185"/>
      <c r="R1091" s="185"/>
    </row>
    <row r="1092" spans="1:18" s="197" customFormat="1" ht="12.75" x14ac:dyDescent="0.2">
      <c r="A1092" s="181"/>
      <c r="B1092" s="188" t="s">
        <v>2629</v>
      </c>
      <c r="C1092" s="189" t="s">
        <v>134</v>
      </c>
      <c r="D1092" s="189" t="s">
        <v>123</v>
      </c>
      <c r="E1092" s="190" t="s">
        <v>2489</v>
      </c>
      <c r="F1092" s="191">
        <f t="shared" si="18"/>
        <v>277.98333333333335</v>
      </c>
      <c r="G1092" s="185"/>
      <c r="H1092" s="181"/>
      <c r="I1092" s="74"/>
      <c r="J1092" s="74"/>
      <c r="M1092" s="185"/>
      <c r="N1092" s="185"/>
      <c r="O1092" s="185"/>
      <c r="P1092" s="185"/>
      <c r="Q1092" s="185"/>
      <c r="R1092" s="185"/>
    </row>
    <row r="1093" spans="1:18" s="197" customFormat="1" ht="12.75" x14ac:dyDescent="0.2">
      <c r="A1093" s="181"/>
      <c r="B1093" s="188" t="s">
        <v>2630</v>
      </c>
      <c r="C1093" s="189" t="s">
        <v>126</v>
      </c>
      <c r="D1093" s="189" t="s">
        <v>148</v>
      </c>
      <c r="E1093" s="190" t="s">
        <v>2631</v>
      </c>
      <c r="F1093" s="191">
        <f t="shared" si="18"/>
        <v>177.1</v>
      </c>
      <c r="G1093" s="185"/>
      <c r="H1093" s="181"/>
      <c r="I1093" s="74"/>
      <c r="J1093" s="74"/>
      <c r="M1093" s="185"/>
      <c r="N1093" s="185"/>
      <c r="O1093" s="185"/>
      <c r="P1093" s="185"/>
      <c r="Q1093" s="185"/>
      <c r="R1093" s="185"/>
    </row>
    <row r="1094" spans="1:18" s="197" customFormat="1" ht="12.75" x14ac:dyDescent="0.2">
      <c r="A1094" s="181"/>
      <c r="B1094" s="188" t="s">
        <v>2632</v>
      </c>
      <c r="C1094" s="189" t="s">
        <v>126</v>
      </c>
      <c r="D1094" s="189" t="s">
        <v>123</v>
      </c>
      <c r="E1094" s="190" t="s">
        <v>2633</v>
      </c>
      <c r="F1094" s="191">
        <f t="shared" si="18"/>
        <v>182.31666666666666</v>
      </c>
      <c r="G1094" s="185"/>
      <c r="H1094" s="181"/>
      <c r="I1094" s="74"/>
      <c r="J1094" s="74"/>
      <c r="M1094" s="185"/>
      <c r="N1094" s="185"/>
      <c r="O1094" s="185"/>
      <c r="P1094" s="185"/>
      <c r="Q1094" s="185"/>
      <c r="R1094" s="185"/>
    </row>
    <row r="1095" spans="1:18" s="197" customFormat="1" ht="12.75" x14ac:dyDescent="0.2">
      <c r="A1095" s="181"/>
      <c r="B1095" s="188" t="s">
        <v>2634</v>
      </c>
      <c r="C1095" s="189" t="s">
        <v>125</v>
      </c>
      <c r="D1095" s="189" t="s">
        <v>155</v>
      </c>
      <c r="E1095" s="190" t="s">
        <v>2635</v>
      </c>
      <c r="F1095" s="191">
        <f t="shared" si="18"/>
        <v>284.23333333333335</v>
      </c>
      <c r="G1095" s="185"/>
      <c r="H1095" s="181"/>
      <c r="I1095" s="74"/>
      <c r="J1095" s="74"/>
      <c r="M1095" s="185"/>
      <c r="N1095" s="185"/>
      <c r="O1095" s="185"/>
      <c r="P1095" s="185"/>
      <c r="Q1095" s="185"/>
      <c r="R1095" s="185"/>
    </row>
    <row r="1096" spans="1:18" s="197" customFormat="1" ht="12.75" x14ac:dyDescent="0.2">
      <c r="A1096" s="181"/>
      <c r="B1096" s="188" t="s">
        <v>470</v>
      </c>
      <c r="C1096" s="189" t="s">
        <v>142</v>
      </c>
      <c r="D1096" s="189" t="s">
        <v>123</v>
      </c>
      <c r="E1096" s="190" t="s">
        <v>2636</v>
      </c>
      <c r="F1096" s="191">
        <f t="shared" si="18"/>
        <v>238.71666666666667</v>
      </c>
      <c r="G1096" s="185"/>
      <c r="H1096" s="181"/>
      <c r="I1096" s="74"/>
      <c r="J1096" s="74"/>
      <c r="M1096" s="185"/>
      <c r="N1096" s="185"/>
      <c r="O1096" s="185"/>
      <c r="P1096" s="185"/>
      <c r="Q1096" s="185"/>
      <c r="R1096" s="185"/>
    </row>
    <row r="1097" spans="1:18" s="197" customFormat="1" ht="12.75" x14ac:dyDescent="0.2">
      <c r="A1097" s="181"/>
      <c r="B1097" s="188" t="s">
        <v>2637</v>
      </c>
      <c r="C1097" s="189" t="s">
        <v>126</v>
      </c>
      <c r="D1097" s="189" t="s">
        <v>123</v>
      </c>
      <c r="E1097" s="190" t="s">
        <v>2638</v>
      </c>
      <c r="F1097" s="191">
        <f t="shared" si="18"/>
        <v>243</v>
      </c>
      <c r="G1097" s="185"/>
      <c r="H1097" s="181"/>
      <c r="I1097" s="74"/>
      <c r="J1097" s="74"/>
      <c r="M1097" s="185"/>
      <c r="N1097" s="185"/>
      <c r="O1097" s="185"/>
      <c r="P1097" s="185"/>
      <c r="Q1097" s="185"/>
      <c r="R1097" s="185"/>
    </row>
    <row r="1098" spans="1:18" s="197" customFormat="1" ht="12.75" x14ac:dyDescent="0.2">
      <c r="A1098" s="181"/>
      <c r="B1098" s="188" t="s">
        <v>239</v>
      </c>
      <c r="C1098" s="189" t="s">
        <v>125</v>
      </c>
      <c r="D1098" s="189" t="s">
        <v>123</v>
      </c>
      <c r="E1098" s="190" t="s">
        <v>1818</v>
      </c>
      <c r="F1098" s="191">
        <f t="shared" si="18"/>
        <v>235.45</v>
      </c>
      <c r="G1098" s="185"/>
      <c r="H1098" s="181"/>
      <c r="I1098" s="74"/>
      <c r="J1098" s="74"/>
      <c r="M1098" s="185"/>
      <c r="N1098" s="185"/>
      <c r="O1098" s="185"/>
      <c r="P1098" s="185"/>
      <c r="Q1098" s="185"/>
      <c r="R1098" s="185"/>
    </row>
    <row r="1099" spans="1:18" s="197" customFormat="1" ht="12.75" x14ac:dyDescent="0.2">
      <c r="A1099" s="181"/>
      <c r="B1099" s="188" t="s">
        <v>2639</v>
      </c>
      <c r="C1099" s="189" t="s">
        <v>124</v>
      </c>
      <c r="D1099" s="189" t="s">
        <v>123</v>
      </c>
      <c r="E1099" s="190" t="s">
        <v>2640</v>
      </c>
      <c r="F1099" s="191">
        <f t="shared" ref="F1099:F1162" si="19">HOUR(E1099)*60+MINUTE(E1099)+SECOND(E1099)/60</f>
        <v>256.61666666666667</v>
      </c>
      <c r="G1099" s="185"/>
      <c r="H1099" s="181"/>
      <c r="I1099" s="74"/>
      <c r="J1099" s="74"/>
      <c r="M1099" s="185"/>
      <c r="N1099" s="185"/>
      <c r="O1099" s="185"/>
      <c r="P1099" s="185"/>
      <c r="Q1099" s="185"/>
      <c r="R1099" s="185"/>
    </row>
    <row r="1100" spans="1:18" s="197" customFormat="1" ht="12.75" x14ac:dyDescent="0.2">
      <c r="A1100" s="181"/>
      <c r="B1100" s="188" t="s">
        <v>2641</v>
      </c>
      <c r="C1100" s="189" t="s">
        <v>126</v>
      </c>
      <c r="D1100" s="189" t="s">
        <v>148</v>
      </c>
      <c r="E1100" s="190" t="s">
        <v>2642</v>
      </c>
      <c r="F1100" s="191">
        <f t="shared" si="19"/>
        <v>230.75</v>
      </c>
      <c r="G1100" s="185"/>
      <c r="H1100" s="181"/>
      <c r="I1100" s="74"/>
      <c r="J1100" s="74"/>
      <c r="M1100" s="185"/>
      <c r="N1100" s="185"/>
      <c r="O1100" s="185"/>
      <c r="P1100" s="185"/>
      <c r="Q1100" s="185"/>
      <c r="R1100" s="185"/>
    </row>
    <row r="1101" spans="1:18" s="197" customFormat="1" ht="12.75" x14ac:dyDescent="0.2">
      <c r="A1101" s="181"/>
      <c r="B1101" s="188" t="s">
        <v>2643</v>
      </c>
      <c r="C1101" s="189" t="s">
        <v>128</v>
      </c>
      <c r="D1101" s="189" t="s">
        <v>314</v>
      </c>
      <c r="E1101" s="190" t="s">
        <v>2644</v>
      </c>
      <c r="F1101" s="191">
        <f t="shared" si="19"/>
        <v>281.73333333333335</v>
      </c>
      <c r="G1101" s="185"/>
      <c r="H1101" s="181"/>
      <c r="I1101" s="74"/>
      <c r="J1101" s="74"/>
      <c r="M1101" s="185"/>
      <c r="N1101" s="185"/>
      <c r="O1101" s="185"/>
      <c r="P1101" s="185"/>
      <c r="Q1101" s="185"/>
      <c r="R1101" s="185"/>
    </row>
    <row r="1102" spans="1:18" s="197" customFormat="1" ht="12.75" x14ac:dyDescent="0.2">
      <c r="A1102" s="181"/>
      <c r="B1102" s="188" t="s">
        <v>629</v>
      </c>
      <c r="C1102" s="189" t="s">
        <v>125</v>
      </c>
      <c r="D1102" s="189" t="s">
        <v>263</v>
      </c>
      <c r="E1102" s="190" t="s">
        <v>2645</v>
      </c>
      <c r="F1102" s="191">
        <f t="shared" si="19"/>
        <v>230.83333333333334</v>
      </c>
      <c r="G1102" s="185"/>
      <c r="H1102" s="181"/>
      <c r="I1102" s="74"/>
      <c r="J1102" s="74"/>
      <c r="M1102" s="185"/>
      <c r="N1102" s="185"/>
      <c r="O1102" s="185"/>
      <c r="P1102" s="185"/>
      <c r="Q1102" s="185"/>
      <c r="R1102" s="185"/>
    </row>
    <row r="1103" spans="1:18" s="197" customFormat="1" ht="12.75" x14ac:dyDescent="0.2">
      <c r="A1103" s="181"/>
      <c r="B1103" s="188" t="s">
        <v>2646</v>
      </c>
      <c r="C1103" s="189" t="s">
        <v>130</v>
      </c>
      <c r="D1103" s="189" t="s">
        <v>133</v>
      </c>
      <c r="E1103" s="190" t="s">
        <v>2647</v>
      </c>
      <c r="F1103" s="191">
        <f t="shared" si="19"/>
        <v>209.35</v>
      </c>
      <c r="G1103" s="185"/>
      <c r="H1103" s="181"/>
      <c r="I1103" s="74"/>
      <c r="J1103" s="74"/>
      <c r="M1103" s="185"/>
      <c r="N1103" s="185"/>
      <c r="O1103" s="185"/>
      <c r="P1103" s="185"/>
      <c r="Q1103" s="185"/>
      <c r="R1103" s="185"/>
    </row>
    <row r="1104" spans="1:18" s="197" customFormat="1" ht="12.75" x14ac:dyDescent="0.2">
      <c r="A1104" s="181"/>
      <c r="B1104" s="188" t="s">
        <v>2648</v>
      </c>
      <c r="C1104" s="189" t="s">
        <v>124</v>
      </c>
      <c r="D1104" s="189" t="s">
        <v>129</v>
      </c>
      <c r="E1104" s="190" t="s">
        <v>2649</v>
      </c>
      <c r="F1104" s="191">
        <f t="shared" si="19"/>
        <v>219.93333333333334</v>
      </c>
      <c r="G1104" s="185"/>
      <c r="H1104" s="181"/>
      <c r="I1104" s="74"/>
      <c r="J1104" s="74"/>
      <c r="M1104" s="185"/>
      <c r="N1104" s="185"/>
      <c r="O1104" s="185"/>
      <c r="P1104" s="185"/>
      <c r="Q1104" s="185"/>
      <c r="R1104" s="185"/>
    </row>
    <row r="1105" spans="1:18" s="197" customFormat="1" ht="12.75" x14ac:dyDescent="0.2">
      <c r="A1105" s="181"/>
      <c r="B1105" s="188" t="s">
        <v>386</v>
      </c>
      <c r="C1105" s="189" t="s">
        <v>130</v>
      </c>
      <c r="D1105" s="189" t="s">
        <v>155</v>
      </c>
      <c r="E1105" s="190" t="s">
        <v>2650</v>
      </c>
      <c r="F1105" s="191">
        <f t="shared" si="19"/>
        <v>189.33333333333334</v>
      </c>
      <c r="G1105" s="185"/>
      <c r="H1105" s="181"/>
      <c r="I1105" s="74"/>
      <c r="J1105" s="74"/>
      <c r="M1105" s="185"/>
      <c r="N1105" s="185"/>
      <c r="O1105" s="185"/>
      <c r="P1105" s="185"/>
      <c r="Q1105" s="185"/>
      <c r="R1105" s="185"/>
    </row>
    <row r="1106" spans="1:18" s="197" customFormat="1" ht="12.75" x14ac:dyDescent="0.2">
      <c r="A1106" s="181"/>
      <c r="B1106" s="188" t="s">
        <v>2651</v>
      </c>
      <c r="C1106" s="189" t="s">
        <v>134</v>
      </c>
      <c r="D1106" s="189" t="s">
        <v>165</v>
      </c>
      <c r="E1106" s="190" t="s">
        <v>2652</v>
      </c>
      <c r="F1106" s="191">
        <f t="shared" si="19"/>
        <v>228.26666666666668</v>
      </c>
      <c r="G1106" s="185"/>
      <c r="H1106" s="181"/>
      <c r="I1106" s="74"/>
      <c r="J1106" s="74"/>
      <c r="M1106" s="185"/>
      <c r="N1106" s="185"/>
      <c r="O1106" s="185"/>
      <c r="P1106" s="185"/>
      <c r="Q1106" s="185"/>
      <c r="R1106" s="185"/>
    </row>
    <row r="1107" spans="1:18" s="197" customFormat="1" ht="12.75" x14ac:dyDescent="0.2">
      <c r="A1107" s="181"/>
      <c r="B1107" s="188" t="s">
        <v>2653</v>
      </c>
      <c r="C1107" s="189" t="s">
        <v>134</v>
      </c>
      <c r="D1107" s="189" t="s">
        <v>168</v>
      </c>
      <c r="E1107" s="190" t="s">
        <v>2654</v>
      </c>
      <c r="F1107" s="191">
        <f t="shared" si="19"/>
        <v>257.03333333333336</v>
      </c>
      <c r="G1107" s="185"/>
      <c r="H1107" s="181"/>
      <c r="I1107" s="74"/>
      <c r="J1107" s="74"/>
      <c r="M1107" s="185"/>
      <c r="N1107" s="185"/>
      <c r="O1107" s="185"/>
      <c r="P1107" s="185"/>
      <c r="Q1107" s="185"/>
      <c r="R1107" s="185"/>
    </row>
    <row r="1108" spans="1:18" s="197" customFormat="1" ht="12.75" x14ac:dyDescent="0.2">
      <c r="A1108" s="181"/>
      <c r="B1108" s="188" t="s">
        <v>2655</v>
      </c>
      <c r="C1108" s="189" t="s">
        <v>128</v>
      </c>
      <c r="D1108" s="189" t="s">
        <v>144</v>
      </c>
      <c r="E1108" s="190" t="s">
        <v>2656</v>
      </c>
      <c r="F1108" s="191">
        <f t="shared" si="19"/>
        <v>325.71666666666664</v>
      </c>
      <c r="G1108" s="185"/>
      <c r="H1108" s="181"/>
      <c r="I1108" s="74"/>
      <c r="J1108" s="74"/>
      <c r="M1108" s="185"/>
      <c r="N1108" s="185"/>
      <c r="O1108" s="185"/>
      <c r="P1108" s="185"/>
      <c r="Q1108" s="185"/>
      <c r="R1108" s="185"/>
    </row>
    <row r="1109" spans="1:18" s="197" customFormat="1" ht="12.75" x14ac:dyDescent="0.2">
      <c r="A1109" s="181"/>
      <c r="B1109" s="188" t="s">
        <v>2657</v>
      </c>
      <c r="C1109" s="189" t="s">
        <v>125</v>
      </c>
      <c r="D1109" s="189" t="s">
        <v>123</v>
      </c>
      <c r="E1109" s="190" t="s">
        <v>2658</v>
      </c>
      <c r="F1109" s="191">
        <f t="shared" si="19"/>
        <v>283.85000000000002</v>
      </c>
      <c r="G1109" s="185"/>
      <c r="H1109" s="181"/>
      <c r="I1109" s="74"/>
      <c r="J1109" s="74"/>
      <c r="M1109" s="185"/>
      <c r="N1109" s="185"/>
      <c r="O1109" s="185"/>
      <c r="P1109" s="185"/>
      <c r="Q1109" s="185"/>
      <c r="R1109" s="185"/>
    </row>
    <row r="1110" spans="1:18" s="197" customFormat="1" ht="12.75" x14ac:dyDescent="0.2">
      <c r="A1110" s="181"/>
      <c r="B1110" s="188" t="s">
        <v>2659</v>
      </c>
      <c r="C1110" s="189" t="s">
        <v>134</v>
      </c>
      <c r="D1110" s="189" t="s">
        <v>141</v>
      </c>
      <c r="E1110" s="190" t="s">
        <v>2660</v>
      </c>
      <c r="F1110" s="191">
        <f t="shared" si="19"/>
        <v>321.95</v>
      </c>
      <c r="G1110" s="185"/>
      <c r="H1110" s="181"/>
      <c r="I1110" s="74"/>
      <c r="J1110" s="74"/>
      <c r="M1110" s="185"/>
      <c r="N1110" s="185"/>
      <c r="O1110" s="185"/>
      <c r="P1110" s="185"/>
      <c r="Q1110" s="185"/>
      <c r="R1110" s="185"/>
    </row>
    <row r="1111" spans="1:18" s="197" customFormat="1" ht="12.75" x14ac:dyDescent="0.2">
      <c r="A1111" s="181"/>
      <c r="B1111" s="188" t="s">
        <v>2661</v>
      </c>
      <c r="C1111" s="189" t="s">
        <v>130</v>
      </c>
      <c r="D1111" s="189" t="s">
        <v>123</v>
      </c>
      <c r="E1111" s="190" t="s">
        <v>2662</v>
      </c>
      <c r="F1111" s="191">
        <f t="shared" si="19"/>
        <v>271.48333333333335</v>
      </c>
      <c r="G1111" s="185"/>
      <c r="H1111" s="181"/>
      <c r="I1111" s="74"/>
      <c r="J1111" s="74"/>
      <c r="M1111" s="185"/>
      <c r="N1111" s="185"/>
      <c r="O1111" s="185"/>
      <c r="P1111" s="185"/>
      <c r="Q1111" s="185"/>
      <c r="R1111" s="185"/>
    </row>
    <row r="1112" spans="1:18" s="197" customFormat="1" ht="12.75" x14ac:dyDescent="0.2">
      <c r="A1112" s="181"/>
      <c r="B1112" s="188" t="s">
        <v>2663</v>
      </c>
      <c r="C1112" s="189" t="s">
        <v>134</v>
      </c>
      <c r="D1112" s="189" t="s">
        <v>152</v>
      </c>
      <c r="E1112" s="190" t="s">
        <v>2664</v>
      </c>
      <c r="F1112" s="191">
        <f t="shared" si="19"/>
        <v>268.55</v>
      </c>
      <c r="G1112" s="185"/>
      <c r="H1112" s="181"/>
      <c r="I1112" s="74"/>
      <c r="J1112" s="74"/>
      <c r="M1112" s="185"/>
      <c r="N1112" s="185"/>
      <c r="O1112" s="185"/>
      <c r="P1112" s="185"/>
      <c r="Q1112" s="185"/>
      <c r="R1112" s="185"/>
    </row>
    <row r="1113" spans="1:18" s="197" customFormat="1" ht="12.75" x14ac:dyDescent="0.2">
      <c r="A1113" s="181"/>
      <c r="B1113" s="188" t="s">
        <v>2665</v>
      </c>
      <c r="C1113" s="189" t="s">
        <v>135</v>
      </c>
      <c r="D1113" s="189" t="s">
        <v>123</v>
      </c>
      <c r="E1113" s="190" t="s">
        <v>2666</v>
      </c>
      <c r="F1113" s="191">
        <f t="shared" si="19"/>
        <v>313.53333333333336</v>
      </c>
      <c r="G1113" s="185"/>
      <c r="H1113" s="181"/>
      <c r="I1113" s="74"/>
      <c r="J1113" s="74"/>
      <c r="M1113" s="185"/>
      <c r="N1113" s="185"/>
      <c r="O1113" s="185"/>
      <c r="P1113" s="185"/>
      <c r="Q1113" s="185"/>
      <c r="R1113" s="185"/>
    </row>
    <row r="1114" spans="1:18" s="197" customFormat="1" ht="12.75" x14ac:dyDescent="0.2">
      <c r="A1114" s="181"/>
      <c r="B1114" s="188" t="s">
        <v>2667</v>
      </c>
      <c r="C1114" s="189" t="s">
        <v>128</v>
      </c>
      <c r="D1114" s="189" t="s">
        <v>148</v>
      </c>
      <c r="E1114" s="190" t="s">
        <v>2668</v>
      </c>
      <c r="F1114" s="191">
        <f t="shared" si="19"/>
        <v>296.66666666666669</v>
      </c>
      <c r="G1114" s="185"/>
      <c r="H1114" s="181"/>
      <c r="I1114" s="74"/>
      <c r="J1114" s="74"/>
      <c r="M1114" s="185"/>
      <c r="N1114" s="185"/>
      <c r="O1114" s="185"/>
      <c r="P1114" s="185"/>
      <c r="Q1114" s="185"/>
      <c r="R1114" s="185"/>
    </row>
    <row r="1115" spans="1:18" s="197" customFormat="1" ht="12.75" x14ac:dyDescent="0.2">
      <c r="A1115" s="181"/>
      <c r="B1115" s="188" t="s">
        <v>2669</v>
      </c>
      <c r="C1115" s="189" t="s">
        <v>136</v>
      </c>
      <c r="D1115" s="189" t="s">
        <v>131</v>
      </c>
      <c r="E1115" s="190" t="s">
        <v>2670</v>
      </c>
      <c r="F1115" s="191">
        <f t="shared" si="19"/>
        <v>207.26666666666668</v>
      </c>
      <c r="G1115" s="185"/>
      <c r="H1115" s="181"/>
      <c r="I1115" s="74"/>
      <c r="J1115" s="74"/>
      <c r="M1115" s="185"/>
      <c r="N1115" s="185"/>
      <c r="O1115" s="185"/>
      <c r="P1115" s="185"/>
      <c r="Q1115" s="185"/>
      <c r="R1115" s="185"/>
    </row>
    <row r="1116" spans="1:18" s="197" customFormat="1" ht="12.75" x14ac:dyDescent="0.2">
      <c r="A1116" s="181"/>
      <c r="B1116" s="188" t="s">
        <v>556</v>
      </c>
      <c r="C1116" s="189" t="s">
        <v>126</v>
      </c>
      <c r="D1116" s="189" t="s">
        <v>123</v>
      </c>
      <c r="E1116" s="190" t="s">
        <v>2671</v>
      </c>
      <c r="F1116" s="191">
        <f t="shared" si="19"/>
        <v>301.89999999999998</v>
      </c>
      <c r="G1116" s="185"/>
      <c r="H1116" s="181"/>
      <c r="I1116" s="74"/>
      <c r="J1116" s="74"/>
      <c r="M1116" s="185"/>
      <c r="N1116" s="185"/>
      <c r="O1116" s="185"/>
      <c r="P1116" s="185"/>
      <c r="Q1116" s="185"/>
      <c r="R1116" s="185"/>
    </row>
    <row r="1117" spans="1:18" s="197" customFormat="1" ht="12.75" x14ac:dyDescent="0.2">
      <c r="A1117" s="181"/>
      <c r="B1117" s="188" t="s">
        <v>353</v>
      </c>
      <c r="C1117" s="189" t="s">
        <v>125</v>
      </c>
      <c r="D1117" s="189" t="s">
        <v>123</v>
      </c>
      <c r="E1117" s="190" t="s">
        <v>2672</v>
      </c>
      <c r="F1117" s="191">
        <f t="shared" si="19"/>
        <v>234.23333333333332</v>
      </c>
      <c r="G1117" s="185"/>
      <c r="H1117" s="181"/>
      <c r="I1117" s="74"/>
      <c r="J1117" s="74"/>
      <c r="M1117" s="185"/>
      <c r="N1117" s="185"/>
      <c r="O1117" s="185"/>
      <c r="P1117" s="185"/>
      <c r="Q1117" s="185"/>
      <c r="R1117" s="185"/>
    </row>
    <row r="1118" spans="1:18" s="197" customFormat="1" ht="12.75" x14ac:dyDescent="0.2">
      <c r="A1118" s="181"/>
      <c r="B1118" s="188" t="s">
        <v>2673</v>
      </c>
      <c r="C1118" s="189" t="s">
        <v>142</v>
      </c>
      <c r="D1118" s="189" t="s">
        <v>139</v>
      </c>
      <c r="E1118" s="190" t="s">
        <v>2674</v>
      </c>
      <c r="F1118" s="191">
        <f t="shared" si="19"/>
        <v>273.91666666666669</v>
      </c>
      <c r="G1118" s="185"/>
      <c r="H1118" s="181"/>
      <c r="I1118" s="74"/>
      <c r="J1118" s="74"/>
      <c r="M1118" s="185"/>
      <c r="N1118" s="185"/>
      <c r="O1118" s="185"/>
      <c r="P1118" s="185"/>
      <c r="Q1118" s="185"/>
      <c r="R1118" s="185"/>
    </row>
    <row r="1119" spans="1:18" s="197" customFormat="1" ht="12.75" x14ac:dyDescent="0.2">
      <c r="A1119" s="181"/>
      <c r="B1119" s="188" t="s">
        <v>184</v>
      </c>
      <c r="C1119" s="189" t="s">
        <v>124</v>
      </c>
      <c r="D1119" s="189" t="s">
        <v>304</v>
      </c>
      <c r="E1119" s="190" t="s">
        <v>2675</v>
      </c>
      <c r="F1119" s="191">
        <f t="shared" si="19"/>
        <v>303.2</v>
      </c>
      <c r="G1119" s="185"/>
      <c r="H1119" s="181"/>
      <c r="I1119" s="74"/>
      <c r="J1119" s="74"/>
      <c r="M1119" s="185"/>
      <c r="N1119" s="185"/>
      <c r="O1119" s="185"/>
      <c r="P1119" s="185"/>
      <c r="Q1119" s="185"/>
      <c r="R1119" s="185"/>
    </row>
    <row r="1120" spans="1:18" s="197" customFormat="1" ht="12.75" x14ac:dyDescent="0.2">
      <c r="A1120" s="181"/>
      <c r="B1120" s="188" t="s">
        <v>2676</v>
      </c>
      <c r="C1120" s="189" t="s">
        <v>134</v>
      </c>
      <c r="D1120" s="189" t="s">
        <v>127</v>
      </c>
      <c r="E1120" s="190" t="s">
        <v>2677</v>
      </c>
      <c r="F1120" s="191">
        <f t="shared" si="19"/>
        <v>215.06666666666666</v>
      </c>
      <c r="G1120" s="185"/>
      <c r="H1120" s="181"/>
      <c r="I1120" s="74"/>
      <c r="J1120" s="74"/>
      <c r="M1120" s="185"/>
      <c r="N1120" s="185"/>
      <c r="O1120" s="185"/>
      <c r="P1120" s="185"/>
      <c r="Q1120" s="185"/>
      <c r="R1120" s="185"/>
    </row>
    <row r="1121" spans="1:18" s="197" customFormat="1" ht="12.75" x14ac:dyDescent="0.2">
      <c r="A1121" s="181"/>
      <c r="B1121" s="188" t="s">
        <v>2678</v>
      </c>
      <c r="C1121" s="189" t="s">
        <v>140</v>
      </c>
      <c r="D1121" s="189" t="s">
        <v>123</v>
      </c>
      <c r="E1121" s="190" t="s">
        <v>2679</v>
      </c>
      <c r="F1121" s="191">
        <f t="shared" si="19"/>
        <v>234.86666666666667</v>
      </c>
      <c r="G1121" s="185"/>
      <c r="H1121" s="181"/>
      <c r="I1121" s="74"/>
      <c r="J1121" s="74"/>
      <c r="M1121" s="185"/>
      <c r="N1121" s="185"/>
      <c r="O1121" s="185"/>
      <c r="P1121" s="185"/>
      <c r="Q1121" s="185"/>
      <c r="R1121" s="185"/>
    </row>
    <row r="1122" spans="1:18" s="197" customFormat="1" ht="12.75" x14ac:dyDescent="0.2">
      <c r="A1122" s="181"/>
      <c r="B1122" s="188" t="s">
        <v>2680</v>
      </c>
      <c r="C1122" s="189" t="s">
        <v>126</v>
      </c>
      <c r="D1122" s="189" t="s">
        <v>123</v>
      </c>
      <c r="E1122" s="190" t="s">
        <v>2681</v>
      </c>
      <c r="F1122" s="191">
        <f t="shared" si="19"/>
        <v>241.41666666666666</v>
      </c>
      <c r="G1122" s="185"/>
      <c r="H1122" s="181"/>
      <c r="I1122" s="74"/>
      <c r="J1122" s="74"/>
      <c r="M1122" s="185"/>
      <c r="N1122" s="185"/>
      <c r="O1122" s="185"/>
      <c r="P1122" s="185"/>
      <c r="Q1122" s="185"/>
      <c r="R1122" s="185"/>
    </row>
    <row r="1123" spans="1:18" s="197" customFormat="1" ht="12.75" x14ac:dyDescent="0.2">
      <c r="A1123" s="181"/>
      <c r="B1123" s="188" t="s">
        <v>622</v>
      </c>
      <c r="C1123" s="189" t="s">
        <v>136</v>
      </c>
      <c r="D1123" s="189" t="s">
        <v>123</v>
      </c>
      <c r="E1123" s="190" t="s">
        <v>2682</v>
      </c>
      <c r="F1123" s="191">
        <f t="shared" si="19"/>
        <v>261.86666666666667</v>
      </c>
      <c r="G1123" s="185"/>
      <c r="H1123" s="181"/>
      <c r="I1123" s="74"/>
      <c r="J1123" s="74"/>
      <c r="M1123" s="185"/>
      <c r="N1123" s="185"/>
      <c r="O1123" s="185"/>
      <c r="P1123" s="185"/>
      <c r="Q1123" s="185"/>
      <c r="R1123" s="185"/>
    </row>
    <row r="1124" spans="1:18" s="197" customFormat="1" ht="12.75" x14ac:dyDescent="0.2">
      <c r="A1124" s="181"/>
      <c r="B1124" s="188" t="s">
        <v>2683</v>
      </c>
      <c r="C1124" s="189" t="s">
        <v>128</v>
      </c>
      <c r="D1124" s="189" t="s">
        <v>123</v>
      </c>
      <c r="E1124" s="190" t="s">
        <v>2684</v>
      </c>
      <c r="F1124" s="191">
        <f t="shared" si="19"/>
        <v>158.6</v>
      </c>
      <c r="G1124" s="185"/>
      <c r="H1124" s="181"/>
      <c r="I1124" s="74"/>
      <c r="J1124" s="74"/>
      <c r="M1124" s="185"/>
      <c r="N1124" s="185"/>
      <c r="O1124" s="185"/>
      <c r="P1124" s="185"/>
      <c r="Q1124" s="185"/>
      <c r="R1124" s="185"/>
    </row>
    <row r="1125" spans="1:18" s="197" customFormat="1" ht="12.75" x14ac:dyDescent="0.2">
      <c r="A1125" s="181"/>
      <c r="B1125" s="188" t="s">
        <v>2685</v>
      </c>
      <c r="C1125" s="189" t="s">
        <v>130</v>
      </c>
      <c r="D1125" s="189" t="s">
        <v>127</v>
      </c>
      <c r="E1125" s="190" t="s">
        <v>2686</v>
      </c>
      <c r="F1125" s="191">
        <f t="shared" si="19"/>
        <v>256.31666666666666</v>
      </c>
      <c r="G1125" s="185"/>
      <c r="H1125" s="181"/>
      <c r="I1125" s="74"/>
      <c r="J1125" s="74"/>
      <c r="M1125" s="185"/>
      <c r="N1125" s="185"/>
      <c r="O1125" s="185"/>
      <c r="P1125" s="185"/>
      <c r="Q1125" s="185"/>
      <c r="R1125" s="185"/>
    </row>
    <row r="1126" spans="1:18" s="197" customFormat="1" ht="12.75" x14ac:dyDescent="0.2">
      <c r="A1126" s="181"/>
      <c r="B1126" s="188" t="s">
        <v>2687</v>
      </c>
      <c r="C1126" s="189" t="s">
        <v>126</v>
      </c>
      <c r="D1126" s="189" t="s">
        <v>123</v>
      </c>
      <c r="E1126" s="190" t="s">
        <v>2688</v>
      </c>
      <c r="F1126" s="191">
        <f t="shared" si="19"/>
        <v>194.01666666666668</v>
      </c>
      <c r="G1126" s="185"/>
      <c r="H1126" s="181"/>
      <c r="I1126" s="74"/>
      <c r="J1126" s="74"/>
      <c r="M1126" s="185"/>
      <c r="N1126" s="185"/>
      <c r="O1126" s="185"/>
      <c r="P1126" s="185"/>
      <c r="Q1126" s="185"/>
      <c r="R1126" s="185"/>
    </row>
    <row r="1127" spans="1:18" s="197" customFormat="1" ht="12.75" x14ac:dyDescent="0.2">
      <c r="A1127" s="181"/>
      <c r="B1127" s="188" t="s">
        <v>2689</v>
      </c>
      <c r="C1127" s="189" t="s">
        <v>125</v>
      </c>
      <c r="D1127" s="189" t="s">
        <v>223</v>
      </c>
      <c r="E1127" s="190" t="s">
        <v>2690</v>
      </c>
      <c r="F1127" s="191">
        <f t="shared" si="19"/>
        <v>302.64999999999998</v>
      </c>
      <c r="G1127" s="185"/>
      <c r="H1127" s="181"/>
      <c r="I1127" s="74"/>
      <c r="J1127" s="74"/>
      <c r="M1127" s="185"/>
      <c r="N1127" s="185"/>
      <c r="O1127" s="185"/>
      <c r="P1127" s="185"/>
      <c r="Q1127" s="185"/>
      <c r="R1127" s="185"/>
    </row>
    <row r="1128" spans="1:18" s="197" customFormat="1" ht="12.75" x14ac:dyDescent="0.2">
      <c r="A1128" s="181"/>
      <c r="B1128" s="188" t="s">
        <v>2014</v>
      </c>
      <c r="C1128" s="189" t="s">
        <v>135</v>
      </c>
      <c r="D1128" s="189" t="s">
        <v>160</v>
      </c>
      <c r="E1128" s="190" t="s">
        <v>2015</v>
      </c>
      <c r="F1128" s="191">
        <f t="shared" si="19"/>
        <v>202.98333333333332</v>
      </c>
      <c r="G1128" s="185"/>
      <c r="H1128" s="181"/>
      <c r="I1128" s="74"/>
      <c r="J1128" s="74"/>
      <c r="M1128" s="185"/>
      <c r="N1128" s="185"/>
      <c r="O1128" s="185"/>
      <c r="P1128" s="185"/>
      <c r="Q1128" s="185"/>
      <c r="R1128" s="185"/>
    </row>
    <row r="1129" spans="1:18" s="197" customFormat="1" ht="12.75" x14ac:dyDescent="0.2">
      <c r="A1129" s="181"/>
      <c r="B1129" s="188" t="s">
        <v>2691</v>
      </c>
      <c r="C1129" s="189" t="s">
        <v>124</v>
      </c>
      <c r="D1129" s="189" t="s">
        <v>123</v>
      </c>
      <c r="E1129" s="190" t="s">
        <v>2692</v>
      </c>
      <c r="F1129" s="191">
        <f t="shared" si="19"/>
        <v>283.98333333333335</v>
      </c>
      <c r="G1129" s="185"/>
      <c r="H1129" s="181"/>
      <c r="I1129" s="74"/>
      <c r="J1129" s="74"/>
      <c r="M1129" s="185"/>
      <c r="N1129" s="185"/>
      <c r="O1129" s="185"/>
      <c r="P1129" s="185"/>
      <c r="Q1129" s="185"/>
      <c r="R1129" s="185"/>
    </row>
    <row r="1130" spans="1:18" s="197" customFormat="1" ht="12.75" x14ac:dyDescent="0.2">
      <c r="A1130" s="181"/>
      <c r="B1130" s="188" t="s">
        <v>2693</v>
      </c>
      <c r="C1130" s="189" t="s">
        <v>126</v>
      </c>
      <c r="D1130" s="189" t="s">
        <v>131</v>
      </c>
      <c r="E1130" s="190" t="s">
        <v>1016</v>
      </c>
      <c r="F1130" s="191">
        <f t="shared" si="19"/>
        <v>268.36666666666667</v>
      </c>
      <c r="G1130" s="185"/>
      <c r="H1130" s="181"/>
      <c r="I1130" s="74"/>
      <c r="J1130" s="74"/>
      <c r="M1130" s="185"/>
      <c r="N1130" s="185"/>
      <c r="O1130" s="185"/>
      <c r="P1130" s="185"/>
      <c r="Q1130" s="185"/>
      <c r="R1130" s="185"/>
    </row>
    <row r="1131" spans="1:18" s="197" customFormat="1" ht="12.75" x14ac:dyDescent="0.2">
      <c r="A1131" s="181"/>
      <c r="B1131" s="188" t="s">
        <v>508</v>
      </c>
      <c r="C1131" s="189" t="s">
        <v>126</v>
      </c>
      <c r="D1131" s="189" t="s">
        <v>129</v>
      </c>
      <c r="E1131" s="190" t="s">
        <v>2694</v>
      </c>
      <c r="F1131" s="191">
        <f t="shared" si="19"/>
        <v>318.63333333333333</v>
      </c>
      <c r="G1131" s="185"/>
      <c r="H1131" s="181"/>
      <c r="I1131" s="74"/>
      <c r="J1131" s="74"/>
      <c r="M1131" s="185"/>
      <c r="N1131" s="185"/>
      <c r="O1131" s="185"/>
      <c r="P1131" s="185"/>
      <c r="Q1131" s="185"/>
      <c r="R1131" s="185"/>
    </row>
    <row r="1132" spans="1:18" s="197" customFormat="1" ht="12.75" x14ac:dyDescent="0.2">
      <c r="A1132" s="181"/>
      <c r="B1132" s="188" t="s">
        <v>2598</v>
      </c>
      <c r="C1132" s="189" t="s">
        <v>142</v>
      </c>
      <c r="D1132" s="189" t="s">
        <v>123</v>
      </c>
      <c r="E1132" s="190" t="s">
        <v>2599</v>
      </c>
      <c r="F1132" s="191">
        <f t="shared" si="19"/>
        <v>232.1</v>
      </c>
      <c r="G1132" s="185"/>
      <c r="H1132" s="181"/>
      <c r="I1132" s="74"/>
      <c r="J1132" s="74"/>
      <c r="M1132" s="185"/>
      <c r="N1132" s="185"/>
      <c r="O1132" s="185"/>
      <c r="P1132" s="185"/>
      <c r="Q1132" s="185"/>
      <c r="R1132" s="185"/>
    </row>
    <row r="1133" spans="1:18" s="197" customFormat="1" ht="12.75" x14ac:dyDescent="0.2">
      <c r="A1133" s="181"/>
      <c r="B1133" s="188" t="s">
        <v>2695</v>
      </c>
      <c r="C1133" s="189" t="s">
        <v>126</v>
      </c>
      <c r="D1133" s="189" t="s">
        <v>452</v>
      </c>
      <c r="E1133" s="190" t="s">
        <v>2696</v>
      </c>
      <c r="F1133" s="191">
        <f t="shared" si="19"/>
        <v>263.51666666666665</v>
      </c>
      <c r="G1133" s="185"/>
      <c r="H1133" s="181"/>
      <c r="I1133" s="74"/>
      <c r="J1133" s="74"/>
      <c r="M1133" s="185"/>
      <c r="N1133" s="185"/>
      <c r="O1133" s="185"/>
      <c r="P1133" s="185"/>
      <c r="Q1133" s="185"/>
      <c r="R1133" s="185"/>
    </row>
    <row r="1134" spans="1:18" s="197" customFormat="1" ht="12.75" x14ac:dyDescent="0.2">
      <c r="A1134" s="181"/>
      <c r="B1134" s="188" t="s">
        <v>2697</v>
      </c>
      <c r="C1134" s="189" t="s">
        <v>130</v>
      </c>
      <c r="D1134" s="189" t="s">
        <v>123</v>
      </c>
      <c r="E1134" s="190" t="s">
        <v>2698</v>
      </c>
      <c r="F1134" s="191">
        <f t="shared" si="19"/>
        <v>279.86666666666667</v>
      </c>
      <c r="G1134" s="185"/>
      <c r="H1134" s="181"/>
      <c r="I1134" s="74"/>
      <c r="J1134" s="74"/>
      <c r="M1134" s="185"/>
      <c r="N1134" s="185"/>
      <c r="O1134" s="185"/>
      <c r="P1134" s="185"/>
      <c r="Q1134" s="185"/>
      <c r="R1134" s="185"/>
    </row>
    <row r="1135" spans="1:18" s="197" customFormat="1" ht="12.75" x14ac:dyDescent="0.2">
      <c r="A1135" s="181"/>
      <c r="B1135" s="188" t="s">
        <v>2699</v>
      </c>
      <c r="C1135" s="189" t="s">
        <v>134</v>
      </c>
      <c r="D1135" s="189" t="s">
        <v>123</v>
      </c>
      <c r="E1135" s="190" t="s">
        <v>2700</v>
      </c>
      <c r="F1135" s="191">
        <f t="shared" si="19"/>
        <v>220.66666666666666</v>
      </c>
      <c r="G1135" s="185"/>
      <c r="H1135" s="181"/>
      <c r="I1135" s="74"/>
      <c r="J1135" s="74"/>
      <c r="M1135" s="185"/>
      <c r="N1135" s="185"/>
      <c r="O1135" s="185"/>
      <c r="P1135" s="185"/>
      <c r="Q1135" s="185"/>
      <c r="R1135" s="185"/>
    </row>
    <row r="1136" spans="1:18" s="197" customFormat="1" ht="12.75" x14ac:dyDescent="0.2">
      <c r="A1136" s="181"/>
      <c r="B1136" s="188" t="s">
        <v>2701</v>
      </c>
      <c r="C1136" s="189" t="s">
        <v>142</v>
      </c>
      <c r="D1136" s="189" t="s">
        <v>155</v>
      </c>
      <c r="E1136" s="190" t="s">
        <v>2702</v>
      </c>
      <c r="F1136" s="191">
        <f t="shared" si="19"/>
        <v>236.15</v>
      </c>
      <c r="G1136" s="185"/>
      <c r="H1136" s="181"/>
      <c r="I1136" s="74"/>
      <c r="J1136" s="74"/>
      <c r="M1136" s="185"/>
      <c r="N1136" s="185"/>
      <c r="O1136" s="185"/>
      <c r="P1136" s="185"/>
      <c r="Q1136" s="185"/>
      <c r="R1136" s="185"/>
    </row>
    <row r="1137" spans="1:18" s="197" customFormat="1" ht="12.75" x14ac:dyDescent="0.2">
      <c r="A1137" s="181"/>
      <c r="B1137" s="188" t="s">
        <v>2703</v>
      </c>
      <c r="C1137" s="189" t="s">
        <v>142</v>
      </c>
      <c r="D1137" s="189" t="s">
        <v>132</v>
      </c>
      <c r="E1137" s="190" t="s">
        <v>2704</v>
      </c>
      <c r="F1137" s="191">
        <f t="shared" si="19"/>
        <v>257.26666666666665</v>
      </c>
      <c r="G1137" s="185"/>
      <c r="H1137" s="181"/>
      <c r="I1137" s="74"/>
      <c r="J1137" s="74"/>
      <c r="M1137" s="185"/>
      <c r="N1137" s="185"/>
      <c r="O1137" s="185"/>
      <c r="P1137" s="185"/>
      <c r="Q1137" s="185"/>
      <c r="R1137" s="185"/>
    </row>
    <row r="1138" spans="1:18" s="197" customFormat="1" ht="12.75" x14ac:dyDescent="0.2">
      <c r="A1138" s="181"/>
      <c r="B1138" s="188" t="s">
        <v>2705</v>
      </c>
      <c r="C1138" s="189" t="s">
        <v>128</v>
      </c>
      <c r="D1138" s="189" t="s">
        <v>123</v>
      </c>
      <c r="E1138" s="190" t="s">
        <v>1828</v>
      </c>
      <c r="F1138" s="191">
        <f t="shared" si="19"/>
        <v>225.3</v>
      </c>
      <c r="G1138" s="185"/>
      <c r="H1138" s="181"/>
      <c r="I1138" s="74"/>
      <c r="J1138" s="74"/>
      <c r="M1138" s="185"/>
      <c r="N1138" s="185"/>
      <c r="O1138" s="185"/>
      <c r="P1138" s="185"/>
      <c r="Q1138" s="185"/>
      <c r="R1138" s="185"/>
    </row>
    <row r="1139" spans="1:18" s="197" customFormat="1" ht="12.75" x14ac:dyDescent="0.2">
      <c r="A1139" s="181"/>
      <c r="B1139" s="188" t="s">
        <v>2706</v>
      </c>
      <c r="C1139" s="189" t="s">
        <v>125</v>
      </c>
      <c r="D1139" s="189" t="s">
        <v>123</v>
      </c>
      <c r="E1139" s="190" t="s">
        <v>2707</v>
      </c>
      <c r="F1139" s="191">
        <f t="shared" si="19"/>
        <v>203.3</v>
      </c>
      <c r="G1139" s="185"/>
      <c r="H1139" s="181"/>
      <c r="I1139" s="74"/>
      <c r="J1139" s="74"/>
      <c r="M1139" s="185"/>
      <c r="N1139" s="185"/>
      <c r="O1139" s="185"/>
      <c r="P1139" s="185"/>
      <c r="Q1139" s="185"/>
      <c r="R1139" s="185"/>
    </row>
    <row r="1140" spans="1:18" s="197" customFormat="1" ht="12.75" x14ac:dyDescent="0.2">
      <c r="A1140" s="181"/>
      <c r="B1140" s="188" t="s">
        <v>2708</v>
      </c>
      <c r="C1140" s="189" t="s">
        <v>128</v>
      </c>
      <c r="D1140" s="189" t="s">
        <v>123</v>
      </c>
      <c r="E1140" s="190" t="s">
        <v>1034</v>
      </c>
      <c r="F1140" s="191">
        <f t="shared" si="19"/>
        <v>217.73333333333332</v>
      </c>
      <c r="G1140" s="185"/>
      <c r="H1140" s="181"/>
      <c r="I1140" s="74"/>
      <c r="J1140" s="74"/>
      <c r="M1140" s="185"/>
      <c r="N1140" s="185"/>
      <c r="O1140" s="185"/>
      <c r="P1140" s="185"/>
      <c r="Q1140" s="185"/>
      <c r="R1140" s="185"/>
    </row>
    <row r="1141" spans="1:18" s="197" customFormat="1" ht="12.75" x14ac:dyDescent="0.2">
      <c r="A1141" s="181"/>
      <c r="B1141" s="188" t="s">
        <v>2709</v>
      </c>
      <c r="C1141" s="189" t="s">
        <v>135</v>
      </c>
      <c r="D1141" s="189" t="s">
        <v>123</v>
      </c>
      <c r="E1141" s="190" t="s">
        <v>2710</v>
      </c>
      <c r="F1141" s="191">
        <f t="shared" si="19"/>
        <v>258.39999999999998</v>
      </c>
      <c r="G1141" s="185"/>
      <c r="H1141" s="181"/>
      <c r="I1141" s="74"/>
      <c r="J1141" s="74"/>
      <c r="M1141" s="185"/>
      <c r="N1141" s="185"/>
      <c r="O1141" s="185"/>
      <c r="P1141" s="185"/>
      <c r="Q1141" s="185"/>
      <c r="R1141" s="185"/>
    </row>
    <row r="1142" spans="1:18" s="197" customFormat="1" ht="12.75" x14ac:dyDescent="0.2">
      <c r="A1142" s="181"/>
      <c r="B1142" s="188" t="s">
        <v>2711</v>
      </c>
      <c r="C1142" s="189" t="s">
        <v>142</v>
      </c>
      <c r="D1142" s="189" t="s">
        <v>123</v>
      </c>
      <c r="E1142" s="190" t="s">
        <v>2712</v>
      </c>
      <c r="F1142" s="191">
        <f t="shared" si="19"/>
        <v>279</v>
      </c>
      <c r="G1142" s="185"/>
      <c r="H1142" s="181"/>
      <c r="I1142" s="74"/>
      <c r="J1142" s="74"/>
      <c r="M1142" s="185"/>
      <c r="N1142" s="185"/>
      <c r="O1142" s="185"/>
      <c r="P1142" s="185"/>
      <c r="Q1142" s="185"/>
      <c r="R1142" s="185"/>
    </row>
    <row r="1143" spans="1:18" s="197" customFormat="1" ht="12.75" x14ac:dyDescent="0.2">
      <c r="A1143" s="181"/>
      <c r="B1143" s="188" t="s">
        <v>2713</v>
      </c>
      <c r="C1143" s="189" t="s">
        <v>124</v>
      </c>
      <c r="D1143" s="189" t="s">
        <v>123</v>
      </c>
      <c r="E1143" s="190" t="s">
        <v>2005</v>
      </c>
      <c r="F1143" s="191">
        <f t="shared" si="19"/>
        <v>236.95</v>
      </c>
      <c r="G1143" s="185"/>
      <c r="H1143" s="181"/>
      <c r="I1143" s="74"/>
      <c r="J1143" s="74"/>
      <c r="M1143" s="185"/>
      <c r="N1143" s="185"/>
      <c r="O1143" s="185"/>
      <c r="P1143" s="185"/>
      <c r="Q1143" s="185"/>
      <c r="R1143" s="185"/>
    </row>
    <row r="1144" spans="1:18" s="197" customFormat="1" ht="12.75" x14ac:dyDescent="0.2">
      <c r="A1144" s="181"/>
      <c r="B1144" s="188" t="s">
        <v>2714</v>
      </c>
      <c r="C1144" s="189" t="s">
        <v>134</v>
      </c>
      <c r="D1144" s="189" t="s">
        <v>123</v>
      </c>
      <c r="E1144" s="190" t="s">
        <v>2715</v>
      </c>
      <c r="F1144" s="191">
        <f t="shared" si="19"/>
        <v>177.61666666666667</v>
      </c>
      <c r="G1144" s="185"/>
      <c r="H1144" s="181"/>
      <c r="I1144" s="74"/>
      <c r="J1144" s="74"/>
      <c r="M1144" s="185"/>
      <c r="N1144" s="185"/>
      <c r="O1144" s="185"/>
      <c r="P1144" s="185"/>
      <c r="Q1144" s="185"/>
      <c r="R1144" s="185"/>
    </row>
    <row r="1145" spans="1:18" s="197" customFormat="1" ht="12.75" x14ac:dyDescent="0.2">
      <c r="A1145" s="181"/>
      <c r="B1145" s="188" t="s">
        <v>158</v>
      </c>
      <c r="C1145" s="189" t="s">
        <v>130</v>
      </c>
      <c r="D1145" s="189" t="s">
        <v>149</v>
      </c>
      <c r="E1145" s="190" t="s">
        <v>2716</v>
      </c>
      <c r="F1145" s="191">
        <f t="shared" si="19"/>
        <v>180.66666666666666</v>
      </c>
      <c r="G1145" s="185"/>
      <c r="H1145" s="181"/>
      <c r="I1145" s="74"/>
      <c r="J1145" s="74"/>
      <c r="M1145" s="185"/>
      <c r="N1145" s="185"/>
      <c r="O1145" s="185"/>
      <c r="P1145" s="185"/>
      <c r="Q1145" s="185"/>
      <c r="R1145" s="185"/>
    </row>
    <row r="1146" spans="1:18" s="197" customFormat="1" ht="12.75" x14ac:dyDescent="0.2">
      <c r="A1146" s="181"/>
      <c r="B1146" s="188" t="s">
        <v>2717</v>
      </c>
      <c r="C1146" s="189" t="s">
        <v>124</v>
      </c>
      <c r="D1146" s="189" t="s">
        <v>123</v>
      </c>
      <c r="E1146" s="190" t="s">
        <v>2718</v>
      </c>
      <c r="F1146" s="191">
        <f t="shared" si="19"/>
        <v>215.3</v>
      </c>
      <c r="G1146" s="185"/>
      <c r="H1146" s="181"/>
      <c r="I1146" s="74"/>
      <c r="J1146" s="74"/>
      <c r="M1146" s="185"/>
      <c r="N1146" s="185"/>
      <c r="O1146" s="185"/>
      <c r="P1146" s="185"/>
      <c r="Q1146" s="185"/>
      <c r="R1146" s="185"/>
    </row>
    <row r="1147" spans="1:18" s="197" customFormat="1" ht="12.75" x14ac:dyDescent="0.2">
      <c r="A1147" s="181"/>
      <c r="B1147" s="188" t="s">
        <v>2719</v>
      </c>
      <c r="C1147" s="189" t="s">
        <v>130</v>
      </c>
      <c r="D1147" s="189" t="s">
        <v>148</v>
      </c>
      <c r="E1147" s="190" t="s">
        <v>2720</v>
      </c>
      <c r="F1147" s="191">
        <f t="shared" si="19"/>
        <v>252.4</v>
      </c>
      <c r="G1147" s="185"/>
      <c r="H1147" s="181"/>
      <c r="I1147" s="74"/>
      <c r="J1147" s="74"/>
      <c r="M1147" s="185"/>
      <c r="N1147" s="185"/>
      <c r="O1147" s="185"/>
      <c r="P1147" s="185"/>
      <c r="Q1147" s="185"/>
      <c r="R1147" s="185"/>
    </row>
    <row r="1148" spans="1:18" s="197" customFormat="1" ht="12.75" x14ac:dyDescent="0.2">
      <c r="A1148" s="181"/>
      <c r="B1148" s="188" t="s">
        <v>2721</v>
      </c>
      <c r="C1148" s="189" t="s">
        <v>140</v>
      </c>
      <c r="D1148" s="189" t="s">
        <v>123</v>
      </c>
      <c r="E1148" s="190" t="s">
        <v>2722</v>
      </c>
      <c r="F1148" s="191">
        <f t="shared" si="19"/>
        <v>309.64999999999998</v>
      </c>
      <c r="G1148" s="185"/>
      <c r="H1148" s="181"/>
      <c r="I1148" s="74"/>
      <c r="J1148" s="74"/>
      <c r="M1148" s="185"/>
      <c r="N1148" s="185"/>
      <c r="O1148" s="185"/>
      <c r="P1148" s="185"/>
      <c r="Q1148" s="185"/>
      <c r="R1148" s="185"/>
    </row>
    <row r="1149" spans="1:18" s="197" customFormat="1" ht="12.75" x14ac:dyDescent="0.2">
      <c r="A1149" s="181"/>
      <c r="B1149" s="188" t="s">
        <v>2723</v>
      </c>
      <c r="C1149" s="189" t="s">
        <v>124</v>
      </c>
      <c r="D1149" s="189" t="s">
        <v>123</v>
      </c>
      <c r="E1149" s="190" t="s">
        <v>2724</v>
      </c>
      <c r="F1149" s="191">
        <f t="shared" si="19"/>
        <v>197.53333333333333</v>
      </c>
      <c r="G1149" s="185"/>
      <c r="H1149" s="181"/>
      <c r="I1149" s="74"/>
      <c r="J1149" s="74"/>
      <c r="M1149" s="185"/>
      <c r="N1149" s="185"/>
      <c r="O1149" s="185"/>
      <c r="P1149" s="185"/>
      <c r="Q1149" s="185"/>
      <c r="R1149" s="185"/>
    </row>
    <row r="1150" spans="1:18" s="197" customFormat="1" ht="12.75" x14ac:dyDescent="0.2">
      <c r="A1150" s="181"/>
      <c r="B1150" s="188" t="s">
        <v>2725</v>
      </c>
      <c r="C1150" s="189" t="s">
        <v>124</v>
      </c>
      <c r="D1150" s="189" t="s">
        <v>154</v>
      </c>
      <c r="E1150" s="190" t="s">
        <v>2726</v>
      </c>
      <c r="F1150" s="191">
        <f t="shared" si="19"/>
        <v>249.78333333333333</v>
      </c>
      <c r="G1150" s="185"/>
      <c r="H1150" s="181"/>
      <c r="I1150" s="74"/>
      <c r="J1150" s="74"/>
      <c r="M1150" s="185"/>
      <c r="N1150" s="185"/>
      <c r="O1150" s="185"/>
      <c r="P1150" s="185"/>
      <c r="Q1150" s="185"/>
      <c r="R1150" s="185"/>
    </row>
    <row r="1151" spans="1:18" s="197" customFormat="1" ht="12.75" x14ac:dyDescent="0.2">
      <c r="A1151" s="181"/>
      <c r="B1151" s="188" t="s">
        <v>2727</v>
      </c>
      <c r="C1151" s="189" t="s">
        <v>142</v>
      </c>
      <c r="D1151" s="189" t="s">
        <v>123</v>
      </c>
      <c r="E1151" s="190" t="s">
        <v>2728</v>
      </c>
      <c r="F1151" s="191">
        <f t="shared" si="19"/>
        <v>194.75</v>
      </c>
      <c r="G1151" s="185"/>
      <c r="H1151" s="181"/>
      <c r="I1151" s="74"/>
      <c r="J1151" s="74"/>
      <c r="M1151" s="185"/>
      <c r="N1151" s="185"/>
      <c r="O1151" s="185"/>
      <c r="P1151" s="185"/>
      <c r="Q1151" s="185"/>
      <c r="R1151" s="185"/>
    </row>
    <row r="1152" spans="1:18" s="197" customFormat="1" ht="12.75" x14ac:dyDescent="0.2">
      <c r="A1152" s="181"/>
      <c r="B1152" s="188" t="s">
        <v>327</v>
      </c>
      <c r="C1152" s="189" t="s">
        <v>142</v>
      </c>
      <c r="D1152" s="189" t="s">
        <v>152</v>
      </c>
      <c r="E1152" s="190" t="s">
        <v>2729</v>
      </c>
      <c r="F1152" s="191">
        <f t="shared" si="19"/>
        <v>246.5</v>
      </c>
      <c r="G1152" s="185"/>
      <c r="H1152" s="181"/>
      <c r="I1152" s="74"/>
      <c r="J1152" s="74"/>
      <c r="M1152" s="185"/>
      <c r="N1152" s="185"/>
      <c r="O1152" s="185"/>
      <c r="P1152" s="185"/>
      <c r="Q1152" s="185"/>
      <c r="R1152" s="185"/>
    </row>
    <row r="1153" spans="1:18" s="197" customFormat="1" ht="12.75" x14ac:dyDescent="0.2">
      <c r="A1153" s="181"/>
      <c r="B1153" s="188" t="s">
        <v>2730</v>
      </c>
      <c r="C1153" s="189" t="s">
        <v>134</v>
      </c>
      <c r="D1153" s="189" t="s">
        <v>123</v>
      </c>
      <c r="E1153" s="190" t="s">
        <v>2731</v>
      </c>
      <c r="F1153" s="191">
        <f t="shared" si="19"/>
        <v>227.36666666666667</v>
      </c>
      <c r="G1153" s="185"/>
      <c r="H1153" s="181"/>
      <c r="I1153" s="74"/>
      <c r="J1153" s="74"/>
      <c r="M1153" s="185"/>
      <c r="N1153" s="185"/>
      <c r="O1153" s="185"/>
      <c r="P1153" s="185"/>
      <c r="Q1153" s="185"/>
      <c r="R1153" s="185"/>
    </row>
    <row r="1154" spans="1:18" s="197" customFormat="1" ht="12.75" x14ac:dyDescent="0.2">
      <c r="A1154" s="181"/>
      <c r="B1154" s="188" t="s">
        <v>2732</v>
      </c>
      <c r="C1154" s="189" t="s">
        <v>124</v>
      </c>
      <c r="D1154" s="189" t="s">
        <v>157</v>
      </c>
      <c r="E1154" s="190" t="s">
        <v>1191</v>
      </c>
      <c r="F1154" s="191">
        <f t="shared" si="19"/>
        <v>203.2</v>
      </c>
      <c r="G1154" s="185"/>
      <c r="H1154" s="181"/>
      <c r="I1154" s="74"/>
      <c r="J1154" s="74"/>
      <c r="M1154" s="185"/>
      <c r="N1154" s="185"/>
      <c r="O1154" s="185"/>
      <c r="P1154" s="185"/>
      <c r="Q1154" s="185"/>
      <c r="R1154" s="185"/>
    </row>
    <row r="1155" spans="1:18" s="197" customFormat="1" ht="12.75" x14ac:dyDescent="0.2">
      <c r="A1155" s="181"/>
      <c r="B1155" s="188" t="s">
        <v>2733</v>
      </c>
      <c r="C1155" s="189" t="s">
        <v>128</v>
      </c>
      <c r="D1155" s="189" t="s">
        <v>123</v>
      </c>
      <c r="E1155" s="190" t="s">
        <v>1609</v>
      </c>
      <c r="F1155" s="191">
        <f t="shared" si="19"/>
        <v>262.16666666666669</v>
      </c>
      <c r="G1155" s="185"/>
      <c r="H1155" s="181"/>
      <c r="I1155" s="74"/>
      <c r="J1155" s="74"/>
      <c r="M1155" s="185"/>
      <c r="N1155" s="185"/>
      <c r="O1155" s="185"/>
      <c r="P1155" s="185"/>
      <c r="Q1155" s="185"/>
      <c r="R1155" s="185"/>
    </row>
    <row r="1156" spans="1:18" s="197" customFormat="1" ht="12.75" x14ac:dyDescent="0.2">
      <c r="A1156" s="181"/>
      <c r="B1156" s="188" t="s">
        <v>2734</v>
      </c>
      <c r="C1156" s="189" t="s">
        <v>128</v>
      </c>
      <c r="D1156" s="189" t="s">
        <v>139</v>
      </c>
      <c r="E1156" s="190" t="s">
        <v>2735</v>
      </c>
      <c r="F1156" s="191">
        <f t="shared" si="19"/>
        <v>264.45</v>
      </c>
      <c r="G1156" s="185"/>
      <c r="H1156" s="181"/>
      <c r="I1156" s="74"/>
      <c r="J1156" s="74"/>
      <c r="M1156" s="185"/>
      <c r="N1156" s="185"/>
      <c r="O1156" s="185"/>
      <c r="P1156" s="185"/>
      <c r="Q1156" s="185"/>
      <c r="R1156" s="185"/>
    </row>
    <row r="1157" spans="1:18" s="197" customFormat="1" ht="12.75" x14ac:dyDescent="0.2">
      <c r="A1157" s="181"/>
      <c r="B1157" s="188" t="s">
        <v>598</v>
      </c>
      <c r="C1157" s="189" t="s">
        <v>142</v>
      </c>
      <c r="D1157" s="189" t="s">
        <v>148</v>
      </c>
      <c r="E1157" s="190" t="s">
        <v>2736</v>
      </c>
      <c r="F1157" s="191">
        <f t="shared" si="19"/>
        <v>251.45</v>
      </c>
      <c r="G1157" s="185"/>
      <c r="H1157" s="181"/>
      <c r="I1157" s="74"/>
      <c r="J1157" s="74"/>
      <c r="M1157" s="185"/>
      <c r="N1157" s="185"/>
      <c r="O1157" s="185"/>
      <c r="P1157" s="185"/>
      <c r="Q1157" s="185"/>
      <c r="R1157" s="185"/>
    </row>
    <row r="1158" spans="1:18" s="197" customFormat="1" ht="12.75" x14ac:dyDescent="0.2">
      <c r="A1158" s="181"/>
      <c r="B1158" s="188" t="s">
        <v>2617</v>
      </c>
      <c r="C1158" s="189" t="s">
        <v>125</v>
      </c>
      <c r="D1158" s="189" t="s">
        <v>123</v>
      </c>
      <c r="E1158" s="190" t="s">
        <v>2618</v>
      </c>
      <c r="F1158" s="191">
        <f t="shared" si="19"/>
        <v>221.81666666666666</v>
      </c>
      <c r="G1158" s="185"/>
      <c r="H1158" s="181"/>
      <c r="I1158" s="74"/>
      <c r="J1158" s="74"/>
      <c r="M1158" s="185"/>
      <c r="N1158" s="185"/>
      <c r="O1158" s="185"/>
      <c r="P1158" s="185"/>
      <c r="Q1158" s="185"/>
      <c r="R1158" s="185"/>
    </row>
    <row r="1159" spans="1:18" s="197" customFormat="1" ht="12.75" x14ac:dyDescent="0.2">
      <c r="A1159" s="181"/>
      <c r="B1159" s="188" t="s">
        <v>2737</v>
      </c>
      <c r="C1159" s="189" t="s">
        <v>134</v>
      </c>
      <c r="D1159" s="189" t="s">
        <v>141</v>
      </c>
      <c r="E1159" s="190" t="s">
        <v>1222</v>
      </c>
      <c r="F1159" s="191">
        <f t="shared" si="19"/>
        <v>239.13333333333333</v>
      </c>
      <c r="G1159" s="185"/>
      <c r="H1159" s="181"/>
      <c r="I1159" s="74"/>
      <c r="J1159" s="74"/>
      <c r="M1159" s="185"/>
      <c r="N1159" s="185"/>
      <c r="O1159" s="185"/>
      <c r="P1159" s="185"/>
      <c r="Q1159" s="185"/>
      <c r="R1159" s="185"/>
    </row>
    <row r="1160" spans="1:18" s="197" customFormat="1" ht="12.75" x14ac:dyDescent="0.2">
      <c r="A1160" s="181"/>
      <c r="B1160" s="188" t="s">
        <v>2738</v>
      </c>
      <c r="C1160" s="189" t="s">
        <v>126</v>
      </c>
      <c r="D1160" s="189" t="s">
        <v>154</v>
      </c>
      <c r="E1160" s="190" t="s">
        <v>2739</v>
      </c>
      <c r="F1160" s="191">
        <f t="shared" si="19"/>
        <v>255.56666666666666</v>
      </c>
      <c r="G1160" s="185"/>
      <c r="H1160" s="181"/>
      <c r="I1160" s="74"/>
      <c r="J1160" s="74"/>
      <c r="M1160" s="185"/>
      <c r="N1160" s="185"/>
      <c r="O1160" s="185"/>
      <c r="P1160" s="185"/>
      <c r="Q1160" s="185"/>
      <c r="R1160" s="185"/>
    </row>
    <row r="1161" spans="1:18" s="197" customFormat="1" ht="12.75" x14ac:dyDescent="0.2">
      <c r="A1161" s="181"/>
      <c r="B1161" s="188" t="s">
        <v>2740</v>
      </c>
      <c r="C1161" s="189" t="s">
        <v>128</v>
      </c>
      <c r="D1161" s="189" t="s">
        <v>123</v>
      </c>
      <c r="E1161" s="190" t="s">
        <v>2741</v>
      </c>
      <c r="F1161" s="191">
        <f t="shared" si="19"/>
        <v>299.23333333333335</v>
      </c>
      <c r="G1161" s="185"/>
      <c r="H1161" s="181"/>
      <c r="I1161" s="74"/>
      <c r="J1161" s="74"/>
      <c r="M1161" s="185"/>
      <c r="N1161" s="185"/>
      <c r="O1161" s="185"/>
      <c r="P1161" s="185"/>
      <c r="Q1161" s="185"/>
      <c r="R1161" s="185"/>
    </row>
    <row r="1162" spans="1:18" s="197" customFormat="1" ht="12.75" x14ac:dyDescent="0.2">
      <c r="A1162" s="181"/>
      <c r="B1162" s="188" t="s">
        <v>2742</v>
      </c>
      <c r="C1162" s="189" t="s">
        <v>130</v>
      </c>
      <c r="D1162" s="189" t="s">
        <v>123</v>
      </c>
      <c r="E1162" s="190" t="s">
        <v>747</v>
      </c>
      <c r="F1162" s="191">
        <f t="shared" si="19"/>
        <v>281.13333333333333</v>
      </c>
      <c r="G1162" s="185"/>
      <c r="H1162" s="181"/>
      <c r="I1162" s="74"/>
      <c r="J1162" s="74"/>
      <c r="M1162" s="185"/>
      <c r="N1162" s="185"/>
      <c r="O1162" s="185"/>
      <c r="P1162" s="185"/>
      <c r="Q1162" s="185"/>
      <c r="R1162" s="185"/>
    </row>
    <row r="1163" spans="1:18" s="197" customFormat="1" ht="12.75" x14ac:dyDescent="0.2">
      <c r="A1163" s="181"/>
      <c r="B1163" s="188" t="s">
        <v>2743</v>
      </c>
      <c r="C1163" s="189" t="s">
        <v>124</v>
      </c>
      <c r="D1163" s="189" t="s">
        <v>123</v>
      </c>
      <c r="E1163" s="190" t="s">
        <v>1653</v>
      </c>
      <c r="F1163" s="191">
        <f t="shared" ref="F1163:F1226" si="20">HOUR(E1163)*60+MINUTE(E1163)+SECOND(E1163)/60</f>
        <v>299.39999999999998</v>
      </c>
      <c r="G1163" s="185"/>
      <c r="H1163" s="181"/>
      <c r="I1163" s="74"/>
      <c r="J1163" s="74"/>
      <c r="M1163" s="185"/>
      <c r="N1163" s="185"/>
      <c r="O1163" s="185"/>
      <c r="P1163" s="185"/>
      <c r="Q1163" s="185"/>
      <c r="R1163" s="185"/>
    </row>
    <row r="1164" spans="1:18" s="197" customFormat="1" ht="12.75" x14ac:dyDescent="0.2">
      <c r="A1164" s="181"/>
      <c r="B1164" s="188" t="s">
        <v>2744</v>
      </c>
      <c r="C1164" s="189" t="s">
        <v>126</v>
      </c>
      <c r="D1164" s="189" t="s">
        <v>141</v>
      </c>
      <c r="E1164" s="190" t="s">
        <v>2745</v>
      </c>
      <c r="F1164" s="191">
        <f t="shared" si="20"/>
        <v>210.91666666666666</v>
      </c>
      <c r="G1164" s="185"/>
      <c r="H1164" s="181"/>
      <c r="I1164" s="74"/>
      <c r="J1164" s="74"/>
      <c r="M1164" s="185"/>
      <c r="N1164" s="185"/>
      <c r="O1164" s="185"/>
      <c r="P1164" s="185"/>
      <c r="Q1164" s="185"/>
      <c r="R1164" s="185"/>
    </row>
    <row r="1165" spans="1:18" s="197" customFormat="1" ht="12.75" x14ac:dyDescent="0.2">
      <c r="A1165" s="181"/>
      <c r="B1165" s="188" t="s">
        <v>2746</v>
      </c>
      <c r="C1165" s="189" t="s">
        <v>124</v>
      </c>
      <c r="D1165" s="189" t="s">
        <v>132</v>
      </c>
      <c r="E1165" s="190" t="s">
        <v>2747</v>
      </c>
      <c r="F1165" s="191">
        <f t="shared" si="20"/>
        <v>208.38333333333333</v>
      </c>
      <c r="G1165" s="185"/>
      <c r="H1165" s="181"/>
      <c r="I1165" s="74"/>
      <c r="J1165" s="74"/>
      <c r="M1165" s="185"/>
      <c r="N1165" s="185"/>
      <c r="O1165" s="185"/>
      <c r="P1165" s="185"/>
      <c r="Q1165" s="185"/>
      <c r="R1165" s="185"/>
    </row>
    <row r="1166" spans="1:18" s="197" customFormat="1" ht="12.75" x14ac:dyDescent="0.2">
      <c r="A1166" s="181"/>
      <c r="B1166" s="188" t="s">
        <v>2748</v>
      </c>
      <c r="C1166" s="189" t="s">
        <v>124</v>
      </c>
      <c r="D1166" s="189" t="s">
        <v>123</v>
      </c>
      <c r="E1166" s="190" t="s">
        <v>2749</v>
      </c>
      <c r="F1166" s="191">
        <f t="shared" si="20"/>
        <v>217.18333333333334</v>
      </c>
      <c r="G1166" s="185"/>
      <c r="H1166" s="181"/>
      <c r="I1166" s="74"/>
      <c r="J1166" s="74"/>
      <c r="M1166" s="185"/>
      <c r="N1166" s="185"/>
      <c r="O1166" s="185"/>
      <c r="P1166" s="185"/>
      <c r="Q1166" s="185"/>
      <c r="R1166" s="185"/>
    </row>
    <row r="1167" spans="1:18" s="197" customFormat="1" ht="12.75" x14ac:dyDescent="0.2">
      <c r="A1167" s="181"/>
      <c r="B1167" s="188" t="s">
        <v>2750</v>
      </c>
      <c r="C1167" s="189" t="s">
        <v>135</v>
      </c>
      <c r="D1167" s="189" t="s">
        <v>132</v>
      </c>
      <c r="E1167" s="190" t="s">
        <v>2751</v>
      </c>
      <c r="F1167" s="191">
        <f t="shared" si="20"/>
        <v>318.01666666666665</v>
      </c>
      <c r="G1167" s="185"/>
      <c r="H1167" s="181"/>
      <c r="I1167" s="74"/>
      <c r="J1167" s="74"/>
      <c r="M1167" s="185"/>
      <c r="N1167" s="185"/>
      <c r="O1167" s="185"/>
      <c r="P1167" s="185"/>
      <c r="Q1167" s="185"/>
      <c r="R1167" s="185"/>
    </row>
    <row r="1168" spans="1:18" s="197" customFormat="1" ht="12.75" x14ac:dyDescent="0.2">
      <c r="A1168" s="181"/>
      <c r="B1168" s="188" t="s">
        <v>2752</v>
      </c>
      <c r="C1168" s="189" t="s">
        <v>130</v>
      </c>
      <c r="D1168" s="189" t="s">
        <v>123</v>
      </c>
      <c r="E1168" s="190" t="s">
        <v>2753</v>
      </c>
      <c r="F1168" s="191">
        <f t="shared" si="20"/>
        <v>282.81666666666666</v>
      </c>
      <c r="G1168" s="185"/>
      <c r="H1168" s="181"/>
      <c r="I1168" s="74"/>
      <c r="J1168" s="74"/>
      <c r="M1168" s="185"/>
      <c r="N1168" s="185"/>
      <c r="O1168" s="185"/>
      <c r="P1168" s="185"/>
      <c r="Q1168" s="185"/>
      <c r="R1168" s="185"/>
    </row>
    <row r="1169" spans="1:18" s="197" customFormat="1" ht="12.75" x14ac:dyDescent="0.2">
      <c r="A1169" s="181"/>
      <c r="B1169" s="188" t="s">
        <v>2754</v>
      </c>
      <c r="C1169" s="189" t="s">
        <v>130</v>
      </c>
      <c r="D1169" s="189" t="s">
        <v>123</v>
      </c>
      <c r="E1169" s="190" t="s">
        <v>2755</v>
      </c>
      <c r="F1169" s="191">
        <f t="shared" si="20"/>
        <v>197.68333333333334</v>
      </c>
      <c r="G1169" s="185"/>
      <c r="H1169" s="181"/>
      <c r="I1169" s="74"/>
      <c r="J1169" s="74"/>
      <c r="M1169" s="185"/>
      <c r="N1169" s="185"/>
      <c r="O1169" s="185"/>
      <c r="P1169" s="185"/>
      <c r="Q1169" s="185"/>
      <c r="R1169" s="185"/>
    </row>
    <row r="1170" spans="1:18" s="197" customFormat="1" ht="12.75" x14ac:dyDescent="0.2">
      <c r="A1170" s="181"/>
      <c r="B1170" s="188" t="s">
        <v>2756</v>
      </c>
      <c r="C1170" s="189" t="s">
        <v>135</v>
      </c>
      <c r="D1170" s="189" t="s">
        <v>129</v>
      </c>
      <c r="E1170" s="190" t="s">
        <v>1453</v>
      </c>
      <c r="F1170" s="191">
        <f t="shared" si="20"/>
        <v>267.8</v>
      </c>
      <c r="G1170" s="185"/>
      <c r="H1170" s="181"/>
      <c r="I1170" s="74"/>
      <c r="J1170" s="74"/>
      <c r="M1170" s="185"/>
      <c r="N1170" s="185"/>
      <c r="O1170" s="185"/>
      <c r="P1170" s="185"/>
      <c r="Q1170" s="185"/>
      <c r="R1170" s="185"/>
    </row>
    <row r="1171" spans="1:18" s="197" customFormat="1" ht="12.75" x14ac:dyDescent="0.2">
      <c r="A1171" s="181"/>
      <c r="B1171" s="188" t="s">
        <v>2757</v>
      </c>
      <c r="C1171" s="189" t="s">
        <v>142</v>
      </c>
      <c r="D1171" s="189" t="s">
        <v>168</v>
      </c>
      <c r="E1171" s="190" t="s">
        <v>2758</v>
      </c>
      <c r="F1171" s="191">
        <f t="shared" si="20"/>
        <v>316.53333333333336</v>
      </c>
      <c r="G1171" s="185"/>
      <c r="H1171" s="181"/>
      <c r="I1171" s="74"/>
      <c r="J1171" s="74"/>
      <c r="M1171" s="185"/>
      <c r="N1171" s="185"/>
      <c r="O1171" s="185"/>
      <c r="P1171" s="185"/>
      <c r="Q1171" s="185"/>
      <c r="R1171" s="185"/>
    </row>
    <row r="1172" spans="1:18" s="197" customFormat="1" ht="12.75" x14ac:dyDescent="0.2">
      <c r="A1172" s="181"/>
      <c r="B1172" s="188" t="s">
        <v>2759</v>
      </c>
      <c r="C1172" s="189" t="s">
        <v>134</v>
      </c>
      <c r="D1172" s="189" t="s">
        <v>123</v>
      </c>
      <c r="E1172" s="190" t="s">
        <v>2760</v>
      </c>
      <c r="F1172" s="191">
        <f t="shared" si="20"/>
        <v>221.7</v>
      </c>
      <c r="G1172" s="185"/>
      <c r="H1172" s="181"/>
      <c r="I1172" s="74"/>
      <c r="J1172" s="74"/>
      <c r="M1172" s="185"/>
      <c r="N1172" s="185"/>
      <c r="O1172" s="185"/>
      <c r="P1172" s="185"/>
      <c r="Q1172" s="185"/>
      <c r="R1172" s="185"/>
    </row>
    <row r="1173" spans="1:18" s="197" customFormat="1" ht="12.75" x14ac:dyDescent="0.2">
      <c r="A1173" s="181"/>
      <c r="B1173" s="188" t="s">
        <v>388</v>
      </c>
      <c r="C1173" s="189" t="s">
        <v>126</v>
      </c>
      <c r="D1173" s="189" t="s">
        <v>144</v>
      </c>
      <c r="E1173" s="190" t="s">
        <v>2761</v>
      </c>
      <c r="F1173" s="191">
        <f t="shared" si="20"/>
        <v>318.28333333333336</v>
      </c>
      <c r="G1173" s="185"/>
      <c r="H1173" s="181"/>
      <c r="I1173" s="74"/>
      <c r="J1173" s="74"/>
      <c r="M1173" s="185"/>
      <c r="N1173" s="185"/>
      <c r="O1173" s="185"/>
      <c r="P1173" s="185"/>
      <c r="Q1173" s="185"/>
      <c r="R1173" s="185"/>
    </row>
    <row r="1174" spans="1:18" s="197" customFormat="1" ht="12.75" x14ac:dyDescent="0.2">
      <c r="A1174" s="181"/>
      <c r="B1174" s="188" t="s">
        <v>2762</v>
      </c>
      <c r="C1174" s="189" t="s">
        <v>134</v>
      </c>
      <c r="D1174" s="189" t="s">
        <v>152</v>
      </c>
      <c r="E1174" s="190" t="s">
        <v>2763</v>
      </c>
      <c r="F1174" s="191">
        <f t="shared" si="20"/>
        <v>228.7</v>
      </c>
      <c r="G1174" s="185"/>
      <c r="H1174" s="181"/>
      <c r="I1174" s="74"/>
      <c r="J1174" s="74"/>
      <c r="M1174" s="185"/>
      <c r="N1174" s="185"/>
      <c r="O1174" s="185"/>
      <c r="P1174" s="185"/>
      <c r="Q1174" s="185"/>
      <c r="R1174" s="185"/>
    </row>
    <row r="1175" spans="1:18" s="197" customFormat="1" ht="12.75" x14ac:dyDescent="0.2">
      <c r="A1175" s="181"/>
      <c r="B1175" s="188" t="s">
        <v>2764</v>
      </c>
      <c r="C1175" s="189" t="s">
        <v>126</v>
      </c>
      <c r="D1175" s="189" t="s">
        <v>187</v>
      </c>
      <c r="E1175" s="190" t="s">
        <v>2765</v>
      </c>
      <c r="F1175" s="191">
        <f t="shared" si="20"/>
        <v>233.98333333333332</v>
      </c>
      <c r="G1175" s="185"/>
      <c r="H1175" s="181"/>
      <c r="I1175" s="74"/>
      <c r="J1175" s="74"/>
      <c r="M1175" s="185"/>
      <c r="N1175" s="185"/>
      <c r="O1175" s="185"/>
      <c r="P1175" s="185"/>
      <c r="Q1175" s="185"/>
      <c r="R1175" s="185"/>
    </row>
    <row r="1176" spans="1:18" s="197" customFormat="1" ht="12.75" x14ac:dyDescent="0.2">
      <c r="A1176" s="181"/>
      <c r="B1176" s="188" t="s">
        <v>2766</v>
      </c>
      <c r="C1176" s="189" t="s">
        <v>134</v>
      </c>
      <c r="D1176" s="189" t="s">
        <v>144</v>
      </c>
      <c r="E1176" s="190" t="s">
        <v>2767</v>
      </c>
      <c r="F1176" s="191">
        <f t="shared" si="20"/>
        <v>241.26666666666668</v>
      </c>
      <c r="G1176" s="185"/>
      <c r="H1176" s="181"/>
      <c r="I1176" s="74"/>
      <c r="J1176" s="74"/>
      <c r="M1176" s="185"/>
      <c r="N1176" s="185"/>
      <c r="O1176" s="185"/>
      <c r="P1176" s="185"/>
      <c r="Q1176" s="185"/>
      <c r="R1176" s="185"/>
    </row>
    <row r="1177" spans="1:18" s="197" customFormat="1" ht="12.75" x14ac:dyDescent="0.2">
      <c r="A1177" s="181"/>
      <c r="B1177" s="188" t="s">
        <v>2768</v>
      </c>
      <c r="C1177" s="189" t="s">
        <v>126</v>
      </c>
      <c r="D1177" s="189" t="s">
        <v>123</v>
      </c>
      <c r="E1177" s="190" t="s">
        <v>2769</v>
      </c>
      <c r="F1177" s="191">
        <f t="shared" si="20"/>
        <v>214.61666666666667</v>
      </c>
      <c r="G1177" s="185"/>
      <c r="H1177" s="181"/>
      <c r="I1177" s="74"/>
      <c r="J1177" s="74"/>
      <c r="M1177" s="185"/>
      <c r="N1177" s="185"/>
      <c r="O1177" s="185"/>
      <c r="P1177" s="185"/>
      <c r="Q1177" s="185"/>
      <c r="R1177" s="185"/>
    </row>
    <row r="1178" spans="1:18" s="197" customFormat="1" ht="12.75" x14ac:dyDescent="0.2">
      <c r="A1178" s="181"/>
      <c r="B1178" s="188" t="s">
        <v>2770</v>
      </c>
      <c r="C1178" s="189" t="s">
        <v>125</v>
      </c>
      <c r="D1178" s="189" t="s">
        <v>123</v>
      </c>
      <c r="E1178" s="190" t="s">
        <v>2771</v>
      </c>
      <c r="F1178" s="191">
        <f t="shared" si="20"/>
        <v>217.41666666666666</v>
      </c>
      <c r="G1178" s="185"/>
      <c r="H1178" s="181"/>
      <c r="I1178" s="74"/>
      <c r="J1178" s="74"/>
      <c r="M1178" s="185"/>
      <c r="N1178" s="185"/>
      <c r="O1178" s="185"/>
      <c r="P1178" s="185"/>
      <c r="Q1178" s="185"/>
      <c r="R1178" s="185"/>
    </row>
    <row r="1179" spans="1:18" s="197" customFormat="1" ht="12.75" x14ac:dyDescent="0.2">
      <c r="A1179" s="181"/>
      <c r="B1179" s="188" t="s">
        <v>2772</v>
      </c>
      <c r="C1179" s="189" t="s">
        <v>134</v>
      </c>
      <c r="D1179" s="189" t="s">
        <v>123</v>
      </c>
      <c r="E1179" s="190" t="s">
        <v>2773</v>
      </c>
      <c r="F1179" s="191">
        <f t="shared" si="20"/>
        <v>248.6</v>
      </c>
      <c r="G1179" s="185"/>
      <c r="H1179" s="181"/>
      <c r="I1179" s="74"/>
      <c r="J1179" s="74"/>
      <c r="M1179" s="185"/>
      <c r="N1179" s="185"/>
      <c r="O1179" s="185"/>
      <c r="P1179" s="185"/>
      <c r="Q1179" s="185"/>
      <c r="R1179" s="185"/>
    </row>
    <row r="1180" spans="1:18" s="197" customFormat="1" ht="12.75" x14ac:dyDescent="0.2">
      <c r="A1180" s="181"/>
      <c r="B1180" s="188" t="s">
        <v>2774</v>
      </c>
      <c r="C1180" s="189" t="s">
        <v>124</v>
      </c>
      <c r="D1180" s="189" t="s">
        <v>123</v>
      </c>
      <c r="E1180" s="190" t="s">
        <v>2775</v>
      </c>
      <c r="F1180" s="191">
        <f t="shared" si="20"/>
        <v>243.35</v>
      </c>
      <c r="G1180" s="185"/>
      <c r="H1180" s="181"/>
      <c r="I1180" s="74"/>
      <c r="J1180" s="74"/>
      <c r="M1180" s="185"/>
      <c r="N1180" s="185"/>
      <c r="O1180" s="185"/>
      <c r="P1180" s="185"/>
      <c r="Q1180" s="185"/>
      <c r="R1180" s="185"/>
    </row>
    <row r="1181" spans="1:18" s="197" customFormat="1" ht="12.75" x14ac:dyDescent="0.2">
      <c r="A1181" s="181"/>
      <c r="B1181" s="188" t="s">
        <v>2776</v>
      </c>
      <c r="C1181" s="189" t="s">
        <v>125</v>
      </c>
      <c r="D1181" s="189" t="s">
        <v>123</v>
      </c>
      <c r="E1181" s="190" t="s">
        <v>2777</v>
      </c>
      <c r="F1181" s="191">
        <f t="shared" si="20"/>
        <v>268.60000000000002</v>
      </c>
      <c r="G1181" s="185"/>
      <c r="H1181" s="181"/>
      <c r="I1181" s="74"/>
      <c r="J1181" s="74"/>
      <c r="M1181" s="185"/>
      <c r="N1181" s="185"/>
      <c r="O1181" s="185"/>
      <c r="P1181" s="185"/>
      <c r="Q1181" s="185"/>
      <c r="R1181" s="185"/>
    </row>
    <row r="1182" spans="1:18" s="197" customFormat="1" ht="12.75" x14ac:dyDescent="0.2">
      <c r="A1182" s="181"/>
      <c r="B1182" s="188" t="s">
        <v>2778</v>
      </c>
      <c r="C1182" s="189" t="s">
        <v>126</v>
      </c>
      <c r="D1182" s="189" t="s">
        <v>123</v>
      </c>
      <c r="E1182" s="190" t="s">
        <v>1312</v>
      </c>
      <c r="F1182" s="191">
        <f t="shared" si="20"/>
        <v>278.35000000000002</v>
      </c>
      <c r="G1182" s="185"/>
      <c r="H1182" s="181"/>
      <c r="I1182" s="74"/>
      <c r="J1182" s="74"/>
      <c r="M1182" s="185"/>
      <c r="N1182" s="185"/>
      <c r="O1182" s="185"/>
      <c r="P1182" s="185"/>
      <c r="Q1182" s="185"/>
      <c r="R1182" s="185"/>
    </row>
    <row r="1183" spans="1:18" s="197" customFormat="1" ht="12.75" x14ac:dyDescent="0.2">
      <c r="A1183" s="181"/>
      <c r="B1183" s="188" t="s">
        <v>403</v>
      </c>
      <c r="C1183" s="189" t="s">
        <v>125</v>
      </c>
      <c r="D1183" s="189" t="s">
        <v>132</v>
      </c>
      <c r="E1183" s="190" t="s">
        <v>2779</v>
      </c>
      <c r="F1183" s="191">
        <f t="shared" si="20"/>
        <v>172.75</v>
      </c>
      <c r="G1183" s="185"/>
      <c r="H1183" s="181"/>
      <c r="I1183" s="74"/>
      <c r="J1183" s="74"/>
      <c r="M1183" s="185"/>
      <c r="N1183" s="185"/>
      <c r="O1183" s="185"/>
      <c r="P1183" s="185"/>
      <c r="Q1183" s="185"/>
      <c r="R1183" s="185"/>
    </row>
    <row r="1184" spans="1:18" s="197" customFormat="1" ht="12.75" x14ac:dyDescent="0.2">
      <c r="A1184" s="181"/>
      <c r="B1184" s="188" t="s">
        <v>2780</v>
      </c>
      <c r="C1184" s="189" t="s">
        <v>124</v>
      </c>
      <c r="D1184" s="189" t="s">
        <v>149</v>
      </c>
      <c r="E1184" s="190" t="s">
        <v>2781</v>
      </c>
      <c r="F1184" s="191">
        <f t="shared" si="20"/>
        <v>179.63333333333333</v>
      </c>
      <c r="G1184" s="185"/>
      <c r="H1184" s="181"/>
      <c r="I1184" s="74"/>
      <c r="J1184" s="74"/>
      <c r="M1184" s="185"/>
      <c r="N1184" s="185"/>
      <c r="O1184" s="185"/>
      <c r="P1184" s="185"/>
      <c r="Q1184" s="185"/>
      <c r="R1184" s="185"/>
    </row>
    <row r="1185" spans="1:18" s="197" customFormat="1" ht="12.75" x14ac:dyDescent="0.2">
      <c r="A1185" s="181"/>
      <c r="B1185" s="188" t="s">
        <v>633</v>
      </c>
      <c r="C1185" s="189" t="s">
        <v>222</v>
      </c>
      <c r="D1185" s="189" t="s">
        <v>123</v>
      </c>
      <c r="E1185" s="190" t="s">
        <v>2782</v>
      </c>
      <c r="F1185" s="191">
        <f t="shared" si="20"/>
        <v>308.45</v>
      </c>
      <c r="G1185" s="185"/>
      <c r="H1185" s="181"/>
      <c r="I1185" s="74"/>
      <c r="J1185" s="74"/>
      <c r="M1185" s="185"/>
      <c r="N1185" s="185"/>
      <c r="O1185" s="185"/>
      <c r="P1185" s="185"/>
      <c r="Q1185" s="185"/>
      <c r="R1185" s="185"/>
    </row>
    <row r="1186" spans="1:18" s="197" customFormat="1" ht="12.75" x14ac:dyDescent="0.2">
      <c r="A1186" s="181"/>
      <c r="B1186" s="188" t="s">
        <v>2783</v>
      </c>
      <c r="C1186" s="189" t="s">
        <v>125</v>
      </c>
      <c r="D1186" s="189" t="s">
        <v>132</v>
      </c>
      <c r="E1186" s="190" t="s">
        <v>2510</v>
      </c>
      <c r="F1186" s="191">
        <f t="shared" si="20"/>
        <v>217.68333333333334</v>
      </c>
      <c r="G1186" s="185"/>
      <c r="H1186" s="181"/>
      <c r="I1186" s="74"/>
      <c r="J1186" s="74"/>
      <c r="M1186" s="185"/>
      <c r="N1186" s="185"/>
      <c r="O1186" s="185"/>
      <c r="P1186" s="185"/>
      <c r="Q1186" s="185"/>
      <c r="R1186" s="185"/>
    </row>
    <row r="1187" spans="1:18" s="197" customFormat="1" ht="12.75" x14ac:dyDescent="0.2">
      <c r="A1187" s="181"/>
      <c r="B1187" s="188" t="s">
        <v>2784</v>
      </c>
      <c r="C1187" s="189" t="s">
        <v>135</v>
      </c>
      <c r="D1187" s="189" t="s">
        <v>123</v>
      </c>
      <c r="E1187" s="190" t="s">
        <v>1052</v>
      </c>
      <c r="F1187" s="191">
        <f t="shared" si="20"/>
        <v>235.08333333333334</v>
      </c>
      <c r="G1187" s="185"/>
      <c r="H1187" s="181"/>
      <c r="I1187" s="74"/>
      <c r="J1187" s="74"/>
      <c r="M1187" s="185"/>
      <c r="N1187" s="185"/>
      <c r="O1187" s="185"/>
      <c r="P1187" s="185"/>
      <c r="Q1187" s="185"/>
      <c r="R1187" s="185"/>
    </row>
    <row r="1188" spans="1:18" s="197" customFormat="1" ht="12.75" x14ac:dyDescent="0.2">
      <c r="A1188" s="181"/>
      <c r="B1188" s="188" t="s">
        <v>2785</v>
      </c>
      <c r="C1188" s="189" t="s">
        <v>125</v>
      </c>
      <c r="D1188" s="189" t="s">
        <v>123</v>
      </c>
      <c r="E1188" s="190" t="s">
        <v>2786</v>
      </c>
      <c r="F1188" s="191">
        <f t="shared" si="20"/>
        <v>274.14999999999998</v>
      </c>
      <c r="G1188" s="185"/>
      <c r="H1188" s="181"/>
      <c r="I1188" s="74"/>
      <c r="J1188" s="74"/>
      <c r="M1188" s="185"/>
      <c r="N1188" s="185"/>
      <c r="O1188" s="185"/>
      <c r="P1188" s="185"/>
      <c r="Q1188" s="185"/>
      <c r="R1188" s="185"/>
    </row>
    <row r="1189" spans="1:18" s="197" customFormat="1" ht="12.75" x14ac:dyDescent="0.2">
      <c r="A1189" s="181"/>
      <c r="B1189" s="188" t="s">
        <v>2787</v>
      </c>
      <c r="C1189" s="189" t="s">
        <v>142</v>
      </c>
      <c r="D1189" s="189" t="s">
        <v>148</v>
      </c>
      <c r="E1189" s="190" t="s">
        <v>2788</v>
      </c>
      <c r="F1189" s="191">
        <f t="shared" si="20"/>
        <v>199.85</v>
      </c>
      <c r="G1189" s="185"/>
      <c r="H1189" s="181"/>
      <c r="I1189" s="74"/>
      <c r="J1189" s="74"/>
      <c r="M1189" s="185"/>
      <c r="N1189" s="185"/>
      <c r="O1189" s="185"/>
      <c r="P1189" s="185"/>
      <c r="Q1189" s="185"/>
      <c r="R1189" s="185"/>
    </row>
    <row r="1190" spans="1:18" s="197" customFormat="1" ht="12.75" x14ac:dyDescent="0.2">
      <c r="A1190" s="181"/>
      <c r="B1190" s="188" t="s">
        <v>2789</v>
      </c>
      <c r="C1190" s="189" t="s">
        <v>126</v>
      </c>
      <c r="D1190" s="189" t="s">
        <v>123</v>
      </c>
      <c r="E1190" s="190" t="s">
        <v>2790</v>
      </c>
      <c r="F1190" s="191">
        <f t="shared" si="20"/>
        <v>245.13333333333333</v>
      </c>
      <c r="G1190" s="185"/>
      <c r="H1190" s="181"/>
      <c r="I1190" s="74"/>
      <c r="J1190" s="74"/>
      <c r="M1190" s="185"/>
      <c r="N1190" s="185"/>
      <c r="O1190" s="185"/>
      <c r="P1190" s="185"/>
      <c r="Q1190" s="185"/>
      <c r="R1190" s="185"/>
    </row>
    <row r="1191" spans="1:18" s="197" customFormat="1" ht="12.75" x14ac:dyDescent="0.2">
      <c r="A1191" s="181"/>
      <c r="B1191" s="188" t="s">
        <v>2791</v>
      </c>
      <c r="C1191" s="189" t="s">
        <v>125</v>
      </c>
      <c r="D1191" s="189" t="s">
        <v>495</v>
      </c>
      <c r="E1191" s="190" t="s">
        <v>2792</v>
      </c>
      <c r="F1191" s="191">
        <f t="shared" si="20"/>
        <v>205.33333333333334</v>
      </c>
      <c r="G1191" s="185"/>
      <c r="H1191" s="181"/>
      <c r="I1191" s="74"/>
      <c r="J1191" s="74"/>
      <c r="M1191" s="185"/>
      <c r="N1191" s="185"/>
      <c r="O1191" s="185"/>
      <c r="P1191" s="185"/>
      <c r="Q1191" s="185"/>
      <c r="R1191" s="185"/>
    </row>
    <row r="1192" spans="1:18" s="197" customFormat="1" ht="12.75" x14ac:dyDescent="0.2">
      <c r="A1192" s="181"/>
      <c r="B1192" s="188" t="s">
        <v>2793</v>
      </c>
      <c r="C1192" s="189" t="s">
        <v>124</v>
      </c>
      <c r="D1192" s="189" t="s">
        <v>123</v>
      </c>
      <c r="E1192" s="190" t="s">
        <v>2794</v>
      </c>
      <c r="F1192" s="191">
        <f t="shared" si="20"/>
        <v>266.31666666666666</v>
      </c>
      <c r="G1192" s="185"/>
      <c r="H1192" s="181"/>
      <c r="I1192" s="74"/>
      <c r="J1192" s="74"/>
      <c r="M1192" s="185"/>
      <c r="N1192" s="185"/>
      <c r="O1192" s="185"/>
      <c r="P1192" s="185"/>
      <c r="Q1192" s="185"/>
      <c r="R1192" s="185"/>
    </row>
    <row r="1193" spans="1:18" s="197" customFormat="1" ht="12.75" x14ac:dyDescent="0.2">
      <c r="A1193" s="181"/>
      <c r="B1193" s="188" t="s">
        <v>2795</v>
      </c>
      <c r="C1193" s="189" t="s">
        <v>134</v>
      </c>
      <c r="D1193" s="189" t="s">
        <v>123</v>
      </c>
      <c r="E1193" s="190" t="s">
        <v>2796</v>
      </c>
      <c r="F1193" s="191">
        <f t="shared" si="20"/>
        <v>210.15</v>
      </c>
      <c r="G1193" s="185"/>
      <c r="H1193" s="181"/>
      <c r="I1193" s="74"/>
      <c r="J1193" s="74"/>
      <c r="M1193" s="185"/>
      <c r="N1193" s="185"/>
      <c r="O1193" s="185"/>
      <c r="P1193" s="185"/>
      <c r="Q1193" s="185"/>
      <c r="R1193" s="185"/>
    </row>
    <row r="1194" spans="1:18" s="197" customFormat="1" ht="12.75" x14ac:dyDescent="0.2">
      <c r="A1194" s="181"/>
      <c r="B1194" s="188" t="s">
        <v>2797</v>
      </c>
      <c r="C1194" s="189" t="s">
        <v>125</v>
      </c>
      <c r="D1194" s="189" t="s">
        <v>123</v>
      </c>
      <c r="E1194" s="190" t="s">
        <v>2798</v>
      </c>
      <c r="F1194" s="191">
        <f t="shared" si="20"/>
        <v>218.46666666666667</v>
      </c>
      <c r="G1194" s="185"/>
      <c r="H1194" s="181"/>
      <c r="I1194" s="74"/>
      <c r="J1194" s="74"/>
      <c r="M1194" s="185"/>
      <c r="N1194" s="185"/>
      <c r="O1194" s="185"/>
      <c r="P1194" s="185"/>
      <c r="Q1194" s="185"/>
      <c r="R1194" s="185"/>
    </row>
    <row r="1195" spans="1:18" s="197" customFormat="1" ht="12.75" x14ac:dyDescent="0.2">
      <c r="A1195" s="181"/>
      <c r="B1195" s="188" t="s">
        <v>2799</v>
      </c>
      <c r="C1195" s="189" t="s">
        <v>125</v>
      </c>
      <c r="D1195" s="189" t="s">
        <v>132</v>
      </c>
      <c r="E1195" s="190" t="s">
        <v>2800</v>
      </c>
      <c r="F1195" s="191">
        <f t="shared" si="20"/>
        <v>213.25</v>
      </c>
      <c r="G1195" s="185"/>
      <c r="H1195" s="181"/>
      <c r="I1195" s="74"/>
      <c r="J1195" s="74"/>
      <c r="M1195" s="185"/>
      <c r="N1195" s="185"/>
      <c r="O1195" s="185"/>
      <c r="P1195" s="185"/>
      <c r="Q1195" s="185"/>
      <c r="R1195" s="185"/>
    </row>
    <row r="1196" spans="1:18" s="197" customFormat="1" ht="12.75" x14ac:dyDescent="0.2">
      <c r="A1196" s="181"/>
      <c r="B1196" s="188" t="s">
        <v>2801</v>
      </c>
      <c r="C1196" s="189" t="s">
        <v>126</v>
      </c>
      <c r="D1196" s="189" t="s">
        <v>123</v>
      </c>
      <c r="E1196" s="190" t="s">
        <v>2802</v>
      </c>
      <c r="F1196" s="191">
        <f t="shared" si="20"/>
        <v>231.15</v>
      </c>
      <c r="G1196" s="185"/>
      <c r="H1196" s="181"/>
      <c r="I1196" s="74"/>
      <c r="J1196" s="74"/>
      <c r="M1196" s="185"/>
      <c r="N1196" s="185"/>
      <c r="O1196" s="185"/>
      <c r="P1196" s="185"/>
      <c r="Q1196" s="185"/>
      <c r="R1196" s="185"/>
    </row>
    <row r="1197" spans="1:18" s="197" customFormat="1" ht="12.75" x14ac:dyDescent="0.2">
      <c r="A1197" s="181"/>
      <c r="B1197" s="188" t="s">
        <v>2803</v>
      </c>
      <c r="C1197" s="189" t="s">
        <v>126</v>
      </c>
      <c r="D1197" s="189" t="s">
        <v>141</v>
      </c>
      <c r="E1197" s="190" t="s">
        <v>2804</v>
      </c>
      <c r="F1197" s="191">
        <f t="shared" si="20"/>
        <v>238.95</v>
      </c>
      <c r="G1197" s="185"/>
      <c r="H1197" s="181"/>
      <c r="I1197" s="74"/>
      <c r="J1197" s="74"/>
      <c r="M1197" s="185"/>
      <c r="N1197" s="185"/>
      <c r="O1197" s="185"/>
      <c r="P1197" s="185"/>
      <c r="Q1197" s="185"/>
      <c r="R1197" s="185"/>
    </row>
    <row r="1198" spans="1:18" s="197" customFormat="1" ht="12.75" x14ac:dyDescent="0.2">
      <c r="A1198" s="181"/>
      <c r="B1198" s="188" t="s">
        <v>2805</v>
      </c>
      <c r="C1198" s="189" t="s">
        <v>126</v>
      </c>
      <c r="D1198" s="189" t="s">
        <v>123</v>
      </c>
      <c r="E1198" s="190" t="s">
        <v>2806</v>
      </c>
      <c r="F1198" s="191">
        <f t="shared" si="20"/>
        <v>181.83333333333334</v>
      </c>
      <c r="G1198" s="185"/>
      <c r="H1198" s="181"/>
      <c r="I1198" s="74"/>
      <c r="J1198" s="74"/>
      <c r="M1198" s="185"/>
      <c r="N1198" s="185"/>
      <c r="O1198" s="185"/>
      <c r="P1198" s="185"/>
      <c r="Q1198" s="185"/>
      <c r="R1198" s="185"/>
    </row>
    <row r="1199" spans="1:18" s="197" customFormat="1" ht="12.75" x14ac:dyDescent="0.2">
      <c r="A1199" s="181"/>
      <c r="B1199" s="188" t="s">
        <v>2807</v>
      </c>
      <c r="C1199" s="189" t="s">
        <v>142</v>
      </c>
      <c r="D1199" s="189" t="s">
        <v>123</v>
      </c>
      <c r="E1199" s="190" t="s">
        <v>2808</v>
      </c>
      <c r="F1199" s="191">
        <f t="shared" si="20"/>
        <v>249.93333333333334</v>
      </c>
      <c r="G1199" s="185"/>
      <c r="H1199" s="181"/>
      <c r="I1199" s="74"/>
      <c r="J1199" s="74"/>
      <c r="M1199" s="185"/>
      <c r="N1199" s="185"/>
      <c r="O1199" s="185"/>
      <c r="P1199" s="185"/>
      <c r="Q1199" s="185"/>
      <c r="R1199" s="185"/>
    </row>
    <row r="1200" spans="1:18" s="197" customFormat="1" ht="12.75" x14ac:dyDescent="0.2">
      <c r="A1200" s="181"/>
      <c r="B1200" s="188" t="s">
        <v>2809</v>
      </c>
      <c r="C1200" s="189" t="s">
        <v>125</v>
      </c>
      <c r="D1200" s="189" t="s">
        <v>123</v>
      </c>
      <c r="E1200" s="190" t="s">
        <v>2810</v>
      </c>
      <c r="F1200" s="191">
        <f t="shared" si="20"/>
        <v>230.76666666666668</v>
      </c>
      <c r="G1200" s="185"/>
      <c r="H1200" s="181"/>
      <c r="I1200" s="74"/>
      <c r="J1200" s="74"/>
      <c r="M1200" s="185"/>
      <c r="N1200" s="185"/>
      <c r="O1200" s="185"/>
      <c r="P1200" s="185"/>
      <c r="Q1200" s="185"/>
      <c r="R1200" s="185"/>
    </row>
    <row r="1201" spans="1:18" s="197" customFormat="1" ht="12.75" x14ac:dyDescent="0.2">
      <c r="A1201" s="181"/>
      <c r="B1201" s="188" t="s">
        <v>2811</v>
      </c>
      <c r="C1201" s="189" t="s">
        <v>128</v>
      </c>
      <c r="D1201" s="189" t="s">
        <v>123</v>
      </c>
      <c r="E1201" s="190" t="s">
        <v>2055</v>
      </c>
      <c r="F1201" s="191">
        <f t="shared" si="20"/>
        <v>255.78333333333333</v>
      </c>
      <c r="G1201" s="185"/>
      <c r="H1201" s="181"/>
      <c r="I1201" s="74"/>
      <c r="J1201" s="74"/>
      <c r="M1201" s="185"/>
      <c r="N1201" s="185"/>
      <c r="O1201" s="185"/>
      <c r="P1201" s="185"/>
      <c r="Q1201" s="185"/>
      <c r="R1201" s="185"/>
    </row>
    <row r="1202" spans="1:18" s="197" customFormat="1" ht="12.75" x14ac:dyDescent="0.2">
      <c r="A1202" s="181"/>
      <c r="B1202" s="188" t="s">
        <v>2812</v>
      </c>
      <c r="C1202" s="189" t="s">
        <v>134</v>
      </c>
      <c r="D1202" s="189" t="s">
        <v>123</v>
      </c>
      <c r="E1202" s="190" t="s">
        <v>2813</v>
      </c>
      <c r="F1202" s="191">
        <f t="shared" si="20"/>
        <v>226.65</v>
      </c>
      <c r="G1202" s="185"/>
      <c r="H1202" s="181"/>
      <c r="I1202" s="74"/>
      <c r="J1202" s="74"/>
      <c r="M1202" s="185"/>
      <c r="N1202" s="185"/>
      <c r="O1202" s="185"/>
      <c r="P1202" s="185"/>
      <c r="Q1202" s="185"/>
      <c r="R1202" s="185"/>
    </row>
    <row r="1203" spans="1:18" s="197" customFormat="1" ht="12.75" x14ac:dyDescent="0.2">
      <c r="A1203" s="181"/>
      <c r="B1203" s="188" t="s">
        <v>2814</v>
      </c>
      <c r="C1203" s="189" t="s">
        <v>125</v>
      </c>
      <c r="D1203" s="189" t="s">
        <v>133</v>
      </c>
      <c r="E1203" s="190" t="s">
        <v>2815</v>
      </c>
      <c r="F1203" s="191">
        <f t="shared" si="20"/>
        <v>234.73333333333332</v>
      </c>
      <c r="G1203" s="185"/>
      <c r="H1203" s="181"/>
      <c r="I1203" s="74"/>
      <c r="J1203" s="74"/>
      <c r="M1203" s="185"/>
      <c r="N1203" s="185"/>
      <c r="O1203" s="185"/>
      <c r="P1203" s="185"/>
      <c r="Q1203" s="185"/>
      <c r="R1203" s="185"/>
    </row>
    <row r="1204" spans="1:18" s="197" customFormat="1" ht="12.75" x14ac:dyDescent="0.2">
      <c r="A1204" s="181"/>
      <c r="B1204" s="188" t="s">
        <v>2816</v>
      </c>
      <c r="C1204" s="189" t="s">
        <v>136</v>
      </c>
      <c r="D1204" s="189" t="s">
        <v>123</v>
      </c>
      <c r="E1204" s="190" t="s">
        <v>2817</v>
      </c>
      <c r="F1204" s="191">
        <f t="shared" si="20"/>
        <v>245.3</v>
      </c>
      <c r="G1204" s="185"/>
      <c r="H1204" s="181"/>
      <c r="I1204" s="74"/>
      <c r="J1204" s="74"/>
      <c r="M1204" s="185"/>
      <c r="N1204" s="185"/>
      <c r="O1204" s="185"/>
      <c r="P1204" s="185"/>
      <c r="Q1204" s="185"/>
      <c r="R1204" s="185"/>
    </row>
    <row r="1205" spans="1:18" s="197" customFormat="1" ht="12.75" x14ac:dyDescent="0.2">
      <c r="A1205" s="181"/>
      <c r="B1205" s="188" t="s">
        <v>2818</v>
      </c>
      <c r="C1205" s="189" t="s">
        <v>135</v>
      </c>
      <c r="D1205" s="189" t="s">
        <v>132</v>
      </c>
      <c r="E1205" s="190" t="s">
        <v>2819</v>
      </c>
      <c r="F1205" s="191">
        <f t="shared" si="20"/>
        <v>214.31666666666666</v>
      </c>
      <c r="G1205" s="185"/>
      <c r="H1205" s="181"/>
      <c r="I1205" s="74"/>
      <c r="J1205" s="74"/>
      <c r="M1205" s="185"/>
      <c r="N1205" s="185"/>
      <c r="O1205" s="185"/>
      <c r="P1205" s="185"/>
      <c r="Q1205" s="185"/>
      <c r="R1205" s="185"/>
    </row>
    <row r="1206" spans="1:18" s="197" customFormat="1" ht="12.75" x14ac:dyDescent="0.2">
      <c r="A1206" s="181"/>
      <c r="B1206" s="188" t="s">
        <v>2820</v>
      </c>
      <c r="C1206" s="189" t="s">
        <v>134</v>
      </c>
      <c r="D1206" s="189" t="s">
        <v>123</v>
      </c>
      <c r="E1206" s="190" t="s">
        <v>1141</v>
      </c>
      <c r="F1206" s="191">
        <f t="shared" si="20"/>
        <v>248.73333333333332</v>
      </c>
      <c r="G1206" s="185"/>
      <c r="H1206" s="181"/>
      <c r="I1206" s="74"/>
      <c r="J1206" s="74"/>
      <c r="M1206" s="185"/>
      <c r="N1206" s="185"/>
      <c r="O1206" s="185"/>
      <c r="P1206" s="185"/>
      <c r="Q1206" s="185"/>
      <c r="R1206" s="185"/>
    </row>
    <row r="1207" spans="1:18" s="197" customFormat="1" ht="12.75" x14ac:dyDescent="0.2">
      <c r="A1207" s="181"/>
      <c r="B1207" s="188" t="s">
        <v>2821</v>
      </c>
      <c r="C1207" s="189" t="s">
        <v>125</v>
      </c>
      <c r="D1207" s="189" t="s">
        <v>169</v>
      </c>
      <c r="E1207" s="190" t="s">
        <v>2822</v>
      </c>
      <c r="F1207" s="191">
        <f t="shared" si="20"/>
        <v>219.95</v>
      </c>
      <c r="G1207" s="185"/>
      <c r="H1207" s="181"/>
      <c r="I1207" s="74"/>
      <c r="J1207" s="74"/>
      <c r="M1207" s="185"/>
      <c r="N1207" s="185"/>
      <c r="O1207" s="185"/>
      <c r="P1207" s="185"/>
      <c r="Q1207" s="185"/>
      <c r="R1207" s="185"/>
    </row>
    <row r="1208" spans="1:18" s="197" customFormat="1" ht="12.75" x14ac:dyDescent="0.2">
      <c r="A1208" s="181"/>
      <c r="B1208" s="188" t="s">
        <v>2823</v>
      </c>
      <c r="C1208" s="189" t="s">
        <v>124</v>
      </c>
      <c r="D1208" s="189" t="s">
        <v>123</v>
      </c>
      <c r="E1208" s="190" t="s">
        <v>2824</v>
      </c>
      <c r="F1208" s="191">
        <f t="shared" si="20"/>
        <v>170.1</v>
      </c>
      <c r="G1208" s="185"/>
      <c r="H1208" s="181"/>
      <c r="I1208" s="74"/>
      <c r="J1208" s="74"/>
      <c r="M1208" s="185"/>
      <c r="N1208" s="185"/>
      <c r="O1208" s="185"/>
      <c r="P1208" s="185"/>
      <c r="Q1208" s="185"/>
      <c r="R1208" s="185"/>
    </row>
    <row r="1209" spans="1:18" s="197" customFormat="1" ht="12.75" x14ac:dyDescent="0.2">
      <c r="A1209" s="181"/>
      <c r="B1209" s="188" t="s">
        <v>2825</v>
      </c>
      <c r="C1209" s="189" t="s">
        <v>124</v>
      </c>
      <c r="D1209" s="189" t="s">
        <v>123</v>
      </c>
      <c r="E1209" s="190" t="s">
        <v>2826</v>
      </c>
      <c r="F1209" s="191">
        <f t="shared" si="20"/>
        <v>231.53333333333333</v>
      </c>
      <c r="G1209" s="185"/>
      <c r="H1209" s="181"/>
      <c r="I1209" s="74"/>
      <c r="J1209" s="74"/>
      <c r="M1209" s="185"/>
      <c r="N1209" s="185"/>
      <c r="O1209" s="185"/>
      <c r="P1209" s="185"/>
      <c r="Q1209" s="185"/>
      <c r="R1209" s="185"/>
    </row>
    <row r="1210" spans="1:18" s="197" customFormat="1" ht="12.75" x14ac:dyDescent="0.2">
      <c r="A1210" s="181"/>
      <c r="B1210" s="188" t="s">
        <v>2827</v>
      </c>
      <c r="C1210" s="189" t="s">
        <v>125</v>
      </c>
      <c r="D1210" s="189" t="s">
        <v>123</v>
      </c>
      <c r="E1210" s="190" t="s">
        <v>2828</v>
      </c>
      <c r="F1210" s="191">
        <f t="shared" si="20"/>
        <v>253.06666666666666</v>
      </c>
      <c r="G1210" s="185"/>
      <c r="H1210" s="181"/>
      <c r="I1210" s="74"/>
      <c r="J1210" s="74"/>
      <c r="M1210" s="185"/>
      <c r="N1210" s="185"/>
      <c r="O1210" s="185"/>
      <c r="P1210" s="185"/>
      <c r="Q1210" s="185"/>
      <c r="R1210" s="185"/>
    </row>
    <row r="1211" spans="1:18" s="197" customFormat="1" ht="12.75" x14ac:dyDescent="0.2">
      <c r="A1211" s="181"/>
      <c r="B1211" s="188" t="s">
        <v>317</v>
      </c>
      <c r="C1211" s="189" t="s">
        <v>142</v>
      </c>
      <c r="D1211" s="189" t="s">
        <v>123</v>
      </c>
      <c r="E1211" s="190" t="s">
        <v>2829</v>
      </c>
      <c r="F1211" s="191">
        <f t="shared" si="20"/>
        <v>273.83333333333331</v>
      </c>
      <c r="G1211" s="185"/>
      <c r="H1211" s="181"/>
      <c r="I1211" s="74"/>
      <c r="J1211" s="74"/>
      <c r="M1211" s="185"/>
      <c r="N1211" s="185"/>
      <c r="O1211" s="185"/>
      <c r="P1211" s="185"/>
      <c r="Q1211" s="185"/>
      <c r="R1211" s="185"/>
    </row>
    <row r="1212" spans="1:18" s="197" customFormat="1" ht="12.75" x14ac:dyDescent="0.2">
      <c r="A1212" s="181"/>
      <c r="B1212" s="188" t="s">
        <v>2830</v>
      </c>
      <c r="C1212" s="189" t="s">
        <v>124</v>
      </c>
      <c r="D1212" s="189" t="s">
        <v>131</v>
      </c>
      <c r="E1212" s="190" t="s">
        <v>2831</v>
      </c>
      <c r="F1212" s="191">
        <f t="shared" si="20"/>
        <v>292.03333333333336</v>
      </c>
      <c r="G1212" s="185"/>
      <c r="H1212" s="181"/>
      <c r="I1212" s="74"/>
      <c r="J1212" s="74"/>
      <c r="M1212" s="185"/>
      <c r="N1212" s="185"/>
      <c r="O1212" s="185"/>
      <c r="P1212" s="185"/>
      <c r="Q1212" s="185"/>
      <c r="R1212" s="185"/>
    </row>
    <row r="1213" spans="1:18" s="197" customFormat="1" ht="12.75" x14ac:dyDescent="0.2">
      <c r="A1213" s="181"/>
      <c r="B1213" s="188" t="s">
        <v>2832</v>
      </c>
      <c r="C1213" s="189" t="s">
        <v>124</v>
      </c>
      <c r="D1213" s="189" t="s">
        <v>123</v>
      </c>
      <c r="E1213" s="190" t="s">
        <v>2833</v>
      </c>
      <c r="F1213" s="191">
        <f t="shared" si="20"/>
        <v>242.11666666666667</v>
      </c>
      <c r="G1213" s="185"/>
      <c r="H1213" s="181"/>
      <c r="I1213" s="74"/>
      <c r="J1213" s="74"/>
      <c r="M1213" s="185"/>
      <c r="N1213" s="185"/>
      <c r="O1213" s="185"/>
      <c r="P1213" s="185"/>
      <c r="Q1213" s="185"/>
      <c r="R1213" s="185"/>
    </row>
    <row r="1214" spans="1:18" s="197" customFormat="1" ht="12.75" x14ac:dyDescent="0.2">
      <c r="A1214" s="181"/>
      <c r="B1214" s="188" t="s">
        <v>2834</v>
      </c>
      <c r="C1214" s="189" t="s">
        <v>142</v>
      </c>
      <c r="D1214" s="189" t="s">
        <v>131</v>
      </c>
      <c r="E1214" s="190" t="s">
        <v>2835</v>
      </c>
      <c r="F1214" s="191">
        <f t="shared" si="20"/>
        <v>252.43333333333334</v>
      </c>
      <c r="G1214" s="185"/>
      <c r="H1214" s="181"/>
      <c r="I1214" s="74"/>
      <c r="J1214" s="74"/>
      <c r="M1214" s="185"/>
      <c r="N1214" s="185"/>
      <c r="O1214" s="185"/>
      <c r="P1214" s="185"/>
      <c r="Q1214" s="185"/>
      <c r="R1214" s="185"/>
    </row>
    <row r="1215" spans="1:18" s="197" customFormat="1" ht="12.75" x14ac:dyDescent="0.2">
      <c r="A1215" s="181"/>
      <c r="B1215" s="188" t="s">
        <v>2836</v>
      </c>
      <c r="C1215" s="189" t="s">
        <v>124</v>
      </c>
      <c r="D1215" s="189" t="s">
        <v>123</v>
      </c>
      <c r="E1215" s="190" t="s">
        <v>2837</v>
      </c>
      <c r="F1215" s="191">
        <f t="shared" si="20"/>
        <v>298.06666666666666</v>
      </c>
      <c r="G1215" s="185"/>
      <c r="H1215" s="181"/>
      <c r="I1215" s="74"/>
      <c r="J1215" s="74"/>
      <c r="M1215" s="185"/>
      <c r="N1215" s="185"/>
      <c r="O1215" s="185"/>
      <c r="P1215" s="185"/>
      <c r="Q1215" s="185"/>
      <c r="R1215" s="185"/>
    </row>
    <row r="1216" spans="1:18" s="197" customFormat="1" ht="12.75" x14ac:dyDescent="0.2">
      <c r="A1216" s="181"/>
      <c r="B1216" s="188" t="s">
        <v>2838</v>
      </c>
      <c r="C1216" s="189" t="s">
        <v>135</v>
      </c>
      <c r="D1216" s="189" t="s">
        <v>129</v>
      </c>
      <c r="E1216" s="190" t="s">
        <v>2839</v>
      </c>
      <c r="F1216" s="191">
        <f t="shared" si="20"/>
        <v>256</v>
      </c>
      <c r="G1216" s="185"/>
      <c r="H1216" s="181"/>
      <c r="I1216" s="74"/>
      <c r="J1216" s="74"/>
      <c r="M1216" s="185"/>
      <c r="N1216" s="185"/>
      <c r="O1216" s="185"/>
      <c r="P1216" s="185"/>
      <c r="Q1216" s="185"/>
      <c r="R1216" s="185"/>
    </row>
    <row r="1217" spans="1:18" s="197" customFormat="1" ht="12.75" x14ac:dyDescent="0.2">
      <c r="A1217" s="181"/>
      <c r="B1217" s="188" t="s">
        <v>2840</v>
      </c>
      <c r="C1217" s="189" t="s">
        <v>134</v>
      </c>
      <c r="D1217" s="189" t="s">
        <v>123</v>
      </c>
      <c r="E1217" s="190" t="s">
        <v>2841</v>
      </c>
      <c r="F1217" s="191">
        <f t="shared" si="20"/>
        <v>289.2</v>
      </c>
      <c r="G1217" s="185"/>
      <c r="H1217" s="181"/>
      <c r="I1217" s="74"/>
      <c r="J1217" s="74"/>
      <c r="M1217" s="185"/>
      <c r="N1217" s="185"/>
      <c r="O1217" s="185"/>
      <c r="P1217" s="185"/>
      <c r="Q1217" s="185"/>
      <c r="R1217" s="185"/>
    </row>
    <row r="1218" spans="1:18" s="197" customFormat="1" ht="12.75" x14ac:dyDescent="0.2">
      <c r="A1218" s="181"/>
      <c r="B1218" s="188" t="s">
        <v>2842</v>
      </c>
      <c r="C1218" s="189" t="s">
        <v>126</v>
      </c>
      <c r="D1218" s="189" t="s">
        <v>123</v>
      </c>
      <c r="E1218" s="190" t="s">
        <v>2843</v>
      </c>
      <c r="F1218" s="191">
        <f t="shared" si="20"/>
        <v>253.43333333333334</v>
      </c>
      <c r="G1218" s="185"/>
      <c r="H1218" s="181"/>
      <c r="I1218" s="74"/>
      <c r="J1218" s="74"/>
      <c r="M1218" s="185"/>
      <c r="N1218" s="185"/>
      <c r="O1218" s="185"/>
      <c r="P1218" s="185"/>
      <c r="Q1218" s="185"/>
      <c r="R1218" s="185"/>
    </row>
    <row r="1219" spans="1:18" s="197" customFormat="1" ht="12.75" x14ac:dyDescent="0.2">
      <c r="A1219" s="181"/>
      <c r="B1219" s="188" t="s">
        <v>2844</v>
      </c>
      <c r="C1219" s="189" t="s">
        <v>126</v>
      </c>
      <c r="D1219" s="189" t="s">
        <v>139</v>
      </c>
      <c r="E1219" s="190" t="s">
        <v>2845</v>
      </c>
      <c r="F1219" s="191">
        <f t="shared" si="20"/>
        <v>257.10000000000002</v>
      </c>
      <c r="G1219" s="185"/>
      <c r="H1219" s="181"/>
      <c r="I1219" s="74"/>
      <c r="J1219" s="74"/>
      <c r="M1219" s="185"/>
      <c r="N1219" s="185"/>
      <c r="O1219" s="185"/>
      <c r="P1219" s="185"/>
      <c r="Q1219" s="185"/>
      <c r="R1219" s="185"/>
    </row>
    <row r="1220" spans="1:18" s="197" customFormat="1" ht="12.75" x14ac:dyDescent="0.2">
      <c r="A1220" s="181"/>
      <c r="B1220" s="188" t="s">
        <v>2846</v>
      </c>
      <c r="C1220" s="189" t="s">
        <v>130</v>
      </c>
      <c r="D1220" s="189" t="s">
        <v>123</v>
      </c>
      <c r="E1220" s="190" t="s">
        <v>2847</v>
      </c>
      <c r="F1220" s="191">
        <f t="shared" si="20"/>
        <v>205.45</v>
      </c>
      <c r="G1220" s="185"/>
      <c r="H1220" s="181"/>
      <c r="I1220" s="74"/>
      <c r="J1220" s="74"/>
      <c r="M1220" s="185"/>
      <c r="N1220" s="185"/>
      <c r="O1220" s="185"/>
      <c r="P1220" s="185"/>
      <c r="Q1220" s="185"/>
      <c r="R1220" s="185"/>
    </row>
    <row r="1221" spans="1:18" s="197" customFormat="1" ht="12.75" x14ac:dyDescent="0.2">
      <c r="A1221" s="181"/>
      <c r="B1221" s="188" t="s">
        <v>2848</v>
      </c>
      <c r="C1221" s="189" t="s">
        <v>126</v>
      </c>
      <c r="D1221" s="189" t="s">
        <v>149</v>
      </c>
      <c r="E1221" s="190" t="s">
        <v>2849</v>
      </c>
      <c r="F1221" s="191">
        <f t="shared" si="20"/>
        <v>217.03333333333333</v>
      </c>
      <c r="G1221" s="185"/>
      <c r="H1221" s="181"/>
      <c r="I1221" s="74"/>
      <c r="J1221" s="74"/>
      <c r="M1221" s="185"/>
      <c r="N1221" s="185"/>
      <c r="O1221" s="185"/>
      <c r="P1221" s="185"/>
      <c r="Q1221" s="185"/>
      <c r="R1221" s="185"/>
    </row>
    <row r="1222" spans="1:18" s="197" customFormat="1" ht="12.75" x14ac:dyDescent="0.2">
      <c r="A1222" s="181"/>
      <c r="B1222" s="188" t="s">
        <v>2850</v>
      </c>
      <c r="C1222" s="189" t="s">
        <v>130</v>
      </c>
      <c r="D1222" s="189" t="s">
        <v>123</v>
      </c>
      <c r="E1222" s="190" t="s">
        <v>2851</v>
      </c>
      <c r="F1222" s="191">
        <f t="shared" si="20"/>
        <v>280.63333333333333</v>
      </c>
      <c r="G1222" s="185"/>
      <c r="H1222" s="181"/>
      <c r="I1222" s="74"/>
      <c r="J1222" s="74"/>
      <c r="M1222" s="185"/>
      <c r="N1222" s="185"/>
      <c r="O1222" s="185"/>
      <c r="P1222" s="185"/>
      <c r="Q1222" s="185"/>
      <c r="R1222" s="185"/>
    </row>
    <row r="1223" spans="1:18" s="197" customFormat="1" ht="12.75" x14ac:dyDescent="0.2">
      <c r="A1223" s="181"/>
      <c r="B1223" s="188" t="s">
        <v>2852</v>
      </c>
      <c r="C1223" s="189" t="s">
        <v>124</v>
      </c>
      <c r="D1223" s="189" t="s">
        <v>123</v>
      </c>
      <c r="E1223" s="190" t="s">
        <v>2487</v>
      </c>
      <c r="F1223" s="191">
        <f t="shared" si="20"/>
        <v>218.96666666666667</v>
      </c>
      <c r="G1223" s="185"/>
      <c r="H1223" s="181"/>
      <c r="I1223" s="74"/>
      <c r="J1223" s="74"/>
      <c r="M1223" s="185"/>
      <c r="N1223" s="185"/>
      <c r="O1223" s="185"/>
      <c r="P1223" s="185"/>
      <c r="Q1223" s="185"/>
      <c r="R1223" s="185"/>
    </row>
    <row r="1224" spans="1:18" s="197" customFormat="1" ht="12.75" x14ac:dyDescent="0.2">
      <c r="A1224" s="181"/>
      <c r="B1224" s="188" t="s">
        <v>2853</v>
      </c>
      <c r="C1224" s="189" t="s">
        <v>124</v>
      </c>
      <c r="D1224" s="189" t="s">
        <v>123</v>
      </c>
      <c r="E1224" s="190" t="s">
        <v>2854</v>
      </c>
      <c r="F1224" s="191">
        <f t="shared" si="20"/>
        <v>294.71666666666664</v>
      </c>
      <c r="G1224" s="185"/>
      <c r="H1224" s="181"/>
      <c r="I1224" s="74"/>
      <c r="J1224" s="74"/>
      <c r="M1224" s="185"/>
      <c r="N1224" s="185"/>
      <c r="O1224" s="185"/>
      <c r="P1224" s="185"/>
      <c r="Q1224" s="185"/>
      <c r="R1224" s="185"/>
    </row>
    <row r="1225" spans="1:18" s="197" customFormat="1" ht="12.75" x14ac:dyDescent="0.2">
      <c r="A1225" s="181"/>
      <c r="B1225" s="188" t="s">
        <v>2855</v>
      </c>
      <c r="C1225" s="189" t="s">
        <v>125</v>
      </c>
      <c r="D1225" s="189" t="s">
        <v>123</v>
      </c>
      <c r="E1225" s="190" t="s">
        <v>2856</v>
      </c>
      <c r="F1225" s="191">
        <f t="shared" si="20"/>
        <v>245.68333333333334</v>
      </c>
      <c r="G1225" s="185"/>
      <c r="H1225" s="181"/>
      <c r="I1225" s="74"/>
      <c r="J1225" s="74"/>
      <c r="M1225" s="185"/>
      <c r="N1225" s="185"/>
      <c r="O1225" s="185"/>
      <c r="P1225" s="185"/>
      <c r="Q1225" s="185"/>
      <c r="R1225" s="185"/>
    </row>
    <row r="1226" spans="1:18" s="197" customFormat="1" ht="12.75" x14ac:dyDescent="0.2">
      <c r="A1226" s="181"/>
      <c r="B1226" s="188" t="s">
        <v>2857</v>
      </c>
      <c r="C1226" s="189" t="s">
        <v>125</v>
      </c>
      <c r="D1226" s="189" t="s">
        <v>143</v>
      </c>
      <c r="E1226" s="190" t="s">
        <v>2858</v>
      </c>
      <c r="F1226" s="191">
        <f t="shared" si="20"/>
        <v>295.21666666666664</v>
      </c>
      <c r="G1226" s="185"/>
      <c r="H1226" s="181"/>
      <c r="I1226" s="74"/>
      <c r="J1226" s="74"/>
      <c r="M1226" s="185"/>
      <c r="N1226" s="185"/>
      <c r="O1226" s="185"/>
      <c r="P1226" s="185"/>
      <c r="Q1226" s="185"/>
      <c r="R1226" s="185"/>
    </row>
    <row r="1227" spans="1:18" s="197" customFormat="1" ht="12.75" x14ac:dyDescent="0.2">
      <c r="A1227" s="181"/>
      <c r="B1227" s="188" t="s">
        <v>2859</v>
      </c>
      <c r="C1227" s="189" t="s">
        <v>130</v>
      </c>
      <c r="D1227" s="189" t="s">
        <v>123</v>
      </c>
      <c r="E1227" s="190" t="s">
        <v>2860</v>
      </c>
      <c r="F1227" s="191">
        <f t="shared" ref="F1227:F1290" si="21">HOUR(E1227)*60+MINUTE(E1227)+SECOND(E1227)/60</f>
        <v>220.81666666666666</v>
      </c>
      <c r="G1227" s="185"/>
      <c r="H1227" s="181"/>
      <c r="I1227" s="74"/>
      <c r="J1227" s="74"/>
      <c r="M1227" s="185"/>
      <c r="N1227" s="185"/>
      <c r="O1227" s="185"/>
      <c r="P1227" s="185"/>
      <c r="Q1227" s="185"/>
      <c r="R1227" s="185"/>
    </row>
    <row r="1228" spans="1:18" s="197" customFormat="1" ht="12.75" x14ac:dyDescent="0.2">
      <c r="A1228" s="181"/>
      <c r="B1228" s="188" t="s">
        <v>2861</v>
      </c>
      <c r="C1228" s="189" t="s">
        <v>126</v>
      </c>
      <c r="D1228" s="189" t="s">
        <v>123</v>
      </c>
      <c r="E1228" s="190" t="s">
        <v>2862</v>
      </c>
      <c r="F1228" s="191">
        <f t="shared" si="21"/>
        <v>187.11666666666667</v>
      </c>
      <c r="G1228" s="185"/>
      <c r="H1228" s="181"/>
      <c r="I1228" s="74"/>
      <c r="J1228" s="74"/>
      <c r="M1228" s="185"/>
      <c r="N1228" s="185"/>
      <c r="O1228" s="185"/>
      <c r="P1228" s="185"/>
      <c r="Q1228" s="185"/>
      <c r="R1228" s="185"/>
    </row>
    <row r="1229" spans="1:18" s="197" customFormat="1" ht="12.75" x14ac:dyDescent="0.2">
      <c r="A1229" s="181"/>
      <c r="B1229" s="188" t="s">
        <v>2863</v>
      </c>
      <c r="C1229" s="189" t="s">
        <v>126</v>
      </c>
      <c r="D1229" s="189" t="s">
        <v>123</v>
      </c>
      <c r="E1229" s="190" t="s">
        <v>2864</v>
      </c>
      <c r="F1229" s="191">
        <f t="shared" si="21"/>
        <v>214.71666666666667</v>
      </c>
      <c r="G1229" s="185"/>
      <c r="H1229" s="181"/>
      <c r="I1229" s="74"/>
      <c r="J1229" s="74"/>
      <c r="M1229" s="185"/>
      <c r="N1229" s="185"/>
      <c r="O1229" s="185"/>
      <c r="P1229" s="185"/>
      <c r="Q1229" s="185"/>
      <c r="R1229" s="185"/>
    </row>
    <row r="1230" spans="1:18" s="197" customFormat="1" ht="12.75" x14ac:dyDescent="0.2">
      <c r="A1230" s="181"/>
      <c r="B1230" s="188" t="s">
        <v>2865</v>
      </c>
      <c r="C1230" s="189" t="s">
        <v>128</v>
      </c>
      <c r="D1230" s="189" t="s">
        <v>139</v>
      </c>
      <c r="E1230" s="190" t="s">
        <v>2866</v>
      </c>
      <c r="F1230" s="191">
        <f t="shared" si="21"/>
        <v>240.61666666666667</v>
      </c>
      <c r="G1230" s="185"/>
      <c r="H1230" s="181"/>
      <c r="I1230" s="74"/>
      <c r="J1230" s="74"/>
      <c r="M1230" s="185"/>
      <c r="N1230" s="185"/>
      <c r="O1230" s="185"/>
      <c r="P1230" s="185"/>
      <c r="Q1230" s="185"/>
      <c r="R1230" s="185"/>
    </row>
    <row r="1231" spans="1:18" s="197" customFormat="1" ht="12.75" x14ac:dyDescent="0.2">
      <c r="A1231" s="181"/>
      <c r="B1231" s="188" t="s">
        <v>2867</v>
      </c>
      <c r="C1231" s="189" t="s">
        <v>125</v>
      </c>
      <c r="D1231" s="189" t="s">
        <v>123</v>
      </c>
      <c r="E1231" s="190" t="s">
        <v>2868</v>
      </c>
      <c r="F1231" s="191">
        <f t="shared" si="21"/>
        <v>323.98333333333335</v>
      </c>
      <c r="G1231" s="185"/>
      <c r="H1231" s="181"/>
      <c r="I1231" s="74"/>
      <c r="J1231" s="74"/>
      <c r="M1231" s="185"/>
      <c r="N1231" s="185"/>
      <c r="O1231" s="185"/>
      <c r="P1231" s="185"/>
      <c r="Q1231" s="185"/>
      <c r="R1231" s="185"/>
    </row>
    <row r="1232" spans="1:18" s="197" customFormat="1" ht="12.75" x14ac:dyDescent="0.2">
      <c r="A1232" s="181"/>
      <c r="B1232" s="188" t="s">
        <v>2869</v>
      </c>
      <c r="C1232" s="189" t="s">
        <v>125</v>
      </c>
      <c r="D1232" s="189" t="s">
        <v>123</v>
      </c>
      <c r="E1232" s="190" t="s">
        <v>1695</v>
      </c>
      <c r="F1232" s="191">
        <f t="shared" si="21"/>
        <v>260</v>
      </c>
      <c r="G1232" s="185"/>
      <c r="H1232" s="181"/>
      <c r="I1232" s="74"/>
      <c r="J1232" s="74"/>
      <c r="M1232" s="185"/>
      <c r="N1232" s="185"/>
      <c r="O1232" s="185"/>
      <c r="P1232" s="185"/>
      <c r="Q1232" s="185"/>
      <c r="R1232" s="185"/>
    </row>
    <row r="1233" spans="1:18" s="197" customFormat="1" ht="12.75" x14ac:dyDescent="0.2">
      <c r="A1233" s="181"/>
      <c r="B1233" s="188" t="s">
        <v>2870</v>
      </c>
      <c r="C1233" s="189" t="s">
        <v>130</v>
      </c>
      <c r="D1233" s="189" t="s">
        <v>123</v>
      </c>
      <c r="E1233" s="190" t="s">
        <v>2871</v>
      </c>
      <c r="F1233" s="191">
        <f t="shared" si="21"/>
        <v>315</v>
      </c>
      <c r="G1233" s="185"/>
      <c r="H1233" s="181"/>
      <c r="I1233" s="74"/>
      <c r="J1233" s="74"/>
      <c r="M1233" s="185"/>
      <c r="N1233" s="185"/>
      <c r="O1233" s="185"/>
      <c r="P1233" s="185"/>
      <c r="Q1233" s="185"/>
      <c r="R1233" s="185"/>
    </row>
    <row r="1234" spans="1:18" s="197" customFormat="1" ht="12.75" x14ac:dyDescent="0.2">
      <c r="A1234" s="181"/>
      <c r="B1234" s="188" t="s">
        <v>2872</v>
      </c>
      <c r="C1234" s="189" t="s">
        <v>126</v>
      </c>
      <c r="D1234" s="189" t="s">
        <v>123</v>
      </c>
      <c r="E1234" s="190" t="s">
        <v>2873</v>
      </c>
      <c r="F1234" s="191">
        <f t="shared" si="21"/>
        <v>178.75</v>
      </c>
      <c r="G1234" s="185"/>
      <c r="H1234" s="181"/>
      <c r="I1234" s="74"/>
      <c r="J1234" s="74"/>
      <c r="M1234" s="185"/>
      <c r="N1234" s="185"/>
      <c r="O1234" s="185"/>
      <c r="P1234" s="185"/>
      <c r="Q1234" s="185"/>
      <c r="R1234" s="185"/>
    </row>
    <row r="1235" spans="1:18" s="197" customFormat="1" ht="12.75" x14ac:dyDescent="0.2">
      <c r="A1235" s="181"/>
      <c r="B1235" s="188" t="s">
        <v>385</v>
      </c>
      <c r="C1235" s="189" t="s">
        <v>125</v>
      </c>
      <c r="D1235" s="189" t="s">
        <v>148</v>
      </c>
      <c r="E1235" s="190" t="s">
        <v>2874</v>
      </c>
      <c r="F1235" s="191">
        <f t="shared" si="21"/>
        <v>266.01666666666665</v>
      </c>
      <c r="G1235" s="185"/>
      <c r="H1235" s="181"/>
      <c r="I1235" s="74"/>
      <c r="J1235" s="74"/>
      <c r="M1235" s="185"/>
      <c r="N1235" s="185"/>
      <c r="O1235" s="185"/>
      <c r="P1235" s="185"/>
      <c r="Q1235" s="185"/>
      <c r="R1235" s="185"/>
    </row>
    <row r="1236" spans="1:18" s="197" customFormat="1" ht="12.75" x14ac:dyDescent="0.2">
      <c r="A1236" s="181"/>
      <c r="B1236" s="188" t="s">
        <v>2875</v>
      </c>
      <c r="C1236" s="189" t="s">
        <v>125</v>
      </c>
      <c r="D1236" s="189" t="s">
        <v>132</v>
      </c>
      <c r="E1236" s="190" t="s">
        <v>2876</v>
      </c>
      <c r="F1236" s="191">
        <f t="shared" si="21"/>
        <v>235.4</v>
      </c>
      <c r="G1236" s="185"/>
      <c r="H1236" s="181"/>
      <c r="I1236" s="74"/>
      <c r="J1236" s="74"/>
      <c r="M1236" s="185"/>
      <c r="N1236" s="185"/>
      <c r="O1236" s="185"/>
      <c r="P1236" s="185"/>
      <c r="Q1236" s="185"/>
      <c r="R1236" s="185"/>
    </row>
    <row r="1237" spans="1:18" s="197" customFormat="1" ht="12.75" x14ac:dyDescent="0.2">
      <c r="A1237" s="181"/>
      <c r="B1237" s="188" t="s">
        <v>2877</v>
      </c>
      <c r="C1237" s="189" t="s">
        <v>128</v>
      </c>
      <c r="D1237" s="189" t="s">
        <v>188</v>
      </c>
      <c r="E1237" s="190" t="s">
        <v>2878</v>
      </c>
      <c r="F1237" s="191">
        <f t="shared" si="21"/>
        <v>297</v>
      </c>
      <c r="G1237" s="185"/>
      <c r="H1237" s="181"/>
      <c r="I1237" s="74"/>
      <c r="J1237" s="74"/>
      <c r="M1237" s="185"/>
      <c r="N1237" s="185"/>
      <c r="O1237" s="185"/>
      <c r="P1237" s="185"/>
      <c r="Q1237" s="185"/>
      <c r="R1237" s="185"/>
    </row>
    <row r="1238" spans="1:18" s="197" customFormat="1" ht="12.75" x14ac:dyDescent="0.2">
      <c r="A1238" s="181"/>
      <c r="B1238" s="188" t="s">
        <v>272</v>
      </c>
      <c r="C1238" s="189" t="s">
        <v>124</v>
      </c>
      <c r="D1238" s="189" t="s">
        <v>131</v>
      </c>
      <c r="E1238" s="190" t="s">
        <v>2879</v>
      </c>
      <c r="F1238" s="191">
        <f t="shared" si="21"/>
        <v>203.05</v>
      </c>
      <c r="G1238" s="185"/>
      <c r="H1238" s="181"/>
      <c r="I1238" s="74"/>
      <c r="J1238" s="74"/>
      <c r="M1238" s="185"/>
      <c r="N1238" s="185"/>
      <c r="O1238" s="185"/>
      <c r="P1238" s="185"/>
      <c r="Q1238" s="185"/>
      <c r="R1238" s="185"/>
    </row>
    <row r="1239" spans="1:18" s="197" customFormat="1" ht="12.75" x14ac:dyDescent="0.2">
      <c r="A1239" s="181"/>
      <c r="B1239" s="188" t="s">
        <v>2880</v>
      </c>
      <c r="C1239" s="189" t="s">
        <v>142</v>
      </c>
      <c r="D1239" s="189" t="s">
        <v>123</v>
      </c>
      <c r="E1239" s="190" t="s">
        <v>2881</v>
      </c>
      <c r="F1239" s="191">
        <f t="shared" si="21"/>
        <v>282.33333333333331</v>
      </c>
      <c r="G1239" s="185"/>
      <c r="H1239" s="181"/>
      <c r="I1239" s="74"/>
      <c r="J1239" s="74"/>
      <c r="M1239" s="185"/>
      <c r="N1239" s="185"/>
      <c r="O1239" s="185"/>
      <c r="P1239" s="185"/>
      <c r="Q1239" s="185"/>
      <c r="R1239" s="185"/>
    </row>
    <row r="1240" spans="1:18" s="197" customFormat="1" ht="12.75" x14ac:dyDescent="0.2">
      <c r="A1240" s="181"/>
      <c r="B1240" s="188" t="s">
        <v>2882</v>
      </c>
      <c r="C1240" s="189" t="s">
        <v>135</v>
      </c>
      <c r="D1240" s="189" t="s">
        <v>123</v>
      </c>
      <c r="E1240" s="190" t="s">
        <v>2883</v>
      </c>
      <c r="F1240" s="191">
        <f t="shared" si="21"/>
        <v>271.85000000000002</v>
      </c>
      <c r="G1240" s="185"/>
      <c r="H1240" s="181"/>
      <c r="I1240" s="74"/>
      <c r="J1240" s="74"/>
      <c r="M1240" s="185"/>
      <c r="N1240" s="185"/>
      <c r="O1240" s="185"/>
      <c r="P1240" s="185"/>
      <c r="Q1240" s="185"/>
      <c r="R1240" s="185"/>
    </row>
    <row r="1241" spans="1:18" s="197" customFormat="1" ht="12.75" x14ac:dyDescent="0.2">
      <c r="A1241" s="181"/>
      <c r="B1241" s="188" t="s">
        <v>2884</v>
      </c>
      <c r="C1241" s="189" t="s">
        <v>125</v>
      </c>
      <c r="D1241" s="189" t="s">
        <v>141</v>
      </c>
      <c r="E1241" s="190" t="s">
        <v>2885</v>
      </c>
      <c r="F1241" s="191">
        <f t="shared" si="21"/>
        <v>209.9</v>
      </c>
      <c r="G1241" s="185"/>
      <c r="H1241" s="181"/>
      <c r="I1241" s="74"/>
      <c r="J1241" s="74"/>
      <c r="M1241" s="185"/>
      <c r="N1241" s="185"/>
      <c r="O1241" s="185"/>
      <c r="P1241" s="185"/>
      <c r="Q1241" s="185"/>
      <c r="R1241" s="185"/>
    </row>
    <row r="1242" spans="1:18" s="197" customFormat="1" ht="12.75" x14ac:dyDescent="0.2">
      <c r="A1242" s="181"/>
      <c r="B1242" s="188" t="s">
        <v>2886</v>
      </c>
      <c r="C1242" s="189" t="s">
        <v>124</v>
      </c>
      <c r="D1242" s="189" t="s">
        <v>123</v>
      </c>
      <c r="E1242" s="190" t="s">
        <v>2887</v>
      </c>
      <c r="F1242" s="191">
        <f t="shared" si="21"/>
        <v>214.36666666666667</v>
      </c>
      <c r="G1242" s="185"/>
      <c r="H1242" s="181"/>
      <c r="I1242" s="74"/>
      <c r="J1242" s="74"/>
      <c r="M1242" s="185"/>
      <c r="N1242" s="185"/>
      <c r="O1242" s="185"/>
      <c r="P1242" s="185"/>
      <c r="Q1242" s="185"/>
      <c r="R1242" s="185"/>
    </row>
    <row r="1243" spans="1:18" s="197" customFormat="1" ht="12.75" x14ac:dyDescent="0.2">
      <c r="A1243" s="181"/>
      <c r="B1243" s="188" t="s">
        <v>500</v>
      </c>
      <c r="C1243" s="189" t="s">
        <v>125</v>
      </c>
      <c r="D1243" s="189" t="s">
        <v>123</v>
      </c>
      <c r="E1243" s="190" t="s">
        <v>2888</v>
      </c>
      <c r="F1243" s="191">
        <f t="shared" si="21"/>
        <v>261.8</v>
      </c>
      <c r="G1243" s="185"/>
      <c r="H1243" s="181"/>
      <c r="I1243" s="74"/>
      <c r="J1243" s="74"/>
      <c r="M1243" s="185"/>
      <c r="N1243" s="185"/>
      <c r="O1243" s="185"/>
      <c r="P1243" s="185"/>
      <c r="Q1243" s="185"/>
      <c r="R1243" s="185"/>
    </row>
    <row r="1244" spans="1:18" s="197" customFormat="1" ht="12.75" x14ac:dyDescent="0.2">
      <c r="A1244" s="181"/>
      <c r="B1244" s="188" t="s">
        <v>2889</v>
      </c>
      <c r="C1244" s="189" t="s">
        <v>142</v>
      </c>
      <c r="D1244" s="189" t="s">
        <v>123</v>
      </c>
      <c r="E1244" s="190" t="s">
        <v>2890</v>
      </c>
      <c r="F1244" s="191">
        <f t="shared" si="21"/>
        <v>298.10000000000002</v>
      </c>
      <c r="G1244" s="185"/>
      <c r="H1244" s="181"/>
      <c r="I1244" s="74"/>
      <c r="J1244" s="74"/>
      <c r="M1244" s="185"/>
      <c r="N1244" s="185"/>
      <c r="O1244" s="185"/>
      <c r="P1244" s="185"/>
      <c r="Q1244" s="185"/>
      <c r="R1244" s="185"/>
    </row>
    <row r="1245" spans="1:18" s="197" customFormat="1" ht="12.75" x14ac:dyDescent="0.2">
      <c r="A1245" s="181"/>
      <c r="B1245" s="188" t="s">
        <v>2891</v>
      </c>
      <c r="C1245" s="189" t="s">
        <v>124</v>
      </c>
      <c r="D1245" s="189" t="s">
        <v>131</v>
      </c>
      <c r="E1245" s="190" t="s">
        <v>2892</v>
      </c>
      <c r="F1245" s="191">
        <f t="shared" si="21"/>
        <v>234.63333333333333</v>
      </c>
      <c r="G1245" s="185"/>
      <c r="H1245" s="181"/>
      <c r="I1245" s="74"/>
      <c r="J1245" s="74"/>
      <c r="M1245" s="185"/>
      <c r="N1245" s="185"/>
      <c r="O1245" s="185"/>
      <c r="P1245" s="185"/>
      <c r="Q1245" s="185"/>
      <c r="R1245" s="185"/>
    </row>
    <row r="1246" spans="1:18" s="197" customFormat="1" ht="12.75" x14ac:dyDescent="0.2">
      <c r="A1246" s="181"/>
      <c r="B1246" s="188" t="s">
        <v>2893</v>
      </c>
      <c r="C1246" s="189" t="s">
        <v>134</v>
      </c>
      <c r="D1246" s="189" t="s">
        <v>123</v>
      </c>
      <c r="E1246" s="190" t="s">
        <v>2894</v>
      </c>
      <c r="F1246" s="191">
        <f t="shared" si="21"/>
        <v>185.33333333333334</v>
      </c>
      <c r="G1246" s="185"/>
      <c r="H1246" s="181"/>
      <c r="I1246" s="74"/>
      <c r="J1246" s="74"/>
      <c r="M1246" s="185"/>
      <c r="N1246" s="185"/>
      <c r="O1246" s="185"/>
      <c r="P1246" s="185"/>
      <c r="Q1246" s="185"/>
      <c r="R1246" s="185"/>
    </row>
    <row r="1247" spans="1:18" s="197" customFormat="1" ht="12.75" x14ac:dyDescent="0.2">
      <c r="A1247" s="181"/>
      <c r="B1247" s="188" t="s">
        <v>1743</v>
      </c>
      <c r="C1247" s="189" t="s">
        <v>126</v>
      </c>
      <c r="D1247" s="189" t="s">
        <v>123</v>
      </c>
      <c r="E1247" s="190" t="s">
        <v>1744</v>
      </c>
      <c r="F1247" s="191">
        <f t="shared" si="21"/>
        <v>221.85</v>
      </c>
      <c r="G1247" s="185"/>
      <c r="H1247" s="181"/>
      <c r="I1247" s="74"/>
      <c r="J1247" s="74"/>
      <c r="M1247" s="185"/>
      <c r="N1247" s="185"/>
      <c r="O1247" s="185"/>
      <c r="P1247" s="185"/>
      <c r="Q1247" s="185"/>
      <c r="R1247" s="185"/>
    </row>
    <row r="1248" spans="1:18" s="197" customFormat="1" ht="12.75" x14ac:dyDescent="0.2">
      <c r="A1248" s="181"/>
      <c r="B1248" s="188" t="s">
        <v>2895</v>
      </c>
      <c r="C1248" s="189" t="s">
        <v>124</v>
      </c>
      <c r="D1248" s="189" t="s">
        <v>139</v>
      </c>
      <c r="E1248" s="190" t="s">
        <v>2896</v>
      </c>
      <c r="F1248" s="191">
        <f t="shared" si="21"/>
        <v>247.33333333333334</v>
      </c>
      <c r="G1248" s="185"/>
      <c r="H1248" s="181"/>
      <c r="I1248" s="74"/>
      <c r="J1248" s="74"/>
      <c r="M1248" s="185"/>
      <c r="N1248" s="185"/>
      <c r="O1248" s="185"/>
      <c r="P1248" s="185"/>
      <c r="Q1248" s="185"/>
      <c r="R1248" s="185"/>
    </row>
    <row r="1249" spans="1:18" s="197" customFormat="1" ht="12.75" x14ac:dyDescent="0.2">
      <c r="A1249" s="181"/>
      <c r="B1249" s="188" t="s">
        <v>2897</v>
      </c>
      <c r="C1249" s="189" t="s">
        <v>124</v>
      </c>
      <c r="D1249" s="189" t="s">
        <v>123</v>
      </c>
      <c r="E1249" s="190" t="s">
        <v>2898</v>
      </c>
      <c r="F1249" s="191">
        <f t="shared" si="21"/>
        <v>229.56666666666666</v>
      </c>
      <c r="G1249" s="185"/>
      <c r="H1249" s="181"/>
      <c r="I1249" s="74"/>
      <c r="J1249" s="74"/>
      <c r="M1249" s="185"/>
      <c r="N1249" s="185"/>
      <c r="O1249" s="185"/>
      <c r="P1249" s="185"/>
      <c r="Q1249" s="185"/>
      <c r="R1249" s="185"/>
    </row>
    <row r="1250" spans="1:18" s="197" customFormat="1" ht="12.75" x14ac:dyDescent="0.2">
      <c r="A1250" s="181"/>
      <c r="B1250" s="188" t="s">
        <v>2899</v>
      </c>
      <c r="C1250" s="189" t="s">
        <v>125</v>
      </c>
      <c r="D1250" s="189" t="s">
        <v>131</v>
      </c>
      <c r="E1250" s="190" t="s">
        <v>2900</v>
      </c>
      <c r="F1250" s="191">
        <f t="shared" si="21"/>
        <v>242.1</v>
      </c>
      <c r="G1250" s="185"/>
      <c r="H1250" s="181"/>
      <c r="I1250" s="74"/>
      <c r="J1250" s="74"/>
      <c r="M1250" s="185"/>
      <c r="N1250" s="185"/>
      <c r="O1250" s="185"/>
      <c r="P1250" s="185"/>
      <c r="Q1250" s="185"/>
      <c r="R1250" s="185"/>
    </row>
    <row r="1251" spans="1:18" s="197" customFormat="1" ht="12.75" x14ac:dyDescent="0.2">
      <c r="A1251" s="181"/>
      <c r="B1251" s="188" t="s">
        <v>2901</v>
      </c>
      <c r="C1251" s="189" t="s">
        <v>126</v>
      </c>
      <c r="D1251" s="189" t="s">
        <v>123</v>
      </c>
      <c r="E1251" s="190" t="s">
        <v>1754</v>
      </c>
      <c r="F1251" s="191">
        <f t="shared" si="21"/>
        <v>254.43333333333334</v>
      </c>
      <c r="G1251" s="185"/>
      <c r="H1251" s="181"/>
      <c r="I1251" s="74"/>
      <c r="J1251" s="74"/>
      <c r="M1251" s="185"/>
      <c r="N1251" s="185"/>
      <c r="O1251" s="185"/>
      <c r="P1251" s="185"/>
      <c r="Q1251" s="185"/>
      <c r="R1251" s="185"/>
    </row>
    <row r="1252" spans="1:18" s="197" customFormat="1" ht="12.75" x14ac:dyDescent="0.2">
      <c r="A1252" s="181"/>
      <c r="B1252" s="188" t="s">
        <v>2902</v>
      </c>
      <c r="C1252" s="189" t="s">
        <v>124</v>
      </c>
      <c r="D1252" s="189" t="s">
        <v>123</v>
      </c>
      <c r="E1252" s="190" t="s">
        <v>2903</v>
      </c>
      <c r="F1252" s="191">
        <f t="shared" si="21"/>
        <v>283.06666666666666</v>
      </c>
      <c r="G1252" s="185"/>
      <c r="H1252" s="181"/>
      <c r="I1252" s="74"/>
      <c r="J1252" s="74"/>
      <c r="M1252" s="185"/>
      <c r="N1252" s="185"/>
      <c r="O1252" s="185"/>
      <c r="P1252" s="185"/>
      <c r="Q1252" s="185"/>
      <c r="R1252" s="185"/>
    </row>
    <row r="1253" spans="1:18" s="197" customFormat="1" ht="12.75" x14ac:dyDescent="0.2">
      <c r="A1253" s="181"/>
      <c r="B1253" s="188" t="s">
        <v>2904</v>
      </c>
      <c r="C1253" s="189" t="s">
        <v>125</v>
      </c>
      <c r="D1253" s="189" t="s">
        <v>212</v>
      </c>
      <c r="E1253" s="190" t="s">
        <v>2905</v>
      </c>
      <c r="F1253" s="191">
        <f t="shared" si="21"/>
        <v>232.21666666666667</v>
      </c>
      <c r="G1253" s="185"/>
      <c r="H1253" s="181"/>
      <c r="I1253" s="74"/>
      <c r="J1253" s="74"/>
      <c r="M1253" s="185"/>
      <c r="N1253" s="185"/>
      <c r="O1253" s="185"/>
      <c r="P1253" s="185"/>
      <c r="Q1253" s="185"/>
      <c r="R1253" s="185"/>
    </row>
    <row r="1254" spans="1:18" s="197" customFormat="1" ht="12.75" x14ac:dyDescent="0.2">
      <c r="A1254" s="181"/>
      <c r="B1254" s="188" t="s">
        <v>2906</v>
      </c>
      <c r="C1254" s="189" t="s">
        <v>130</v>
      </c>
      <c r="D1254" s="189" t="s">
        <v>139</v>
      </c>
      <c r="E1254" s="190" t="s">
        <v>2907</v>
      </c>
      <c r="F1254" s="191">
        <f t="shared" si="21"/>
        <v>242.63333333333333</v>
      </c>
      <c r="G1254" s="185"/>
      <c r="H1254" s="181"/>
      <c r="I1254" s="74"/>
      <c r="J1254" s="74"/>
      <c r="M1254" s="185"/>
      <c r="N1254" s="185"/>
      <c r="O1254" s="185"/>
      <c r="P1254" s="185"/>
      <c r="Q1254" s="185"/>
      <c r="R1254" s="185"/>
    </row>
    <row r="1255" spans="1:18" s="197" customFormat="1" ht="12.75" x14ac:dyDescent="0.2">
      <c r="A1255" s="181"/>
      <c r="B1255" s="188" t="s">
        <v>2908</v>
      </c>
      <c r="C1255" s="189" t="s">
        <v>135</v>
      </c>
      <c r="D1255" s="189" t="s">
        <v>123</v>
      </c>
      <c r="E1255" s="190" t="s">
        <v>2593</v>
      </c>
      <c r="F1255" s="191">
        <f t="shared" si="21"/>
        <v>280.2</v>
      </c>
      <c r="G1255" s="185"/>
      <c r="H1255" s="181"/>
      <c r="I1255" s="74"/>
      <c r="J1255" s="74"/>
      <c r="M1255" s="185"/>
      <c r="N1255" s="185"/>
      <c r="O1255" s="185"/>
      <c r="P1255" s="185"/>
      <c r="Q1255" s="185"/>
      <c r="R1255" s="185"/>
    </row>
    <row r="1256" spans="1:18" s="197" customFormat="1" ht="12.75" x14ac:dyDescent="0.2">
      <c r="A1256" s="181"/>
      <c r="B1256" s="188" t="s">
        <v>221</v>
      </c>
      <c r="C1256" s="189" t="s">
        <v>126</v>
      </c>
      <c r="D1256" s="189" t="s">
        <v>123</v>
      </c>
      <c r="E1256" s="190" t="s">
        <v>2909</v>
      </c>
      <c r="F1256" s="191">
        <f t="shared" si="21"/>
        <v>219.55</v>
      </c>
      <c r="G1256" s="185"/>
      <c r="H1256" s="181"/>
      <c r="I1256" s="74"/>
      <c r="J1256" s="74"/>
      <c r="M1256" s="185"/>
      <c r="N1256" s="185"/>
      <c r="O1256" s="185"/>
      <c r="P1256" s="185"/>
      <c r="Q1256" s="185"/>
      <c r="R1256" s="185"/>
    </row>
    <row r="1257" spans="1:18" s="197" customFormat="1" ht="12.75" x14ac:dyDescent="0.2">
      <c r="A1257" s="181"/>
      <c r="B1257" s="188" t="s">
        <v>2910</v>
      </c>
      <c r="C1257" s="189" t="s">
        <v>124</v>
      </c>
      <c r="D1257" s="189" t="s">
        <v>123</v>
      </c>
      <c r="E1257" s="190" t="s">
        <v>2911</v>
      </c>
      <c r="F1257" s="191">
        <f t="shared" si="21"/>
        <v>261.31666666666666</v>
      </c>
      <c r="G1257" s="185"/>
      <c r="H1257" s="181"/>
      <c r="I1257" s="74"/>
      <c r="J1257" s="74"/>
      <c r="M1257" s="185"/>
      <c r="N1257" s="185"/>
      <c r="O1257" s="185"/>
      <c r="P1257" s="185"/>
      <c r="Q1257" s="185"/>
      <c r="R1257" s="185"/>
    </row>
    <row r="1258" spans="1:18" s="197" customFormat="1" ht="12.75" x14ac:dyDescent="0.2">
      <c r="A1258" s="181"/>
      <c r="B1258" s="188" t="s">
        <v>2912</v>
      </c>
      <c r="C1258" s="189" t="s">
        <v>136</v>
      </c>
      <c r="D1258" s="189" t="s">
        <v>123</v>
      </c>
      <c r="E1258" s="190" t="s">
        <v>2913</v>
      </c>
      <c r="F1258" s="191">
        <f t="shared" si="21"/>
        <v>276.53333333333336</v>
      </c>
      <c r="G1258" s="185"/>
      <c r="H1258" s="181"/>
      <c r="I1258" s="74"/>
      <c r="J1258" s="74"/>
      <c r="M1258" s="185"/>
      <c r="N1258" s="185"/>
      <c r="O1258" s="185"/>
      <c r="P1258" s="185"/>
      <c r="Q1258" s="185"/>
      <c r="R1258" s="185"/>
    </row>
    <row r="1259" spans="1:18" s="197" customFormat="1" ht="12.75" x14ac:dyDescent="0.2">
      <c r="A1259" s="181"/>
      <c r="B1259" s="188" t="s">
        <v>2914</v>
      </c>
      <c r="C1259" s="189" t="s">
        <v>125</v>
      </c>
      <c r="D1259" s="189" t="s">
        <v>123</v>
      </c>
      <c r="E1259" s="190" t="s">
        <v>2915</v>
      </c>
      <c r="F1259" s="191">
        <f t="shared" si="21"/>
        <v>172.43333333333334</v>
      </c>
      <c r="G1259" s="185"/>
      <c r="H1259" s="181"/>
      <c r="I1259" s="74"/>
      <c r="J1259" s="74"/>
      <c r="M1259" s="185"/>
      <c r="N1259" s="185"/>
      <c r="O1259" s="185"/>
      <c r="P1259" s="185"/>
      <c r="Q1259" s="185"/>
      <c r="R1259" s="185"/>
    </row>
    <row r="1260" spans="1:18" s="197" customFormat="1" ht="12.75" x14ac:dyDescent="0.2">
      <c r="A1260" s="181"/>
      <c r="B1260" s="188" t="s">
        <v>2916</v>
      </c>
      <c r="C1260" s="189" t="s">
        <v>128</v>
      </c>
      <c r="D1260" s="189" t="s">
        <v>169</v>
      </c>
      <c r="E1260" s="190" t="s">
        <v>2917</v>
      </c>
      <c r="F1260" s="191">
        <f t="shared" si="21"/>
        <v>326.18333333333334</v>
      </c>
      <c r="G1260" s="185"/>
      <c r="H1260" s="181"/>
      <c r="I1260" s="74"/>
      <c r="J1260" s="74"/>
      <c r="M1260" s="185"/>
      <c r="N1260" s="185"/>
      <c r="O1260" s="185"/>
      <c r="P1260" s="185"/>
      <c r="Q1260" s="185"/>
      <c r="R1260" s="185"/>
    </row>
    <row r="1261" spans="1:18" s="197" customFormat="1" ht="12.75" x14ac:dyDescent="0.2">
      <c r="A1261" s="181"/>
      <c r="B1261" s="188" t="s">
        <v>2918</v>
      </c>
      <c r="C1261" s="189" t="s">
        <v>135</v>
      </c>
      <c r="D1261" s="189" t="s">
        <v>123</v>
      </c>
      <c r="E1261" s="190" t="s">
        <v>2919</v>
      </c>
      <c r="F1261" s="191">
        <f t="shared" si="21"/>
        <v>280.71666666666664</v>
      </c>
      <c r="G1261" s="185"/>
      <c r="H1261" s="181"/>
      <c r="I1261" s="74"/>
      <c r="J1261" s="74"/>
      <c r="M1261" s="185"/>
      <c r="N1261" s="185"/>
      <c r="O1261" s="185"/>
      <c r="P1261" s="185"/>
      <c r="Q1261" s="185"/>
      <c r="R1261" s="185"/>
    </row>
    <row r="1262" spans="1:18" s="197" customFormat="1" ht="12.75" x14ac:dyDescent="0.2">
      <c r="A1262" s="181"/>
      <c r="B1262" s="188" t="s">
        <v>2920</v>
      </c>
      <c r="C1262" s="189" t="s">
        <v>134</v>
      </c>
      <c r="D1262" s="189" t="s">
        <v>157</v>
      </c>
      <c r="E1262" s="190" t="s">
        <v>2921</v>
      </c>
      <c r="F1262" s="191">
        <f t="shared" si="21"/>
        <v>232.03333333333333</v>
      </c>
      <c r="G1262" s="185"/>
      <c r="H1262" s="181"/>
      <c r="I1262" s="74"/>
      <c r="J1262" s="74"/>
      <c r="M1262" s="185"/>
      <c r="N1262" s="185"/>
      <c r="O1262" s="185"/>
      <c r="P1262" s="185"/>
      <c r="Q1262" s="185"/>
      <c r="R1262" s="185"/>
    </row>
    <row r="1263" spans="1:18" s="197" customFormat="1" ht="12.75" x14ac:dyDescent="0.2">
      <c r="A1263" s="181"/>
      <c r="B1263" s="188" t="s">
        <v>2922</v>
      </c>
      <c r="C1263" s="189" t="s">
        <v>249</v>
      </c>
      <c r="D1263" s="189" t="s">
        <v>123</v>
      </c>
      <c r="E1263" s="190" t="s">
        <v>2923</v>
      </c>
      <c r="F1263" s="191">
        <f t="shared" si="21"/>
        <v>264.78333333333336</v>
      </c>
      <c r="G1263" s="185"/>
      <c r="H1263" s="181"/>
      <c r="I1263" s="74"/>
      <c r="J1263" s="74"/>
      <c r="M1263" s="185"/>
      <c r="N1263" s="185"/>
      <c r="O1263" s="185"/>
      <c r="P1263" s="185"/>
      <c r="Q1263" s="185"/>
      <c r="R1263" s="185"/>
    </row>
    <row r="1264" spans="1:18" s="197" customFormat="1" ht="12.75" x14ac:dyDescent="0.2">
      <c r="A1264" s="181"/>
      <c r="B1264" s="188" t="s">
        <v>2924</v>
      </c>
      <c r="C1264" s="189" t="s">
        <v>130</v>
      </c>
      <c r="D1264" s="189" t="s">
        <v>123</v>
      </c>
      <c r="E1264" s="190" t="s">
        <v>2925</v>
      </c>
      <c r="F1264" s="191">
        <f t="shared" si="21"/>
        <v>213.85</v>
      </c>
      <c r="G1264" s="185"/>
      <c r="H1264" s="181"/>
      <c r="I1264" s="74"/>
      <c r="J1264" s="74"/>
      <c r="M1264" s="185"/>
      <c r="N1264" s="185"/>
      <c r="O1264" s="185"/>
      <c r="P1264" s="185"/>
      <c r="Q1264" s="185"/>
      <c r="R1264" s="185"/>
    </row>
    <row r="1265" spans="1:18" s="197" customFormat="1" ht="12.75" x14ac:dyDescent="0.2">
      <c r="A1265" s="181"/>
      <c r="B1265" s="188" t="s">
        <v>2926</v>
      </c>
      <c r="C1265" s="189" t="s">
        <v>126</v>
      </c>
      <c r="D1265" s="189" t="s">
        <v>123</v>
      </c>
      <c r="E1265" s="190" t="s">
        <v>2927</v>
      </c>
      <c r="F1265" s="191">
        <f t="shared" si="21"/>
        <v>257.71666666666664</v>
      </c>
      <c r="G1265" s="185"/>
      <c r="H1265" s="181"/>
      <c r="I1265" s="74"/>
      <c r="J1265" s="74"/>
      <c r="M1265" s="185"/>
      <c r="N1265" s="185"/>
      <c r="O1265" s="185"/>
      <c r="P1265" s="185"/>
      <c r="Q1265" s="185"/>
      <c r="R1265" s="185"/>
    </row>
    <row r="1266" spans="1:18" s="197" customFormat="1" ht="12.75" x14ac:dyDescent="0.2">
      <c r="A1266" s="181"/>
      <c r="B1266" s="188" t="s">
        <v>2928</v>
      </c>
      <c r="C1266" s="189" t="s">
        <v>124</v>
      </c>
      <c r="D1266" s="189" t="s">
        <v>188</v>
      </c>
      <c r="E1266" s="190" t="s">
        <v>2929</v>
      </c>
      <c r="F1266" s="191">
        <f t="shared" si="21"/>
        <v>196.58333333333334</v>
      </c>
      <c r="G1266" s="185"/>
      <c r="H1266" s="181"/>
      <c r="I1266" s="74"/>
      <c r="J1266" s="74"/>
      <c r="M1266" s="185"/>
      <c r="N1266" s="185"/>
      <c r="O1266" s="185"/>
      <c r="P1266" s="185"/>
      <c r="Q1266" s="185"/>
      <c r="R1266" s="185"/>
    </row>
    <row r="1267" spans="1:18" s="197" customFormat="1" ht="12.75" x14ac:dyDescent="0.2">
      <c r="A1267" s="181"/>
      <c r="B1267" s="188" t="s">
        <v>2930</v>
      </c>
      <c r="C1267" s="189" t="s">
        <v>134</v>
      </c>
      <c r="D1267" s="189" t="s">
        <v>123</v>
      </c>
      <c r="E1267" s="190" t="s">
        <v>2931</v>
      </c>
      <c r="F1267" s="191">
        <f t="shared" si="21"/>
        <v>183.05</v>
      </c>
      <c r="G1267" s="185"/>
      <c r="H1267" s="181"/>
      <c r="I1267" s="74"/>
      <c r="J1267" s="74"/>
      <c r="M1267" s="185"/>
      <c r="N1267" s="185"/>
      <c r="O1267" s="185"/>
      <c r="P1267" s="185"/>
      <c r="Q1267" s="185"/>
      <c r="R1267" s="185"/>
    </row>
    <row r="1268" spans="1:18" s="197" customFormat="1" ht="12.75" x14ac:dyDescent="0.2">
      <c r="A1268" s="181"/>
      <c r="B1268" s="188" t="s">
        <v>2932</v>
      </c>
      <c r="C1268" s="189" t="s">
        <v>125</v>
      </c>
      <c r="D1268" s="189" t="s">
        <v>123</v>
      </c>
      <c r="E1268" s="190" t="s">
        <v>2933</v>
      </c>
      <c r="F1268" s="191">
        <f t="shared" si="21"/>
        <v>206.36666666666667</v>
      </c>
      <c r="G1268" s="185"/>
      <c r="H1268" s="181"/>
      <c r="I1268" s="74"/>
      <c r="J1268" s="74"/>
      <c r="M1268" s="185"/>
      <c r="N1268" s="185"/>
      <c r="O1268" s="185"/>
      <c r="P1268" s="185"/>
      <c r="Q1268" s="185"/>
      <c r="R1268" s="185"/>
    </row>
    <row r="1269" spans="1:18" s="197" customFormat="1" ht="12.75" x14ac:dyDescent="0.2">
      <c r="A1269" s="181"/>
      <c r="B1269" s="188" t="s">
        <v>2934</v>
      </c>
      <c r="C1269" s="189" t="s">
        <v>134</v>
      </c>
      <c r="D1269" s="189" t="s">
        <v>123</v>
      </c>
      <c r="E1269" s="190" t="s">
        <v>2935</v>
      </c>
      <c r="F1269" s="191">
        <f t="shared" si="21"/>
        <v>221.03333333333333</v>
      </c>
      <c r="G1269" s="185"/>
      <c r="H1269" s="181"/>
      <c r="I1269" s="74"/>
      <c r="J1269" s="74"/>
      <c r="M1269" s="185"/>
      <c r="N1269" s="185"/>
      <c r="O1269" s="185"/>
      <c r="P1269" s="185"/>
      <c r="Q1269" s="185"/>
      <c r="R1269" s="185"/>
    </row>
    <row r="1270" spans="1:18" s="197" customFormat="1" ht="12.75" x14ac:dyDescent="0.2">
      <c r="A1270" s="181"/>
      <c r="B1270" s="188" t="s">
        <v>2936</v>
      </c>
      <c r="C1270" s="189" t="s">
        <v>142</v>
      </c>
      <c r="D1270" s="189" t="s">
        <v>123</v>
      </c>
      <c r="E1270" s="190" t="s">
        <v>1317</v>
      </c>
      <c r="F1270" s="191">
        <f t="shared" si="21"/>
        <v>254.9</v>
      </c>
      <c r="G1270" s="185"/>
      <c r="H1270" s="181"/>
      <c r="I1270" s="74"/>
      <c r="J1270" s="74"/>
      <c r="M1270" s="185"/>
      <c r="N1270" s="185"/>
      <c r="O1270" s="185"/>
      <c r="P1270" s="185"/>
      <c r="Q1270" s="185"/>
      <c r="R1270" s="185"/>
    </row>
    <row r="1271" spans="1:18" s="197" customFormat="1" ht="12.75" x14ac:dyDescent="0.2">
      <c r="A1271" s="181"/>
      <c r="B1271" s="188" t="s">
        <v>283</v>
      </c>
      <c r="C1271" s="189" t="s">
        <v>125</v>
      </c>
      <c r="D1271" s="189" t="s">
        <v>148</v>
      </c>
      <c r="E1271" s="190" t="s">
        <v>2937</v>
      </c>
      <c r="F1271" s="191">
        <f t="shared" si="21"/>
        <v>301.96666666666664</v>
      </c>
      <c r="G1271" s="185"/>
      <c r="H1271" s="181"/>
      <c r="I1271" s="74"/>
      <c r="J1271" s="74"/>
      <c r="M1271" s="185"/>
      <c r="N1271" s="185"/>
      <c r="O1271" s="185"/>
      <c r="P1271" s="185"/>
      <c r="Q1271" s="185"/>
      <c r="R1271" s="185"/>
    </row>
    <row r="1272" spans="1:18" s="197" customFormat="1" ht="12.75" x14ac:dyDescent="0.2">
      <c r="A1272" s="181"/>
      <c r="B1272" s="188" t="s">
        <v>2904</v>
      </c>
      <c r="C1272" s="189" t="s">
        <v>125</v>
      </c>
      <c r="D1272" s="189" t="s">
        <v>123</v>
      </c>
      <c r="E1272" s="190" t="s">
        <v>2905</v>
      </c>
      <c r="F1272" s="191">
        <f t="shared" si="21"/>
        <v>232.21666666666667</v>
      </c>
      <c r="G1272" s="185"/>
      <c r="H1272" s="181"/>
      <c r="I1272" s="74"/>
      <c r="J1272" s="74"/>
      <c r="M1272" s="185"/>
      <c r="N1272" s="185"/>
      <c r="O1272" s="185"/>
      <c r="P1272" s="185"/>
      <c r="Q1272" s="185"/>
      <c r="R1272" s="185"/>
    </row>
    <row r="1273" spans="1:18" s="197" customFormat="1" ht="12.75" x14ac:dyDescent="0.2">
      <c r="A1273" s="181"/>
      <c r="B1273" s="188" t="s">
        <v>2938</v>
      </c>
      <c r="C1273" s="189" t="s">
        <v>126</v>
      </c>
      <c r="D1273" s="189" t="s">
        <v>123</v>
      </c>
      <c r="E1273" s="190" t="s">
        <v>2939</v>
      </c>
      <c r="F1273" s="191">
        <f t="shared" si="21"/>
        <v>241.16666666666666</v>
      </c>
      <c r="G1273" s="185"/>
      <c r="H1273" s="181"/>
      <c r="I1273" s="74"/>
      <c r="J1273" s="74"/>
      <c r="M1273" s="185"/>
      <c r="N1273" s="185"/>
      <c r="O1273" s="185"/>
      <c r="P1273" s="185"/>
      <c r="Q1273" s="185"/>
      <c r="R1273" s="185"/>
    </row>
    <row r="1274" spans="1:18" s="197" customFormat="1" ht="12.75" x14ac:dyDescent="0.2">
      <c r="A1274" s="181"/>
      <c r="B1274" s="188" t="s">
        <v>2940</v>
      </c>
      <c r="C1274" s="189" t="s">
        <v>124</v>
      </c>
      <c r="D1274" s="189" t="s">
        <v>123</v>
      </c>
      <c r="E1274" s="190" t="s">
        <v>2941</v>
      </c>
      <c r="F1274" s="191">
        <f t="shared" si="21"/>
        <v>221.48333333333332</v>
      </c>
      <c r="G1274" s="185"/>
      <c r="H1274" s="181"/>
      <c r="I1274" s="74"/>
      <c r="J1274" s="74"/>
      <c r="M1274" s="185"/>
      <c r="N1274" s="185"/>
      <c r="O1274" s="185"/>
      <c r="P1274" s="185"/>
      <c r="Q1274" s="185"/>
      <c r="R1274" s="185"/>
    </row>
    <row r="1275" spans="1:18" s="197" customFormat="1" ht="12.75" x14ac:dyDescent="0.2">
      <c r="A1275" s="181"/>
      <c r="B1275" s="188" t="s">
        <v>2942</v>
      </c>
      <c r="C1275" s="189" t="s">
        <v>135</v>
      </c>
      <c r="D1275" s="189" t="s">
        <v>123</v>
      </c>
      <c r="E1275" s="190" t="s">
        <v>2943</v>
      </c>
      <c r="F1275" s="191">
        <f t="shared" si="21"/>
        <v>289.31666666666666</v>
      </c>
      <c r="G1275" s="185"/>
      <c r="H1275" s="181"/>
      <c r="I1275" s="74"/>
      <c r="J1275" s="74"/>
      <c r="M1275" s="185"/>
      <c r="N1275" s="185"/>
      <c r="O1275" s="185"/>
      <c r="P1275" s="185"/>
      <c r="Q1275" s="185"/>
      <c r="R1275" s="185"/>
    </row>
    <row r="1276" spans="1:18" s="197" customFormat="1" ht="12.75" x14ac:dyDescent="0.2">
      <c r="A1276" s="181"/>
      <c r="B1276" s="188" t="s">
        <v>242</v>
      </c>
      <c r="C1276" s="189" t="s">
        <v>125</v>
      </c>
      <c r="D1276" s="189" t="s">
        <v>169</v>
      </c>
      <c r="E1276" s="190" t="s">
        <v>2944</v>
      </c>
      <c r="F1276" s="191">
        <f t="shared" si="21"/>
        <v>234.71666666666667</v>
      </c>
      <c r="G1276" s="185"/>
      <c r="H1276" s="181"/>
      <c r="I1276" s="74"/>
      <c r="J1276" s="74"/>
      <c r="M1276" s="185"/>
      <c r="N1276" s="185"/>
      <c r="O1276" s="185"/>
      <c r="P1276" s="185"/>
      <c r="Q1276" s="185"/>
      <c r="R1276" s="185"/>
    </row>
    <row r="1277" spans="1:18" s="197" customFormat="1" ht="12.75" x14ac:dyDescent="0.2">
      <c r="A1277" s="181"/>
      <c r="B1277" s="188" t="s">
        <v>2945</v>
      </c>
      <c r="C1277" s="189" t="s">
        <v>125</v>
      </c>
      <c r="D1277" s="189" t="s">
        <v>123</v>
      </c>
      <c r="E1277" s="190" t="s">
        <v>2946</v>
      </c>
      <c r="F1277" s="191">
        <f t="shared" si="21"/>
        <v>279.71666666666664</v>
      </c>
      <c r="G1277" s="185"/>
      <c r="H1277" s="181"/>
      <c r="I1277" s="74"/>
      <c r="J1277" s="74"/>
      <c r="M1277" s="185"/>
      <c r="N1277" s="185"/>
      <c r="O1277" s="185"/>
      <c r="P1277" s="185"/>
      <c r="Q1277" s="185"/>
      <c r="R1277" s="185"/>
    </row>
    <row r="1278" spans="1:18" s="197" customFormat="1" ht="12.75" x14ac:dyDescent="0.2">
      <c r="A1278" s="181"/>
      <c r="B1278" s="188" t="s">
        <v>493</v>
      </c>
      <c r="C1278" s="189" t="s">
        <v>124</v>
      </c>
      <c r="D1278" s="189" t="s">
        <v>123</v>
      </c>
      <c r="E1278" s="190" t="s">
        <v>2947</v>
      </c>
      <c r="F1278" s="191">
        <f t="shared" si="21"/>
        <v>273.95</v>
      </c>
      <c r="G1278" s="185"/>
      <c r="H1278" s="181"/>
      <c r="I1278" s="74"/>
      <c r="J1278" s="74"/>
      <c r="M1278" s="185"/>
      <c r="N1278" s="185"/>
      <c r="O1278" s="185"/>
      <c r="P1278" s="185"/>
      <c r="Q1278" s="185"/>
      <c r="R1278" s="185"/>
    </row>
    <row r="1279" spans="1:18" s="197" customFormat="1" ht="12.75" x14ac:dyDescent="0.2">
      <c r="A1279" s="181"/>
      <c r="B1279" s="188" t="s">
        <v>2948</v>
      </c>
      <c r="C1279" s="189" t="s">
        <v>124</v>
      </c>
      <c r="D1279" s="189" t="s">
        <v>123</v>
      </c>
      <c r="E1279" s="190" t="s">
        <v>2949</v>
      </c>
      <c r="F1279" s="191">
        <f t="shared" si="21"/>
        <v>257.63333333333333</v>
      </c>
      <c r="G1279" s="185"/>
      <c r="H1279" s="181"/>
      <c r="I1279" s="74"/>
      <c r="J1279" s="74"/>
      <c r="M1279" s="185"/>
      <c r="N1279" s="185"/>
      <c r="O1279" s="185"/>
      <c r="P1279" s="185"/>
      <c r="Q1279" s="185"/>
      <c r="R1279" s="185"/>
    </row>
    <row r="1280" spans="1:18" s="197" customFormat="1" ht="12.75" x14ac:dyDescent="0.2">
      <c r="A1280" s="181"/>
      <c r="B1280" s="188" t="s">
        <v>2950</v>
      </c>
      <c r="C1280" s="189" t="s">
        <v>124</v>
      </c>
      <c r="D1280" s="189" t="s">
        <v>123</v>
      </c>
      <c r="E1280" s="190" t="s">
        <v>2951</v>
      </c>
      <c r="F1280" s="191">
        <f t="shared" si="21"/>
        <v>225.06666666666666</v>
      </c>
      <c r="G1280" s="185"/>
      <c r="H1280" s="181"/>
      <c r="I1280" s="74"/>
      <c r="J1280" s="74"/>
      <c r="M1280" s="185"/>
      <c r="N1280" s="185"/>
      <c r="O1280" s="185"/>
      <c r="P1280" s="185"/>
      <c r="Q1280" s="185"/>
      <c r="R1280" s="185"/>
    </row>
    <row r="1281" spans="1:18" s="197" customFormat="1" ht="12.75" x14ac:dyDescent="0.2">
      <c r="A1281" s="181"/>
      <c r="B1281" s="188" t="s">
        <v>2952</v>
      </c>
      <c r="C1281" s="189" t="s">
        <v>130</v>
      </c>
      <c r="D1281" s="189" t="s">
        <v>205</v>
      </c>
      <c r="E1281" s="190" t="s">
        <v>2953</v>
      </c>
      <c r="F1281" s="191">
        <f t="shared" si="21"/>
        <v>235.7</v>
      </c>
      <c r="G1281" s="185"/>
      <c r="H1281" s="181"/>
      <c r="I1281" s="74"/>
      <c r="J1281" s="74"/>
      <c r="M1281" s="185"/>
      <c r="N1281" s="185"/>
      <c r="O1281" s="185"/>
      <c r="P1281" s="185"/>
      <c r="Q1281" s="185"/>
      <c r="R1281" s="185"/>
    </row>
    <row r="1282" spans="1:18" s="197" customFormat="1" ht="12.75" x14ac:dyDescent="0.2">
      <c r="A1282" s="181"/>
      <c r="B1282" s="188" t="s">
        <v>2954</v>
      </c>
      <c r="C1282" s="189" t="s">
        <v>128</v>
      </c>
      <c r="D1282" s="189" t="s">
        <v>123</v>
      </c>
      <c r="E1282" s="190" t="s">
        <v>854</v>
      </c>
      <c r="F1282" s="191">
        <f t="shared" si="21"/>
        <v>215.7</v>
      </c>
      <c r="G1282" s="185"/>
      <c r="H1282" s="181"/>
      <c r="I1282" s="74"/>
      <c r="J1282" s="74"/>
      <c r="M1282" s="185"/>
      <c r="N1282" s="185"/>
      <c r="O1282" s="185"/>
      <c r="P1282" s="185"/>
      <c r="Q1282" s="185"/>
      <c r="R1282" s="185"/>
    </row>
    <row r="1283" spans="1:18" s="197" customFormat="1" ht="12.75" x14ac:dyDescent="0.2">
      <c r="A1283" s="181"/>
      <c r="B1283" s="188" t="s">
        <v>2955</v>
      </c>
      <c r="C1283" s="189" t="s">
        <v>134</v>
      </c>
      <c r="D1283" s="189" t="s">
        <v>123</v>
      </c>
      <c r="E1283" s="190" t="s">
        <v>1020</v>
      </c>
      <c r="F1283" s="191">
        <f t="shared" si="21"/>
        <v>234.76666666666668</v>
      </c>
      <c r="G1283" s="185"/>
      <c r="H1283" s="181"/>
      <c r="I1283" s="74"/>
      <c r="J1283" s="74"/>
      <c r="M1283" s="185"/>
      <c r="N1283" s="185"/>
      <c r="O1283" s="185"/>
      <c r="P1283" s="185"/>
      <c r="Q1283" s="185"/>
      <c r="R1283" s="185"/>
    </row>
    <row r="1284" spans="1:18" s="197" customFormat="1" ht="12.75" x14ac:dyDescent="0.2">
      <c r="A1284" s="181"/>
      <c r="B1284" s="188" t="s">
        <v>326</v>
      </c>
      <c r="C1284" s="189" t="s">
        <v>125</v>
      </c>
      <c r="D1284" s="189" t="s">
        <v>123</v>
      </c>
      <c r="E1284" s="190" t="s">
        <v>2956</v>
      </c>
      <c r="F1284" s="191">
        <f t="shared" si="21"/>
        <v>209.56666666666666</v>
      </c>
      <c r="G1284" s="185"/>
      <c r="H1284" s="181"/>
      <c r="I1284" s="74"/>
      <c r="J1284" s="74"/>
      <c r="M1284" s="185"/>
      <c r="N1284" s="185"/>
      <c r="O1284" s="185"/>
      <c r="P1284" s="185"/>
      <c r="Q1284" s="185"/>
      <c r="R1284" s="185"/>
    </row>
    <row r="1285" spans="1:18" s="197" customFormat="1" ht="12.75" x14ac:dyDescent="0.2">
      <c r="A1285" s="181"/>
      <c r="B1285" s="188" t="s">
        <v>2957</v>
      </c>
      <c r="C1285" s="189" t="s">
        <v>126</v>
      </c>
      <c r="D1285" s="189" t="s">
        <v>123</v>
      </c>
      <c r="E1285" s="190" t="s">
        <v>2958</v>
      </c>
      <c r="F1285" s="191">
        <f t="shared" si="21"/>
        <v>212.85</v>
      </c>
      <c r="G1285" s="185"/>
      <c r="H1285" s="181"/>
      <c r="I1285" s="74"/>
      <c r="J1285" s="74"/>
      <c r="M1285" s="185"/>
      <c r="N1285" s="185"/>
      <c r="O1285" s="185"/>
      <c r="P1285" s="185"/>
      <c r="Q1285" s="185"/>
      <c r="R1285" s="185"/>
    </row>
    <row r="1286" spans="1:18" s="197" customFormat="1" ht="12.75" x14ac:dyDescent="0.2">
      <c r="A1286" s="181"/>
      <c r="B1286" s="188" t="s">
        <v>2959</v>
      </c>
      <c r="C1286" s="189" t="s">
        <v>124</v>
      </c>
      <c r="D1286" s="189" t="s">
        <v>123</v>
      </c>
      <c r="E1286" s="190" t="s">
        <v>2960</v>
      </c>
      <c r="F1286" s="191">
        <f t="shared" si="21"/>
        <v>177.33333333333334</v>
      </c>
      <c r="G1286" s="185"/>
      <c r="H1286" s="181"/>
      <c r="I1286" s="74"/>
      <c r="J1286" s="74"/>
      <c r="M1286" s="185"/>
      <c r="N1286" s="185"/>
      <c r="O1286" s="185"/>
      <c r="P1286" s="185"/>
      <c r="Q1286" s="185"/>
      <c r="R1286" s="185"/>
    </row>
    <row r="1287" spans="1:18" s="197" customFormat="1" ht="12.75" x14ac:dyDescent="0.2">
      <c r="A1287" s="181"/>
      <c r="B1287" s="188" t="s">
        <v>2961</v>
      </c>
      <c r="C1287" s="189" t="s">
        <v>134</v>
      </c>
      <c r="D1287" s="189" t="s">
        <v>123</v>
      </c>
      <c r="E1287" s="190" t="s">
        <v>2962</v>
      </c>
      <c r="F1287" s="191">
        <f t="shared" si="21"/>
        <v>178.61666666666667</v>
      </c>
      <c r="G1287" s="185"/>
      <c r="H1287" s="181"/>
      <c r="I1287" s="74"/>
      <c r="J1287" s="74"/>
      <c r="M1287" s="185"/>
      <c r="N1287" s="185"/>
      <c r="O1287" s="185"/>
      <c r="P1287" s="185"/>
      <c r="Q1287" s="185"/>
      <c r="R1287" s="185"/>
    </row>
    <row r="1288" spans="1:18" s="197" customFormat="1" ht="12.75" x14ac:dyDescent="0.2">
      <c r="A1288" s="181"/>
      <c r="B1288" s="188" t="s">
        <v>2963</v>
      </c>
      <c r="C1288" s="189" t="s">
        <v>126</v>
      </c>
      <c r="D1288" s="189" t="s">
        <v>132</v>
      </c>
      <c r="E1288" s="190" t="s">
        <v>1323</v>
      </c>
      <c r="F1288" s="191">
        <f t="shared" si="21"/>
        <v>206.73333333333332</v>
      </c>
      <c r="G1288" s="185"/>
      <c r="H1288" s="181"/>
      <c r="I1288" s="74"/>
      <c r="J1288" s="74"/>
      <c r="M1288" s="185"/>
      <c r="N1288" s="185"/>
      <c r="O1288" s="185"/>
      <c r="P1288" s="185"/>
      <c r="Q1288" s="185"/>
      <c r="R1288" s="185"/>
    </row>
    <row r="1289" spans="1:18" s="197" customFormat="1" ht="12.75" x14ac:dyDescent="0.2">
      <c r="A1289" s="181"/>
      <c r="B1289" s="188" t="s">
        <v>2964</v>
      </c>
      <c r="C1289" s="189" t="s">
        <v>126</v>
      </c>
      <c r="D1289" s="189" t="s">
        <v>210</v>
      </c>
      <c r="E1289" s="190" t="s">
        <v>2965</v>
      </c>
      <c r="F1289" s="191">
        <f t="shared" si="21"/>
        <v>320.78333333333336</v>
      </c>
      <c r="G1289" s="185"/>
      <c r="H1289" s="181"/>
      <c r="I1289" s="74"/>
      <c r="J1289" s="74"/>
      <c r="M1289" s="185"/>
      <c r="N1289" s="185"/>
      <c r="O1289" s="185"/>
      <c r="P1289" s="185"/>
      <c r="Q1289" s="185"/>
      <c r="R1289" s="185"/>
    </row>
    <row r="1290" spans="1:18" s="197" customFormat="1" ht="12.75" x14ac:dyDescent="0.2">
      <c r="A1290" s="181"/>
      <c r="B1290" s="188" t="s">
        <v>2966</v>
      </c>
      <c r="C1290" s="189" t="s">
        <v>124</v>
      </c>
      <c r="D1290" s="189" t="s">
        <v>123</v>
      </c>
      <c r="E1290" s="190" t="s">
        <v>2967</v>
      </c>
      <c r="F1290" s="191">
        <f t="shared" si="21"/>
        <v>263.33333333333331</v>
      </c>
      <c r="G1290" s="185"/>
      <c r="H1290" s="181"/>
      <c r="I1290" s="74"/>
      <c r="J1290" s="74"/>
      <c r="M1290" s="185"/>
      <c r="N1290" s="185"/>
      <c r="O1290" s="185"/>
      <c r="P1290" s="185"/>
      <c r="Q1290" s="185"/>
      <c r="R1290" s="185"/>
    </row>
    <row r="1291" spans="1:18" s="197" customFormat="1" ht="12.75" x14ac:dyDescent="0.2">
      <c r="A1291" s="181"/>
      <c r="B1291" s="188" t="s">
        <v>487</v>
      </c>
      <c r="C1291" s="189" t="s">
        <v>140</v>
      </c>
      <c r="D1291" s="189" t="s">
        <v>133</v>
      </c>
      <c r="E1291" s="190" t="s">
        <v>2968</v>
      </c>
      <c r="F1291" s="191">
        <f t="shared" ref="F1291:F1354" si="22">HOUR(E1291)*60+MINUTE(E1291)+SECOND(E1291)/60</f>
        <v>274.55</v>
      </c>
      <c r="G1291" s="185"/>
      <c r="H1291" s="181"/>
      <c r="I1291" s="74"/>
      <c r="J1291" s="74"/>
      <c r="M1291" s="185"/>
      <c r="N1291" s="185"/>
      <c r="O1291" s="185"/>
      <c r="P1291" s="185"/>
      <c r="Q1291" s="185"/>
      <c r="R1291" s="185"/>
    </row>
    <row r="1292" spans="1:18" s="197" customFormat="1" ht="12.75" x14ac:dyDescent="0.2">
      <c r="A1292" s="181"/>
      <c r="B1292" s="188" t="s">
        <v>2969</v>
      </c>
      <c r="C1292" s="189" t="s">
        <v>126</v>
      </c>
      <c r="D1292" s="189" t="s">
        <v>123</v>
      </c>
      <c r="E1292" s="190" t="s">
        <v>2970</v>
      </c>
      <c r="F1292" s="191">
        <f t="shared" si="22"/>
        <v>289.60000000000002</v>
      </c>
      <c r="G1292" s="185"/>
      <c r="H1292" s="181"/>
      <c r="I1292" s="74"/>
      <c r="J1292" s="74"/>
      <c r="M1292" s="185"/>
      <c r="N1292" s="185"/>
      <c r="O1292" s="185"/>
      <c r="P1292" s="185"/>
      <c r="Q1292" s="185"/>
      <c r="R1292" s="185"/>
    </row>
    <row r="1293" spans="1:18" s="197" customFormat="1" ht="12.75" x14ac:dyDescent="0.2">
      <c r="A1293" s="181"/>
      <c r="B1293" s="188" t="s">
        <v>303</v>
      </c>
      <c r="C1293" s="189" t="s">
        <v>142</v>
      </c>
      <c r="D1293" s="189" t="s">
        <v>208</v>
      </c>
      <c r="E1293" s="190" t="s">
        <v>2971</v>
      </c>
      <c r="F1293" s="191">
        <f t="shared" si="22"/>
        <v>250.18333333333334</v>
      </c>
      <c r="G1293" s="185"/>
      <c r="H1293" s="181"/>
      <c r="I1293" s="74"/>
      <c r="J1293" s="74"/>
      <c r="M1293" s="185"/>
      <c r="N1293" s="185"/>
      <c r="O1293" s="185"/>
      <c r="P1293" s="185"/>
      <c r="Q1293" s="185"/>
      <c r="R1293" s="185"/>
    </row>
    <row r="1294" spans="1:18" s="197" customFormat="1" ht="12.75" x14ac:dyDescent="0.2">
      <c r="A1294" s="181"/>
      <c r="B1294" s="188" t="s">
        <v>2972</v>
      </c>
      <c r="C1294" s="189" t="s">
        <v>124</v>
      </c>
      <c r="D1294" s="189" t="s">
        <v>123</v>
      </c>
      <c r="E1294" s="190" t="s">
        <v>2973</v>
      </c>
      <c r="F1294" s="191">
        <f t="shared" si="22"/>
        <v>250.35</v>
      </c>
      <c r="G1294" s="185"/>
      <c r="H1294" s="181"/>
      <c r="I1294" s="74"/>
      <c r="J1294" s="74"/>
      <c r="M1294" s="185"/>
      <c r="N1294" s="185"/>
      <c r="O1294" s="185"/>
      <c r="P1294" s="185"/>
      <c r="Q1294" s="185"/>
      <c r="R1294" s="185"/>
    </row>
    <row r="1295" spans="1:18" s="197" customFormat="1" ht="12.75" x14ac:dyDescent="0.2">
      <c r="A1295" s="181"/>
      <c r="B1295" s="188" t="s">
        <v>2974</v>
      </c>
      <c r="C1295" s="189" t="s">
        <v>125</v>
      </c>
      <c r="D1295" s="189" t="s">
        <v>155</v>
      </c>
      <c r="E1295" s="190" t="s">
        <v>2975</v>
      </c>
      <c r="F1295" s="191">
        <f t="shared" si="22"/>
        <v>277.93333333333334</v>
      </c>
      <c r="G1295" s="185"/>
      <c r="H1295" s="181"/>
      <c r="I1295" s="74"/>
      <c r="J1295" s="74"/>
      <c r="M1295" s="185"/>
      <c r="N1295" s="185"/>
      <c r="O1295" s="185"/>
      <c r="P1295" s="185"/>
      <c r="Q1295" s="185"/>
      <c r="R1295" s="185"/>
    </row>
    <row r="1296" spans="1:18" s="197" customFormat="1" ht="12.75" x14ac:dyDescent="0.2">
      <c r="A1296" s="181"/>
      <c r="B1296" s="188" t="s">
        <v>2976</v>
      </c>
      <c r="C1296" s="189" t="s">
        <v>126</v>
      </c>
      <c r="D1296" s="189" t="s">
        <v>123</v>
      </c>
      <c r="E1296" s="190" t="s">
        <v>2977</v>
      </c>
      <c r="F1296" s="191">
        <f t="shared" si="22"/>
        <v>317.14999999999998</v>
      </c>
      <c r="G1296" s="185"/>
      <c r="H1296" s="181"/>
      <c r="I1296" s="74"/>
      <c r="J1296" s="74"/>
      <c r="M1296" s="185"/>
      <c r="N1296" s="185"/>
      <c r="O1296" s="185"/>
      <c r="P1296" s="185"/>
      <c r="Q1296" s="185"/>
      <c r="R1296" s="185"/>
    </row>
    <row r="1297" spans="1:18" s="197" customFormat="1" ht="12.75" x14ac:dyDescent="0.2">
      <c r="A1297" s="181"/>
      <c r="B1297" s="188" t="s">
        <v>2978</v>
      </c>
      <c r="C1297" s="189" t="s">
        <v>142</v>
      </c>
      <c r="D1297" s="189" t="s">
        <v>131</v>
      </c>
      <c r="E1297" s="190" t="s">
        <v>1846</v>
      </c>
      <c r="F1297" s="191">
        <f t="shared" si="22"/>
        <v>239</v>
      </c>
      <c r="G1297" s="185"/>
      <c r="H1297" s="181"/>
      <c r="I1297" s="74"/>
      <c r="J1297" s="74"/>
      <c r="M1297" s="185"/>
      <c r="N1297" s="185"/>
      <c r="O1297" s="185"/>
      <c r="P1297" s="185"/>
      <c r="Q1297" s="185"/>
      <c r="R1297" s="185"/>
    </row>
    <row r="1298" spans="1:18" s="197" customFormat="1" ht="12.75" x14ac:dyDescent="0.2">
      <c r="A1298" s="181"/>
      <c r="B1298" s="188" t="s">
        <v>2979</v>
      </c>
      <c r="C1298" s="189" t="s">
        <v>135</v>
      </c>
      <c r="D1298" s="189" t="s">
        <v>146</v>
      </c>
      <c r="E1298" s="190" t="s">
        <v>2212</v>
      </c>
      <c r="F1298" s="191">
        <f t="shared" si="22"/>
        <v>248.35</v>
      </c>
      <c r="G1298" s="185"/>
      <c r="H1298" s="181"/>
      <c r="I1298" s="74"/>
      <c r="J1298" s="74"/>
      <c r="M1298" s="185"/>
      <c r="N1298" s="185"/>
      <c r="O1298" s="185"/>
      <c r="P1298" s="185"/>
      <c r="Q1298" s="185"/>
      <c r="R1298" s="185"/>
    </row>
    <row r="1299" spans="1:18" s="197" customFormat="1" ht="12.75" x14ac:dyDescent="0.2">
      <c r="A1299" s="181"/>
      <c r="B1299" s="188" t="s">
        <v>2980</v>
      </c>
      <c r="C1299" s="189" t="s">
        <v>125</v>
      </c>
      <c r="D1299" s="189" t="s">
        <v>123</v>
      </c>
      <c r="E1299" s="190" t="s">
        <v>1693</v>
      </c>
      <c r="F1299" s="191">
        <f t="shared" si="22"/>
        <v>271.7</v>
      </c>
      <c r="G1299" s="185"/>
      <c r="H1299" s="181"/>
      <c r="I1299" s="74"/>
      <c r="J1299" s="74"/>
      <c r="M1299" s="185"/>
      <c r="N1299" s="185"/>
      <c r="O1299" s="185"/>
      <c r="P1299" s="185"/>
      <c r="Q1299" s="185"/>
      <c r="R1299" s="185"/>
    </row>
    <row r="1300" spans="1:18" s="197" customFormat="1" ht="12.75" x14ac:dyDescent="0.2">
      <c r="A1300" s="181"/>
      <c r="B1300" s="188" t="s">
        <v>163</v>
      </c>
      <c r="C1300" s="189" t="s">
        <v>124</v>
      </c>
      <c r="D1300" s="189" t="s">
        <v>123</v>
      </c>
      <c r="E1300" s="190" t="s">
        <v>2981</v>
      </c>
      <c r="F1300" s="191">
        <f t="shared" si="22"/>
        <v>189.35</v>
      </c>
      <c r="G1300" s="185"/>
      <c r="H1300" s="181"/>
      <c r="I1300" s="74"/>
      <c r="J1300" s="74"/>
      <c r="M1300" s="185"/>
      <c r="N1300" s="185"/>
      <c r="O1300" s="185"/>
      <c r="P1300" s="185"/>
      <c r="Q1300" s="185"/>
      <c r="R1300" s="185"/>
    </row>
    <row r="1301" spans="1:18" s="197" customFormat="1" ht="12.75" x14ac:dyDescent="0.2">
      <c r="A1301" s="181"/>
      <c r="B1301" s="188" t="s">
        <v>2982</v>
      </c>
      <c r="C1301" s="189" t="s">
        <v>128</v>
      </c>
      <c r="D1301" s="189" t="s">
        <v>123</v>
      </c>
      <c r="E1301" s="190" t="s">
        <v>2983</v>
      </c>
      <c r="F1301" s="191">
        <f t="shared" si="22"/>
        <v>211.18333333333334</v>
      </c>
      <c r="G1301" s="185"/>
      <c r="H1301" s="181"/>
      <c r="I1301" s="74"/>
      <c r="J1301" s="74"/>
      <c r="M1301" s="185"/>
      <c r="N1301" s="185"/>
      <c r="O1301" s="185"/>
      <c r="P1301" s="185"/>
      <c r="Q1301" s="185"/>
      <c r="R1301" s="185"/>
    </row>
    <row r="1302" spans="1:18" s="197" customFormat="1" ht="12.75" x14ac:dyDescent="0.2">
      <c r="A1302" s="181"/>
      <c r="B1302" s="188" t="s">
        <v>2984</v>
      </c>
      <c r="C1302" s="189" t="s">
        <v>134</v>
      </c>
      <c r="D1302" s="189" t="s">
        <v>131</v>
      </c>
      <c r="E1302" s="190" t="s">
        <v>2985</v>
      </c>
      <c r="F1302" s="191">
        <f t="shared" si="22"/>
        <v>227.88333333333333</v>
      </c>
      <c r="G1302" s="185"/>
      <c r="H1302" s="181"/>
      <c r="I1302" s="74"/>
      <c r="J1302" s="74"/>
      <c r="M1302" s="185"/>
      <c r="N1302" s="185"/>
      <c r="O1302" s="185"/>
      <c r="P1302" s="185"/>
      <c r="Q1302" s="185"/>
      <c r="R1302" s="185"/>
    </row>
    <row r="1303" spans="1:18" s="197" customFormat="1" ht="12.75" x14ac:dyDescent="0.2">
      <c r="A1303" s="181"/>
      <c r="B1303" s="188" t="s">
        <v>401</v>
      </c>
      <c r="C1303" s="189" t="s">
        <v>249</v>
      </c>
      <c r="D1303" s="189" t="s">
        <v>123</v>
      </c>
      <c r="E1303" s="190" t="s">
        <v>2986</v>
      </c>
      <c r="F1303" s="191">
        <f t="shared" si="22"/>
        <v>210.33333333333334</v>
      </c>
      <c r="G1303" s="185"/>
      <c r="H1303" s="181"/>
      <c r="I1303" s="74"/>
      <c r="J1303" s="74"/>
      <c r="M1303" s="185"/>
      <c r="N1303" s="185"/>
      <c r="O1303" s="185"/>
      <c r="P1303" s="185"/>
      <c r="Q1303" s="185"/>
      <c r="R1303" s="185"/>
    </row>
    <row r="1304" spans="1:18" s="197" customFormat="1" ht="12.75" x14ac:dyDescent="0.2">
      <c r="A1304" s="181"/>
      <c r="B1304" s="188" t="s">
        <v>2987</v>
      </c>
      <c r="C1304" s="189" t="s">
        <v>126</v>
      </c>
      <c r="D1304" s="189" t="s">
        <v>148</v>
      </c>
      <c r="E1304" s="190" t="s">
        <v>2988</v>
      </c>
      <c r="F1304" s="191">
        <f t="shared" si="22"/>
        <v>242.73333333333332</v>
      </c>
      <c r="G1304" s="185"/>
      <c r="H1304" s="181"/>
      <c r="I1304" s="74"/>
      <c r="J1304" s="74"/>
      <c r="M1304" s="185"/>
      <c r="N1304" s="185"/>
      <c r="O1304" s="185"/>
      <c r="P1304" s="185"/>
      <c r="Q1304" s="185"/>
      <c r="R1304" s="185"/>
    </row>
    <row r="1305" spans="1:18" s="197" customFormat="1" ht="12.75" x14ac:dyDescent="0.2">
      <c r="A1305" s="181"/>
      <c r="B1305" s="188" t="s">
        <v>2989</v>
      </c>
      <c r="C1305" s="189" t="s">
        <v>134</v>
      </c>
      <c r="D1305" s="189" t="s">
        <v>123</v>
      </c>
      <c r="E1305" s="190" t="s">
        <v>2990</v>
      </c>
      <c r="F1305" s="191">
        <f t="shared" si="22"/>
        <v>259.06666666666666</v>
      </c>
      <c r="G1305" s="185"/>
      <c r="H1305" s="181"/>
      <c r="I1305" s="74"/>
      <c r="J1305" s="74"/>
      <c r="M1305" s="185"/>
      <c r="N1305" s="185"/>
      <c r="O1305" s="185"/>
      <c r="P1305" s="185"/>
      <c r="Q1305" s="185"/>
      <c r="R1305" s="185"/>
    </row>
    <row r="1306" spans="1:18" s="197" customFormat="1" ht="12.75" x14ac:dyDescent="0.2">
      <c r="A1306" s="181"/>
      <c r="B1306" s="188" t="s">
        <v>2991</v>
      </c>
      <c r="C1306" s="189" t="s">
        <v>142</v>
      </c>
      <c r="D1306" s="189" t="s">
        <v>123</v>
      </c>
      <c r="E1306" s="190" t="s">
        <v>1216</v>
      </c>
      <c r="F1306" s="191">
        <f t="shared" si="22"/>
        <v>265.46666666666664</v>
      </c>
      <c r="G1306" s="185"/>
      <c r="H1306" s="181"/>
      <c r="I1306" s="74"/>
      <c r="J1306" s="74"/>
      <c r="M1306" s="185"/>
      <c r="N1306" s="185"/>
      <c r="O1306" s="185"/>
      <c r="P1306" s="185"/>
      <c r="Q1306" s="185"/>
      <c r="R1306" s="185"/>
    </row>
    <row r="1307" spans="1:18" s="197" customFormat="1" ht="12.75" x14ac:dyDescent="0.2">
      <c r="A1307" s="181"/>
      <c r="B1307" s="188" t="s">
        <v>2992</v>
      </c>
      <c r="C1307" s="189" t="s">
        <v>124</v>
      </c>
      <c r="D1307" s="189" t="s">
        <v>139</v>
      </c>
      <c r="E1307" s="190" t="s">
        <v>2993</v>
      </c>
      <c r="F1307" s="191">
        <f t="shared" si="22"/>
        <v>202.35</v>
      </c>
      <c r="G1307" s="185"/>
      <c r="H1307" s="181"/>
      <c r="I1307" s="74"/>
      <c r="J1307" s="74"/>
      <c r="M1307" s="185"/>
      <c r="N1307" s="185"/>
      <c r="O1307" s="185"/>
      <c r="P1307" s="185"/>
      <c r="Q1307" s="185"/>
      <c r="R1307" s="185"/>
    </row>
    <row r="1308" spans="1:18" s="197" customFormat="1" ht="12.75" x14ac:dyDescent="0.2">
      <c r="A1308" s="181"/>
      <c r="B1308" s="188" t="s">
        <v>2994</v>
      </c>
      <c r="C1308" s="189" t="s">
        <v>134</v>
      </c>
      <c r="D1308" s="189" t="s">
        <v>123</v>
      </c>
      <c r="E1308" s="190" t="s">
        <v>2995</v>
      </c>
      <c r="F1308" s="191">
        <f t="shared" si="22"/>
        <v>217.83333333333334</v>
      </c>
      <c r="G1308" s="185"/>
      <c r="H1308" s="181"/>
      <c r="I1308" s="74"/>
      <c r="J1308" s="74"/>
      <c r="M1308" s="185"/>
      <c r="N1308" s="185"/>
      <c r="O1308" s="185"/>
      <c r="P1308" s="185"/>
      <c r="Q1308" s="185"/>
      <c r="R1308" s="185"/>
    </row>
    <row r="1309" spans="1:18" s="197" customFormat="1" ht="12.75" x14ac:dyDescent="0.2">
      <c r="A1309" s="181"/>
      <c r="B1309" s="188" t="s">
        <v>2996</v>
      </c>
      <c r="C1309" s="189" t="s">
        <v>126</v>
      </c>
      <c r="D1309" s="189" t="s">
        <v>123</v>
      </c>
      <c r="E1309" s="190" t="s">
        <v>2997</v>
      </c>
      <c r="F1309" s="191">
        <f t="shared" si="22"/>
        <v>224.68333333333334</v>
      </c>
      <c r="G1309" s="185"/>
      <c r="H1309" s="181"/>
      <c r="I1309" s="74"/>
      <c r="J1309" s="74"/>
      <c r="M1309" s="185"/>
      <c r="N1309" s="185"/>
      <c r="O1309" s="185"/>
      <c r="P1309" s="185"/>
      <c r="Q1309" s="185"/>
      <c r="R1309" s="185"/>
    </row>
    <row r="1310" spans="1:18" s="197" customFormat="1" ht="12.75" x14ac:dyDescent="0.2">
      <c r="A1310" s="181"/>
      <c r="B1310" s="188" t="s">
        <v>2998</v>
      </c>
      <c r="C1310" s="189" t="s">
        <v>125</v>
      </c>
      <c r="D1310" s="189" t="s">
        <v>123</v>
      </c>
      <c r="E1310" s="190" t="s">
        <v>2999</v>
      </c>
      <c r="F1310" s="191">
        <f t="shared" si="22"/>
        <v>203.33333333333334</v>
      </c>
      <c r="G1310" s="185"/>
      <c r="H1310" s="181"/>
      <c r="I1310" s="74"/>
      <c r="J1310" s="74"/>
      <c r="M1310" s="185"/>
      <c r="N1310" s="185"/>
      <c r="O1310" s="185"/>
      <c r="P1310" s="185"/>
      <c r="Q1310" s="185"/>
      <c r="R1310" s="185"/>
    </row>
    <row r="1311" spans="1:18" s="197" customFormat="1" ht="12.75" x14ac:dyDescent="0.2">
      <c r="A1311" s="181"/>
      <c r="B1311" s="188" t="s">
        <v>3000</v>
      </c>
      <c r="C1311" s="189" t="s">
        <v>130</v>
      </c>
      <c r="D1311" s="189" t="s">
        <v>131</v>
      </c>
      <c r="E1311" s="190" t="s">
        <v>3001</v>
      </c>
      <c r="F1311" s="191">
        <f t="shared" si="22"/>
        <v>246.03333333333333</v>
      </c>
      <c r="G1311" s="185"/>
      <c r="H1311" s="181"/>
      <c r="I1311" s="74"/>
      <c r="J1311" s="74"/>
      <c r="M1311" s="185"/>
      <c r="N1311" s="185"/>
      <c r="O1311" s="185"/>
      <c r="P1311" s="185"/>
      <c r="Q1311" s="185"/>
      <c r="R1311" s="185"/>
    </row>
    <row r="1312" spans="1:18" s="197" customFormat="1" ht="12.75" x14ac:dyDescent="0.2">
      <c r="A1312" s="181"/>
      <c r="B1312" s="188" t="s">
        <v>3002</v>
      </c>
      <c r="C1312" s="189" t="s">
        <v>142</v>
      </c>
      <c r="D1312" s="189" t="s">
        <v>123</v>
      </c>
      <c r="E1312" s="190" t="s">
        <v>3003</v>
      </c>
      <c r="F1312" s="191">
        <f t="shared" si="22"/>
        <v>253.83333333333334</v>
      </c>
      <c r="G1312" s="185"/>
      <c r="H1312" s="181"/>
      <c r="I1312" s="74"/>
      <c r="J1312" s="74"/>
      <c r="M1312" s="185"/>
      <c r="N1312" s="185"/>
      <c r="O1312" s="185"/>
      <c r="P1312" s="185"/>
      <c r="Q1312" s="185"/>
      <c r="R1312" s="185"/>
    </row>
    <row r="1313" spans="1:18" s="197" customFormat="1" ht="12.75" x14ac:dyDescent="0.2">
      <c r="A1313" s="181"/>
      <c r="B1313" s="188" t="s">
        <v>3004</v>
      </c>
      <c r="C1313" s="189" t="s">
        <v>142</v>
      </c>
      <c r="D1313" s="189" t="s">
        <v>133</v>
      </c>
      <c r="E1313" s="190" t="s">
        <v>3005</v>
      </c>
      <c r="F1313" s="191">
        <f t="shared" si="22"/>
        <v>174.5</v>
      </c>
      <c r="G1313" s="185"/>
      <c r="H1313" s="181"/>
      <c r="I1313" s="74"/>
      <c r="J1313" s="74"/>
      <c r="M1313" s="185"/>
      <c r="N1313" s="185"/>
      <c r="O1313" s="185"/>
      <c r="P1313" s="185"/>
      <c r="Q1313" s="185"/>
      <c r="R1313" s="185"/>
    </row>
    <row r="1314" spans="1:18" s="197" customFormat="1" ht="12.75" x14ac:dyDescent="0.2">
      <c r="A1314" s="181"/>
      <c r="B1314" s="188" t="s">
        <v>3006</v>
      </c>
      <c r="C1314" s="189" t="s">
        <v>134</v>
      </c>
      <c r="D1314" s="189" t="s">
        <v>123</v>
      </c>
      <c r="E1314" s="190" t="s">
        <v>987</v>
      </c>
      <c r="F1314" s="191">
        <f t="shared" si="22"/>
        <v>233.85</v>
      </c>
      <c r="G1314" s="185"/>
      <c r="H1314" s="181"/>
      <c r="I1314" s="74"/>
      <c r="J1314" s="74"/>
      <c r="M1314" s="185"/>
      <c r="N1314" s="185"/>
      <c r="O1314" s="185"/>
      <c r="P1314" s="185"/>
      <c r="Q1314" s="185"/>
      <c r="R1314" s="185"/>
    </row>
    <row r="1315" spans="1:18" s="197" customFormat="1" ht="12.75" x14ac:dyDescent="0.2">
      <c r="A1315" s="181"/>
      <c r="B1315" s="188" t="s">
        <v>3007</v>
      </c>
      <c r="C1315" s="189" t="s">
        <v>126</v>
      </c>
      <c r="D1315" s="189" t="s">
        <v>123</v>
      </c>
      <c r="E1315" s="190" t="s">
        <v>3008</v>
      </c>
      <c r="F1315" s="191">
        <f t="shared" si="22"/>
        <v>208.06666666666666</v>
      </c>
      <c r="G1315" s="185"/>
      <c r="H1315" s="181"/>
      <c r="I1315" s="74"/>
      <c r="J1315" s="74"/>
      <c r="M1315" s="185"/>
      <c r="N1315" s="185"/>
      <c r="O1315" s="185"/>
      <c r="P1315" s="185"/>
      <c r="Q1315" s="185"/>
      <c r="R1315" s="185"/>
    </row>
    <row r="1316" spans="1:18" s="197" customFormat="1" ht="12.75" x14ac:dyDescent="0.2">
      <c r="A1316" s="181"/>
      <c r="B1316" s="188" t="s">
        <v>3009</v>
      </c>
      <c r="C1316" s="189" t="s">
        <v>128</v>
      </c>
      <c r="D1316" s="189" t="s">
        <v>212</v>
      </c>
      <c r="E1316" s="190" t="s">
        <v>1327</v>
      </c>
      <c r="F1316" s="191">
        <f t="shared" si="22"/>
        <v>234.01666666666668</v>
      </c>
      <c r="G1316" s="185"/>
      <c r="H1316" s="181"/>
      <c r="I1316" s="74"/>
      <c r="J1316" s="74"/>
      <c r="M1316" s="185"/>
      <c r="N1316" s="185"/>
      <c r="O1316" s="185"/>
      <c r="P1316" s="185"/>
      <c r="Q1316" s="185"/>
      <c r="R1316" s="185"/>
    </row>
    <row r="1317" spans="1:18" s="197" customFormat="1" ht="12.75" x14ac:dyDescent="0.2">
      <c r="A1317" s="181"/>
      <c r="B1317" s="188" t="s">
        <v>3010</v>
      </c>
      <c r="C1317" s="189" t="s">
        <v>134</v>
      </c>
      <c r="D1317" s="189" t="s">
        <v>123</v>
      </c>
      <c r="E1317" s="190" t="s">
        <v>3011</v>
      </c>
      <c r="F1317" s="191">
        <f t="shared" si="22"/>
        <v>241.93333333333334</v>
      </c>
      <c r="G1317" s="185"/>
      <c r="H1317" s="181"/>
      <c r="I1317" s="74"/>
      <c r="J1317" s="74"/>
      <c r="M1317" s="185"/>
      <c r="N1317" s="185"/>
      <c r="O1317" s="185"/>
      <c r="P1317" s="185"/>
      <c r="Q1317" s="185"/>
      <c r="R1317" s="185"/>
    </row>
    <row r="1318" spans="1:18" s="197" customFormat="1" ht="12.75" x14ac:dyDescent="0.2">
      <c r="A1318" s="181"/>
      <c r="B1318" s="188" t="s">
        <v>3012</v>
      </c>
      <c r="C1318" s="189" t="s">
        <v>142</v>
      </c>
      <c r="D1318" s="189" t="s">
        <v>131</v>
      </c>
      <c r="E1318" s="190" t="s">
        <v>1508</v>
      </c>
      <c r="F1318" s="191">
        <f t="shared" si="22"/>
        <v>278.26666666666665</v>
      </c>
      <c r="G1318" s="185"/>
      <c r="H1318" s="181"/>
      <c r="I1318" s="74"/>
      <c r="J1318" s="74"/>
      <c r="M1318" s="185"/>
      <c r="N1318" s="185"/>
      <c r="O1318" s="185"/>
      <c r="P1318" s="185"/>
      <c r="Q1318" s="185"/>
      <c r="R1318" s="185"/>
    </row>
    <row r="1319" spans="1:18" s="197" customFormat="1" ht="12.75" x14ac:dyDescent="0.2">
      <c r="A1319" s="181"/>
      <c r="B1319" s="188" t="s">
        <v>3013</v>
      </c>
      <c r="C1319" s="189" t="s">
        <v>130</v>
      </c>
      <c r="D1319" s="189" t="s">
        <v>141</v>
      </c>
      <c r="E1319" s="190" t="s">
        <v>2174</v>
      </c>
      <c r="F1319" s="191">
        <f t="shared" si="22"/>
        <v>185.36666666666667</v>
      </c>
      <c r="G1319" s="185"/>
      <c r="H1319" s="181"/>
      <c r="I1319" s="74"/>
      <c r="J1319" s="74"/>
      <c r="M1319" s="185"/>
      <c r="N1319" s="185"/>
      <c r="O1319" s="185"/>
      <c r="P1319" s="185"/>
      <c r="Q1319" s="185"/>
      <c r="R1319" s="185"/>
    </row>
    <row r="1320" spans="1:18" s="197" customFormat="1" ht="12.75" x14ac:dyDescent="0.2">
      <c r="A1320" s="181"/>
      <c r="B1320" s="188" t="s">
        <v>3014</v>
      </c>
      <c r="C1320" s="189" t="s">
        <v>124</v>
      </c>
      <c r="D1320" s="189" t="s">
        <v>123</v>
      </c>
      <c r="E1320" s="190" t="s">
        <v>3015</v>
      </c>
      <c r="F1320" s="191">
        <f t="shared" si="22"/>
        <v>185.78333333333333</v>
      </c>
      <c r="G1320" s="185"/>
      <c r="H1320" s="181"/>
      <c r="I1320" s="74"/>
      <c r="J1320" s="74"/>
      <c r="M1320" s="185"/>
      <c r="N1320" s="185"/>
      <c r="O1320" s="185"/>
      <c r="P1320" s="185"/>
      <c r="Q1320" s="185"/>
      <c r="R1320" s="185"/>
    </row>
    <row r="1321" spans="1:18" s="197" customFormat="1" ht="12.75" x14ac:dyDescent="0.2">
      <c r="A1321" s="181"/>
      <c r="B1321" s="188" t="s">
        <v>329</v>
      </c>
      <c r="C1321" s="189" t="s">
        <v>134</v>
      </c>
      <c r="D1321" s="189" t="s">
        <v>123</v>
      </c>
      <c r="E1321" s="190" t="s">
        <v>3016</v>
      </c>
      <c r="F1321" s="191">
        <f t="shared" si="22"/>
        <v>294.96666666666664</v>
      </c>
      <c r="G1321" s="185"/>
      <c r="H1321" s="181"/>
      <c r="I1321" s="74"/>
      <c r="J1321" s="74"/>
      <c r="M1321" s="185"/>
      <c r="N1321" s="185"/>
      <c r="O1321" s="185"/>
      <c r="P1321" s="185"/>
      <c r="Q1321" s="185"/>
      <c r="R1321" s="185"/>
    </row>
    <row r="1322" spans="1:18" s="197" customFormat="1" ht="12.75" x14ac:dyDescent="0.2">
      <c r="A1322" s="181"/>
      <c r="B1322" s="188" t="s">
        <v>3017</v>
      </c>
      <c r="C1322" s="189" t="s">
        <v>249</v>
      </c>
      <c r="D1322" s="189" t="s">
        <v>123</v>
      </c>
      <c r="E1322" s="190" t="s">
        <v>2610</v>
      </c>
      <c r="F1322" s="191">
        <f t="shared" si="22"/>
        <v>266.11666666666667</v>
      </c>
      <c r="G1322" s="185"/>
      <c r="H1322" s="181"/>
      <c r="I1322" s="74"/>
      <c r="J1322" s="74"/>
      <c r="M1322" s="185"/>
      <c r="N1322" s="185"/>
      <c r="O1322" s="185"/>
      <c r="P1322" s="185"/>
      <c r="Q1322" s="185"/>
      <c r="R1322" s="185"/>
    </row>
    <row r="1323" spans="1:18" s="197" customFormat="1" ht="12.75" x14ac:dyDescent="0.2">
      <c r="A1323" s="181"/>
      <c r="B1323" s="188" t="s">
        <v>3018</v>
      </c>
      <c r="C1323" s="189" t="s">
        <v>126</v>
      </c>
      <c r="D1323" s="189" t="s">
        <v>132</v>
      </c>
      <c r="E1323" s="190" t="s">
        <v>3019</v>
      </c>
      <c r="F1323" s="191">
        <f t="shared" si="22"/>
        <v>179.3</v>
      </c>
      <c r="G1323" s="185"/>
      <c r="H1323" s="181"/>
      <c r="I1323" s="74"/>
      <c r="J1323" s="74"/>
      <c r="M1323" s="185"/>
      <c r="N1323" s="185"/>
      <c r="O1323" s="185"/>
      <c r="P1323" s="185"/>
      <c r="Q1323" s="185"/>
      <c r="R1323" s="185"/>
    </row>
    <row r="1324" spans="1:18" s="197" customFormat="1" ht="12.75" x14ac:dyDescent="0.2">
      <c r="A1324" s="181"/>
      <c r="B1324" s="188" t="s">
        <v>3020</v>
      </c>
      <c r="C1324" s="189" t="s">
        <v>128</v>
      </c>
      <c r="D1324" s="189" t="s">
        <v>148</v>
      </c>
      <c r="E1324" s="190" t="s">
        <v>2636</v>
      </c>
      <c r="F1324" s="191">
        <f t="shared" si="22"/>
        <v>238.71666666666667</v>
      </c>
      <c r="G1324" s="185"/>
      <c r="H1324" s="181"/>
      <c r="I1324" s="74"/>
      <c r="J1324" s="74"/>
      <c r="M1324" s="185"/>
      <c r="N1324" s="185"/>
      <c r="O1324" s="185"/>
      <c r="P1324" s="185"/>
      <c r="Q1324" s="185"/>
      <c r="R1324" s="185"/>
    </row>
    <row r="1325" spans="1:18" s="197" customFormat="1" ht="12.75" x14ac:dyDescent="0.2">
      <c r="A1325" s="181"/>
      <c r="B1325" s="188" t="s">
        <v>3021</v>
      </c>
      <c r="C1325" s="189" t="s">
        <v>128</v>
      </c>
      <c r="D1325" s="189" t="s">
        <v>123</v>
      </c>
      <c r="E1325" s="190" t="s">
        <v>1087</v>
      </c>
      <c r="F1325" s="191">
        <f t="shared" si="22"/>
        <v>220.76666666666668</v>
      </c>
      <c r="G1325" s="185"/>
      <c r="H1325" s="181"/>
      <c r="I1325" s="74"/>
      <c r="J1325" s="74"/>
      <c r="M1325" s="185"/>
      <c r="N1325" s="185"/>
      <c r="O1325" s="185"/>
      <c r="P1325" s="185"/>
      <c r="Q1325" s="185"/>
      <c r="R1325" s="185"/>
    </row>
    <row r="1326" spans="1:18" s="197" customFormat="1" ht="12.75" x14ac:dyDescent="0.2">
      <c r="A1326" s="181"/>
      <c r="B1326" s="188" t="s">
        <v>3022</v>
      </c>
      <c r="C1326" s="189" t="s">
        <v>125</v>
      </c>
      <c r="D1326" s="189" t="s">
        <v>123</v>
      </c>
      <c r="E1326" s="190" t="s">
        <v>3023</v>
      </c>
      <c r="F1326" s="191">
        <f t="shared" si="22"/>
        <v>213</v>
      </c>
      <c r="G1326" s="185"/>
      <c r="H1326" s="181"/>
      <c r="I1326" s="74"/>
      <c r="J1326" s="74"/>
      <c r="M1326" s="185"/>
      <c r="N1326" s="185"/>
      <c r="O1326" s="185"/>
      <c r="P1326" s="185"/>
      <c r="Q1326" s="185"/>
      <c r="R1326" s="185"/>
    </row>
    <row r="1327" spans="1:18" s="197" customFormat="1" ht="12.75" x14ac:dyDescent="0.2">
      <c r="A1327" s="181"/>
      <c r="B1327" s="188" t="s">
        <v>3024</v>
      </c>
      <c r="C1327" s="189" t="s">
        <v>126</v>
      </c>
      <c r="D1327" s="189" t="s">
        <v>123</v>
      </c>
      <c r="E1327" s="190" t="s">
        <v>3025</v>
      </c>
      <c r="F1327" s="191">
        <f t="shared" si="22"/>
        <v>330.01666666666665</v>
      </c>
      <c r="G1327" s="185"/>
      <c r="H1327" s="181"/>
      <c r="I1327" s="74"/>
      <c r="J1327" s="74"/>
      <c r="M1327" s="185"/>
      <c r="N1327" s="185"/>
      <c r="O1327" s="185"/>
      <c r="P1327" s="185"/>
      <c r="Q1327" s="185"/>
      <c r="R1327" s="185"/>
    </row>
    <row r="1328" spans="1:18" s="197" customFormat="1" ht="12.75" x14ac:dyDescent="0.2">
      <c r="A1328" s="181"/>
      <c r="B1328" s="188" t="s">
        <v>3026</v>
      </c>
      <c r="C1328" s="189" t="s">
        <v>134</v>
      </c>
      <c r="D1328" s="189" t="s">
        <v>123</v>
      </c>
      <c r="E1328" s="190" t="s">
        <v>3027</v>
      </c>
      <c r="F1328" s="191">
        <f t="shared" si="22"/>
        <v>229.25</v>
      </c>
      <c r="G1328" s="185"/>
      <c r="H1328" s="181"/>
      <c r="I1328" s="74"/>
      <c r="J1328" s="74"/>
      <c r="M1328" s="185"/>
      <c r="N1328" s="185"/>
      <c r="O1328" s="185"/>
      <c r="P1328" s="185"/>
      <c r="Q1328" s="185"/>
      <c r="R1328" s="185"/>
    </row>
    <row r="1329" spans="1:18" s="197" customFormat="1" ht="12.75" x14ac:dyDescent="0.2">
      <c r="A1329" s="181"/>
      <c r="B1329" s="188" t="s">
        <v>291</v>
      </c>
      <c r="C1329" s="189" t="s">
        <v>125</v>
      </c>
      <c r="D1329" s="189" t="s">
        <v>127</v>
      </c>
      <c r="E1329" s="190" t="s">
        <v>802</v>
      </c>
      <c r="F1329" s="191">
        <f t="shared" si="22"/>
        <v>278.36666666666667</v>
      </c>
      <c r="G1329" s="185"/>
      <c r="H1329" s="181"/>
      <c r="I1329" s="74"/>
      <c r="J1329" s="74"/>
      <c r="M1329" s="185"/>
      <c r="N1329" s="185"/>
      <c r="O1329" s="185"/>
      <c r="P1329" s="185"/>
      <c r="Q1329" s="185"/>
      <c r="R1329" s="185"/>
    </row>
    <row r="1330" spans="1:18" s="197" customFormat="1" ht="12.75" x14ac:dyDescent="0.2">
      <c r="A1330" s="181"/>
      <c r="B1330" s="188" t="s">
        <v>3028</v>
      </c>
      <c r="C1330" s="189" t="s">
        <v>126</v>
      </c>
      <c r="D1330" s="189" t="s">
        <v>123</v>
      </c>
      <c r="E1330" s="190" t="s">
        <v>3029</v>
      </c>
      <c r="F1330" s="191">
        <f t="shared" si="22"/>
        <v>242.68333333333334</v>
      </c>
      <c r="G1330" s="185"/>
      <c r="H1330" s="181"/>
      <c r="I1330" s="74"/>
      <c r="J1330" s="74"/>
      <c r="M1330" s="185"/>
      <c r="N1330" s="185"/>
      <c r="O1330" s="185"/>
      <c r="P1330" s="185"/>
      <c r="Q1330" s="185"/>
      <c r="R1330" s="185"/>
    </row>
    <row r="1331" spans="1:18" s="197" customFormat="1" ht="12.75" x14ac:dyDescent="0.2">
      <c r="A1331" s="181"/>
      <c r="B1331" s="188" t="s">
        <v>3030</v>
      </c>
      <c r="C1331" s="189" t="s">
        <v>125</v>
      </c>
      <c r="D1331" s="189" t="s">
        <v>174</v>
      </c>
      <c r="E1331" s="190" t="s">
        <v>3031</v>
      </c>
      <c r="F1331" s="191">
        <f t="shared" si="22"/>
        <v>328.16666666666669</v>
      </c>
      <c r="G1331" s="185"/>
      <c r="H1331" s="181"/>
      <c r="I1331" s="74"/>
      <c r="J1331" s="74"/>
      <c r="M1331" s="185"/>
      <c r="N1331" s="185"/>
      <c r="O1331" s="185"/>
      <c r="P1331" s="185"/>
      <c r="Q1331" s="185"/>
      <c r="R1331" s="185"/>
    </row>
    <row r="1332" spans="1:18" s="197" customFormat="1" ht="12.75" x14ac:dyDescent="0.2">
      <c r="A1332" s="181"/>
      <c r="B1332" s="188" t="s">
        <v>3032</v>
      </c>
      <c r="C1332" s="189" t="s">
        <v>130</v>
      </c>
      <c r="D1332" s="189" t="s">
        <v>123</v>
      </c>
      <c r="E1332" s="190" t="s">
        <v>2110</v>
      </c>
      <c r="F1332" s="191">
        <f t="shared" si="22"/>
        <v>235.63333333333333</v>
      </c>
      <c r="G1332" s="185"/>
      <c r="H1332" s="181"/>
      <c r="I1332" s="74"/>
      <c r="J1332" s="74"/>
      <c r="M1332" s="185"/>
      <c r="N1332" s="185"/>
      <c r="O1332" s="185"/>
      <c r="P1332" s="185"/>
      <c r="Q1332" s="185"/>
      <c r="R1332" s="185"/>
    </row>
    <row r="1333" spans="1:18" s="197" customFormat="1" ht="12.75" x14ac:dyDescent="0.2">
      <c r="A1333" s="181"/>
      <c r="B1333" s="188" t="s">
        <v>3033</v>
      </c>
      <c r="C1333" s="189" t="s">
        <v>130</v>
      </c>
      <c r="D1333" s="189" t="s">
        <v>133</v>
      </c>
      <c r="E1333" s="190" t="s">
        <v>2700</v>
      </c>
      <c r="F1333" s="191">
        <f t="shared" si="22"/>
        <v>220.66666666666666</v>
      </c>
      <c r="G1333" s="185"/>
      <c r="H1333" s="181"/>
      <c r="I1333" s="74"/>
      <c r="J1333" s="74"/>
      <c r="M1333" s="185"/>
      <c r="N1333" s="185"/>
      <c r="O1333" s="185"/>
      <c r="P1333" s="185"/>
      <c r="Q1333" s="185"/>
      <c r="R1333" s="185"/>
    </row>
    <row r="1334" spans="1:18" s="197" customFormat="1" ht="12.75" x14ac:dyDescent="0.2">
      <c r="A1334" s="181"/>
      <c r="B1334" s="188" t="s">
        <v>3034</v>
      </c>
      <c r="C1334" s="189" t="s">
        <v>142</v>
      </c>
      <c r="D1334" s="189" t="s">
        <v>165</v>
      </c>
      <c r="E1334" s="190" t="s">
        <v>3035</v>
      </c>
      <c r="F1334" s="191">
        <f t="shared" si="22"/>
        <v>259.91666666666669</v>
      </c>
      <c r="G1334" s="185"/>
      <c r="H1334" s="181"/>
      <c r="I1334" s="74"/>
      <c r="J1334" s="74"/>
      <c r="M1334" s="185"/>
      <c r="N1334" s="185"/>
      <c r="O1334" s="185"/>
      <c r="P1334" s="185"/>
      <c r="Q1334" s="185"/>
      <c r="R1334" s="185"/>
    </row>
    <row r="1335" spans="1:18" s="197" customFormat="1" ht="12.75" x14ac:dyDescent="0.2">
      <c r="A1335" s="181"/>
      <c r="B1335" s="188" t="s">
        <v>3036</v>
      </c>
      <c r="C1335" s="189" t="s">
        <v>128</v>
      </c>
      <c r="D1335" s="189" t="s">
        <v>133</v>
      </c>
      <c r="E1335" s="190" t="s">
        <v>3037</v>
      </c>
      <c r="F1335" s="191">
        <f t="shared" si="22"/>
        <v>319.96666666666664</v>
      </c>
      <c r="G1335" s="185"/>
      <c r="H1335" s="181"/>
      <c r="I1335" s="74"/>
      <c r="J1335" s="74"/>
      <c r="M1335" s="185"/>
      <c r="N1335" s="185"/>
      <c r="O1335" s="185"/>
      <c r="P1335" s="185"/>
      <c r="Q1335" s="185"/>
      <c r="R1335" s="185"/>
    </row>
    <row r="1336" spans="1:18" s="197" customFormat="1" ht="12.75" x14ac:dyDescent="0.2">
      <c r="A1336" s="181"/>
      <c r="B1336" s="188" t="s">
        <v>3038</v>
      </c>
      <c r="C1336" s="189" t="s">
        <v>125</v>
      </c>
      <c r="D1336" s="189" t="s">
        <v>152</v>
      </c>
      <c r="E1336" s="190" t="s">
        <v>3039</v>
      </c>
      <c r="F1336" s="191">
        <f t="shared" si="22"/>
        <v>196.65</v>
      </c>
      <c r="G1336" s="185"/>
      <c r="H1336" s="181"/>
      <c r="I1336" s="74"/>
      <c r="J1336" s="74"/>
      <c r="M1336" s="185"/>
      <c r="N1336" s="185"/>
      <c r="O1336" s="185"/>
      <c r="P1336" s="185"/>
      <c r="Q1336" s="185"/>
      <c r="R1336" s="185"/>
    </row>
    <row r="1337" spans="1:18" s="197" customFormat="1" ht="12.75" x14ac:dyDescent="0.2">
      <c r="A1337" s="181"/>
      <c r="B1337" s="188" t="s">
        <v>3040</v>
      </c>
      <c r="C1337" s="189" t="s">
        <v>135</v>
      </c>
      <c r="D1337" s="189" t="s">
        <v>129</v>
      </c>
      <c r="E1337" s="190" t="s">
        <v>3041</v>
      </c>
      <c r="F1337" s="191">
        <f t="shared" si="22"/>
        <v>243.56666666666666</v>
      </c>
      <c r="G1337" s="185"/>
      <c r="H1337" s="181"/>
      <c r="I1337" s="74"/>
      <c r="J1337" s="74"/>
      <c r="M1337" s="185"/>
      <c r="N1337" s="185"/>
      <c r="O1337" s="185"/>
      <c r="P1337" s="185"/>
      <c r="Q1337" s="185"/>
      <c r="R1337" s="185"/>
    </row>
    <row r="1338" spans="1:18" s="197" customFormat="1" ht="12.75" x14ac:dyDescent="0.2">
      <c r="A1338" s="181"/>
      <c r="B1338" s="188" t="s">
        <v>3042</v>
      </c>
      <c r="C1338" s="189" t="s">
        <v>124</v>
      </c>
      <c r="D1338" s="189" t="s">
        <v>123</v>
      </c>
      <c r="E1338" s="190" t="s">
        <v>3043</v>
      </c>
      <c r="F1338" s="191">
        <f t="shared" si="22"/>
        <v>273.96666666666664</v>
      </c>
      <c r="G1338" s="185"/>
      <c r="H1338" s="181"/>
      <c r="I1338" s="74"/>
      <c r="J1338" s="74"/>
      <c r="M1338" s="185"/>
      <c r="N1338" s="185"/>
      <c r="O1338" s="185"/>
      <c r="P1338" s="185"/>
      <c r="Q1338" s="185"/>
      <c r="R1338" s="185"/>
    </row>
    <row r="1339" spans="1:18" s="197" customFormat="1" ht="12.75" x14ac:dyDescent="0.2">
      <c r="A1339" s="181"/>
      <c r="B1339" s="188" t="s">
        <v>3044</v>
      </c>
      <c r="C1339" s="189" t="s">
        <v>125</v>
      </c>
      <c r="D1339" s="189" t="s">
        <v>123</v>
      </c>
      <c r="E1339" s="190" t="s">
        <v>3045</v>
      </c>
      <c r="F1339" s="191">
        <f t="shared" si="22"/>
        <v>325.13333333333333</v>
      </c>
      <c r="G1339" s="185"/>
      <c r="H1339" s="181"/>
      <c r="I1339" s="74"/>
      <c r="J1339" s="74"/>
      <c r="M1339" s="185"/>
      <c r="N1339" s="185"/>
      <c r="O1339" s="185"/>
      <c r="P1339" s="185"/>
      <c r="Q1339" s="185"/>
      <c r="R1339" s="185"/>
    </row>
    <row r="1340" spans="1:18" s="197" customFormat="1" ht="12.75" x14ac:dyDescent="0.2">
      <c r="A1340" s="181"/>
      <c r="B1340" s="188" t="s">
        <v>3046</v>
      </c>
      <c r="C1340" s="189" t="s">
        <v>140</v>
      </c>
      <c r="D1340" s="189" t="s">
        <v>131</v>
      </c>
      <c r="E1340" s="190" t="s">
        <v>2614</v>
      </c>
      <c r="F1340" s="191">
        <f t="shared" si="22"/>
        <v>263.2</v>
      </c>
      <c r="G1340" s="185"/>
      <c r="H1340" s="181"/>
      <c r="I1340" s="74"/>
      <c r="J1340" s="74"/>
      <c r="M1340" s="185"/>
      <c r="N1340" s="185"/>
      <c r="O1340" s="185"/>
      <c r="P1340" s="185"/>
      <c r="Q1340" s="185"/>
      <c r="R1340" s="185"/>
    </row>
    <row r="1341" spans="1:18" s="197" customFormat="1" ht="12.75" x14ac:dyDescent="0.2">
      <c r="A1341" s="181"/>
      <c r="B1341" s="188" t="s">
        <v>3047</v>
      </c>
      <c r="C1341" s="189" t="s">
        <v>124</v>
      </c>
      <c r="D1341" s="189" t="s">
        <v>148</v>
      </c>
      <c r="E1341" s="190" t="s">
        <v>3048</v>
      </c>
      <c r="F1341" s="191">
        <f t="shared" si="22"/>
        <v>284.88333333333333</v>
      </c>
      <c r="G1341" s="185"/>
      <c r="H1341" s="181"/>
      <c r="I1341" s="74"/>
      <c r="J1341" s="74"/>
      <c r="M1341" s="185"/>
      <c r="N1341" s="185"/>
      <c r="O1341" s="185"/>
      <c r="P1341" s="185"/>
      <c r="Q1341" s="185"/>
      <c r="R1341" s="185"/>
    </row>
    <row r="1342" spans="1:18" s="197" customFormat="1" ht="12.75" x14ac:dyDescent="0.2">
      <c r="A1342" s="181"/>
      <c r="B1342" s="188" t="s">
        <v>3049</v>
      </c>
      <c r="C1342" s="189" t="s">
        <v>249</v>
      </c>
      <c r="D1342" s="189" t="s">
        <v>123</v>
      </c>
      <c r="E1342" s="190" t="s">
        <v>3050</v>
      </c>
      <c r="F1342" s="191">
        <f t="shared" si="22"/>
        <v>286</v>
      </c>
      <c r="G1342" s="185"/>
      <c r="H1342" s="181"/>
      <c r="I1342" s="74"/>
      <c r="J1342" s="74"/>
      <c r="M1342" s="185"/>
      <c r="N1342" s="185"/>
      <c r="O1342" s="185"/>
      <c r="P1342" s="185"/>
      <c r="Q1342" s="185"/>
      <c r="R1342" s="185"/>
    </row>
    <row r="1343" spans="1:18" s="197" customFormat="1" ht="12.75" x14ac:dyDescent="0.2">
      <c r="A1343" s="181"/>
      <c r="B1343" s="188" t="s">
        <v>354</v>
      </c>
      <c r="C1343" s="189" t="s">
        <v>142</v>
      </c>
      <c r="D1343" s="189" t="s">
        <v>123</v>
      </c>
      <c r="E1343" s="190" t="s">
        <v>3051</v>
      </c>
      <c r="F1343" s="191">
        <f t="shared" si="22"/>
        <v>317.06666666666666</v>
      </c>
      <c r="G1343" s="185"/>
      <c r="H1343" s="181"/>
      <c r="I1343" s="74"/>
      <c r="J1343" s="74"/>
      <c r="M1343" s="185"/>
      <c r="N1343" s="185"/>
      <c r="O1343" s="185"/>
      <c r="P1343" s="185"/>
      <c r="Q1343" s="185"/>
      <c r="R1343" s="185"/>
    </row>
    <row r="1344" spans="1:18" s="197" customFormat="1" ht="12.75" x14ac:dyDescent="0.2">
      <c r="A1344" s="181"/>
      <c r="B1344" s="188" t="s">
        <v>3052</v>
      </c>
      <c r="C1344" s="189" t="s">
        <v>124</v>
      </c>
      <c r="D1344" s="189" t="s">
        <v>123</v>
      </c>
      <c r="E1344" s="190" t="s">
        <v>3053</v>
      </c>
      <c r="F1344" s="191">
        <f t="shared" si="22"/>
        <v>219.58333333333334</v>
      </c>
      <c r="G1344" s="185"/>
      <c r="H1344" s="181"/>
      <c r="I1344" s="74"/>
      <c r="J1344" s="74"/>
      <c r="M1344" s="185"/>
      <c r="N1344" s="185"/>
      <c r="O1344" s="185"/>
      <c r="P1344" s="185"/>
      <c r="Q1344" s="185"/>
      <c r="R1344" s="185"/>
    </row>
    <row r="1345" spans="1:18" s="197" customFormat="1" ht="12.75" x14ac:dyDescent="0.2">
      <c r="A1345" s="181"/>
      <c r="B1345" s="188" t="s">
        <v>3054</v>
      </c>
      <c r="C1345" s="189" t="s">
        <v>130</v>
      </c>
      <c r="D1345" s="189" t="s">
        <v>131</v>
      </c>
      <c r="E1345" s="190" t="s">
        <v>3055</v>
      </c>
      <c r="F1345" s="191">
        <f t="shared" si="22"/>
        <v>286.11666666666667</v>
      </c>
      <c r="G1345" s="185"/>
      <c r="H1345" s="181"/>
      <c r="I1345" s="74"/>
      <c r="J1345" s="74"/>
      <c r="M1345" s="185"/>
      <c r="N1345" s="185"/>
      <c r="O1345" s="185"/>
      <c r="P1345" s="185"/>
      <c r="Q1345" s="185"/>
      <c r="R1345" s="185"/>
    </row>
    <row r="1346" spans="1:18" s="197" customFormat="1" ht="12.75" x14ac:dyDescent="0.2">
      <c r="A1346" s="181"/>
      <c r="B1346" s="188" t="s">
        <v>3056</v>
      </c>
      <c r="C1346" s="189" t="s">
        <v>142</v>
      </c>
      <c r="D1346" s="189" t="s">
        <v>157</v>
      </c>
      <c r="E1346" s="190" t="s">
        <v>2349</v>
      </c>
      <c r="F1346" s="191">
        <f t="shared" si="22"/>
        <v>221.93333333333334</v>
      </c>
      <c r="G1346" s="185"/>
      <c r="H1346" s="181"/>
      <c r="I1346" s="74"/>
      <c r="J1346" s="74"/>
      <c r="M1346" s="185"/>
      <c r="N1346" s="185"/>
      <c r="O1346" s="185"/>
      <c r="P1346" s="185"/>
      <c r="Q1346" s="185"/>
      <c r="R1346" s="185"/>
    </row>
    <row r="1347" spans="1:18" s="197" customFormat="1" ht="12.75" x14ac:dyDescent="0.2">
      <c r="A1347" s="181"/>
      <c r="B1347" s="188" t="s">
        <v>3057</v>
      </c>
      <c r="C1347" s="189" t="s">
        <v>130</v>
      </c>
      <c r="D1347" s="189" t="s">
        <v>123</v>
      </c>
      <c r="E1347" s="190" t="s">
        <v>3058</v>
      </c>
      <c r="F1347" s="191">
        <f t="shared" si="22"/>
        <v>257.14999999999998</v>
      </c>
      <c r="G1347" s="185"/>
      <c r="H1347" s="181"/>
      <c r="I1347" s="74"/>
      <c r="J1347" s="74"/>
      <c r="M1347" s="185"/>
      <c r="N1347" s="185"/>
      <c r="O1347" s="185"/>
      <c r="P1347" s="185"/>
      <c r="Q1347" s="185"/>
      <c r="R1347" s="185"/>
    </row>
    <row r="1348" spans="1:18" s="197" customFormat="1" ht="12.75" x14ac:dyDescent="0.2">
      <c r="A1348" s="181"/>
      <c r="B1348" s="188" t="s">
        <v>3059</v>
      </c>
      <c r="C1348" s="189" t="s">
        <v>128</v>
      </c>
      <c r="D1348" s="189" t="s">
        <v>157</v>
      </c>
      <c r="E1348" s="190" t="s">
        <v>3060</v>
      </c>
      <c r="F1348" s="191">
        <f t="shared" si="22"/>
        <v>221.38333333333333</v>
      </c>
      <c r="G1348" s="185"/>
      <c r="H1348" s="181"/>
      <c r="I1348" s="74"/>
      <c r="J1348" s="74"/>
      <c r="M1348" s="185"/>
      <c r="N1348" s="185"/>
      <c r="O1348" s="185"/>
      <c r="P1348" s="185"/>
      <c r="Q1348" s="185"/>
      <c r="R1348" s="185"/>
    </row>
    <row r="1349" spans="1:18" s="197" customFormat="1" ht="12.75" x14ac:dyDescent="0.2">
      <c r="A1349" s="181"/>
      <c r="B1349" s="188" t="s">
        <v>3061</v>
      </c>
      <c r="C1349" s="189" t="s">
        <v>130</v>
      </c>
      <c r="D1349" s="189" t="s">
        <v>123</v>
      </c>
      <c r="E1349" s="190" t="s">
        <v>3062</v>
      </c>
      <c r="F1349" s="191">
        <f t="shared" si="22"/>
        <v>297.66666666666669</v>
      </c>
      <c r="G1349" s="185"/>
      <c r="H1349" s="181"/>
      <c r="I1349" s="74"/>
      <c r="J1349" s="74"/>
      <c r="M1349" s="185"/>
      <c r="N1349" s="185"/>
      <c r="O1349" s="185"/>
      <c r="P1349" s="185"/>
      <c r="Q1349" s="185"/>
      <c r="R1349" s="185"/>
    </row>
    <row r="1350" spans="1:18" s="197" customFormat="1" ht="12.75" x14ac:dyDescent="0.2">
      <c r="A1350" s="181"/>
      <c r="B1350" s="188" t="s">
        <v>3063</v>
      </c>
      <c r="C1350" s="189" t="s">
        <v>134</v>
      </c>
      <c r="D1350" s="189" t="s">
        <v>123</v>
      </c>
      <c r="E1350" s="190" t="s">
        <v>3064</v>
      </c>
      <c r="F1350" s="191">
        <f t="shared" si="22"/>
        <v>220.61666666666667</v>
      </c>
      <c r="G1350" s="185"/>
      <c r="H1350" s="181"/>
      <c r="I1350" s="74"/>
      <c r="J1350" s="74"/>
      <c r="M1350" s="185"/>
      <c r="N1350" s="185"/>
      <c r="O1350" s="185"/>
      <c r="P1350" s="185"/>
      <c r="Q1350" s="185"/>
      <c r="R1350" s="185"/>
    </row>
    <row r="1351" spans="1:18" s="197" customFormat="1" ht="12.75" x14ac:dyDescent="0.2">
      <c r="A1351" s="181"/>
      <c r="B1351" s="188" t="s">
        <v>3065</v>
      </c>
      <c r="C1351" s="189" t="s">
        <v>126</v>
      </c>
      <c r="D1351" s="189" t="s">
        <v>131</v>
      </c>
      <c r="E1351" s="190" t="s">
        <v>2267</v>
      </c>
      <c r="F1351" s="191">
        <f t="shared" si="22"/>
        <v>194.95</v>
      </c>
      <c r="G1351" s="185"/>
      <c r="H1351" s="181"/>
      <c r="I1351" s="74"/>
      <c r="J1351" s="74"/>
      <c r="M1351" s="185"/>
      <c r="N1351" s="185"/>
      <c r="O1351" s="185"/>
      <c r="P1351" s="185"/>
      <c r="Q1351" s="185"/>
      <c r="R1351" s="185"/>
    </row>
    <row r="1352" spans="1:18" s="197" customFormat="1" ht="12.75" x14ac:dyDescent="0.2">
      <c r="A1352" s="181"/>
      <c r="B1352" s="188" t="s">
        <v>3066</v>
      </c>
      <c r="C1352" s="189" t="s">
        <v>136</v>
      </c>
      <c r="D1352" s="189" t="s">
        <v>123</v>
      </c>
      <c r="E1352" s="190" t="s">
        <v>1187</v>
      </c>
      <c r="F1352" s="191">
        <f t="shared" si="22"/>
        <v>212.36666666666667</v>
      </c>
      <c r="G1352" s="185"/>
      <c r="H1352" s="181"/>
      <c r="I1352" s="74"/>
      <c r="J1352" s="74"/>
      <c r="M1352" s="185"/>
      <c r="N1352" s="185"/>
      <c r="O1352" s="185"/>
      <c r="P1352" s="185"/>
      <c r="Q1352" s="185"/>
      <c r="R1352" s="185"/>
    </row>
    <row r="1353" spans="1:18" s="197" customFormat="1" ht="12.75" x14ac:dyDescent="0.2">
      <c r="A1353" s="181"/>
      <c r="B1353" s="188" t="s">
        <v>407</v>
      </c>
      <c r="C1353" s="189" t="s">
        <v>125</v>
      </c>
      <c r="D1353" s="189" t="s">
        <v>123</v>
      </c>
      <c r="E1353" s="190" t="s">
        <v>3067</v>
      </c>
      <c r="F1353" s="191">
        <f t="shared" si="22"/>
        <v>303.08333333333331</v>
      </c>
      <c r="G1353" s="185"/>
      <c r="H1353" s="181"/>
      <c r="I1353" s="74"/>
      <c r="J1353" s="74"/>
      <c r="M1353" s="185"/>
      <c r="N1353" s="185"/>
      <c r="O1353" s="185"/>
      <c r="P1353" s="185"/>
      <c r="Q1353" s="185"/>
      <c r="R1353" s="185"/>
    </row>
    <row r="1354" spans="1:18" s="197" customFormat="1" ht="12.75" x14ac:dyDescent="0.2">
      <c r="A1354" s="181"/>
      <c r="B1354" s="188" t="s">
        <v>3068</v>
      </c>
      <c r="C1354" s="189" t="s">
        <v>125</v>
      </c>
      <c r="D1354" s="189" t="s">
        <v>123</v>
      </c>
      <c r="E1354" s="190" t="s">
        <v>3069</v>
      </c>
      <c r="F1354" s="191">
        <f t="shared" si="22"/>
        <v>217.63333333333333</v>
      </c>
      <c r="G1354" s="185"/>
      <c r="H1354" s="181"/>
      <c r="I1354" s="74"/>
      <c r="J1354" s="74"/>
      <c r="M1354" s="185"/>
      <c r="N1354" s="185"/>
      <c r="O1354" s="185"/>
      <c r="P1354" s="185"/>
      <c r="Q1354" s="185"/>
      <c r="R1354" s="185"/>
    </row>
    <row r="1355" spans="1:18" s="197" customFormat="1" ht="12.75" x14ac:dyDescent="0.2">
      <c r="A1355" s="181"/>
      <c r="B1355" s="188" t="s">
        <v>507</v>
      </c>
      <c r="C1355" s="189" t="s">
        <v>124</v>
      </c>
      <c r="D1355" s="189" t="s">
        <v>148</v>
      </c>
      <c r="E1355" s="190" t="s">
        <v>3070</v>
      </c>
      <c r="F1355" s="191">
        <f t="shared" ref="F1355:F1418" si="23">HOUR(E1355)*60+MINUTE(E1355)+SECOND(E1355)/60</f>
        <v>239.56666666666666</v>
      </c>
      <c r="G1355" s="185"/>
      <c r="H1355" s="181"/>
      <c r="I1355" s="74"/>
      <c r="J1355" s="74"/>
      <c r="M1355" s="185"/>
      <c r="N1355" s="185"/>
      <c r="O1355" s="185"/>
      <c r="P1355" s="185"/>
      <c r="Q1355" s="185"/>
      <c r="R1355" s="185"/>
    </row>
    <row r="1356" spans="1:18" s="197" customFormat="1" ht="12.75" x14ac:dyDescent="0.2">
      <c r="A1356" s="181"/>
      <c r="B1356" s="188" t="s">
        <v>3071</v>
      </c>
      <c r="C1356" s="189" t="s">
        <v>130</v>
      </c>
      <c r="D1356" s="189" t="s">
        <v>123</v>
      </c>
      <c r="E1356" s="190" t="s">
        <v>3072</v>
      </c>
      <c r="F1356" s="191">
        <f t="shared" si="23"/>
        <v>235.53333333333333</v>
      </c>
      <c r="G1356" s="185"/>
      <c r="H1356" s="181"/>
      <c r="I1356" s="74"/>
      <c r="J1356" s="74"/>
      <c r="M1356" s="185"/>
      <c r="N1356" s="185"/>
      <c r="O1356" s="185"/>
      <c r="P1356" s="185"/>
      <c r="Q1356" s="185"/>
      <c r="R1356" s="185"/>
    </row>
    <row r="1357" spans="1:18" s="197" customFormat="1" ht="12.75" x14ac:dyDescent="0.2">
      <c r="A1357" s="181"/>
      <c r="B1357" s="188" t="s">
        <v>607</v>
      </c>
      <c r="C1357" s="189" t="s">
        <v>135</v>
      </c>
      <c r="D1357" s="189" t="s">
        <v>132</v>
      </c>
      <c r="E1357" s="190" t="s">
        <v>2556</v>
      </c>
      <c r="F1357" s="191">
        <f t="shared" si="23"/>
        <v>233.88333333333333</v>
      </c>
      <c r="G1357" s="185"/>
      <c r="H1357" s="181"/>
      <c r="I1357" s="74"/>
      <c r="J1357" s="74"/>
      <c r="M1357" s="185"/>
      <c r="N1357" s="185"/>
      <c r="O1357" s="185"/>
      <c r="P1357" s="185"/>
      <c r="Q1357" s="185"/>
      <c r="R1357" s="185"/>
    </row>
    <row r="1358" spans="1:18" s="197" customFormat="1" ht="12.75" x14ac:dyDescent="0.2">
      <c r="A1358" s="181"/>
      <c r="B1358" s="188" t="s">
        <v>3073</v>
      </c>
      <c r="C1358" s="189" t="s">
        <v>124</v>
      </c>
      <c r="D1358" s="189" t="s">
        <v>148</v>
      </c>
      <c r="E1358" s="190" t="s">
        <v>3074</v>
      </c>
      <c r="F1358" s="191">
        <f t="shared" si="23"/>
        <v>237.25</v>
      </c>
      <c r="G1358" s="185"/>
      <c r="H1358" s="181"/>
      <c r="I1358" s="74"/>
      <c r="J1358" s="74"/>
      <c r="M1358" s="185"/>
      <c r="N1358" s="185"/>
      <c r="O1358" s="185"/>
      <c r="P1358" s="185"/>
      <c r="Q1358" s="185"/>
      <c r="R1358" s="185"/>
    </row>
    <row r="1359" spans="1:18" s="197" customFormat="1" ht="12.75" x14ac:dyDescent="0.2">
      <c r="A1359" s="181"/>
      <c r="B1359" s="188" t="s">
        <v>3075</v>
      </c>
      <c r="C1359" s="189" t="s">
        <v>130</v>
      </c>
      <c r="D1359" s="189" t="s">
        <v>132</v>
      </c>
      <c r="E1359" s="190" t="s">
        <v>2395</v>
      </c>
      <c r="F1359" s="191">
        <f t="shared" si="23"/>
        <v>263.71666666666664</v>
      </c>
      <c r="G1359" s="185"/>
      <c r="H1359" s="181"/>
      <c r="I1359" s="74"/>
      <c r="J1359" s="74"/>
      <c r="M1359" s="185"/>
      <c r="N1359" s="185"/>
      <c r="O1359" s="185"/>
      <c r="P1359" s="185"/>
      <c r="Q1359" s="185"/>
      <c r="R1359" s="185"/>
    </row>
    <row r="1360" spans="1:18" s="197" customFormat="1" ht="12.75" x14ac:dyDescent="0.2">
      <c r="A1360" s="181"/>
      <c r="B1360" s="188" t="s">
        <v>3076</v>
      </c>
      <c r="C1360" s="189" t="s">
        <v>142</v>
      </c>
      <c r="D1360" s="189" t="s">
        <v>123</v>
      </c>
      <c r="E1360" s="190" t="s">
        <v>3077</v>
      </c>
      <c r="F1360" s="191">
        <f t="shared" si="23"/>
        <v>255.5</v>
      </c>
      <c r="G1360" s="185"/>
      <c r="H1360" s="181"/>
      <c r="I1360" s="74"/>
      <c r="J1360" s="74"/>
      <c r="M1360" s="185"/>
      <c r="N1360" s="185"/>
      <c r="O1360" s="185"/>
      <c r="P1360" s="185"/>
      <c r="Q1360" s="185"/>
      <c r="R1360" s="185"/>
    </row>
    <row r="1361" spans="1:18" s="197" customFormat="1" ht="12.75" x14ac:dyDescent="0.2">
      <c r="A1361" s="181"/>
      <c r="B1361" s="188" t="s">
        <v>3078</v>
      </c>
      <c r="C1361" s="189" t="s">
        <v>128</v>
      </c>
      <c r="D1361" s="189" t="s">
        <v>123</v>
      </c>
      <c r="E1361" s="190" t="s">
        <v>3079</v>
      </c>
      <c r="F1361" s="191">
        <f t="shared" si="23"/>
        <v>283.60000000000002</v>
      </c>
      <c r="G1361" s="185"/>
      <c r="H1361" s="181"/>
      <c r="I1361" s="74"/>
      <c r="J1361" s="74"/>
      <c r="M1361" s="185"/>
      <c r="N1361" s="185"/>
      <c r="O1361" s="185"/>
      <c r="P1361" s="185"/>
      <c r="Q1361" s="185"/>
      <c r="R1361" s="185"/>
    </row>
    <row r="1362" spans="1:18" s="197" customFormat="1" ht="12.75" x14ac:dyDescent="0.2">
      <c r="A1362" s="181"/>
      <c r="B1362" s="188" t="s">
        <v>3080</v>
      </c>
      <c r="C1362" s="189" t="s">
        <v>249</v>
      </c>
      <c r="D1362" s="189" t="s">
        <v>123</v>
      </c>
      <c r="E1362" s="190" t="s">
        <v>1421</v>
      </c>
      <c r="F1362" s="191">
        <f t="shared" si="23"/>
        <v>293.21666666666664</v>
      </c>
      <c r="G1362" s="185"/>
      <c r="H1362" s="181"/>
      <c r="I1362" s="74"/>
      <c r="J1362" s="74"/>
      <c r="M1362" s="185"/>
      <c r="N1362" s="185"/>
      <c r="O1362" s="185"/>
      <c r="P1362" s="185"/>
      <c r="Q1362" s="185"/>
      <c r="R1362" s="185"/>
    </row>
    <row r="1363" spans="1:18" s="197" customFormat="1" ht="12.75" x14ac:dyDescent="0.2">
      <c r="A1363" s="181"/>
      <c r="B1363" s="188" t="s">
        <v>3081</v>
      </c>
      <c r="C1363" s="189" t="s">
        <v>128</v>
      </c>
      <c r="D1363" s="189" t="s">
        <v>123</v>
      </c>
      <c r="E1363" s="190" t="s">
        <v>3082</v>
      </c>
      <c r="F1363" s="191">
        <f t="shared" si="23"/>
        <v>303.16666666666669</v>
      </c>
      <c r="G1363" s="185"/>
      <c r="H1363" s="181"/>
      <c r="I1363" s="74"/>
      <c r="J1363" s="74"/>
      <c r="M1363" s="185"/>
      <c r="N1363" s="185"/>
      <c r="O1363" s="185"/>
      <c r="P1363" s="185"/>
      <c r="Q1363" s="185"/>
      <c r="R1363" s="185"/>
    </row>
    <row r="1364" spans="1:18" s="197" customFormat="1" ht="12.75" x14ac:dyDescent="0.2">
      <c r="A1364" s="181"/>
      <c r="B1364" s="188" t="s">
        <v>163</v>
      </c>
      <c r="C1364" s="189" t="s">
        <v>124</v>
      </c>
      <c r="D1364" s="189" t="s">
        <v>123</v>
      </c>
      <c r="E1364" s="190" t="s">
        <v>2981</v>
      </c>
      <c r="F1364" s="191">
        <f t="shared" si="23"/>
        <v>189.35</v>
      </c>
      <c r="G1364" s="185"/>
      <c r="H1364" s="181"/>
      <c r="I1364" s="74"/>
      <c r="J1364" s="74"/>
      <c r="M1364" s="185"/>
      <c r="N1364" s="185"/>
      <c r="O1364" s="185"/>
      <c r="P1364" s="185"/>
      <c r="Q1364" s="185"/>
      <c r="R1364" s="185"/>
    </row>
    <row r="1365" spans="1:18" s="197" customFormat="1" ht="12.75" x14ac:dyDescent="0.2">
      <c r="A1365" s="181"/>
      <c r="B1365" s="188" t="s">
        <v>3083</v>
      </c>
      <c r="C1365" s="189" t="s">
        <v>125</v>
      </c>
      <c r="D1365" s="189" t="s">
        <v>160</v>
      </c>
      <c r="E1365" s="190" t="s">
        <v>3084</v>
      </c>
      <c r="F1365" s="191">
        <f t="shared" si="23"/>
        <v>223.16666666666666</v>
      </c>
      <c r="G1365" s="185"/>
      <c r="H1365" s="181"/>
      <c r="I1365" s="74"/>
      <c r="J1365" s="74"/>
      <c r="M1365" s="185"/>
      <c r="N1365" s="185"/>
      <c r="O1365" s="185"/>
      <c r="P1365" s="185"/>
      <c r="Q1365" s="185"/>
      <c r="R1365" s="185"/>
    </row>
    <row r="1366" spans="1:18" s="197" customFormat="1" ht="12.75" x14ac:dyDescent="0.2">
      <c r="A1366" s="181"/>
      <c r="B1366" s="188" t="s">
        <v>3085</v>
      </c>
      <c r="C1366" s="189" t="s">
        <v>124</v>
      </c>
      <c r="D1366" s="189" t="s">
        <v>155</v>
      </c>
      <c r="E1366" s="190" t="s">
        <v>3086</v>
      </c>
      <c r="F1366" s="191">
        <f t="shared" si="23"/>
        <v>223.58333333333334</v>
      </c>
      <c r="G1366" s="185"/>
      <c r="H1366" s="181"/>
      <c r="I1366" s="74"/>
      <c r="J1366" s="74"/>
      <c r="M1366" s="185"/>
      <c r="N1366" s="185"/>
      <c r="O1366" s="185"/>
      <c r="P1366" s="185"/>
      <c r="Q1366" s="185"/>
      <c r="R1366" s="185"/>
    </row>
    <row r="1367" spans="1:18" s="197" customFormat="1" ht="12.75" x14ac:dyDescent="0.2">
      <c r="A1367" s="181"/>
      <c r="B1367" s="188" t="s">
        <v>255</v>
      </c>
      <c r="C1367" s="189" t="s">
        <v>135</v>
      </c>
      <c r="D1367" s="189" t="s">
        <v>155</v>
      </c>
      <c r="E1367" s="190" t="s">
        <v>3087</v>
      </c>
      <c r="F1367" s="191">
        <f t="shared" si="23"/>
        <v>228.95</v>
      </c>
      <c r="G1367" s="185"/>
      <c r="H1367" s="181"/>
      <c r="I1367" s="74"/>
      <c r="J1367" s="74"/>
      <c r="M1367" s="185"/>
      <c r="N1367" s="185"/>
      <c r="O1367" s="185"/>
      <c r="P1367" s="185"/>
      <c r="Q1367" s="185"/>
      <c r="R1367" s="185"/>
    </row>
    <row r="1368" spans="1:18" s="197" customFormat="1" ht="12.75" x14ac:dyDescent="0.2">
      <c r="A1368" s="181"/>
      <c r="B1368" s="188" t="s">
        <v>3088</v>
      </c>
      <c r="C1368" s="189" t="s">
        <v>126</v>
      </c>
      <c r="D1368" s="189" t="s">
        <v>123</v>
      </c>
      <c r="E1368" s="190" t="s">
        <v>3089</v>
      </c>
      <c r="F1368" s="191">
        <f t="shared" si="23"/>
        <v>238.23333333333332</v>
      </c>
      <c r="G1368" s="185"/>
      <c r="H1368" s="181"/>
      <c r="I1368" s="74"/>
      <c r="J1368" s="74"/>
      <c r="M1368" s="185"/>
      <c r="N1368" s="185"/>
      <c r="O1368" s="185"/>
      <c r="P1368" s="185"/>
      <c r="Q1368" s="185"/>
      <c r="R1368" s="185"/>
    </row>
    <row r="1369" spans="1:18" s="197" customFormat="1" ht="12.75" x14ac:dyDescent="0.2">
      <c r="A1369" s="181"/>
      <c r="B1369" s="188" t="s">
        <v>3090</v>
      </c>
      <c r="C1369" s="189" t="s">
        <v>134</v>
      </c>
      <c r="D1369" s="189" t="s">
        <v>155</v>
      </c>
      <c r="E1369" s="190" t="s">
        <v>3091</v>
      </c>
      <c r="F1369" s="191">
        <f t="shared" si="23"/>
        <v>281.21666666666664</v>
      </c>
      <c r="G1369" s="185"/>
      <c r="H1369" s="181"/>
      <c r="I1369" s="74"/>
      <c r="J1369" s="74"/>
      <c r="M1369" s="185"/>
      <c r="N1369" s="185"/>
      <c r="O1369" s="185"/>
      <c r="P1369" s="185"/>
      <c r="Q1369" s="185"/>
      <c r="R1369" s="185"/>
    </row>
    <row r="1370" spans="1:18" s="197" customFormat="1" ht="12.75" x14ac:dyDescent="0.2">
      <c r="A1370" s="181"/>
      <c r="B1370" s="188" t="s">
        <v>3092</v>
      </c>
      <c r="C1370" s="189" t="s">
        <v>142</v>
      </c>
      <c r="D1370" s="189" t="s">
        <v>132</v>
      </c>
      <c r="E1370" s="190" t="s">
        <v>3093</v>
      </c>
      <c r="F1370" s="191">
        <f t="shared" si="23"/>
        <v>294.8</v>
      </c>
      <c r="G1370" s="185"/>
      <c r="H1370" s="181"/>
      <c r="I1370" s="74"/>
      <c r="J1370" s="74"/>
      <c r="M1370" s="185"/>
      <c r="N1370" s="185"/>
      <c r="O1370" s="185"/>
      <c r="P1370" s="185"/>
      <c r="Q1370" s="185"/>
      <c r="R1370" s="185"/>
    </row>
    <row r="1371" spans="1:18" s="197" customFormat="1" ht="12.75" x14ac:dyDescent="0.2">
      <c r="A1371" s="181"/>
      <c r="B1371" s="188" t="s">
        <v>3094</v>
      </c>
      <c r="C1371" s="189" t="s">
        <v>124</v>
      </c>
      <c r="D1371" s="189" t="s">
        <v>123</v>
      </c>
      <c r="E1371" s="190" t="s">
        <v>3095</v>
      </c>
      <c r="F1371" s="191">
        <f t="shared" si="23"/>
        <v>240.43333333333334</v>
      </c>
      <c r="G1371" s="185"/>
      <c r="H1371" s="181"/>
      <c r="I1371" s="74"/>
      <c r="J1371" s="74"/>
      <c r="M1371" s="185"/>
      <c r="N1371" s="185"/>
      <c r="O1371" s="185"/>
      <c r="P1371" s="185"/>
      <c r="Q1371" s="185"/>
      <c r="R1371" s="185"/>
    </row>
    <row r="1372" spans="1:18" s="197" customFormat="1" ht="12.75" x14ac:dyDescent="0.2">
      <c r="A1372" s="181"/>
      <c r="B1372" s="188" t="s">
        <v>3096</v>
      </c>
      <c r="C1372" s="189" t="s">
        <v>142</v>
      </c>
      <c r="D1372" s="189" t="s">
        <v>131</v>
      </c>
      <c r="E1372" s="190" t="s">
        <v>3097</v>
      </c>
      <c r="F1372" s="191">
        <f t="shared" si="23"/>
        <v>237.56666666666666</v>
      </c>
      <c r="G1372" s="185"/>
      <c r="H1372" s="181"/>
      <c r="I1372" s="74"/>
      <c r="J1372" s="74"/>
      <c r="M1372" s="185"/>
      <c r="N1372" s="185"/>
      <c r="O1372" s="185"/>
      <c r="P1372" s="185"/>
      <c r="Q1372" s="185"/>
      <c r="R1372" s="185"/>
    </row>
    <row r="1373" spans="1:18" s="197" customFormat="1" ht="12.75" x14ac:dyDescent="0.2">
      <c r="A1373" s="181"/>
      <c r="B1373" s="188" t="s">
        <v>3098</v>
      </c>
      <c r="C1373" s="189" t="s">
        <v>130</v>
      </c>
      <c r="D1373" s="189" t="s">
        <v>123</v>
      </c>
      <c r="E1373" s="190" t="s">
        <v>3099</v>
      </c>
      <c r="F1373" s="191">
        <f t="shared" si="23"/>
        <v>223.95</v>
      </c>
      <c r="G1373" s="185"/>
      <c r="H1373" s="181"/>
      <c r="I1373" s="74"/>
      <c r="J1373" s="74"/>
      <c r="M1373" s="185"/>
      <c r="N1373" s="185"/>
      <c r="O1373" s="185"/>
      <c r="P1373" s="185"/>
      <c r="Q1373" s="185"/>
      <c r="R1373" s="185"/>
    </row>
    <row r="1374" spans="1:18" s="197" customFormat="1" ht="12.75" x14ac:dyDescent="0.2">
      <c r="A1374" s="181"/>
      <c r="B1374" s="188" t="s">
        <v>3100</v>
      </c>
      <c r="C1374" s="189" t="s">
        <v>130</v>
      </c>
      <c r="D1374" s="189" t="s">
        <v>129</v>
      </c>
      <c r="E1374" s="190" t="s">
        <v>3101</v>
      </c>
      <c r="F1374" s="191">
        <f t="shared" si="23"/>
        <v>224.25</v>
      </c>
      <c r="G1374" s="185"/>
      <c r="H1374" s="181"/>
      <c r="I1374" s="74"/>
      <c r="J1374" s="74"/>
      <c r="M1374" s="185"/>
      <c r="N1374" s="185"/>
      <c r="O1374" s="185"/>
      <c r="P1374" s="185"/>
      <c r="Q1374" s="185"/>
      <c r="R1374" s="185"/>
    </row>
    <row r="1375" spans="1:18" s="197" customFormat="1" ht="12.75" x14ac:dyDescent="0.2">
      <c r="A1375" s="181"/>
      <c r="B1375" s="188" t="s">
        <v>3102</v>
      </c>
      <c r="C1375" s="189" t="s">
        <v>134</v>
      </c>
      <c r="D1375" s="189" t="s">
        <v>123</v>
      </c>
      <c r="E1375" s="190" t="s">
        <v>3103</v>
      </c>
      <c r="F1375" s="191">
        <f t="shared" si="23"/>
        <v>213.66666666666666</v>
      </c>
      <c r="G1375" s="185"/>
      <c r="H1375" s="181"/>
      <c r="I1375" s="74"/>
      <c r="J1375" s="74"/>
      <c r="M1375" s="185"/>
      <c r="N1375" s="185"/>
      <c r="O1375" s="185"/>
      <c r="P1375" s="185"/>
      <c r="Q1375" s="185"/>
      <c r="R1375" s="185"/>
    </row>
    <row r="1376" spans="1:18" s="197" customFormat="1" ht="12.75" x14ac:dyDescent="0.2">
      <c r="A1376" s="181"/>
      <c r="B1376" s="188" t="s">
        <v>3104</v>
      </c>
      <c r="C1376" s="189" t="s">
        <v>125</v>
      </c>
      <c r="D1376" s="189" t="s">
        <v>171</v>
      </c>
      <c r="E1376" s="190" t="s">
        <v>1943</v>
      </c>
      <c r="F1376" s="191">
        <f t="shared" si="23"/>
        <v>287.51666666666665</v>
      </c>
      <c r="G1376" s="185"/>
      <c r="H1376" s="181"/>
      <c r="I1376" s="74"/>
      <c r="J1376" s="74"/>
      <c r="M1376" s="185"/>
      <c r="N1376" s="185"/>
      <c r="O1376" s="185"/>
      <c r="P1376" s="185"/>
      <c r="Q1376" s="185"/>
      <c r="R1376" s="185"/>
    </row>
    <row r="1377" spans="1:18" s="197" customFormat="1" ht="12.75" x14ac:dyDescent="0.2">
      <c r="A1377" s="181"/>
      <c r="B1377" s="188" t="s">
        <v>3105</v>
      </c>
      <c r="C1377" s="189" t="s">
        <v>134</v>
      </c>
      <c r="D1377" s="189" t="s">
        <v>123</v>
      </c>
      <c r="E1377" s="190" t="s">
        <v>3106</v>
      </c>
      <c r="F1377" s="191">
        <f t="shared" si="23"/>
        <v>230.88333333333333</v>
      </c>
      <c r="G1377" s="185"/>
      <c r="H1377" s="181"/>
      <c r="I1377" s="74"/>
      <c r="J1377" s="74"/>
      <c r="M1377" s="185"/>
      <c r="N1377" s="185"/>
      <c r="O1377" s="185"/>
      <c r="P1377" s="185"/>
      <c r="Q1377" s="185"/>
      <c r="R1377" s="185"/>
    </row>
    <row r="1378" spans="1:18" s="197" customFormat="1" ht="12.75" x14ac:dyDescent="0.2">
      <c r="A1378" s="181"/>
      <c r="B1378" s="188" t="s">
        <v>3107</v>
      </c>
      <c r="C1378" s="189" t="s">
        <v>125</v>
      </c>
      <c r="D1378" s="189" t="s">
        <v>123</v>
      </c>
      <c r="E1378" s="190" t="s">
        <v>3108</v>
      </c>
      <c r="F1378" s="191">
        <f t="shared" si="23"/>
        <v>190.45</v>
      </c>
      <c r="G1378" s="185"/>
      <c r="H1378" s="181"/>
      <c r="I1378" s="74"/>
      <c r="J1378" s="74"/>
      <c r="M1378" s="185"/>
      <c r="N1378" s="185"/>
      <c r="O1378" s="185"/>
      <c r="P1378" s="185"/>
      <c r="Q1378" s="185"/>
      <c r="R1378" s="185"/>
    </row>
    <row r="1379" spans="1:18" s="197" customFormat="1" ht="12.75" x14ac:dyDescent="0.2">
      <c r="A1379" s="181"/>
      <c r="B1379" s="188" t="s">
        <v>3109</v>
      </c>
      <c r="C1379" s="189" t="s">
        <v>136</v>
      </c>
      <c r="D1379" s="189" t="s">
        <v>129</v>
      </c>
      <c r="E1379" s="190" t="s">
        <v>2471</v>
      </c>
      <c r="F1379" s="191">
        <f t="shared" si="23"/>
        <v>266.26666666666665</v>
      </c>
      <c r="G1379" s="185"/>
      <c r="H1379" s="181"/>
      <c r="I1379" s="74"/>
      <c r="J1379" s="74"/>
      <c r="M1379" s="185"/>
      <c r="N1379" s="185"/>
      <c r="O1379" s="185"/>
      <c r="P1379" s="185"/>
      <c r="Q1379" s="185"/>
      <c r="R1379" s="185"/>
    </row>
    <row r="1380" spans="1:18" s="197" customFormat="1" ht="12.75" x14ac:dyDescent="0.2">
      <c r="A1380" s="181"/>
      <c r="B1380" s="188" t="s">
        <v>215</v>
      </c>
      <c r="C1380" s="189" t="s">
        <v>142</v>
      </c>
      <c r="D1380" s="189" t="s">
        <v>123</v>
      </c>
      <c r="E1380" s="190" t="s">
        <v>1628</v>
      </c>
      <c r="F1380" s="191">
        <f t="shared" si="23"/>
        <v>226.96666666666667</v>
      </c>
      <c r="G1380" s="185"/>
      <c r="H1380" s="181"/>
      <c r="I1380" s="74"/>
      <c r="J1380" s="74"/>
      <c r="M1380" s="185"/>
      <c r="N1380" s="185"/>
      <c r="O1380" s="185"/>
      <c r="P1380" s="185"/>
      <c r="Q1380" s="185"/>
      <c r="R1380" s="185"/>
    </row>
    <row r="1381" spans="1:18" s="197" customFormat="1" ht="12.75" x14ac:dyDescent="0.2">
      <c r="A1381" s="181"/>
      <c r="B1381" s="188" t="s">
        <v>3110</v>
      </c>
      <c r="C1381" s="189" t="s">
        <v>142</v>
      </c>
      <c r="D1381" s="189" t="s">
        <v>123</v>
      </c>
      <c r="E1381" s="190" t="s">
        <v>3111</v>
      </c>
      <c r="F1381" s="191">
        <f t="shared" si="23"/>
        <v>277.28333333333336</v>
      </c>
      <c r="G1381" s="185"/>
      <c r="H1381" s="181"/>
      <c r="I1381" s="74"/>
      <c r="J1381" s="74"/>
      <c r="M1381" s="185"/>
      <c r="N1381" s="185"/>
      <c r="O1381" s="185"/>
      <c r="P1381" s="185"/>
      <c r="Q1381" s="185"/>
      <c r="R1381" s="185"/>
    </row>
    <row r="1382" spans="1:18" s="197" customFormat="1" ht="12.75" x14ac:dyDescent="0.2">
      <c r="A1382" s="181"/>
      <c r="B1382" s="188" t="s">
        <v>3112</v>
      </c>
      <c r="C1382" s="189" t="s">
        <v>128</v>
      </c>
      <c r="D1382" s="189" t="s">
        <v>123</v>
      </c>
      <c r="E1382" s="190" t="s">
        <v>1803</v>
      </c>
      <c r="F1382" s="191">
        <f t="shared" si="23"/>
        <v>190.71666666666667</v>
      </c>
      <c r="G1382" s="185"/>
      <c r="H1382" s="181"/>
      <c r="I1382" s="74"/>
      <c r="J1382" s="74"/>
      <c r="M1382" s="185"/>
      <c r="N1382" s="185"/>
      <c r="O1382" s="185"/>
      <c r="P1382" s="185"/>
      <c r="Q1382" s="185"/>
      <c r="R1382" s="185"/>
    </row>
    <row r="1383" spans="1:18" s="197" customFormat="1" ht="12.75" x14ac:dyDescent="0.2">
      <c r="A1383" s="181"/>
      <c r="B1383" s="188" t="s">
        <v>3113</v>
      </c>
      <c r="C1383" s="189" t="s">
        <v>124</v>
      </c>
      <c r="D1383" s="189" t="s">
        <v>139</v>
      </c>
      <c r="E1383" s="190" t="s">
        <v>3114</v>
      </c>
      <c r="F1383" s="191">
        <f t="shared" si="23"/>
        <v>278.75</v>
      </c>
      <c r="G1383" s="185"/>
      <c r="H1383" s="181"/>
      <c r="I1383" s="74"/>
      <c r="J1383" s="74"/>
      <c r="M1383" s="185"/>
      <c r="N1383" s="185"/>
      <c r="O1383" s="185"/>
      <c r="P1383" s="185"/>
      <c r="Q1383" s="185"/>
      <c r="R1383" s="185"/>
    </row>
    <row r="1384" spans="1:18" s="197" customFormat="1" ht="12.75" x14ac:dyDescent="0.2">
      <c r="A1384" s="181"/>
      <c r="B1384" s="188" t="s">
        <v>3115</v>
      </c>
      <c r="C1384" s="189" t="s">
        <v>130</v>
      </c>
      <c r="D1384" s="189" t="s">
        <v>123</v>
      </c>
      <c r="E1384" s="190" t="s">
        <v>3116</v>
      </c>
      <c r="F1384" s="191">
        <f t="shared" si="23"/>
        <v>248.61666666666667</v>
      </c>
      <c r="G1384" s="185"/>
      <c r="H1384" s="181"/>
      <c r="I1384" s="74"/>
      <c r="J1384" s="74"/>
      <c r="M1384" s="185"/>
      <c r="N1384" s="185"/>
      <c r="O1384" s="185"/>
      <c r="P1384" s="185"/>
      <c r="Q1384" s="185"/>
      <c r="R1384" s="185"/>
    </row>
    <row r="1385" spans="1:18" s="197" customFormat="1" ht="12.75" x14ac:dyDescent="0.2">
      <c r="A1385" s="181"/>
      <c r="B1385" s="188" t="s">
        <v>3117</v>
      </c>
      <c r="C1385" s="189" t="s">
        <v>130</v>
      </c>
      <c r="D1385" s="189" t="s">
        <v>339</v>
      </c>
      <c r="E1385" s="190" t="s">
        <v>3118</v>
      </c>
      <c r="F1385" s="191">
        <f t="shared" si="23"/>
        <v>220.75</v>
      </c>
      <c r="G1385" s="185"/>
      <c r="H1385" s="181"/>
      <c r="I1385" s="74"/>
      <c r="J1385" s="74"/>
      <c r="M1385" s="185"/>
      <c r="N1385" s="185"/>
      <c r="O1385" s="185"/>
      <c r="P1385" s="185"/>
      <c r="Q1385" s="185"/>
      <c r="R1385" s="185"/>
    </row>
    <row r="1386" spans="1:18" s="197" customFormat="1" ht="12.75" x14ac:dyDescent="0.2">
      <c r="A1386" s="181"/>
      <c r="B1386" s="188" t="s">
        <v>489</v>
      </c>
      <c r="C1386" s="189" t="s">
        <v>135</v>
      </c>
      <c r="D1386" s="189" t="s">
        <v>123</v>
      </c>
      <c r="E1386" s="190" t="s">
        <v>3119</v>
      </c>
      <c r="F1386" s="191">
        <f t="shared" si="23"/>
        <v>225.2</v>
      </c>
      <c r="G1386" s="185"/>
      <c r="H1386" s="181"/>
      <c r="I1386" s="74"/>
      <c r="J1386" s="74"/>
      <c r="M1386" s="185"/>
      <c r="N1386" s="185"/>
      <c r="O1386" s="185"/>
      <c r="P1386" s="185"/>
      <c r="Q1386" s="185"/>
      <c r="R1386" s="185"/>
    </row>
    <row r="1387" spans="1:18" s="197" customFormat="1" ht="12.75" x14ac:dyDescent="0.2">
      <c r="A1387" s="181"/>
      <c r="B1387" s="188" t="s">
        <v>632</v>
      </c>
      <c r="C1387" s="189" t="s">
        <v>125</v>
      </c>
      <c r="D1387" s="189" t="s">
        <v>123</v>
      </c>
      <c r="E1387" s="190" t="s">
        <v>3029</v>
      </c>
      <c r="F1387" s="191">
        <f t="shared" si="23"/>
        <v>242.68333333333334</v>
      </c>
      <c r="G1387" s="185"/>
      <c r="H1387" s="181"/>
      <c r="I1387" s="74"/>
      <c r="J1387" s="74"/>
      <c r="M1387" s="185"/>
      <c r="N1387" s="185"/>
      <c r="O1387" s="185"/>
      <c r="P1387" s="185"/>
      <c r="Q1387" s="185"/>
      <c r="R1387" s="185"/>
    </row>
    <row r="1388" spans="1:18" s="197" customFormat="1" ht="12.75" x14ac:dyDescent="0.2">
      <c r="A1388" s="181"/>
      <c r="B1388" s="188" t="s">
        <v>3120</v>
      </c>
      <c r="C1388" s="189" t="s">
        <v>125</v>
      </c>
      <c r="D1388" s="189" t="s">
        <v>123</v>
      </c>
      <c r="E1388" s="190" t="s">
        <v>3121</v>
      </c>
      <c r="F1388" s="191">
        <f t="shared" si="23"/>
        <v>263.89999999999998</v>
      </c>
      <c r="G1388" s="185"/>
      <c r="H1388" s="181"/>
      <c r="I1388" s="74"/>
      <c r="J1388" s="74"/>
      <c r="M1388" s="185"/>
      <c r="N1388" s="185"/>
      <c r="O1388" s="185"/>
      <c r="P1388" s="185"/>
      <c r="Q1388" s="185"/>
      <c r="R1388" s="185"/>
    </row>
    <row r="1389" spans="1:18" s="197" customFormat="1" ht="12.75" x14ac:dyDescent="0.2">
      <c r="A1389" s="181"/>
      <c r="B1389" s="188" t="s">
        <v>3122</v>
      </c>
      <c r="C1389" s="189" t="s">
        <v>124</v>
      </c>
      <c r="D1389" s="189" t="s">
        <v>260</v>
      </c>
      <c r="E1389" s="190" t="s">
        <v>3123</v>
      </c>
      <c r="F1389" s="191">
        <f t="shared" si="23"/>
        <v>230.08333333333334</v>
      </c>
      <c r="G1389" s="185"/>
      <c r="H1389" s="181"/>
      <c r="I1389" s="74"/>
      <c r="J1389" s="74"/>
      <c r="M1389" s="185"/>
      <c r="N1389" s="185"/>
      <c r="O1389" s="185"/>
      <c r="P1389" s="185"/>
      <c r="Q1389" s="185"/>
      <c r="R1389" s="185"/>
    </row>
    <row r="1390" spans="1:18" s="197" customFormat="1" ht="12.75" x14ac:dyDescent="0.2">
      <c r="A1390" s="181"/>
      <c r="B1390" s="188" t="s">
        <v>3124</v>
      </c>
      <c r="C1390" s="189" t="s">
        <v>130</v>
      </c>
      <c r="D1390" s="189" t="s">
        <v>139</v>
      </c>
      <c r="E1390" s="190" t="s">
        <v>3125</v>
      </c>
      <c r="F1390" s="191">
        <f t="shared" si="23"/>
        <v>283.93333333333334</v>
      </c>
      <c r="G1390" s="185"/>
      <c r="H1390" s="181"/>
      <c r="I1390" s="74"/>
      <c r="J1390" s="74"/>
      <c r="M1390" s="185"/>
      <c r="N1390" s="185"/>
      <c r="O1390" s="185"/>
      <c r="P1390" s="185"/>
      <c r="Q1390" s="185"/>
      <c r="R1390" s="185"/>
    </row>
    <row r="1391" spans="1:18" s="197" customFormat="1" ht="12.75" x14ac:dyDescent="0.2">
      <c r="A1391" s="181"/>
      <c r="B1391" s="188" t="s">
        <v>3126</v>
      </c>
      <c r="C1391" s="189" t="s">
        <v>134</v>
      </c>
      <c r="D1391" s="189" t="s">
        <v>123</v>
      </c>
      <c r="E1391" s="190" t="s">
        <v>3127</v>
      </c>
      <c r="F1391" s="191">
        <f t="shared" si="23"/>
        <v>237.93333333333334</v>
      </c>
      <c r="G1391" s="185"/>
      <c r="H1391" s="181"/>
      <c r="I1391" s="74"/>
      <c r="J1391" s="74"/>
      <c r="M1391" s="185"/>
      <c r="N1391" s="185"/>
      <c r="O1391" s="185"/>
      <c r="P1391" s="185"/>
      <c r="Q1391" s="185"/>
      <c r="R1391" s="185"/>
    </row>
    <row r="1392" spans="1:18" s="197" customFormat="1" ht="12.75" x14ac:dyDescent="0.2">
      <c r="A1392" s="181"/>
      <c r="B1392" s="188" t="s">
        <v>3128</v>
      </c>
      <c r="C1392" s="189" t="s">
        <v>124</v>
      </c>
      <c r="D1392" s="189" t="s">
        <v>123</v>
      </c>
      <c r="E1392" s="190" t="s">
        <v>3129</v>
      </c>
      <c r="F1392" s="191">
        <f t="shared" si="23"/>
        <v>300.89999999999998</v>
      </c>
      <c r="G1392" s="185"/>
      <c r="H1392" s="181"/>
      <c r="I1392" s="74"/>
      <c r="J1392" s="74"/>
      <c r="M1392" s="185"/>
      <c r="N1392" s="185"/>
      <c r="O1392" s="185"/>
      <c r="P1392" s="185"/>
      <c r="Q1392" s="185"/>
      <c r="R1392" s="185"/>
    </row>
    <row r="1393" spans="1:18" s="197" customFormat="1" ht="12.75" x14ac:dyDescent="0.2">
      <c r="A1393" s="181"/>
      <c r="B1393" s="188" t="s">
        <v>3130</v>
      </c>
      <c r="C1393" s="189" t="s">
        <v>135</v>
      </c>
      <c r="D1393" s="189" t="s">
        <v>123</v>
      </c>
      <c r="E1393" s="190" t="s">
        <v>873</v>
      </c>
      <c r="F1393" s="191">
        <f t="shared" si="23"/>
        <v>217.66666666666666</v>
      </c>
      <c r="G1393" s="185"/>
      <c r="H1393" s="181"/>
      <c r="I1393" s="74"/>
      <c r="J1393" s="74"/>
      <c r="M1393" s="185"/>
      <c r="N1393" s="185"/>
      <c r="O1393" s="185"/>
      <c r="P1393" s="185"/>
      <c r="Q1393" s="185"/>
      <c r="R1393" s="185"/>
    </row>
    <row r="1394" spans="1:18" s="197" customFormat="1" ht="12.75" x14ac:dyDescent="0.2">
      <c r="A1394" s="181"/>
      <c r="B1394" s="188" t="s">
        <v>3131</v>
      </c>
      <c r="C1394" s="189" t="s">
        <v>130</v>
      </c>
      <c r="D1394" s="189" t="s">
        <v>123</v>
      </c>
      <c r="E1394" s="190" t="s">
        <v>3132</v>
      </c>
      <c r="F1394" s="191">
        <f t="shared" si="23"/>
        <v>195.78333333333333</v>
      </c>
      <c r="G1394" s="185"/>
      <c r="H1394" s="181"/>
      <c r="I1394" s="74"/>
      <c r="J1394" s="74"/>
      <c r="M1394" s="185"/>
      <c r="N1394" s="185"/>
      <c r="O1394" s="185"/>
      <c r="P1394" s="185"/>
      <c r="Q1394" s="185"/>
      <c r="R1394" s="185"/>
    </row>
    <row r="1395" spans="1:18" s="197" customFormat="1" ht="12.75" x14ac:dyDescent="0.2">
      <c r="A1395" s="181"/>
      <c r="B1395" s="188" t="s">
        <v>3133</v>
      </c>
      <c r="C1395" s="189" t="s">
        <v>135</v>
      </c>
      <c r="D1395" s="189" t="s">
        <v>129</v>
      </c>
      <c r="E1395" s="190" t="s">
        <v>3134</v>
      </c>
      <c r="F1395" s="191">
        <f t="shared" si="23"/>
        <v>221.45</v>
      </c>
      <c r="G1395" s="185"/>
      <c r="H1395" s="181"/>
      <c r="I1395" s="74"/>
      <c r="J1395" s="74"/>
      <c r="M1395" s="185"/>
      <c r="N1395" s="185"/>
      <c r="O1395" s="185"/>
      <c r="P1395" s="185"/>
      <c r="Q1395" s="185"/>
      <c r="R1395" s="185"/>
    </row>
    <row r="1396" spans="1:18" s="197" customFormat="1" ht="12.75" x14ac:dyDescent="0.2">
      <c r="A1396" s="181"/>
      <c r="B1396" s="188" t="s">
        <v>3135</v>
      </c>
      <c r="C1396" s="189" t="s">
        <v>130</v>
      </c>
      <c r="D1396" s="189" t="s">
        <v>123</v>
      </c>
      <c r="E1396" s="190" t="s">
        <v>3136</v>
      </c>
      <c r="F1396" s="191">
        <f t="shared" si="23"/>
        <v>236.13333333333333</v>
      </c>
      <c r="G1396" s="185"/>
      <c r="H1396" s="181"/>
      <c r="I1396" s="74"/>
      <c r="J1396" s="74"/>
      <c r="M1396" s="185"/>
      <c r="N1396" s="185"/>
      <c r="O1396" s="185"/>
      <c r="P1396" s="185"/>
      <c r="Q1396" s="185"/>
      <c r="R1396" s="185"/>
    </row>
    <row r="1397" spans="1:18" s="197" customFormat="1" ht="12.75" x14ac:dyDescent="0.2">
      <c r="A1397" s="181"/>
      <c r="B1397" s="188" t="s">
        <v>3137</v>
      </c>
      <c r="C1397" s="189" t="s">
        <v>134</v>
      </c>
      <c r="D1397" s="189" t="s">
        <v>123</v>
      </c>
      <c r="E1397" s="190" t="s">
        <v>2357</v>
      </c>
      <c r="F1397" s="191">
        <f t="shared" si="23"/>
        <v>228.05</v>
      </c>
      <c r="G1397" s="185"/>
      <c r="H1397" s="181"/>
      <c r="I1397" s="74"/>
      <c r="J1397" s="74"/>
      <c r="M1397" s="185"/>
      <c r="N1397" s="185"/>
      <c r="O1397" s="185"/>
      <c r="P1397" s="185"/>
      <c r="Q1397" s="185"/>
      <c r="R1397" s="185"/>
    </row>
    <row r="1398" spans="1:18" s="197" customFormat="1" ht="12.75" x14ac:dyDescent="0.2">
      <c r="A1398" s="181"/>
      <c r="B1398" s="188" t="s">
        <v>479</v>
      </c>
      <c r="C1398" s="189" t="s">
        <v>126</v>
      </c>
      <c r="D1398" s="189" t="s">
        <v>123</v>
      </c>
      <c r="E1398" s="190" t="s">
        <v>3138</v>
      </c>
      <c r="F1398" s="191">
        <f t="shared" si="23"/>
        <v>193.68333333333334</v>
      </c>
      <c r="G1398" s="185"/>
      <c r="H1398" s="181"/>
      <c r="I1398" s="74"/>
      <c r="J1398" s="74"/>
      <c r="M1398" s="185"/>
      <c r="N1398" s="185"/>
      <c r="O1398" s="185"/>
      <c r="P1398" s="185"/>
      <c r="Q1398" s="185"/>
      <c r="R1398" s="185"/>
    </row>
    <row r="1399" spans="1:18" s="197" customFormat="1" ht="12.75" x14ac:dyDescent="0.2">
      <c r="A1399" s="181"/>
      <c r="B1399" s="188" t="s">
        <v>3139</v>
      </c>
      <c r="C1399" s="189" t="s">
        <v>126</v>
      </c>
      <c r="D1399" s="189" t="s">
        <v>123</v>
      </c>
      <c r="E1399" s="190" t="s">
        <v>3101</v>
      </c>
      <c r="F1399" s="191">
        <f t="shared" si="23"/>
        <v>224.25</v>
      </c>
      <c r="G1399" s="185"/>
      <c r="H1399" s="181"/>
      <c r="I1399" s="74"/>
      <c r="J1399" s="74"/>
      <c r="M1399" s="185"/>
      <c r="N1399" s="185"/>
      <c r="O1399" s="185"/>
      <c r="P1399" s="185"/>
      <c r="Q1399" s="185"/>
      <c r="R1399" s="185"/>
    </row>
    <row r="1400" spans="1:18" s="197" customFormat="1" ht="12.75" x14ac:dyDescent="0.2">
      <c r="A1400" s="181"/>
      <c r="B1400" s="188" t="s">
        <v>3140</v>
      </c>
      <c r="C1400" s="189" t="s">
        <v>249</v>
      </c>
      <c r="D1400" s="189" t="s">
        <v>129</v>
      </c>
      <c r="E1400" s="190" t="s">
        <v>2320</v>
      </c>
      <c r="F1400" s="191">
        <f t="shared" si="23"/>
        <v>226.51666666666668</v>
      </c>
      <c r="G1400" s="185"/>
      <c r="H1400" s="181"/>
      <c r="I1400" s="74"/>
      <c r="J1400" s="74"/>
      <c r="M1400" s="185"/>
      <c r="N1400" s="185"/>
      <c r="O1400" s="185"/>
      <c r="P1400" s="185"/>
      <c r="Q1400" s="185"/>
      <c r="R1400" s="185"/>
    </row>
    <row r="1401" spans="1:18" s="197" customFormat="1" ht="12.75" x14ac:dyDescent="0.2">
      <c r="A1401" s="181"/>
      <c r="B1401" s="188" t="s">
        <v>3141</v>
      </c>
      <c r="C1401" s="189" t="s">
        <v>124</v>
      </c>
      <c r="D1401" s="189" t="s">
        <v>123</v>
      </c>
      <c r="E1401" s="190" t="s">
        <v>2127</v>
      </c>
      <c r="F1401" s="191">
        <f t="shared" si="23"/>
        <v>209.21666666666667</v>
      </c>
      <c r="G1401" s="185"/>
      <c r="H1401" s="181"/>
      <c r="I1401" s="74"/>
      <c r="J1401" s="74"/>
      <c r="M1401" s="185"/>
      <c r="N1401" s="185"/>
      <c r="O1401" s="185"/>
      <c r="P1401" s="185"/>
      <c r="Q1401" s="185"/>
      <c r="R1401" s="185"/>
    </row>
    <row r="1402" spans="1:18" s="197" customFormat="1" ht="12.75" x14ac:dyDescent="0.2">
      <c r="A1402" s="181"/>
      <c r="B1402" s="188" t="s">
        <v>3142</v>
      </c>
      <c r="C1402" s="189" t="s">
        <v>134</v>
      </c>
      <c r="D1402" s="189" t="s">
        <v>132</v>
      </c>
      <c r="E1402" s="190" t="s">
        <v>3143</v>
      </c>
      <c r="F1402" s="191">
        <f t="shared" si="23"/>
        <v>260.81666666666666</v>
      </c>
      <c r="G1402" s="185"/>
      <c r="H1402" s="181"/>
      <c r="I1402" s="74"/>
      <c r="J1402" s="74"/>
      <c r="M1402" s="185"/>
      <c r="N1402" s="185"/>
      <c r="O1402" s="185"/>
      <c r="P1402" s="185"/>
      <c r="Q1402" s="185"/>
      <c r="R1402" s="185"/>
    </row>
    <row r="1403" spans="1:18" s="197" customFormat="1" ht="12.75" x14ac:dyDescent="0.2">
      <c r="A1403" s="181"/>
      <c r="B1403" s="188" t="s">
        <v>3144</v>
      </c>
      <c r="C1403" s="189" t="s">
        <v>135</v>
      </c>
      <c r="D1403" s="189" t="s">
        <v>123</v>
      </c>
      <c r="E1403" s="190" t="s">
        <v>3145</v>
      </c>
      <c r="F1403" s="191">
        <f t="shared" si="23"/>
        <v>308.14999999999998</v>
      </c>
      <c r="G1403" s="185"/>
      <c r="H1403" s="181"/>
      <c r="I1403" s="74"/>
      <c r="J1403" s="74"/>
      <c r="M1403" s="185"/>
      <c r="N1403" s="185"/>
      <c r="O1403" s="185"/>
      <c r="P1403" s="185"/>
      <c r="Q1403" s="185"/>
      <c r="R1403" s="185"/>
    </row>
    <row r="1404" spans="1:18" s="197" customFormat="1" ht="12.75" x14ac:dyDescent="0.2">
      <c r="A1404" s="181"/>
      <c r="B1404" s="188" t="s">
        <v>3146</v>
      </c>
      <c r="C1404" s="189" t="s">
        <v>128</v>
      </c>
      <c r="D1404" s="189" t="s">
        <v>123</v>
      </c>
      <c r="E1404" s="190" t="s">
        <v>3147</v>
      </c>
      <c r="F1404" s="191">
        <f t="shared" si="23"/>
        <v>262.76666666666665</v>
      </c>
      <c r="G1404" s="185"/>
      <c r="H1404" s="181"/>
      <c r="I1404" s="74"/>
      <c r="J1404" s="74"/>
      <c r="M1404" s="185"/>
      <c r="N1404" s="185"/>
      <c r="O1404" s="185"/>
      <c r="P1404" s="185"/>
      <c r="Q1404" s="185"/>
      <c r="R1404" s="185"/>
    </row>
    <row r="1405" spans="1:18" s="197" customFormat="1" ht="12.75" x14ac:dyDescent="0.2">
      <c r="A1405" s="181"/>
      <c r="B1405" s="188" t="s">
        <v>3148</v>
      </c>
      <c r="C1405" s="189" t="s">
        <v>134</v>
      </c>
      <c r="D1405" s="189" t="s">
        <v>157</v>
      </c>
      <c r="E1405" s="190" t="s">
        <v>3149</v>
      </c>
      <c r="F1405" s="191">
        <f t="shared" si="23"/>
        <v>199.95</v>
      </c>
      <c r="G1405" s="185"/>
      <c r="H1405" s="181"/>
      <c r="I1405" s="74"/>
      <c r="J1405" s="74"/>
      <c r="M1405" s="185"/>
      <c r="N1405" s="185"/>
      <c r="O1405" s="185"/>
      <c r="P1405" s="185"/>
      <c r="Q1405" s="185"/>
      <c r="R1405" s="185"/>
    </row>
    <row r="1406" spans="1:18" s="197" customFormat="1" ht="12.75" x14ac:dyDescent="0.2">
      <c r="A1406" s="181"/>
      <c r="B1406" s="188" t="s">
        <v>3150</v>
      </c>
      <c r="C1406" s="189" t="s">
        <v>126</v>
      </c>
      <c r="D1406" s="189" t="s">
        <v>123</v>
      </c>
      <c r="E1406" s="190" t="s">
        <v>3151</v>
      </c>
      <c r="F1406" s="191">
        <f t="shared" si="23"/>
        <v>211.6</v>
      </c>
      <c r="G1406" s="185"/>
      <c r="H1406" s="181"/>
      <c r="I1406" s="74"/>
      <c r="J1406" s="74"/>
      <c r="M1406" s="185"/>
      <c r="N1406" s="185"/>
      <c r="O1406" s="185"/>
      <c r="P1406" s="185"/>
      <c r="Q1406" s="185"/>
      <c r="R1406" s="185"/>
    </row>
    <row r="1407" spans="1:18" s="197" customFormat="1" ht="12.75" x14ac:dyDescent="0.2">
      <c r="A1407" s="181"/>
      <c r="B1407" s="188" t="s">
        <v>3152</v>
      </c>
      <c r="C1407" s="189" t="s">
        <v>125</v>
      </c>
      <c r="D1407" s="189" t="s">
        <v>160</v>
      </c>
      <c r="E1407" s="190" t="s">
        <v>3153</v>
      </c>
      <c r="F1407" s="191">
        <f t="shared" si="23"/>
        <v>284</v>
      </c>
      <c r="G1407" s="185"/>
      <c r="H1407" s="181"/>
      <c r="I1407" s="74"/>
      <c r="J1407" s="74"/>
      <c r="M1407" s="185"/>
      <c r="N1407" s="185"/>
      <c r="O1407" s="185"/>
      <c r="P1407" s="185"/>
      <c r="Q1407" s="185"/>
      <c r="R1407" s="185"/>
    </row>
    <row r="1408" spans="1:18" s="197" customFormat="1" ht="12.75" x14ac:dyDescent="0.2">
      <c r="A1408" s="181"/>
      <c r="B1408" s="188" t="s">
        <v>3154</v>
      </c>
      <c r="C1408" s="189" t="s">
        <v>134</v>
      </c>
      <c r="D1408" s="189" t="s">
        <v>123</v>
      </c>
      <c r="E1408" s="190" t="s">
        <v>3155</v>
      </c>
      <c r="F1408" s="191">
        <f t="shared" si="23"/>
        <v>261.28333333333336</v>
      </c>
      <c r="G1408" s="185"/>
      <c r="H1408" s="181"/>
      <c r="I1408" s="74"/>
      <c r="J1408" s="74"/>
      <c r="M1408" s="185"/>
      <c r="N1408" s="185"/>
      <c r="O1408" s="185"/>
      <c r="P1408" s="185"/>
      <c r="Q1408" s="185"/>
      <c r="R1408" s="185"/>
    </row>
    <row r="1409" spans="1:18" s="197" customFormat="1" ht="12.75" x14ac:dyDescent="0.2">
      <c r="A1409" s="181"/>
      <c r="B1409" s="188" t="s">
        <v>3156</v>
      </c>
      <c r="C1409" s="189" t="s">
        <v>126</v>
      </c>
      <c r="D1409" s="189" t="s">
        <v>123</v>
      </c>
      <c r="E1409" s="190" t="s">
        <v>3157</v>
      </c>
      <c r="F1409" s="191">
        <f t="shared" si="23"/>
        <v>258.13333333333333</v>
      </c>
      <c r="G1409" s="185"/>
      <c r="H1409" s="181"/>
      <c r="I1409" s="74"/>
      <c r="J1409" s="74"/>
      <c r="M1409" s="185"/>
      <c r="N1409" s="185"/>
      <c r="O1409" s="185"/>
      <c r="P1409" s="185"/>
      <c r="Q1409" s="185"/>
      <c r="R1409" s="185"/>
    </row>
    <row r="1410" spans="1:18" s="197" customFormat="1" ht="12.75" x14ac:dyDescent="0.2">
      <c r="A1410" s="181"/>
      <c r="B1410" s="188" t="s">
        <v>3158</v>
      </c>
      <c r="C1410" s="189" t="s">
        <v>126</v>
      </c>
      <c r="D1410" s="189" t="s">
        <v>123</v>
      </c>
      <c r="E1410" s="190" t="s">
        <v>3159</v>
      </c>
      <c r="F1410" s="191">
        <f t="shared" si="23"/>
        <v>186.06666666666666</v>
      </c>
      <c r="G1410" s="185"/>
      <c r="H1410" s="181"/>
      <c r="I1410" s="74"/>
      <c r="J1410" s="74"/>
      <c r="M1410" s="185"/>
      <c r="N1410" s="185"/>
      <c r="O1410" s="185"/>
      <c r="P1410" s="185"/>
      <c r="Q1410" s="185"/>
      <c r="R1410" s="185"/>
    </row>
    <row r="1411" spans="1:18" s="197" customFormat="1" ht="12.75" x14ac:dyDescent="0.2">
      <c r="A1411" s="181"/>
      <c r="B1411" s="188" t="s">
        <v>3160</v>
      </c>
      <c r="C1411" s="189" t="s">
        <v>126</v>
      </c>
      <c r="D1411" s="189" t="s">
        <v>123</v>
      </c>
      <c r="E1411" s="190" t="s">
        <v>3161</v>
      </c>
      <c r="F1411" s="191">
        <f t="shared" si="23"/>
        <v>263.01666666666665</v>
      </c>
      <c r="G1411" s="185"/>
      <c r="H1411" s="181"/>
      <c r="I1411" s="74"/>
      <c r="J1411" s="74"/>
      <c r="M1411" s="185"/>
      <c r="N1411" s="185"/>
      <c r="O1411" s="185"/>
      <c r="P1411" s="185"/>
      <c r="Q1411" s="185"/>
      <c r="R1411" s="185"/>
    </row>
    <row r="1412" spans="1:18" s="197" customFormat="1" ht="12.75" x14ac:dyDescent="0.2">
      <c r="A1412" s="181"/>
      <c r="B1412" s="188" t="s">
        <v>3162</v>
      </c>
      <c r="C1412" s="189" t="s">
        <v>130</v>
      </c>
      <c r="D1412" s="189" t="s">
        <v>148</v>
      </c>
      <c r="E1412" s="190" t="s">
        <v>3163</v>
      </c>
      <c r="F1412" s="191">
        <f t="shared" si="23"/>
        <v>201.48333333333332</v>
      </c>
      <c r="G1412" s="185"/>
      <c r="H1412" s="181"/>
      <c r="I1412" s="74"/>
      <c r="J1412" s="74"/>
      <c r="M1412" s="185"/>
      <c r="N1412" s="185"/>
      <c r="O1412" s="185"/>
      <c r="P1412" s="185"/>
      <c r="Q1412" s="185"/>
      <c r="R1412" s="185"/>
    </row>
    <row r="1413" spans="1:18" s="197" customFormat="1" ht="12.75" x14ac:dyDescent="0.2">
      <c r="A1413" s="181"/>
      <c r="B1413" s="188" t="s">
        <v>3164</v>
      </c>
      <c r="C1413" s="189" t="s">
        <v>134</v>
      </c>
      <c r="D1413" s="189" t="s">
        <v>188</v>
      </c>
      <c r="E1413" s="190" t="s">
        <v>3165</v>
      </c>
      <c r="F1413" s="191">
        <f t="shared" si="23"/>
        <v>245.95</v>
      </c>
      <c r="G1413" s="185"/>
      <c r="H1413" s="181"/>
      <c r="I1413" s="74"/>
      <c r="J1413" s="74"/>
      <c r="M1413" s="185"/>
      <c r="N1413" s="185"/>
      <c r="O1413" s="185"/>
      <c r="P1413" s="185"/>
      <c r="Q1413" s="185"/>
      <c r="R1413" s="185"/>
    </row>
    <row r="1414" spans="1:18" s="197" customFormat="1" ht="12.75" x14ac:dyDescent="0.2">
      <c r="A1414" s="181"/>
      <c r="B1414" s="188" t="s">
        <v>3166</v>
      </c>
      <c r="C1414" s="189" t="s">
        <v>124</v>
      </c>
      <c r="D1414" s="189" t="s">
        <v>123</v>
      </c>
      <c r="E1414" s="190" t="s">
        <v>3167</v>
      </c>
      <c r="F1414" s="191">
        <f t="shared" si="23"/>
        <v>230.71666666666667</v>
      </c>
      <c r="G1414" s="185"/>
      <c r="H1414" s="181"/>
      <c r="I1414" s="74"/>
      <c r="J1414" s="74"/>
      <c r="M1414" s="185"/>
      <c r="N1414" s="185"/>
      <c r="O1414" s="185"/>
      <c r="P1414" s="185"/>
      <c r="Q1414" s="185"/>
      <c r="R1414" s="185"/>
    </row>
    <row r="1415" spans="1:18" s="197" customFormat="1" ht="12.75" x14ac:dyDescent="0.2">
      <c r="A1415" s="181"/>
      <c r="B1415" s="188" t="s">
        <v>3168</v>
      </c>
      <c r="C1415" s="189" t="s">
        <v>130</v>
      </c>
      <c r="D1415" s="189" t="s">
        <v>127</v>
      </c>
      <c r="E1415" s="190" t="s">
        <v>3169</v>
      </c>
      <c r="F1415" s="191">
        <f t="shared" si="23"/>
        <v>213.43333333333334</v>
      </c>
      <c r="G1415" s="185"/>
      <c r="H1415" s="181"/>
      <c r="I1415" s="74"/>
      <c r="J1415" s="74"/>
      <c r="M1415" s="185"/>
      <c r="N1415" s="185"/>
      <c r="O1415" s="185"/>
      <c r="P1415" s="185"/>
      <c r="Q1415" s="185"/>
      <c r="R1415" s="185"/>
    </row>
    <row r="1416" spans="1:18" s="197" customFormat="1" ht="12.75" x14ac:dyDescent="0.2">
      <c r="A1416" s="181"/>
      <c r="B1416" s="188" t="s">
        <v>496</v>
      </c>
      <c r="C1416" s="189" t="s">
        <v>134</v>
      </c>
      <c r="D1416" s="189" t="s">
        <v>123</v>
      </c>
      <c r="E1416" s="190" t="s">
        <v>1299</v>
      </c>
      <c r="F1416" s="191">
        <f t="shared" si="23"/>
        <v>201.55</v>
      </c>
      <c r="G1416" s="185"/>
      <c r="H1416" s="181"/>
      <c r="I1416" s="74"/>
      <c r="J1416" s="74"/>
      <c r="M1416" s="185"/>
      <c r="N1416" s="185"/>
      <c r="O1416" s="185"/>
      <c r="P1416" s="185"/>
      <c r="Q1416" s="185"/>
      <c r="R1416" s="185"/>
    </row>
    <row r="1417" spans="1:18" s="197" customFormat="1" ht="12.75" x14ac:dyDescent="0.2">
      <c r="A1417" s="181"/>
      <c r="B1417" s="188" t="s">
        <v>3170</v>
      </c>
      <c r="C1417" s="189" t="s">
        <v>134</v>
      </c>
      <c r="D1417" s="189" t="s">
        <v>123</v>
      </c>
      <c r="E1417" s="190" t="s">
        <v>3171</v>
      </c>
      <c r="F1417" s="191">
        <f t="shared" si="23"/>
        <v>233.61666666666667</v>
      </c>
      <c r="G1417" s="185"/>
      <c r="H1417" s="181"/>
      <c r="I1417" s="74"/>
      <c r="J1417" s="74"/>
      <c r="M1417" s="185"/>
      <c r="N1417" s="185"/>
      <c r="O1417" s="185"/>
      <c r="P1417" s="185"/>
      <c r="Q1417" s="185"/>
      <c r="R1417" s="185"/>
    </row>
    <row r="1418" spans="1:18" s="197" customFormat="1" ht="12.75" x14ac:dyDescent="0.2">
      <c r="A1418" s="181"/>
      <c r="B1418" s="188" t="s">
        <v>3172</v>
      </c>
      <c r="C1418" s="189" t="s">
        <v>135</v>
      </c>
      <c r="D1418" s="189" t="s">
        <v>123</v>
      </c>
      <c r="E1418" s="190" t="s">
        <v>3173</v>
      </c>
      <c r="F1418" s="191">
        <f t="shared" si="23"/>
        <v>313.33333333333331</v>
      </c>
      <c r="G1418" s="185"/>
      <c r="H1418" s="181"/>
      <c r="I1418" s="74"/>
      <c r="J1418" s="74"/>
      <c r="M1418" s="185"/>
      <c r="N1418" s="185"/>
      <c r="O1418" s="185"/>
      <c r="P1418" s="185"/>
      <c r="Q1418" s="185"/>
      <c r="R1418" s="185"/>
    </row>
    <row r="1419" spans="1:18" s="197" customFormat="1" ht="12.75" x14ac:dyDescent="0.2">
      <c r="A1419" s="181"/>
      <c r="B1419" s="188" t="s">
        <v>3174</v>
      </c>
      <c r="C1419" s="189" t="s">
        <v>130</v>
      </c>
      <c r="D1419" s="189" t="s">
        <v>123</v>
      </c>
      <c r="E1419" s="190" t="s">
        <v>3175</v>
      </c>
      <c r="F1419" s="191">
        <f t="shared" ref="F1419:F1482" si="24">HOUR(E1419)*60+MINUTE(E1419)+SECOND(E1419)/60</f>
        <v>327.63333333333333</v>
      </c>
      <c r="G1419" s="185"/>
      <c r="H1419" s="181"/>
      <c r="I1419" s="74"/>
      <c r="J1419" s="74"/>
      <c r="M1419" s="185"/>
      <c r="N1419" s="185"/>
      <c r="O1419" s="185"/>
      <c r="P1419" s="185"/>
      <c r="Q1419" s="185"/>
      <c r="R1419" s="185"/>
    </row>
    <row r="1420" spans="1:18" s="197" customFormat="1" ht="12.75" x14ac:dyDescent="0.2">
      <c r="A1420" s="181"/>
      <c r="B1420" s="188" t="s">
        <v>3176</v>
      </c>
      <c r="C1420" s="189" t="s">
        <v>125</v>
      </c>
      <c r="D1420" s="189" t="s">
        <v>127</v>
      </c>
      <c r="E1420" s="190" t="s">
        <v>3177</v>
      </c>
      <c r="F1420" s="191">
        <f t="shared" si="24"/>
        <v>194.33333333333334</v>
      </c>
      <c r="G1420" s="185"/>
      <c r="H1420" s="181"/>
      <c r="I1420" s="74"/>
      <c r="J1420" s="74"/>
      <c r="M1420" s="185"/>
      <c r="N1420" s="185"/>
      <c r="O1420" s="185"/>
      <c r="P1420" s="185"/>
      <c r="Q1420" s="185"/>
      <c r="R1420" s="185"/>
    </row>
    <row r="1421" spans="1:18" s="197" customFormat="1" ht="12.75" x14ac:dyDescent="0.2">
      <c r="A1421" s="181"/>
      <c r="B1421" s="188" t="s">
        <v>3178</v>
      </c>
      <c r="C1421" s="189" t="s">
        <v>142</v>
      </c>
      <c r="D1421" s="189" t="s">
        <v>155</v>
      </c>
      <c r="E1421" s="190" t="s">
        <v>3179</v>
      </c>
      <c r="F1421" s="191">
        <f t="shared" si="24"/>
        <v>299.83333333333331</v>
      </c>
      <c r="G1421" s="185"/>
      <c r="H1421" s="181"/>
      <c r="I1421" s="74"/>
      <c r="J1421" s="74"/>
      <c r="M1421" s="185"/>
      <c r="N1421" s="185"/>
      <c r="O1421" s="185"/>
      <c r="P1421" s="185"/>
      <c r="Q1421" s="185"/>
      <c r="R1421" s="185"/>
    </row>
    <row r="1422" spans="1:18" s="197" customFormat="1" ht="12.75" x14ac:dyDescent="0.2">
      <c r="A1422" s="181"/>
      <c r="B1422" s="188" t="s">
        <v>3180</v>
      </c>
      <c r="C1422" s="189" t="s">
        <v>130</v>
      </c>
      <c r="D1422" s="189" t="s">
        <v>123</v>
      </c>
      <c r="E1422" s="190" t="s">
        <v>3181</v>
      </c>
      <c r="F1422" s="191">
        <f t="shared" si="24"/>
        <v>172.81666666666666</v>
      </c>
      <c r="G1422" s="185"/>
      <c r="H1422" s="181"/>
      <c r="I1422" s="74"/>
      <c r="J1422" s="74"/>
      <c r="M1422" s="185"/>
      <c r="N1422" s="185"/>
      <c r="O1422" s="185"/>
      <c r="P1422" s="185"/>
      <c r="Q1422" s="185"/>
      <c r="R1422" s="185"/>
    </row>
    <row r="1423" spans="1:18" s="197" customFormat="1" ht="12.75" x14ac:dyDescent="0.2">
      <c r="A1423" s="181"/>
      <c r="B1423" s="188" t="s">
        <v>3182</v>
      </c>
      <c r="C1423" s="189" t="s">
        <v>125</v>
      </c>
      <c r="D1423" s="189" t="s">
        <v>131</v>
      </c>
      <c r="E1423" s="190" t="s">
        <v>3183</v>
      </c>
      <c r="F1423" s="191">
        <f t="shared" si="24"/>
        <v>230.36666666666667</v>
      </c>
      <c r="G1423" s="185"/>
      <c r="H1423" s="181"/>
      <c r="I1423" s="74"/>
      <c r="J1423" s="74"/>
      <c r="M1423" s="185"/>
      <c r="N1423" s="185"/>
      <c r="O1423" s="185"/>
      <c r="P1423" s="185"/>
      <c r="Q1423" s="185"/>
      <c r="R1423" s="185"/>
    </row>
    <row r="1424" spans="1:18" s="197" customFormat="1" ht="12.75" x14ac:dyDescent="0.2">
      <c r="A1424" s="181"/>
      <c r="B1424" s="188" t="s">
        <v>3184</v>
      </c>
      <c r="C1424" s="189" t="s">
        <v>135</v>
      </c>
      <c r="D1424" s="189" t="s">
        <v>123</v>
      </c>
      <c r="E1424" s="190" t="s">
        <v>3185</v>
      </c>
      <c r="F1424" s="191">
        <f t="shared" si="24"/>
        <v>228.15</v>
      </c>
      <c r="G1424" s="185"/>
      <c r="H1424" s="181"/>
      <c r="I1424" s="74"/>
      <c r="J1424" s="74"/>
      <c r="M1424" s="185"/>
      <c r="N1424" s="185"/>
      <c r="O1424" s="185"/>
      <c r="P1424" s="185"/>
      <c r="Q1424" s="185"/>
      <c r="R1424" s="185"/>
    </row>
    <row r="1425" spans="1:18" s="197" customFormat="1" ht="12.75" x14ac:dyDescent="0.2">
      <c r="A1425" s="181"/>
      <c r="B1425" s="188" t="s">
        <v>3186</v>
      </c>
      <c r="C1425" s="189" t="s">
        <v>124</v>
      </c>
      <c r="D1425" s="189" t="s">
        <v>263</v>
      </c>
      <c r="E1425" s="190" t="s">
        <v>2845</v>
      </c>
      <c r="F1425" s="191">
        <f t="shared" si="24"/>
        <v>257.10000000000002</v>
      </c>
      <c r="G1425" s="185"/>
      <c r="H1425" s="181"/>
      <c r="I1425" s="74"/>
      <c r="J1425" s="74"/>
      <c r="M1425" s="185"/>
      <c r="N1425" s="185"/>
      <c r="O1425" s="185"/>
      <c r="P1425" s="185"/>
      <c r="Q1425" s="185"/>
      <c r="R1425" s="185"/>
    </row>
    <row r="1426" spans="1:18" s="197" customFormat="1" ht="12.75" x14ac:dyDescent="0.2">
      <c r="A1426" s="181"/>
      <c r="B1426" s="188" t="s">
        <v>529</v>
      </c>
      <c r="C1426" s="189" t="s">
        <v>126</v>
      </c>
      <c r="D1426" s="189" t="s">
        <v>157</v>
      </c>
      <c r="E1426" s="190" t="s">
        <v>3187</v>
      </c>
      <c r="F1426" s="191">
        <f t="shared" si="24"/>
        <v>179.06666666666666</v>
      </c>
      <c r="G1426" s="185"/>
      <c r="H1426" s="181"/>
      <c r="I1426" s="74"/>
      <c r="J1426" s="74"/>
      <c r="M1426" s="185"/>
      <c r="N1426" s="185"/>
      <c r="O1426" s="185"/>
      <c r="P1426" s="185"/>
      <c r="Q1426" s="185"/>
      <c r="R1426" s="185"/>
    </row>
    <row r="1427" spans="1:18" s="197" customFormat="1" ht="12.75" x14ac:dyDescent="0.2">
      <c r="A1427" s="181"/>
      <c r="B1427" s="188" t="s">
        <v>3188</v>
      </c>
      <c r="C1427" s="189" t="s">
        <v>128</v>
      </c>
      <c r="D1427" s="189" t="s">
        <v>132</v>
      </c>
      <c r="E1427" s="190" t="s">
        <v>3189</v>
      </c>
      <c r="F1427" s="191">
        <f t="shared" si="24"/>
        <v>319.25</v>
      </c>
      <c r="G1427" s="185"/>
      <c r="H1427" s="181"/>
      <c r="I1427" s="74"/>
      <c r="J1427" s="74"/>
      <c r="M1427" s="185"/>
      <c r="N1427" s="185"/>
      <c r="O1427" s="185"/>
      <c r="P1427" s="185"/>
      <c r="Q1427" s="185"/>
      <c r="R1427" s="185"/>
    </row>
    <row r="1428" spans="1:18" s="197" customFormat="1" ht="12.75" x14ac:dyDescent="0.2">
      <c r="A1428" s="181"/>
      <c r="B1428" s="188" t="s">
        <v>3190</v>
      </c>
      <c r="C1428" s="189" t="s">
        <v>128</v>
      </c>
      <c r="D1428" s="189" t="s">
        <v>131</v>
      </c>
      <c r="E1428" s="190" t="s">
        <v>3191</v>
      </c>
      <c r="F1428" s="191">
        <f t="shared" si="24"/>
        <v>250.13333333333333</v>
      </c>
      <c r="G1428" s="185"/>
      <c r="H1428" s="181"/>
      <c r="I1428" s="74"/>
      <c r="J1428" s="74"/>
      <c r="M1428" s="185"/>
      <c r="N1428" s="185"/>
      <c r="O1428" s="185"/>
      <c r="P1428" s="185"/>
      <c r="Q1428" s="185"/>
      <c r="R1428" s="185"/>
    </row>
    <row r="1429" spans="1:18" s="197" customFormat="1" ht="12.75" x14ac:dyDescent="0.2">
      <c r="A1429" s="181"/>
      <c r="B1429" s="188" t="s">
        <v>463</v>
      </c>
      <c r="C1429" s="189" t="s">
        <v>125</v>
      </c>
      <c r="D1429" s="189" t="s">
        <v>123</v>
      </c>
      <c r="E1429" s="190" t="s">
        <v>3192</v>
      </c>
      <c r="F1429" s="191">
        <f t="shared" si="24"/>
        <v>208.83333333333334</v>
      </c>
      <c r="G1429" s="185"/>
      <c r="H1429" s="181"/>
      <c r="I1429" s="74"/>
      <c r="J1429" s="74"/>
      <c r="M1429" s="185"/>
      <c r="N1429" s="185"/>
      <c r="O1429" s="185"/>
      <c r="P1429" s="185"/>
      <c r="Q1429" s="185"/>
      <c r="R1429" s="185"/>
    </row>
    <row r="1430" spans="1:18" s="197" customFormat="1" ht="12.75" x14ac:dyDescent="0.2">
      <c r="A1430" s="181"/>
      <c r="B1430" s="188" t="s">
        <v>3193</v>
      </c>
      <c r="C1430" s="189" t="s">
        <v>128</v>
      </c>
      <c r="D1430" s="189" t="s">
        <v>123</v>
      </c>
      <c r="E1430" s="190" t="s">
        <v>3194</v>
      </c>
      <c r="F1430" s="191">
        <f t="shared" si="24"/>
        <v>309.31666666666666</v>
      </c>
      <c r="G1430" s="185"/>
      <c r="H1430" s="181"/>
      <c r="I1430" s="74"/>
      <c r="J1430" s="74"/>
      <c r="M1430" s="185"/>
      <c r="N1430" s="185"/>
      <c r="O1430" s="185"/>
      <c r="P1430" s="185"/>
      <c r="Q1430" s="185"/>
      <c r="R1430" s="185"/>
    </row>
    <row r="1431" spans="1:18" s="197" customFormat="1" ht="12.75" x14ac:dyDescent="0.2">
      <c r="A1431" s="181"/>
      <c r="B1431" s="188" t="s">
        <v>3195</v>
      </c>
      <c r="C1431" s="189" t="s">
        <v>124</v>
      </c>
      <c r="D1431" s="189" t="s">
        <v>123</v>
      </c>
      <c r="E1431" s="190" t="s">
        <v>782</v>
      </c>
      <c r="F1431" s="191">
        <f t="shared" si="24"/>
        <v>227.63333333333333</v>
      </c>
      <c r="G1431" s="185"/>
      <c r="H1431" s="181"/>
      <c r="I1431" s="74"/>
      <c r="J1431" s="74"/>
      <c r="M1431" s="185"/>
      <c r="N1431" s="185"/>
      <c r="O1431" s="185"/>
      <c r="P1431" s="185"/>
      <c r="Q1431" s="185"/>
      <c r="R1431" s="185"/>
    </row>
    <row r="1432" spans="1:18" s="197" customFormat="1" ht="12.75" x14ac:dyDescent="0.2">
      <c r="A1432" s="181"/>
      <c r="B1432" s="188" t="s">
        <v>365</v>
      </c>
      <c r="C1432" s="189" t="s">
        <v>142</v>
      </c>
      <c r="D1432" s="189" t="s">
        <v>132</v>
      </c>
      <c r="E1432" s="190" t="s">
        <v>3196</v>
      </c>
      <c r="F1432" s="191">
        <f t="shared" si="24"/>
        <v>228.18333333333334</v>
      </c>
      <c r="G1432" s="185"/>
      <c r="H1432" s="181"/>
      <c r="I1432" s="74"/>
      <c r="J1432" s="74"/>
      <c r="M1432" s="185"/>
      <c r="N1432" s="185"/>
      <c r="O1432" s="185"/>
      <c r="P1432" s="185"/>
      <c r="Q1432" s="185"/>
      <c r="R1432" s="185"/>
    </row>
    <row r="1433" spans="1:18" s="197" customFormat="1" ht="12.75" x14ac:dyDescent="0.2">
      <c r="A1433" s="181"/>
      <c r="B1433" s="188" t="s">
        <v>3197</v>
      </c>
      <c r="C1433" s="189" t="s">
        <v>124</v>
      </c>
      <c r="D1433" s="189" t="s">
        <v>123</v>
      </c>
      <c r="E1433" s="190" t="s">
        <v>3198</v>
      </c>
      <c r="F1433" s="191">
        <f t="shared" si="24"/>
        <v>309.18333333333334</v>
      </c>
      <c r="G1433" s="185"/>
      <c r="H1433" s="181"/>
      <c r="I1433" s="74"/>
      <c r="J1433" s="74"/>
      <c r="M1433" s="185"/>
      <c r="N1433" s="185"/>
      <c r="O1433" s="185"/>
      <c r="P1433" s="185"/>
      <c r="Q1433" s="185"/>
      <c r="R1433" s="185"/>
    </row>
    <row r="1434" spans="1:18" s="197" customFormat="1" ht="12.75" x14ac:dyDescent="0.2">
      <c r="A1434" s="181"/>
      <c r="B1434" s="188" t="s">
        <v>3199</v>
      </c>
      <c r="C1434" s="189" t="s">
        <v>124</v>
      </c>
      <c r="D1434" s="189" t="s">
        <v>123</v>
      </c>
      <c r="E1434" s="190" t="s">
        <v>3200</v>
      </c>
      <c r="F1434" s="191">
        <f t="shared" si="24"/>
        <v>293.46666666666664</v>
      </c>
      <c r="G1434" s="185"/>
      <c r="H1434" s="181"/>
      <c r="I1434" s="74"/>
      <c r="J1434" s="74"/>
      <c r="M1434" s="185"/>
      <c r="N1434" s="185"/>
      <c r="O1434" s="185"/>
      <c r="P1434" s="185"/>
      <c r="Q1434" s="185"/>
      <c r="R1434" s="185"/>
    </row>
    <row r="1435" spans="1:18" s="197" customFormat="1" ht="12.75" x14ac:dyDescent="0.2">
      <c r="A1435" s="181"/>
      <c r="B1435" s="188" t="s">
        <v>3201</v>
      </c>
      <c r="C1435" s="189" t="s">
        <v>136</v>
      </c>
      <c r="D1435" s="189" t="s">
        <v>132</v>
      </c>
      <c r="E1435" s="190" t="s">
        <v>3202</v>
      </c>
      <c r="F1435" s="191">
        <f t="shared" si="24"/>
        <v>281.85000000000002</v>
      </c>
      <c r="G1435" s="185"/>
      <c r="H1435" s="181"/>
      <c r="I1435" s="74"/>
      <c r="J1435" s="74"/>
      <c r="M1435" s="185"/>
      <c r="N1435" s="185"/>
      <c r="O1435" s="185"/>
      <c r="P1435" s="185"/>
      <c r="Q1435" s="185"/>
      <c r="R1435" s="185"/>
    </row>
    <row r="1436" spans="1:18" s="197" customFormat="1" ht="12.75" x14ac:dyDescent="0.2">
      <c r="A1436" s="181"/>
      <c r="B1436" s="188" t="s">
        <v>465</v>
      </c>
      <c r="C1436" s="189" t="s">
        <v>134</v>
      </c>
      <c r="D1436" s="189" t="s">
        <v>160</v>
      </c>
      <c r="E1436" s="190" t="s">
        <v>3203</v>
      </c>
      <c r="F1436" s="191">
        <f t="shared" si="24"/>
        <v>177.35</v>
      </c>
      <c r="G1436" s="185"/>
      <c r="H1436" s="181"/>
      <c r="I1436" s="74"/>
      <c r="J1436" s="74"/>
      <c r="M1436" s="185"/>
      <c r="N1436" s="185"/>
      <c r="O1436" s="185"/>
      <c r="P1436" s="185"/>
      <c r="Q1436" s="185"/>
      <c r="R1436" s="185"/>
    </row>
    <row r="1437" spans="1:18" s="197" customFormat="1" ht="12.75" x14ac:dyDescent="0.2">
      <c r="A1437" s="181"/>
      <c r="B1437" s="188" t="s">
        <v>3204</v>
      </c>
      <c r="C1437" s="189" t="s">
        <v>130</v>
      </c>
      <c r="D1437" s="189" t="s">
        <v>123</v>
      </c>
      <c r="E1437" s="190" t="s">
        <v>3205</v>
      </c>
      <c r="F1437" s="191">
        <f t="shared" si="24"/>
        <v>216.7</v>
      </c>
      <c r="G1437" s="185"/>
      <c r="H1437" s="181"/>
      <c r="I1437" s="74"/>
      <c r="J1437" s="74"/>
      <c r="M1437" s="185"/>
      <c r="N1437" s="185"/>
      <c r="O1437" s="185"/>
      <c r="P1437" s="185"/>
      <c r="Q1437" s="185"/>
      <c r="R1437" s="185"/>
    </row>
    <row r="1438" spans="1:18" s="197" customFormat="1" ht="12.75" x14ac:dyDescent="0.2">
      <c r="A1438" s="181"/>
      <c r="B1438" s="188" t="s">
        <v>3206</v>
      </c>
      <c r="C1438" s="189" t="s">
        <v>126</v>
      </c>
      <c r="D1438" s="189" t="s">
        <v>123</v>
      </c>
      <c r="E1438" s="190" t="s">
        <v>2760</v>
      </c>
      <c r="F1438" s="191">
        <f t="shared" si="24"/>
        <v>221.7</v>
      </c>
      <c r="G1438" s="185"/>
      <c r="H1438" s="181"/>
      <c r="I1438" s="74"/>
      <c r="J1438" s="74"/>
      <c r="M1438" s="185"/>
      <c r="N1438" s="185"/>
      <c r="O1438" s="185"/>
      <c r="P1438" s="185"/>
      <c r="Q1438" s="185"/>
      <c r="R1438" s="185"/>
    </row>
    <row r="1439" spans="1:18" s="197" customFormat="1" ht="12.75" x14ac:dyDescent="0.2">
      <c r="A1439" s="181"/>
      <c r="B1439" s="188" t="s">
        <v>3207</v>
      </c>
      <c r="C1439" s="189" t="s">
        <v>134</v>
      </c>
      <c r="D1439" s="189" t="s">
        <v>148</v>
      </c>
      <c r="E1439" s="190" t="s">
        <v>2237</v>
      </c>
      <c r="F1439" s="191">
        <f t="shared" si="24"/>
        <v>229.85</v>
      </c>
      <c r="G1439" s="185"/>
      <c r="H1439" s="181"/>
      <c r="I1439" s="74"/>
      <c r="J1439" s="74"/>
      <c r="M1439" s="185"/>
      <c r="N1439" s="185"/>
      <c r="O1439" s="185"/>
      <c r="P1439" s="185"/>
      <c r="Q1439" s="185"/>
      <c r="R1439" s="185"/>
    </row>
    <row r="1440" spans="1:18" s="197" customFormat="1" ht="12.75" x14ac:dyDescent="0.2">
      <c r="A1440" s="181"/>
      <c r="B1440" s="188" t="s">
        <v>3208</v>
      </c>
      <c r="C1440" s="189" t="s">
        <v>130</v>
      </c>
      <c r="D1440" s="189" t="s">
        <v>131</v>
      </c>
      <c r="E1440" s="190" t="s">
        <v>3209</v>
      </c>
      <c r="F1440" s="191">
        <f t="shared" si="24"/>
        <v>259.35000000000002</v>
      </c>
      <c r="G1440" s="185"/>
      <c r="H1440" s="181"/>
      <c r="I1440" s="74"/>
      <c r="J1440" s="74"/>
      <c r="M1440" s="185"/>
      <c r="N1440" s="185"/>
      <c r="O1440" s="185"/>
      <c r="P1440" s="185"/>
      <c r="Q1440" s="185"/>
      <c r="R1440" s="185"/>
    </row>
    <row r="1441" spans="1:18" s="197" customFormat="1" ht="12.75" x14ac:dyDescent="0.2">
      <c r="A1441" s="181"/>
      <c r="B1441" s="188" t="s">
        <v>3210</v>
      </c>
      <c r="C1441" s="189" t="s">
        <v>124</v>
      </c>
      <c r="D1441" s="189" t="s">
        <v>123</v>
      </c>
      <c r="E1441" s="190" t="s">
        <v>3211</v>
      </c>
      <c r="F1441" s="191">
        <f t="shared" si="24"/>
        <v>221.05</v>
      </c>
      <c r="G1441" s="185"/>
      <c r="H1441" s="181"/>
      <c r="I1441" s="74"/>
      <c r="J1441" s="74"/>
      <c r="M1441" s="185"/>
      <c r="N1441" s="185"/>
      <c r="O1441" s="185"/>
      <c r="P1441" s="185"/>
      <c r="Q1441" s="185"/>
      <c r="R1441" s="185"/>
    </row>
    <row r="1442" spans="1:18" s="197" customFormat="1" ht="12.75" x14ac:dyDescent="0.2">
      <c r="A1442" s="181"/>
      <c r="B1442" s="188" t="s">
        <v>3212</v>
      </c>
      <c r="C1442" s="189" t="s">
        <v>142</v>
      </c>
      <c r="D1442" s="189" t="s">
        <v>129</v>
      </c>
      <c r="E1442" s="190" t="s">
        <v>3213</v>
      </c>
      <c r="F1442" s="191">
        <f t="shared" si="24"/>
        <v>254.7</v>
      </c>
      <c r="G1442" s="185"/>
      <c r="H1442" s="181"/>
      <c r="I1442" s="74"/>
      <c r="J1442" s="74"/>
      <c r="M1442" s="185"/>
      <c r="N1442" s="185"/>
      <c r="O1442" s="185"/>
      <c r="P1442" s="185"/>
      <c r="Q1442" s="185"/>
      <c r="R1442" s="185"/>
    </row>
    <row r="1443" spans="1:18" s="197" customFormat="1" ht="12.75" x14ac:dyDescent="0.2">
      <c r="A1443" s="181"/>
      <c r="B1443" s="188" t="s">
        <v>3214</v>
      </c>
      <c r="C1443" s="189" t="s">
        <v>125</v>
      </c>
      <c r="D1443" s="189" t="s">
        <v>123</v>
      </c>
      <c r="E1443" s="190" t="s">
        <v>3215</v>
      </c>
      <c r="F1443" s="191">
        <f t="shared" si="24"/>
        <v>260.66666666666669</v>
      </c>
      <c r="G1443" s="185"/>
      <c r="H1443" s="181"/>
      <c r="I1443" s="74"/>
      <c r="J1443" s="74"/>
      <c r="M1443" s="185"/>
      <c r="N1443" s="185"/>
      <c r="O1443" s="185"/>
      <c r="P1443" s="185"/>
      <c r="Q1443" s="185"/>
      <c r="R1443" s="185"/>
    </row>
    <row r="1444" spans="1:18" s="197" customFormat="1" ht="12.75" x14ac:dyDescent="0.2">
      <c r="A1444" s="181"/>
      <c r="B1444" s="188" t="s">
        <v>3216</v>
      </c>
      <c r="C1444" s="189" t="s">
        <v>130</v>
      </c>
      <c r="D1444" s="189" t="s">
        <v>123</v>
      </c>
      <c r="E1444" s="190" t="s">
        <v>3217</v>
      </c>
      <c r="F1444" s="191">
        <f t="shared" si="24"/>
        <v>198.96666666666667</v>
      </c>
      <c r="G1444" s="185"/>
      <c r="H1444" s="181"/>
      <c r="I1444" s="74"/>
      <c r="J1444" s="74"/>
      <c r="M1444" s="185"/>
      <c r="N1444" s="185"/>
      <c r="O1444" s="185"/>
      <c r="P1444" s="185"/>
      <c r="Q1444" s="185"/>
      <c r="R1444" s="185"/>
    </row>
    <row r="1445" spans="1:18" s="197" customFormat="1" ht="12.75" x14ac:dyDescent="0.2">
      <c r="A1445" s="181"/>
      <c r="B1445" s="188" t="s">
        <v>3218</v>
      </c>
      <c r="C1445" s="189" t="s">
        <v>124</v>
      </c>
      <c r="D1445" s="189" t="s">
        <v>123</v>
      </c>
      <c r="E1445" s="190" t="s">
        <v>987</v>
      </c>
      <c r="F1445" s="191">
        <f t="shared" si="24"/>
        <v>233.85</v>
      </c>
      <c r="G1445" s="185"/>
      <c r="H1445" s="181"/>
      <c r="I1445" s="74"/>
      <c r="J1445" s="74"/>
      <c r="M1445" s="185"/>
      <c r="N1445" s="185"/>
      <c r="O1445" s="185"/>
      <c r="P1445" s="185"/>
      <c r="Q1445" s="185"/>
      <c r="R1445" s="185"/>
    </row>
    <row r="1446" spans="1:18" s="197" customFormat="1" ht="12.75" x14ac:dyDescent="0.2">
      <c r="A1446" s="181"/>
      <c r="B1446" s="188" t="s">
        <v>336</v>
      </c>
      <c r="C1446" s="189" t="s">
        <v>125</v>
      </c>
      <c r="D1446" s="189" t="s">
        <v>123</v>
      </c>
      <c r="E1446" s="190" t="s">
        <v>2826</v>
      </c>
      <c r="F1446" s="191">
        <f t="shared" si="24"/>
        <v>231.53333333333333</v>
      </c>
      <c r="G1446" s="185"/>
      <c r="H1446" s="181"/>
      <c r="I1446" s="74"/>
      <c r="J1446" s="74"/>
      <c r="M1446" s="185"/>
      <c r="N1446" s="185"/>
      <c r="O1446" s="185"/>
      <c r="P1446" s="185"/>
      <c r="Q1446" s="185"/>
      <c r="R1446" s="185"/>
    </row>
    <row r="1447" spans="1:18" s="197" customFormat="1" ht="12.75" x14ac:dyDescent="0.2">
      <c r="A1447" s="181"/>
      <c r="B1447" s="188" t="s">
        <v>3219</v>
      </c>
      <c r="C1447" s="189" t="s">
        <v>126</v>
      </c>
      <c r="D1447" s="189" t="s">
        <v>123</v>
      </c>
      <c r="E1447" s="190" t="s">
        <v>3220</v>
      </c>
      <c r="F1447" s="191">
        <f t="shared" si="24"/>
        <v>236.35</v>
      </c>
      <c r="G1447" s="185"/>
      <c r="H1447" s="181"/>
      <c r="I1447" s="74"/>
      <c r="J1447" s="74"/>
      <c r="M1447" s="185"/>
      <c r="N1447" s="185"/>
      <c r="O1447" s="185"/>
      <c r="P1447" s="185"/>
      <c r="Q1447" s="185"/>
      <c r="R1447" s="185"/>
    </row>
    <row r="1448" spans="1:18" s="197" customFormat="1" ht="12.75" x14ac:dyDescent="0.2">
      <c r="A1448" s="181"/>
      <c r="B1448" s="188" t="s">
        <v>3221</v>
      </c>
      <c r="C1448" s="189" t="s">
        <v>126</v>
      </c>
      <c r="D1448" s="189" t="s">
        <v>123</v>
      </c>
      <c r="E1448" s="190" t="s">
        <v>3222</v>
      </c>
      <c r="F1448" s="191">
        <f t="shared" si="24"/>
        <v>241.21666666666667</v>
      </c>
      <c r="G1448" s="185"/>
      <c r="H1448" s="181"/>
      <c r="I1448" s="74"/>
      <c r="J1448" s="74"/>
      <c r="M1448" s="185"/>
      <c r="N1448" s="185"/>
      <c r="O1448" s="185"/>
      <c r="P1448" s="185"/>
      <c r="Q1448" s="185"/>
      <c r="R1448" s="185"/>
    </row>
    <row r="1449" spans="1:18" s="197" customFormat="1" ht="12.75" x14ac:dyDescent="0.2">
      <c r="A1449" s="181"/>
      <c r="B1449" s="188" t="s">
        <v>272</v>
      </c>
      <c r="C1449" s="189" t="s">
        <v>124</v>
      </c>
      <c r="D1449" s="189" t="s">
        <v>123</v>
      </c>
      <c r="E1449" s="190" t="s">
        <v>2879</v>
      </c>
      <c r="F1449" s="191">
        <f t="shared" si="24"/>
        <v>203.05</v>
      </c>
      <c r="G1449" s="185"/>
      <c r="H1449" s="181"/>
      <c r="I1449" s="74"/>
      <c r="J1449" s="74"/>
      <c r="M1449" s="185"/>
      <c r="N1449" s="185"/>
      <c r="O1449" s="185"/>
      <c r="P1449" s="185"/>
      <c r="Q1449" s="185"/>
      <c r="R1449" s="185"/>
    </row>
    <row r="1450" spans="1:18" s="197" customFormat="1" ht="12.75" x14ac:dyDescent="0.2">
      <c r="A1450" s="181"/>
      <c r="B1450" s="188" t="s">
        <v>3223</v>
      </c>
      <c r="C1450" s="189" t="s">
        <v>135</v>
      </c>
      <c r="D1450" s="189" t="s">
        <v>144</v>
      </c>
      <c r="E1450" s="190" t="s">
        <v>3224</v>
      </c>
      <c r="F1450" s="191">
        <f t="shared" si="24"/>
        <v>280.01666666666665</v>
      </c>
      <c r="G1450" s="185"/>
      <c r="H1450" s="181"/>
      <c r="I1450" s="74"/>
      <c r="J1450" s="74"/>
      <c r="M1450" s="185"/>
      <c r="N1450" s="185"/>
      <c r="O1450" s="185"/>
      <c r="P1450" s="185"/>
      <c r="Q1450" s="185"/>
      <c r="R1450" s="185"/>
    </row>
    <row r="1451" spans="1:18" s="197" customFormat="1" ht="12.75" x14ac:dyDescent="0.2">
      <c r="A1451" s="181"/>
      <c r="B1451" s="188" t="s">
        <v>663</v>
      </c>
      <c r="C1451" s="189" t="s">
        <v>142</v>
      </c>
      <c r="D1451" s="189" t="s">
        <v>123</v>
      </c>
      <c r="E1451" s="190" t="s">
        <v>3225</v>
      </c>
      <c r="F1451" s="191">
        <f t="shared" si="24"/>
        <v>185.9</v>
      </c>
      <c r="G1451" s="185"/>
      <c r="H1451" s="181"/>
      <c r="I1451" s="74"/>
      <c r="J1451" s="74"/>
      <c r="M1451" s="185"/>
      <c r="N1451" s="185"/>
      <c r="O1451" s="185"/>
      <c r="P1451" s="185"/>
      <c r="Q1451" s="185"/>
      <c r="R1451" s="185"/>
    </row>
    <row r="1452" spans="1:18" s="197" customFormat="1" ht="12.75" x14ac:dyDescent="0.2">
      <c r="A1452" s="181"/>
      <c r="B1452" s="188" t="s">
        <v>3226</v>
      </c>
      <c r="C1452" s="189" t="s">
        <v>142</v>
      </c>
      <c r="D1452" s="189" t="s">
        <v>123</v>
      </c>
      <c r="E1452" s="190" t="s">
        <v>3227</v>
      </c>
      <c r="F1452" s="191">
        <f t="shared" si="24"/>
        <v>212.73333333333332</v>
      </c>
      <c r="G1452" s="185"/>
      <c r="H1452" s="181"/>
      <c r="I1452" s="74"/>
      <c r="J1452" s="74"/>
      <c r="M1452" s="185"/>
      <c r="N1452" s="185"/>
      <c r="O1452" s="185"/>
      <c r="P1452" s="185"/>
      <c r="Q1452" s="185"/>
      <c r="R1452" s="185"/>
    </row>
    <row r="1453" spans="1:18" s="197" customFormat="1" ht="12.75" x14ac:dyDescent="0.2">
      <c r="A1453" s="181"/>
      <c r="B1453" s="188" t="s">
        <v>3228</v>
      </c>
      <c r="C1453" s="189" t="s">
        <v>134</v>
      </c>
      <c r="D1453" s="189" t="s">
        <v>160</v>
      </c>
      <c r="E1453" s="190" t="s">
        <v>3229</v>
      </c>
      <c r="F1453" s="191">
        <f t="shared" si="24"/>
        <v>179.35</v>
      </c>
      <c r="G1453" s="185"/>
      <c r="H1453" s="181"/>
      <c r="I1453" s="74"/>
      <c r="J1453" s="74"/>
      <c r="M1453" s="185"/>
      <c r="N1453" s="185"/>
      <c r="O1453" s="185"/>
      <c r="P1453" s="185"/>
      <c r="Q1453" s="185"/>
      <c r="R1453" s="185"/>
    </row>
    <row r="1454" spans="1:18" s="197" customFormat="1" ht="12.75" x14ac:dyDescent="0.2">
      <c r="A1454" s="181"/>
      <c r="B1454" s="188" t="s">
        <v>3230</v>
      </c>
      <c r="C1454" s="189" t="s">
        <v>142</v>
      </c>
      <c r="D1454" s="189" t="s">
        <v>132</v>
      </c>
      <c r="E1454" s="190" t="s">
        <v>3231</v>
      </c>
      <c r="F1454" s="191">
        <f t="shared" si="24"/>
        <v>280.06666666666666</v>
      </c>
      <c r="G1454" s="185"/>
      <c r="H1454" s="181"/>
      <c r="I1454" s="74"/>
      <c r="J1454" s="74"/>
      <c r="M1454" s="185"/>
      <c r="N1454" s="185"/>
      <c r="O1454" s="185"/>
      <c r="P1454" s="185"/>
      <c r="Q1454" s="185"/>
      <c r="R1454" s="185"/>
    </row>
    <row r="1455" spans="1:18" s="197" customFormat="1" ht="12.75" x14ac:dyDescent="0.2">
      <c r="A1455" s="181"/>
      <c r="B1455" s="188" t="s">
        <v>522</v>
      </c>
      <c r="C1455" s="189" t="s">
        <v>142</v>
      </c>
      <c r="D1455" s="189" t="s">
        <v>123</v>
      </c>
      <c r="E1455" s="190" t="s">
        <v>3232</v>
      </c>
      <c r="F1455" s="191">
        <f t="shared" si="24"/>
        <v>330.26666666666665</v>
      </c>
      <c r="G1455" s="185"/>
      <c r="H1455" s="181"/>
      <c r="I1455" s="74"/>
      <c r="J1455" s="74"/>
      <c r="M1455" s="185"/>
      <c r="N1455" s="185"/>
      <c r="O1455" s="185"/>
      <c r="P1455" s="185"/>
      <c r="Q1455" s="185"/>
      <c r="R1455" s="185"/>
    </row>
    <row r="1456" spans="1:18" s="197" customFormat="1" ht="12.75" x14ac:dyDescent="0.2">
      <c r="A1456" s="181"/>
      <c r="B1456" s="188" t="s">
        <v>3233</v>
      </c>
      <c r="C1456" s="189" t="s">
        <v>130</v>
      </c>
      <c r="D1456" s="189" t="s">
        <v>123</v>
      </c>
      <c r="E1456" s="190" t="s">
        <v>3234</v>
      </c>
      <c r="F1456" s="191">
        <f t="shared" si="24"/>
        <v>251.81666666666666</v>
      </c>
      <c r="G1456" s="185"/>
      <c r="H1456" s="181"/>
      <c r="I1456" s="74"/>
      <c r="J1456" s="74"/>
      <c r="M1456" s="185"/>
      <c r="N1456" s="185"/>
      <c r="O1456" s="185"/>
      <c r="P1456" s="185"/>
      <c r="Q1456" s="185"/>
      <c r="R1456" s="185"/>
    </row>
    <row r="1457" spans="1:18" s="197" customFormat="1" ht="12.75" x14ac:dyDescent="0.2">
      <c r="A1457" s="181"/>
      <c r="B1457" s="188" t="s">
        <v>312</v>
      </c>
      <c r="C1457" s="189" t="s">
        <v>124</v>
      </c>
      <c r="D1457" s="189" t="s">
        <v>123</v>
      </c>
      <c r="E1457" s="190" t="s">
        <v>3235</v>
      </c>
      <c r="F1457" s="191">
        <f t="shared" si="24"/>
        <v>253.21666666666667</v>
      </c>
      <c r="G1457" s="185"/>
      <c r="H1457" s="181"/>
      <c r="I1457" s="74"/>
      <c r="J1457" s="74"/>
      <c r="M1457" s="185"/>
      <c r="N1457" s="185"/>
      <c r="O1457" s="185"/>
      <c r="P1457" s="185"/>
      <c r="Q1457" s="185"/>
      <c r="R1457" s="185"/>
    </row>
    <row r="1458" spans="1:18" s="197" customFormat="1" ht="12.75" x14ac:dyDescent="0.2">
      <c r="A1458" s="181"/>
      <c r="B1458" s="188" t="s">
        <v>3236</v>
      </c>
      <c r="C1458" s="189" t="s">
        <v>125</v>
      </c>
      <c r="D1458" s="189" t="s">
        <v>314</v>
      </c>
      <c r="E1458" s="190" t="s">
        <v>3237</v>
      </c>
      <c r="F1458" s="191">
        <f t="shared" si="24"/>
        <v>317.85000000000002</v>
      </c>
      <c r="G1458" s="185"/>
      <c r="H1458" s="181"/>
      <c r="I1458" s="74"/>
      <c r="J1458" s="74"/>
      <c r="M1458" s="185"/>
      <c r="N1458" s="185"/>
      <c r="O1458" s="185"/>
      <c r="P1458" s="185"/>
      <c r="Q1458" s="185"/>
      <c r="R1458" s="185"/>
    </row>
    <row r="1459" spans="1:18" s="197" customFormat="1" ht="12.75" x14ac:dyDescent="0.2">
      <c r="A1459" s="181"/>
      <c r="B1459" s="188" t="s">
        <v>3238</v>
      </c>
      <c r="C1459" s="189" t="s">
        <v>124</v>
      </c>
      <c r="D1459" s="189" t="s">
        <v>123</v>
      </c>
      <c r="E1459" s="190" t="s">
        <v>3239</v>
      </c>
      <c r="F1459" s="191">
        <f t="shared" si="24"/>
        <v>214.63333333333333</v>
      </c>
      <c r="G1459" s="185"/>
      <c r="H1459" s="181"/>
      <c r="I1459" s="74"/>
      <c r="J1459" s="74"/>
      <c r="M1459" s="185"/>
      <c r="N1459" s="185"/>
      <c r="O1459" s="185"/>
      <c r="P1459" s="185"/>
      <c r="Q1459" s="185"/>
      <c r="R1459" s="185"/>
    </row>
    <row r="1460" spans="1:18" s="197" customFormat="1" ht="12.75" x14ac:dyDescent="0.2">
      <c r="A1460" s="181"/>
      <c r="B1460" s="188" t="s">
        <v>3240</v>
      </c>
      <c r="C1460" s="189" t="s">
        <v>135</v>
      </c>
      <c r="D1460" s="189" t="s">
        <v>123</v>
      </c>
      <c r="E1460" s="190" t="s">
        <v>3241</v>
      </c>
      <c r="F1460" s="191">
        <f t="shared" si="24"/>
        <v>243.95</v>
      </c>
      <c r="G1460" s="185"/>
      <c r="H1460" s="181"/>
      <c r="I1460" s="74"/>
      <c r="J1460" s="74"/>
      <c r="M1460" s="185"/>
      <c r="N1460" s="185"/>
      <c r="O1460" s="185"/>
      <c r="P1460" s="185"/>
      <c r="Q1460" s="185"/>
      <c r="R1460" s="185"/>
    </row>
    <row r="1461" spans="1:18" s="197" customFormat="1" ht="12.75" x14ac:dyDescent="0.2">
      <c r="A1461" s="181"/>
      <c r="B1461" s="188" t="s">
        <v>3242</v>
      </c>
      <c r="C1461" s="189" t="s">
        <v>134</v>
      </c>
      <c r="D1461" s="189" t="s">
        <v>132</v>
      </c>
      <c r="E1461" s="190" t="s">
        <v>3243</v>
      </c>
      <c r="F1461" s="191">
        <f t="shared" si="24"/>
        <v>239.23333333333332</v>
      </c>
      <c r="G1461" s="185"/>
      <c r="H1461" s="181"/>
      <c r="I1461" s="74"/>
      <c r="J1461" s="74"/>
      <c r="M1461" s="185"/>
      <c r="N1461" s="185"/>
      <c r="O1461" s="185"/>
      <c r="P1461" s="185"/>
      <c r="Q1461" s="185"/>
      <c r="R1461" s="185"/>
    </row>
    <row r="1462" spans="1:18" s="197" customFormat="1" ht="12.75" x14ac:dyDescent="0.2">
      <c r="A1462" s="181"/>
      <c r="B1462" s="188" t="s">
        <v>3244</v>
      </c>
      <c r="C1462" s="189" t="s">
        <v>124</v>
      </c>
      <c r="D1462" s="189" t="s">
        <v>123</v>
      </c>
      <c r="E1462" s="190" t="s">
        <v>3245</v>
      </c>
      <c r="F1462" s="191">
        <f t="shared" si="24"/>
        <v>264.91666666666669</v>
      </c>
      <c r="G1462" s="185"/>
      <c r="H1462" s="181"/>
      <c r="I1462" s="74"/>
      <c r="J1462" s="74"/>
      <c r="M1462" s="185"/>
      <c r="N1462" s="185"/>
      <c r="O1462" s="185"/>
      <c r="P1462" s="185"/>
      <c r="Q1462" s="185"/>
      <c r="R1462" s="185"/>
    </row>
    <row r="1463" spans="1:18" s="197" customFormat="1" ht="12.75" x14ac:dyDescent="0.2">
      <c r="A1463" s="181"/>
      <c r="B1463" s="188" t="s">
        <v>3246</v>
      </c>
      <c r="C1463" s="189" t="s">
        <v>126</v>
      </c>
      <c r="D1463" s="189" t="s">
        <v>123</v>
      </c>
      <c r="E1463" s="190" t="s">
        <v>3247</v>
      </c>
      <c r="F1463" s="191">
        <f t="shared" si="24"/>
        <v>273.01666666666665</v>
      </c>
      <c r="G1463" s="185"/>
      <c r="H1463" s="181"/>
      <c r="I1463" s="74"/>
      <c r="J1463" s="74"/>
      <c r="M1463" s="185"/>
      <c r="N1463" s="185"/>
      <c r="O1463" s="185"/>
      <c r="P1463" s="185"/>
      <c r="Q1463" s="185"/>
      <c r="R1463" s="185"/>
    </row>
    <row r="1464" spans="1:18" s="197" customFormat="1" ht="12.75" x14ac:dyDescent="0.2">
      <c r="A1464" s="181"/>
      <c r="B1464" s="188" t="s">
        <v>3248</v>
      </c>
      <c r="C1464" s="189" t="s">
        <v>125</v>
      </c>
      <c r="D1464" s="189" t="s">
        <v>131</v>
      </c>
      <c r="E1464" s="190" t="s">
        <v>1607</v>
      </c>
      <c r="F1464" s="191">
        <f t="shared" si="24"/>
        <v>230.85</v>
      </c>
      <c r="G1464" s="185"/>
      <c r="H1464" s="181"/>
      <c r="I1464" s="74"/>
      <c r="J1464" s="74"/>
      <c r="M1464" s="185"/>
      <c r="N1464" s="185"/>
      <c r="O1464" s="185"/>
      <c r="P1464" s="185"/>
      <c r="Q1464" s="185"/>
      <c r="R1464" s="185"/>
    </row>
    <row r="1465" spans="1:18" s="197" customFormat="1" ht="12.75" x14ac:dyDescent="0.2">
      <c r="A1465" s="181"/>
      <c r="B1465" s="188" t="s">
        <v>3249</v>
      </c>
      <c r="C1465" s="189" t="s">
        <v>125</v>
      </c>
      <c r="D1465" s="189" t="s">
        <v>123</v>
      </c>
      <c r="E1465" s="190" t="s">
        <v>1256</v>
      </c>
      <c r="F1465" s="191">
        <f t="shared" si="24"/>
        <v>235.3</v>
      </c>
      <c r="G1465" s="185"/>
      <c r="H1465" s="181"/>
      <c r="I1465" s="74"/>
      <c r="J1465" s="74"/>
      <c r="M1465" s="185"/>
      <c r="N1465" s="185"/>
      <c r="O1465" s="185"/>
      <c r="P1465" s="185"/>
      <c r="Q1465" s="185"/>
      <c r="R1465" s="185"/>
    </row>
    <row r="1466" spans="1:18" s="197" customFormat="1" ht="12.75" x14ac:dyDescent="0.2">
      <c r="A1466" s="181"/>
      <c r="B1466" s="188" t="s">
        <v>3250</v>
      </c>
      <c r="C1466" s="189" t="s">
        <v>125</v>
      </c>
      <c r="D1466" s="189" t="s">
        <v>123</v>
      </c>
      <c r="E1466" s="190" t="s">
        <v>3251</v>
      </c>
      <c r="F1466" s="191">
        <f t="shared" si="24"/>
        <v>203.06666666666666</v>
      </c>
      <c r="G1466" s="185"/>
      <c r="H1466" s="181"/>
      <c r="I1466" s="74"/>
      <c r="J1466" s="74"/>
      <c r="M1466" s="185"/>
      <c r="N1466" s="185"/>
      <c r="O1466" s="185"/>
      <c r="P1466" s="185"/>
      <c r="Q1466" s="185"/>
      <c r="R1466" s="185"/>
    </row>
    <row r="1467" spans="1:18" s="197" customFormat="1" ht="12.75" x14ac:dyDescent="0.2">
      <c r="A1467" s="181"/>
      <c r="B1467" s="188" t="s">
        <v>243</v>
      </c>
      <c r="C1467" s="189" t="s">
        <v>124</v>
      </c>
      <c r="D1467" s="189" t="s">
        <v>123</v>
      </c>
      <c r="E1467" s="190" t="s">
        <v>3252</v>
      </c>
      <c r="F1467" s="191">
        <f t="shared" si="24"/>
        <v>245.16666666666666</v>
      </c>
      <c r="G1467" s="185"/>
      <c r="H1467" s="181"/>
      <c r="I1467" s="74"/>
      <c r="J1467" s="74"/>
      <c r="M1467" s="185"/>
      <c r="N1467" s="185"/>
      <c r="O1467" s="185"/>
      <c r="P1467" s="185"/>
      <c r="Q1467" s="185"/>
      <c r="R1467" s="185"/>
    </row>
    <row r="1468" spans="1:18" s="197" customFormat="1" ht="12.75" x14ac:dyDescent="0.2">
      <c r="A1468" s="181"/>
      <c r="B1468" s="188" t="s">
        <v>3253</v>
      </c>
      <c r="C1468" s="189" t="s">
        <v>134</v>
      </c>
      <c r="D1468" s="189" t="s">
        <v>131</v>
      </c>
      <c r="E1468" s="190" t="s">
        <v>3254</v>
      </c>
      <c r="F1468" s="191">
        <f t="shared" si="24"/>
        <v>190.01666666666668</v>
      </c>
      <c r="G1468" s="185"/>
      <c r="H1468" s="181"/>
      <c r="I1468" s="74"/>
      <c r="J1468" s="74"/>
      <c r="M1468" s="185"/>
      <c r="N1468" s="185"/>
      <c r="O1468" s="185"/>
      <c r="P1468" s="185"/>
      <c r="Q1468" s="185"/>
      <c r="R1468" s="185"/>
    </row>
    <row r="1469" spans="1:18" s="197" customFormat="1" ht="12.75" x14ac:dyDescent="0.2">
      <c r="A1469" s="181"/>
      <c r="B1469" s="188" t="s">
        <v>3255</v>
      </c>
      <c r="C1469" s="189" t="s">
        <v>128</v>
      </c>
      <c r="D1469" s="189" t="s">
        <v>314</v>
      </c>
      <c r="E1469" s="190" t="s">
        <v>3256</v>
      </c>
      <c r="F1469" s="191">
        <f t="shared" si="24"/>
        <v>190.38333333333333</v>
      </c>
      <c r="G1469" s="185"/>
      <c r="H1469" s="181"/>
      <c r="I1469" s="74"/>
      <c r="J1469" s="74"/>
      <c r="M1469" s="185"/>
      <c r="N1469" s="185"/>
      <c r="O1469" s="185"/>
      <c r="P1469" s="185"/>
      <c r="Q1469" s="185"/>
      <c r="R1469" s="185"/>
    </row>
    <row r="1470" spans="1:18" s="197" customFormat="1" ht="12.75" x14ac:dyDescent="0.2">
      <c r="A1470" s="181"/>
      <c r="B1470" s="188" t="s">
        <v>3257</v>
      </c>
      <c r="C1470" s="189" t="s">
        <v>126</v>
      </c>
      <c r="D1470" s="189" t="s">
        <v>123</v>
      </c>
      <c r="E1470" s="190" t="s">
        <v>3258</v>
      </c>
      <c r="F1470" s="191">
        <f t="shared" si="24"/>
        <v>337.78333333333336</v>
      </c>
      <c r="G1470" s="185"/>
      <c r="H1470" s="181"/>
      <c r="I1470" s="74"/>
      <c r="J1470" s="74"/>
      <c r="M1470" s="185"/>
      <c r="N1470" s="185"/>
      <c r="O1470" s="185"/>
      <c r="P1470" s="185"/>
      <c r="Q1470" s="185"/>
      <c r="R1470" s="185"/>
    </row>
    <row r="1471" spans="1:18" s="197" customFormat="1" ht="12.75" x14ac:dyDescent="0.2">
      <c r="A1471" s="181"/>
      <c r="B1471" s="188" t="s">
        <v>3259</v>
      </c>
      <c r="C1471" s="189" t="s">
        <v>142</v>
      </c>
      <c r="D1471" s="189" t="s">
        <v>123</v>
      </c>
      <c r="E1471" s="190" t="s">
        <v>3260</v>
      </c>
      <c r="F1471" s="191">
        <f t="shared" si="24"/>
        <v>255.93333333333334</v>
      </c>
      <c r="G1471" s="185"/>
      <c r="H1471" s="181"/>
      <c r="I1471" s="74"/>
      <c r="J1471" s="74"/>
      <c r="M1471" s="185"/>
      <c r="N1471" s="185"/>
      <c r="O1471" s="185"/>
      <c r="P1471" s="185"/>
      <c r="Q1471" s="185"/>
      <c r="R1471" s="185"/>
    </row>
    <row r="1472" spans="1:18" s="197" customFormat="1" ht="12.75" x14ac:dyDescent="0.2">
      <c r="A1472" s="181"/>
      <c r="B1472" s="188" t="s">
        <v>3261</v>
      </c>
      <c r="C1472" s="189" t="s">
        <v>124</v>
      </c>
      <c r="D1472" s="189" t="s">
        <v>123</v>
      </c>
      <c r="E1472" s="190" t="s">
        <v>3262</v>
      </c>
      <c r="F1472" s="191">
        <f t="shared" si="24"/>
        <v>314.96666666666664</v>
      </c>
      <c r="G1472" s="185"/>
      <c r="H1472" s="181"/>
      <c r="I1472" s="74"/>
      <c r="J1472" s="74"/>
      <c r="M1472" s="185"/>
      <c r="N1472" s="185"/>
      <c r="O1472" s="185"/>
      <c r="P1472" s="185"/>
      <c r="Q1472" s="185"/>
      <c r="R1472" s="185"/>
    </row>
    <row r="1473" spans="1:18" s="197" customFormat="1" ht="12.75" x14ac:dyDescent="0.2">
      <c r="A1473" s="181"/>
      <c r="B1473" s="188" t="s">
        <v>3263</v>
      </c>
      <c r="C1473" s="189" t="s">
        <v>125</v>
      </c>
      <c r="D1473" s="189" t="s">
        <v>123</v>
      </c>
      <c r="E1473" s="190" t="s">
        <v>3264</v>
      </c>
      <c r="F1473" s="191">
        <f t="shared" si="24"/>
        <v>249</v>
      </c>
      <c r="G1473" s="185"/>
      <c r="H1473" s="181"/>
      <c r="I1473" s="74"/>
      <c r="J1473" s="74"/>
      <c r="M1473" s="185"/>
      <c r="N1473" s="185"/>
      <c r="O1473" s="185"/>
      <c r="P1473" s="185"/>
      <c r="Q1473" s="185"/>
      <c r="R1473" s="185"/>
    </row>
    <row r="1474" spans="1:18" s="197" customFormat="1" ht="12.75" x14ac:dyDescent="0.2">
      <c r="A1474" s="181"/>
      <c r="B1474" s="188" t="s">
        <v>3265</v>
      </c>
      <c r="C1474" s="189" t="s">
        <v>126</v>
      </c>
      <c r="D1474" s="189" t="s">
        <v>123</v>
      </c>
      <c r="E1474" s="190" t="s">
        <v>3266</v>
      </c>
      <c r="F1474" s="191">
        <f t="shared" si="24"/>
        <v>282.43333333333334</v>
      </c>
      <c r="G1474" s="185"/>
      <c r="H1474" s="181"/>
      <c r="I1474" s="74"/>
      <c r="J1474" s="74"/>
      <c r="M1474" s="185"/>
      <c r="N1474" s="185"/>
      <c r="O1474" s="185"/>
      <c r="P1474" s="185"/>
      <c r="Q1474" s="185"/>
      <c r="R1474" s="185"/>
    </row>
    <row r="1475" spans="1:18" s="197" customFormat="1" ht="12.75" x14ac:dyDescent="0.2">
      <c r="A1475" s="181"/>
      <c r="B1475" s="188" t="s">
        <v>3267</v>
      </c>
      <c r="C1475" s="189" t="s">
        <v>126</v>
      </c>
      <c r="D1475" s="189" t="s">
        <v>132</v>
      </c>
      <c r="E1475" s="190" t="s">
        <v>3268</v>
      </c>
      <c r="F1475" s="191">
        <f t="shared" si="24"/>
        <v>173.73333333333332</v>
      </c>
      <c r="G1475" s="185"/>
      <c r="H1475" s="181"/>
      <c r="I1475" s="74"/>
      <c r="J1475" s="74"/>
      <c r="M1475" s="185"/>
      <c r="N1475" s="185"/>
      <c r="O1475" s="185"/>
      <c r="P1475" s="185"/>
      <c r="Q1475" s="185"/>
      <c r="R1475" s="185"/>
    </row>
    <row r="1476" spans="1:18" s="197" customFormat="1" ht="12.75" x14ac:dyDescent="0.2">
      <c r="A1476" s="181"/>
      <c r="B1476" s="188" t="s">
        <v>530</v>
      </c>
      <c r="C1476" s="189" t="s">
        <v>135</v>
      </c>
      <c r="D1476" s="189" t="s">
        <v>123</v>
      </c>
      <c r="E1476" s="190" t="s">
        <v>3269</v>
      </c>
      <c r="F1476" s="191">
        <f t="shared" si="24"/>
        <v>220.78333333333333</v>
      </c>
      <c r="G1476" s="185"/>
      <c r="H1476" s="181"/>
      <c r="I1476" s="74"/>
      <c r="J1476" s="74"/>
      <c r="M1476" s="185"/>
      <c r="N1476" s="185"/>
      <c r="O1476" s="185"/>
      <c r="P1476" s="185"/>
      <c r="Q1476" s="185"/>
      <c r="R1476" s="185"/>
    </row>
    <row r="1477" spans="1:18" s="197" customFormat="1" ht="12.75" x14ac:dyDescent="0.2">
      <c r="A1477" s="181"/>
      <c r="B1477" s="188" t="s">
        <v>3270</v>
      </c>
      <c r="C1477" s="189" t="s">
        <v>125</v>
      </c>
      <c r="D1477" s="189" t="s">
        <v>155</v>
      </c>
      <c r="E1477" s="190" t="s">
        <v>3271</v>
      </c>
      <c r="F1477" s="191">
        <f t="shared" si="24"/>
        <v>180.88333333333333</v>
      </c>
      <c r="G1477" s="185"/>
      <c r="H1477" s="181"/>
      <c r="I1477" s="74"/>
      <c r="J1477" s="74"/>
      <c r="M1477" s="185"/>
      <c r="N1477" s="185"/>
      <c r="O1477" s="185"/>
      <c r="P1477" s="185"/>
      <c r="Q1477" s="185"/>
      <c r="R1477" s="185"/>
    </row>
    <row r="1478" spans="1:18" s="197" customFormat="1" ht="12.75" x14ac:dyDescent="0.2">
      <c r="A1478" s="181"/>
      <c r="B1478" s="188" t="s">
        <v>3272</v>
      </c>
      <c r="C1478" s="189" t="s">
        <v>125</v>
      </c>
      <c r="D1478" s="189" t="s">
        <v>123</v>
      </c>
      <c r="E1478" s="190" t="s">
        <v>3273</v>
      </c>
      <c r="F1478" s="191">
        <f t="shared" si="24"/>
        <v>252.73333333333332</v>
      </c>
      <c r="G1478" s="185"/>
      <c r="H1478" s="181"/>
      <c r="I1478" s="74"/>
      <c r="J1478" s="74"/>
      <c r="M1478" s="185"/>
      <c r="N1478" s="185"/>
      <c r="O1478" s="185"/>
      <c r="P1478" s="185"/>
      <c r="Q1478" s="185"/>
      <c r="R1478" s="185"/>
    </row>
    <row r="1479" spans="1:18" s="197" customFormat="1" ht="12.75" x14ac:dyDescent="0.2">
      <c r="A1479" s="181"/>
      <c r="B1479" s="188" t="s">
        <v>410</v>
      </c>
      <c r="C1479" s="189" t="s">
        <v>134</v>
      </c>
      <c r="D1479" s="189" t="s">
        <v>123</v>
      </c>
      <c r="E1479" s="190" t="s">
        <v>3274</v>
      </c>
      <c r="F1479" s="191">
        <f t="shared" si="24"/>
        <v>178.63333333333333</v>
      </c>
      <c r="G1479" s="185"/>
      <c r="H1479" s="181"/>
      <c r="I1479" s="74"/>
      <c r="J1479" s="74"/>
      <c r="M1479" s="185"/>
      <c r="N1479" s="185"/>
      <c r="O1479" s="185"/>
      <c r="P1479" s="185"/>
      <c r="Q1479" s="185"/>
      <c r="R1479" s="185"/>
    </row>
    <row r="1480" spans="1:18" s="197" customFormat="1" ht="12.75" x14ac:dyDescent="0.2">
      <c r="A1480" s="181"/>
      <c r="B1480" s="188" t="s">
        <v>3275</v>
      </c>
      <c r="C1480" s="189" t="s">
        <v>130</v>
      </c>
      <c r="D1480" s="189" t="s">
        <v>123</v>
      </c>
      <c r="E1480" s="190" t="s">
        <v>3276</v>
      </c>
      <c r="F1480" s="191">
        <f t="shared" si="24"/>
        <v>249.61666666666667</v>
      </c>
      <c r="G1480" s="185"/>
      <c r="H1480" s="181"/>
      <c r="I1480" s="74"/>
      <c r="J1480" s="74"/>
      <c r="M1480" s="185"/>
      <c r="N1480" s="185"/>
      <c r="O1480" s="185"/>
      <c r="P1480" s="185"/>
      <c r="Q1480" s="185"/>
      <c r="R1480" s="185"/>
    </row>
    <row r="1481" spans="1:18" s="197" customFormat="1" ht="12.75" x14ac:dyDescent="0.2">
      <c r="A1481" s="181"/>
      <c r="B1481" s="188" t="s">
        <v>3277</v>
      </c>
      <c r="C1481" s="189" t="s">
        <v>128</v>
      </c>
      <c r="D1481" s="189" t="s">
        <v>123</v>
      </c>
      <c r="E1481" s="190" t="s">
        <v>3278</v>
      </c>
      <c r="F1481" s="191">
        <f t="shared" si="24"/>
        <v>241.13333333333333</v>
      </c>
      <c r="G1481" s="185"/>
      <c r="H1481" s="181"/>
      <c r="I1481" s="74"/>
      <c r="J1481" s="74"/>
      <c r="M1481" s="185"/>
      <c r="N1481" s="185"/>
      <c r="O1481" s="185"/>
      <c r="P1481" s="185"/>
      <c r="Q1481" s="185"/>
      <c r="R1481" s="185"/>
    </row>
    <row r="1482" spans="1:18" s="197" customFormat="1" ht="12.75" x14ac:dyDescent="0.2">
      <c r="A1482" s="181"/>
      <c r="B1482" s="188" t="s">
        <v>542</v>
      </c>
      <c r="C1482" s="189" t="s">
        <v>124</v>
      </c>
      <c r="D1482" s="189" t="s">
        <v>123</v>
      </c>
      <c r="E1482" s="190" t="s">
        <v>3279</v>
      </c>
      <c r="F1482" s="191">
        <f t="shared" si="24"/>
        <v>237.55</v>
      </c>
      <c r="G1482" s="185"/>
      <c r="H1482" s="181"/>
      <c r="I1482" s="74"/>
      <c r="J1482" s="74"/>
      <c r="M1482" s="185"/>
      <c r="N1482" s="185"/>
      <c r="O1482" s="185"/>
      <c r="P1482" s="185"/>
      <c r="Q1482" s="185"/>
      <c r="R1482" s="185"/>
    </row>
    <row r="1483" spans="1:18" s="197" customFormat="1" ht="12.75" x14ac:dyDescent="0.2">
      <c r="A1483" s="181"/>
      <c r="B1483" s="188" t="s">
        <v>267</v>
      </c>
      <c r="C1483" s="189" t="s">
        <v>125</v>
      </c>
      <c r="D1483" s="189" t="s">
        <v>148</v>
      </c>
      <c r="E1483" s="190" t="s">
        <v>3280</v>
      </c>
      <c r="F1483" s="191">
        <f t="shared" ref="F1483:F1546" si="25">HOUR(E1483)*60+MINUTE(E1483)+SECOND(E1483)/60</f>
        <v>233.41666666666666</v>
      </c>
      <c r="G1483" s="185"/>
      <c r="H1483" s="181"/>
      <c r="I1483" s="74"/>
      <c r="J1483" s="74"/>
      <c r="M1483" s="185"/>
      <c r="N1483" s="185"/>
      <c r="O1483" s="185"/>
      <c r="P1483" s="185"/>
      <c r="Q1483" s="185"/>
      <c r="R1483" s="185"/>
    </row>
    <row r="1484" spans="1:18" s="197" customFormat="1" ht="12.75" x14ac:dyDescent="0.2">
      <c r="A1484" s="181"/>
      <c r="B1484" s="188" t="s">
        <v>3281</v>
      </c>
      <c r="C1484" s="189" t="s">
        <v>142</v>
      </c>
      <c r="D1484" s="189" t="s">
        <v>123</v>
      </c>
      <c r="E1484" s="190" t="s">
        <v>3282</v>
      </c>
      <c r="F1484" s="191">
        <f t="shared" si="25"/>
        <v>252.15</v>
      </c>
      <c r="G1484" s="185"/>
      <c r="H1484" s="181"/>
      <c r="I1484" s="74"/>
      <c r="J1484" s="74"/>
      <c r="M1484" s="185"/>
      <c r="N1484" s="185"/>
      <c r="O1484" s="185"/>
      <c r="P1484" s="185"/>
      <c r="Q1484" s="185"/>
      <c r="R1484" s="185"/>
    </row>
    <row r="1485" spans="1:18" s="197" customFormat="1" ht="12.75" x14ac:dyDescent="0.2">
      <c r="A1485" s="181"/>
      <c r="B1485" s="188" t="s">
        <v>3283</v>
      </c>
      <c r="C1485" s="189" t="s">
        <v>134</v>
      </c>
      <c r="D1485" s="189" t="s">
        <v>123</v>
      </c>
      <c r="E1485" s="190" t="s">
        <v>3284</v>
      </c>
      <c r="F1485" s="191">
        <f t="shared" si="25"/>
        <v>220.91666666666666</v>
      </c>
      <c r="G1485" s="185"/>
      <c r="H1485" s="181"/>
      <c r="I1485" s="74"/>
      <c r="J1485" s="74"/>
      <c r="M1485" s="185"/>
      <c r="N1485" s="185"/>
      <c r="O1485" s="185"/>
      <c r="P1485" s="185"/>
      <c r="Q1485" s="185"/>
      <c r="R1485" s="185"/>
    </row>
    <row r="1486" spans="1:18" s="197" customFormat="1" ht="12.75" x14ac:dyDescent="0.2">
      <c r="A1486" s="181"/>
      <c r="B1486" s="188" t="s">
        <v>3285</v>
      </c>
      <c r="C1486" s="189" t="s">
        <v>142</v>
      </c>
      <c r="D1486" s="189" t="s">
        <v>123</v>
      </c>
      <c r="E1486" s="190" t="s">
        <v>3286</v>
      </c>
      <c r="F1486" s="191">
        <f t="shared" si="25"/>
        <v>231.96666666666667</v>
      </c>
      <c r="G1486" s="185"/>
      <c r="H1486" s="181"/>
      <c r="I1486" s="74"/>
      <c r="J1486" s="74"/>
      <c r="M1486" s="185"/>
      <c r="N1486" s="185"/>
      <c r="O1486" s="185"/>
      <c r="P1486" s="185"/>
      <c r="Q1486" s="185"/>
      <c r="R1486" s="185"/>
    </row>
    <row r="1487" spans="1:18" s="197" customFormat="1" ht="12.75" x14ac:dyDescent="0.2">
      <c r="A1487" s="181"/>
      <c r="B1487" s="188" t="s">
        <v>3287</v>
      </c>
      <c r="C1487" s="189" t="s">
        <v>126</v>
      </c>
      <c r="D1487" s="189" t="s">
        <v>123</v>
      </c>
      <c r="E1487" s="190" t="s">
        <v>3288</v>
      </c>
      <c r="F1487" s="191">
        <f t="shared" si="25"/>
        <v>230.46666666666667</v>
      </c>
      <c r="G1487" s="185"/>
      <c r="H1487" s="181"/>
      <c r="I1487" s="74"/>
      <c r="J1487" s="74"/>
      <c r="M1487" s="185"/>
      <c r="N1487" s="185"/>
      <c r="O1487" s="185"/>
      <c r="P1487" s="185"/>
      <c r="Q1487" s="185"/>
      <c r="R1487" s="185"/>
    </row>
    <row r="1488" spans="1:18" s="197" customFormat="1" ht="12.75" x14ac:dyDescent="0.2">
      <c r="A1488" s="181"/>
      <c r="B1488" s="188" t="s">
        <v>3289</v>
      </c>
      <c r="C1488" s="189" t="s">
        <v>142</v>
      </c>
      <c r="D1488" s="189" t="s">
        <v>171</v>
      </c>
      <c r="E1488" s="190" t="s">
        <v>3290</v>
      </c>
      <c r="F1488" s="191">
        <f t="shared" si="25"/>
        <v>180.4</v>
      </c>
      <c r="G1488" s="185"/>
      <c r="H1488" s="181"/>
      <c r="I1488" s="74"/>
      <c r="J1488" s="74"/>
      <c r="M1488" s="185"/>
      <c r="N1488" s="185"/>
      <c r="O1488" s="185"/>
      <c r="P1488" s="185"/>
      <c r="Q1488" s="185"/>
      <c r="R1488" s="185"/>
    </row>
    <row r="1489" spans="1:18" s="197" customFormat="1" ht="12.75" x14ac:dyDescent="0.2">
      <c r="A1489" s="181"/>
      <c r="B1489" s="188" t="s">
        <v>3291</v>
      </c>
      <c r="C1489" s="189" t="s">
        <v>124</v>
      </c>
      <c r="D1489" s="189" t="s">
        <v>123</v>
      </c>
      <c r="E1489" s="190" t="s">
        <v>3292</v>
      </c>
      <c r="F1489" s="191">
        <f t="shared" si="25"/>
        <v>245.2</v>
      </c>
      <c r="G1489" s="185"/>
      <c r="H1489" s="181"/>
      <c r="I1489" s="74"/>
      <c r="J1489" s="74"/>
      <c r="M1489" s="185"/>
      <c r="N1489" s="185"/>
      <c r="O1489" s="185"/>
      <c r="P1489" s="185"/>
      <c r="Q1489" s="185"/>
      <c r="R1489" s="185"/>
    </row>
    <row r="1490" spans="1:18" s="197" customFormat="1" ht="12.75" x14ac:dyDescent="0.2">
      <c r="A1490" s="181"/>
      <c r="B1490" s="188" t="s">
        <v>3293</v>
      </c>
      <c r="C1490" s="189" t="s">
        <v>249</v>
      </c>
      <c r="D1490" s="189" t="s">
        <v>123</v>
      </c>
      <c r="E1490" s="190" t="s">
        <v>3294</v>
      </c>
      <c r="F1490" s="191">
        <f t="shared" si="25"/>
        <v>236.53333333333333</v>
      </c>
      <c r="G1490" s="185"/>
      <c r="H1490" s="181"/>
      <c r="I1490" s="74"/>
      <c r="J1490" s="74"/>
      <c r="M1490" s="185"/>
      <c r="N1490" s="185"/>
      <c r="O1490" s="185"/>
      <c r="P1490" s="185"/>
      <c r="Q1490" s="185"/>
      <c r="R1490" s="185"/>
    </row>
    <row r="1491" spans="1:18" s="197" customFormat="1" ht="12.75" x14ac:dyDescent="0.2">
      <c r="A1491" s="181"/>
      <c r="B1491" s="188" t="s">
        <v>3295</v>
      </c>
      <c r="C1491" s="189" t="s">
        <v>125</v>
      </c>
      <c r="D1491" s="189" t="s">
        <v>123</v>
      </c>
      <c r="E1491" s="190" t="s">
        <v>3296</v>
      </c>
      <c r="F1491" s="191">
        <f t="shared" si="25"/>
        <v>247.1</v>
      </c>
      <c r="G1491" s="185"/>
      <c r="H1491" s="181"/>
      <c r="I1491" s="74"/>
      <c r="J1491" s="74"/>
      <c r="M1491" s="185"/>
      <c r="N1491" s="185"/>
      <c r="O1491" s="185"/>
      <c r="P1491" s="185"/>
      <c r="Q1491" s="185"/>
      <c r="R1491" s="185"/>
    </row>
    <row r="1492" spans="1:18" s="197" customFormat="1" ht="12.75" x14ac:dyDescent="0.2">
      <c r="A1492" s="181"/>
      <c r="B1492" s="188" t="s">
        <v>3297</v>
      </c>
      <c r="C1492" s="189" t="s">
        <v>124</v>
      </c>
      <c r="D1492" s="189" t="s">
        <v>131</v>
      </c>
      <c r="E1492" s="190" t="s">
        <v>3298</v>
      </c>
      <c r="F1492" s="191">
        <f t="shared" si="25"/>
        <v>312.2</v>
      </c>
      <c r="G1492" s="185"/>
      <c r="H1492" s="181"/>
      <c r="I1492" s="74"/>
      <c r="J1492" s="74"/>
      <c r="M1492" s="185"/>
      <c r="N1492" s="185"/>
      <c r="O1492" s="185"/>
      <c r="P1492" s="185"/>
      <c r="Q1492" s="185"/>
      <c r="R1492" s="185"/>
    </row>
    <row r="1493" spans="1:18" s="197" customFormat="1" ht="12.75" x14ac:dyDescent="0.2">
      <c r="A1493" s="181"/>
      <c r="B1493" s="188" t="s">
        <v>3299</v>
      </c>
      <c r="C1493" s="189" t="s">
        <v>128</v>
      </c>
      <c r="D1493" s="189" t="s">
        <v>123</v>
      </c>
      <c r="E1493" s="190" t="s">
        <v>3300</v>
      </c>
      <c r="F1493" s="191">
        <f t="shared" si="25"/>
        <v>250.23333333333332</v>
      </c>
      <c r="G1493" s="185"/>
      <c r="H1493" s="181"/>
      <c r="I1493" s="74"/>
      <c r="J1493" s="74"/>
      <c r="M1493" s="185"/>
      <c r="N1493" s="185"/>
      <c r="O1493" s="185"/>
      <c r="P1493" s="185"/>
      <c r="Q1493" s="185"/>
      <c r="R1493" s="185"/>
    </row>
    <row r="1494" spans="1:18" s="197" customFormat="1" ht="12.75" x14ac:dyDescent="0.2">
      <c r="A1494" s="181"/>
      <c r="B1494" s="188" t="s">
        <v>3301</v>
      </c>
      <c r="C1494" s="189" t="s">
        <v>125</v>
      </c>
      <c r="D1494" s="189" t="s">
        <v>129</v>
      </c>
      <c r="E1494" s="190" t="s">
        <v>3302</v>
      </c>
      <c r="F1494" s="191">
        <f t="shared" si="25"/>
        <v>286.45</v>
      </c>
      <c r="G1494" s="185"/>
      <c r="H1494" s="181"/>
      <c r="I1494" s="74"/>
      <c r="J1494" s="74"/>
      <c r="M1494" s="185"/>
      <c r="N1494" s="185"/>
      <c r="O1494" s="185"/>
      <c r="P1494" s="185"/>
      <c r="Q1494" s="185"/>
      <c r="R1494" s="185"/>
    </row>
    <row r="1495" spans="1:18" s="197" customFormat="1" ht="12.75" x14ac:dyDescent="0.2">
      <c r="A1495" s="181"/>
      <c r="B1495" s="188" t="s">
        <v>447</v>
      </c>
      <c r="C1495" s="189" t="s">
        <v>125</v>
      </c>
      <c r="D1495" s="189" t="s">
        <v>160</v>
      </c>
      <c r="E1495" s="190" t="s">
        <v>2559</v>
      </c>
      <c r="F1495" s="191">
        <f t="shared" si="25"/>
        <v>306.98333333333335</v>
      </c>
      <c r="G1495" s="185"/>
      <c r="H1495" s="181"/>
      <c r="I1495" s="74"/>
      <c r="J1495" s="74"/>
      <c r="M1495" s="185"/>
      <c r="N1495" s="185"/>
      <c r="O1495" s="185"/>
      <c r="P1495" s="185"/>
      <c r="Q1495" s="185"/>
      <c r="R1495" s="185"/>
    </row>
    <row r="1496" spans="1:18" s="197" customFormat="1" ht="12.75" x14ac:dyDescent="0.2">
      <c r="A1496" s="181"/>
      <c r="B1496" s="188" t="s">
        <v>3303</v>
      </c>
      <c r="C1496" s="189" t="s">
        <v>130</v>
      </c>
      <c r="D1496" s="189" t="s">
        <v>168</v>
      </c>
      <c r="E1496" s="190" t="s">
        <v>3304</v>
      </c>
      <c r="F1496" s="191">
        <f t="shared" si="25"/>
        <v>181.11666666666667</v>
      </c>
      <c r="G1496" s="185"/>
      <c r="H1496" s="181"/>
      <c r="I1496" s="74"/>
      <c r="J1496" s="74"/>
      <c r="M1496" s="185"/>
      <c r="N1496" s="185"/>
      <c r="O1496" s="185"/>
      <c r="P1496" s="185"/>
      <c r="Q1496" s="185"/>
      <c r="R1496" s="185"/>
    </row>
    <row r="1497" spans="1:18" s="197" customFormat="1" ht="12.75" x14ac:dyDescent="0.2">
      <c r="A1497" s="181"/>
      <c r="B1497" s="188" t="s">
        <v>3305</v>
      </c>
      <c r="C1497" s="189" t="s">
        <v>124</v>
      </c>
      <c r="D1497" s="189" t="s">
        <v>169</v>
      </c>
      <c r="E1497" s="190" t="s">
        <v>3306</v>
      </c>
      <c r="F1497" s="191">
        <f t="shared" si="25"/>
        <v>205.81666666666666</v>
      </c>
      <c r="G1497" s="185"/>
      <c r="H1497" s="181"/>
      <c r="I1497" s="74"/>
      <c r="J1497" s="74"/>
      <c r="M1497" s="185"/>
      <c r="N1497" s="185"/>
      <c r="O1497" s="185"/>
      <c r="P1497" s="185"/>
      <c r="Q1497" s="185"/>
      <c r="R1497" s="185"/>
    </row>
    <row r="1498" spans="1:18" s="197" customFormat="1" ht="12.75" x14ac:dyDescent="0.2">
      <c r="A1498" s="181"/>
      <c r="B1498" s="188" t="s">
        <v>611</v>
      </c>
      <c r="C1498" s="189" t="s">
        <v>125</v>
      </c>
      <c r="D1498" s="189" t="s">
        <v>151</v>
      </c>
      <c r="E1498" s="190" t="s">
        <v>3307</v>
      </c>
      <c r="F1498" s="191">
        <f t="shared" si="25"/>
        <v>237.8</v>
      </c>
      <c r="G1498" s="185"/>
      <c r="H1498" s="181"/>
      <c r="I1498" s="74"/>
      <c r="J1498" s="74"/>
      <c r="M1498" s="185"/>
      <c r="N1498" s="185"/>
      <c r="O1498" s="185"/>
      <c r="P1498" s="185"/>
      <c r="Q1498" s="185"/>
      <c r="R1498" s="185"/>
    </row>
    <row r="1499" spans="1:18" s="197" customFormat="1" ht="12.75" x14ac:dyDescent="0.2">
      <c r="A1499" s="181"/>
      <c r="B1499" s="188" t="s">
        <v>3308</v>
      </c>
      <c r="C1499" s="189" t="s">
        <v>142</v>
      </c>
      <c r="D1499" s="189" t="s">
        <v>123</v>
      </c>
      <c r="E1499" s="190" t="s">
        <v>1615</v>
      </c>
      <c r="F1499" s="191">
        <f t="shared" si="25"/>
        <v>190.76666666666668</v>
      </c>
      <c r="G1499" s="185"/>
      <c r="H1499" s="181"/>
      <c r="I1499" s="74"/>
      <c r="J1499" s="74"/>
      <c r="M1499" s="185"/>
      <c r="N1499" s="185"/>
      <c r="O1499" s="185"/>
      <c r="P1499" s="185"/>
      <c r="Q1499" s="185"/>
      <c r="R1499" s="185"/>
    </row>
    <row r="1500" spans="1:18" s="197" customFormat="1" ht="12.75" x14ac:dyDescent="0.2">
      <c r="A1500" s="181"/>
      <c r="B1500" s="188" t="s">
        <v>3309</v>
      </c>
      <c r="C1500" s="189" t="s">
        <v>126</v>
      </c>
      <c r="D1500" s="189" t="s">
        <v>141</v>
      </c>
      <c r="E1500" s="190" t="s">
        <v>3310</v>
      </c>
      <c r="F1500" s="191">
        <f t="shared" si="25"/>
        <v>220.9</v>
      </c>
      <c r="G1500" s="185"/>
      <c r="H1500" s="181"/>
      <c r="I1500" s="74"/>
      <c r="J1500" s="74"/>
      <c r="M1500" s="185"/>
      <c r="N1500" s="185"/>
      <c r="O1500" s="185"/>
      <c r="P1500" s="185"/>
      <c r="Q1500" s="185"/>
      <c r="R1500" s="185"/>
    </row>
    <row r="1501" spans="1:18" s="197" customFormat="1" ht="12.75" x14ac:dyDescent="0.2">
      <c r="A1501" s="181"/>
      <c r="B1501" s="188" t="s">
        <v>3311</v>
      </c>
      <c r="C1501" s="189" t="s">
        <v>130</v>
      </c>
      <c r="D1501" s="189" t="s">
        <v>123</v>
      </c>
      <c r="E1501" s="190" t="s">
        <v>1361</v>
      </c>
      <c r="F1501" s="191">
        <f t="shared" si="25"/>
        <v>265.35000000000002</v>
      </c>
      <c r="G1501" s="185"/>
      <c r="H1501" s="181"/>
      <c r="I1501" s="74"/>
      <c r="J1501" s="74"/>
      <c r="M1501" s="185"/>
      <c r="N1501" s="185"/>
      <c r="O1501" s="185"/>
      <c r="P1501" s="185"/>
      <c r="Q1501" s="185"/>
      <c r="R1501" s="185"/>
    </row>
    <row r="1502" spans="1:18" s="197" customFormat="1" ht="12.75" x14ac:dyDescent="0.2">
      <c r="A1502" s="181"/>
      <c r="B1502" s="188" t="s">
        <v>3312</v>
      </c>
      <c r="C1502" s="189" t="s">
        <v>124</v>
      </c>
      <c r="D1502" s="189" t="s">
        <v>123</v>
      </c>
      <c r="E1502" s="190" t="s">
        <v>3313</v>
      </c>
      <c r="F1502" s="191">
        <f t="shared" si="25"/>
        <v>300.41666666666669</v>
      </c>
      <c r="G1502" s="185"/>
      <c r="H1502" s="181"/>
      <c r="I1502" s="74"/>
      <c r="J1502" s="74"/>
      <c r="M1502" s="185"/>
      <c r="N1502" s="185"/>
      <c r="O1502" s="185"/>
      <c r="P1502" s="185"/>
      <c r="Q1502" s="185"/>
      <c r="R1502" s="185"/>
    </row>
    <row r="1503" spans="1:18" s="197" customFormat="1" ht="12.75" x14ac:dyDescent="0.2">
      <c r="A1503" s="181"/>
      <c r="B1503" s="188" t="s">
        <v>3314</v>
      </c>
      <c r="C1503" s="189" t="s">
        <v>125</v>
      </c>
      <c r="D1503" s="189" t="s">
        <v>123</v>
      </c>
      <c r="E1503" s="190" t="s">
        <v>3315</v>
      </c>
      <c r="F1503" s="191">
        <f t="shared" si="25"/>
        <v>211.53333333333333</v>
      </c>
      <c r="G1503" s="185"/>
      <c r="H1503" s="181"/>
      <c r="I1503" s="74"/>
      <c r="J1503" s="74"/>
      <c r="M1503" s="185"/>
      <c r="N1503" s="185"/>
      <c r="O1503" s="185"/>
      <c r="P1503" s="185"/>
      <c r="Q1503" s="185"/>
      <c r="R1503" s="185"/>
    </row>
    <row r="1504" spans="1:18" s="197" customFormat="1" ht="12.75" x14ac:dyDescent="0.2">
      <c r="A1504" s="181"/>
      <c r="B1504" s="188" t="s">
        <v>3316</v>
      </c>
      <c r="C1504" s="189" t="s">
        <v>124</v>
      </c>
      <c r="D1504" s="189" t="s">
        <v>123</v>
      </c>
      <c r="E1504" s="190" t="s">
        <v>3317</v>
      </c>
      <c r="F1504" s="191">
        <f t="shared" si="25"/>
        <v>237.9</v>
      </c>
      <c r="G1504" s="185"/>
      <c r="H1504" s="181"/>
      <c r="I1504" s="74"/>
      <c r="J1504" s="74"/>
      <c r="M1504" s="185"/>
      <c r="N1504" s="185"/>
      <c r="O1504" s="185"/>
      <c r="P1504" s="185"/>
      <c r="Q1504" s="185"/>
      <c r="R1504" s="185"/>
    </row>
    <row r="1505" spans="1:18" s="197" customFormat="1" ht="12.75" x14ac:dyDescent="0.2">
      <c r="A1505" s="181"/>
      <c r="B1505" s="188" t="s">
        <v>3318</v>
      </c>
      <c r="C1505" s="189" t="s">
        <v>134</v>
      </c>
      <c r="D1505" s="189" t="s">
        <v>155</v>
      </c>
      <c r="E1505" s="190" t="s">
        <v>3319</v>
      </c>
      <c r="F1505" s="191">
        <f t="shared" si="25"/>
        <v>259.03333333333336</v>
      </c>
      <c r="G1505" s="185"/>
      <c r="H1505" s="181"/>
      <c r="I1505" s="74"/>
      <c r="J1505" s="74"/>
      <c r="M1505" s="185"/>
      <c r="N1505" s="185"/>
      <c r="O1505" s="185"/>
      <c r="P1505" s="185"/>
      <c r="Q1505" s="185"/>
      <c r="R1505" s="185"/>
    </row>
    <row r="1506" spans="1:18" s="197" customFormat="1" ht="12.75" x14ac:dyDescent="0.2">
      <c r="A1506" s="181"/>
      <c r="B1506" s="188" t="s">
        <v>3320</v>
      </c>
      <c r="C1506" s="189" t="s">
        <v>125</v>
      </c>
      <c r="D1506" s="189" t="s">
        <v>123</v>
      </c>
      <c r="E1506" s="190" t="s">
        <v>2063</v>
      </c>
      <c r="F1506" s="191">
        <f t="shared" si="25"/>
        <v>217.6</v>
      </c>
      <c r="G1506" s="185"/>
      <c r="H1506" s="181"/>
      <c r="I1506" s="74"/>
      <c r="J1506" s="74"/>
      <c r="M1506" s="185"/>
      <c r="N1506" s="185"/>
      <c r="O1506" s="185"/>
      <c r="P1506" s="185"/>
      <c r="Q1506" s="185"/>
      <c r="R1506" s="185"/>
    </row>
    <row r="1507" spans="1:18" s="197" customFormat="1" ht="12.75" x14ac:dyDescent="0.2">
      <c r="A1507" s="181"/>
      <c r="B1507" s="188" t="s">
        <v>1179</v>
      </c>
      <c r="C1507" s="189" t="s">
        <v>124</v>
      </c>
      <c r="D1507" s="189" t="s">
        <v>123</v>
      </c>
      <c r="E1507" s="190" t="s">
        <v>1180</v>
      </c>
      <c r="F1507" s="191">
        <f t="shared" si="25"/>
        <v>222.13333333333333</v>
      </c>
      <c r="G1507" s="185"/>
      <c r="H1507" s="181"/>
      <c r="I1507" s="74"/>
      <c r="J1507" s="74"/>
      <c r="M1507" s="185"/>
      <c r="N1507" s="185"/>
      <c r="O1507" s="185"/>
      <c r="P1507" s="185"/>
      <c r="Q1507" s="185"/>
      <c r="R1507" s="185"/>
    </row>
    <row r="1508" spans="1:18" s="197" customFormat="1" ht="12.75" x14ac:dyDescent="0.2">
      <c r="A1508" s="181"/>
      <c r="B1508" s="188" t="s">
        <v>389</v>
      </c>
      <c r="C1508" s="189" t="s">
        <v>124</v>
      </c>
      <c r="D1508" s="189" t="s">
        <v>123</v>
      </c>
      <c r="E1508" s="190" t="s">
        <v>3321</v>
      </c>
      <c r="F1508" s="191">
        <f t="shared" si="25"/>
        <v>238.16666666666666</v>
      </c>
      <c r="G1508" s="185"/>
      <c r="H1508" s="181"/>
      <c r="I1508" s="74"/>
      <c r="J1508" s="74"/>
      <c r="M1508" s="185"/>
      <c r="N1508" s="185"/>
      <c r="O1508" s="185"/>
      <c r="P1508" s="185"/>
      <c r="Q1508" s="185"/>
      <c r="R1508" s="185"/>
    </row>
    <row r="1509" spans="1:18" s="197" customFormat="1" ht="12.75" x14ac:dyDescent="0.2">
      <c r="A1509" s="181"/>
      <c r="B1509" s="188" t="s">
        <v>3322</v>
      </c>
      <c r="C1509" s="189" t="s">
        <v>134</v>
      </c>
      <c r="D1509" s="189" t="s">
        <v>131</v>
      </c>
      <c r="E1509" s="190" t="s">
        <v>3323</v>
      </c>
      <c r="F1509" s="191">
        <f t="shared" si="25"/>
        <v>264.76666666666665</v>
      </c>
      <c r="G1509" s="185"/>
      <c r="H1509" s="181"/>
      <c r="I1509" s="74"/>
      <c r="J1509" s="74"/>
      <c r="M1509" s="185"/>
      <c r="N1509" s="185"/>
      <c r="O1509" s="185"/>
      <c r="P1509" s="185"/>
      <c r="Q1509" s="185"/>
      <c r="R1509" s="185"/>
    </row>
    <row r="1510" spans="1:18" s="197" customFormat="1" ht="12.75" x14ac:dyDescent="0.2">
      <c r="A1510" s="181"/>
      <c r="B1510" s="188" t="s">
        <v>3324</v>
      </c>
      <c r="C1510" s="189" t="s">
        <v>124</v>
      </c>
      <c r="D1510" s="189" t="s">
        <v>123</v>
      </c>
      <c r="E1510" s="190" t="s">
        <v>3325</v>
      </c>
      <c r="F1510" s="191">
        <f t="shared" si="25"/>
        <v>219.43333333333334</v>
      </c>
      <c r="G1510" s="185"/>
      <c r="H1510" s="181"/>
      <c r="I1510" s="74"/>
      <c r="J1510" s="74"/>
      <c r="M1510" s="185"/>
      <c r="N1510" s="185"/>
      <c r="O1510" s="185"/>
      <c r="P1510" s="185"/>
      <c r="Q1510" s="185"/>
      <c r="R1510" s="185"/>
    </row>
    <row r="1511" spans="1:18" s="197" customFormat="1" ht="12.75" x14ac:dyDescent="0.2">
      <c r="A1511" s="181"/>
      <c r="B1511" s="188" t="s">
        <v>3326</v>
      </c>
      <c r="C1511" s="189" t="s">
        <v>130</v>
      </c>
      <c r="D1511" s="189" t="s">
        <v>123</v>
      </c>
      <c r="E1511" s="190" t="s">
        <v>3327</v>
      </c>
      <c r="F1511" s="191">
        <f t="shared" si="25"/>
        <v>235.01666666666668</v>
      </c>
      <c r="G1511" s="185"/>
      <c r="H1511" s="181"/>
      <c r="I1511" s="74"/>
      <c r="J1511" s="74"/>
      <c r="M1511" s="185"/>
      <c r="N1511" s="185"/>
      <c r="O1511" s="185"/>
      <c r="P1511" s="185"/>
      <c r="Q1511" s="185"/>
      <c r="R1511" s="185"/>
    </row>
    <row r="1512" spans="1:18" s="197" customFormat="1" ht="12.75" x14ac:dyDescent="0.2">
      <c r="A1512" s="181"/>
      <c r="B1512" s="188" t="s">
        <v>206</v>
      </c>
      <c r="C1512" s="189" t="s">
        <v>140</v>
      </c>
      <c r="D1512" s="189" t="s">
        <v>123</v>
      </c>
      <c r="E1512" s="190" t="s">
        <v>1284</v>
      </c>
      <c r="F1512" s="191">
        <f t="shared" si="25"/>
        <v>335.21666666666664</v>
      </c>
      <c r="G1512" s="185"/>
      <c r="H1512" s="181"/>
      <c r="I1512" s="74"/>
      <c r="J1512" s="74"/>
      <c r="M1512" s="185"/>
      <c r="N1512" s="185"/>
      <c r="O1512" s="185"/>
      <c r="P1512" s="185"/>
      <c r="Q1512" s="185"/>
      <c r="R1512" s="185"/>
    </row>
    <row r="1513" spans="1:18" s="197" customFormat="1" ht="12.75" x14ac:dyDescent="0.2">
      <c r="A1513" s="181"/>
      <c r="B1513" s="188" t="s">
        <v>3328</v>
      </c>
      <c r="C1513" s="189" t="s">
        <v>124</v>
      </c>
      <c r="D1513" s="189" t="s">
        <v>123</v>
      </c>
      <c r="E1513" s="190" t="s">
        <v>3329</v>
      </c>
      <c r="F1513" s="191">
        <f t="shared" si="25"/>
        <v>262.46666666666664</v>
      </c>
      <c r="G1513" s="185"/>
      <c r="H1513" s="181"/>
      <c r="I1513" s="74"/>
      <c r="J1513" s="74"/>
      <c r="M1513" s="185"/>
      <c r="N1513" s="185"/>
      <c r="O1513" s="185"/>
      <c r="P1513" s="185"/>
      <c r="Q1513" s="185"/>
      <c r="R1513" s="185"/>
    </row>
    <row r="1514" spans="1:18" s="197" customFormat="1" ht="12.75" x14ac:dyDescent="0.2">
      <c r="A1514" s="181"/>
      <c r="B1514" s="188" t="s">
        <v>3330</v>
      </c>
      <c r="C1514" s="189" t="s">
        <v>125</v>
      </c>
      <c r="D1514" s="189" t="s">
        <v>223</v>
      </c>
      <c r="E1514" s="190" t="s">
        <v>1226</v>
      </c>
      <c r="F1514" s="191">
        <f t="shared" si="25"/>
        <v>251.85</v>
      </c>
      <c r="G1514" s="185"/>
      <c r="H1514" s="181"/>
      <c r="I1514" s="74"/>
      <c r="J1514" s="74"/>
      <c r="M1514" s="185"/>
      <c r="N1514" s="185"/>
      <c r="O1514" s="185"/>
      <c r="P1514" s="185"/>
      <c r="Q1514" s="185"/>
      <c r="R1514" s="185"/>
    </row>
    <row r="1515" spans="1:18" s="197" customFormat="1" ht="12.75" x14ac:dyDescent="0.2">
      <c r="A1515" s="181"/>
      <c r="B1515" s="188" t="s">
        <v>3331</v>
      </c>
      <c r="C1515" s="189" t="s">
        <v>126</v>
      </c>
      <c r="D1515" s="189" t="s">
        <v>123</v>
      </c>
      <c r="E1515" s="190" t="s">
        <v>3215</v>
      </c>
      <c r="F1515" s="191">
        <f t="shared" si="25"/>
        <v>260.66666666666669</v>
      </c>
      <c r="G1515" s="185"/>
      <c r="H1515" s="181"/>
      <c r="I1515" s="74"/>
      <c r="J1515" s="74"/>
      <c r="M1515" s="185"/>
      <c r="N1515" s="185"/>
      <c r="O1515" s="185"/>
      <c r="P1515" s="185"/>
      <c r="Q1515" s="185"/>
      <c r="R1515" s="185"/>
    </row>
    <row r="1516" spans="1:18" s="197" customFormat="1" ht="12.75" x14ac:dyDescent="0.2">
      <c r="A1516" s="181"/>
      <c r="B1516" s="188" t="s">
        <v>3332</v>
      </c>
      <c r="C1516" s="189" t="s">
        <v>134</v>
      </c>
      <c r="D1516" s="189" t="s">
        <v>123</v>
      </c>
      <c r="E1516" s="190" t="s">
        <v>3333</v>
      </c>
      <c r="F1516" s="191">
        <f t="shared" si="25"/>
        <v>311.88333333333333</v>
      </c>
      <c r="G1516" s="185"/>
      <c r="H1516" s="181"/>
      <c r="I1516" s="74"/>
      <c r="J1516" s="74"/>
      <c r="M1516" s="185"/>
      <c r="N1516" s="185"/>
      <c r="O1516" s="185"/>
      <c r="P1516" s="185"/>
      <c r="Q1516" s="185"/>
      <c r="R1516" s="185"/>
    </row>
    <row r="1517" spans="1:18" s="197" customFormat="1" ht="12.75" x14ac:dyDescent="0.2">
      <c r="A1517" s="181"/>
      <c r="B1517" s="188" t="s">
        <v>3334</v>
      </c>
      <c r="C1517" s="189" t="s">
        <v>130</v>
      </c>
      <c r="D1517" s="189" t="s">
        <v>123</v>
      </c>
      <c r="E1517" s="190" t="s">
        <v>3335</v>
      </c>
      <c r="F1517" s="191">
        <f t="shared" si="25"/>
        <v>231.98333333333332</v>
      </c>
      <c r="G1517" s="185"/>
      <c r="H1517" s="181"/>
      <c r="I1517" s="74"/>
      <c r="J1517" s="74"/>
      <c r="M1517" s="185"/>
      <c r="N1517" s="185"/>
      <c r="O1517" s="185"/>
      <c r="P1517" s="185"/>
      <c r="Q1517" s="185"/>
      <c r="R1517" s="185"/>
    </row>
    <row r="1518" spans="1:18" s="197" customFormat="1" ht="12.75" x14ac:dyDescent="0.2">
      <c r="A1518" s="181"/>
      <c r="B1518" s="188" t="s">
        <v>3336</v>
      </c>
      <c r="C1518" s="189" t="s">
        <v>134</v>
      </c>
      <c r="D1518" s="189" t="s">
        <v>123</v>
      </c>
      <c r="E1518" s="190" t="s">
        <v>3337</v>
      </c>
      <c r="F1518" s="191">
        <f t="shared" si="25"/>
        <v>229.15</v>
      </c>
      <c r="G1518" s="185"/>
      <c r="H1518" s="181"/>
      <c r="I1518" s="74"/>
      <c r="J1518" s="74"/>
      <c r="M1518" s="185"/>
      <c r="N1518" s="185"/>
      <c r="O1518" s="185"/>
      <c r="P1518" s="185"/>
      <c r="Q1518" s="185"/>
      <c r="R1518" s="185"/>
    </row>
    <row r="1519" spans="1:18" s="197" customFormat="1" ht="12.75" x14ac:dyDescent="0.2">
      <c r="A1519" s="181"/>
      <c r="B1519" s="188" t="s">
        <v>3338</v>
      </c>
      <c r="C1519" s="189" t="s">
        <v>142</v>
      </c>
      <c r="D1519" s="189" t="s">
        <v>123</v>
      </c>
      <c r="E1519" s="190" t="s">
        <v>3339</v>
      </c>
      <c r="F1519" s="191">
        <f t="shared" si="25"/>
        <v>292.06666666666666</v>
      </c>
      <c r="G1519" s="185"/>
      <c r="H1519" s="181"/>
      <c r="I1519" s="74"/>
      <c r="J1519" s="74"/>
      <c r="M1519" s="185"/>
      <c r="N1519" s="185"/>
      <c r="O1519" s="185"/>
      <c r="P1519" s="185"/>
      <c r="Q1519" s="185"/>
      <c r="R1519" s="185"/>
    </row>
    <row r="1520" spans="1:18" s="197" customFormat="1" ht="12.75" x14ac:dyDescent="0.2">
      <c r="A1520" s="181"/>
      <c r="B1520" s="188" t="s">
        <v>3340</v>
      </c>
      <c r="C1520" s="189" t="s">
        <v>142</v>
      </c>
      <c r="D1520" s="189" t="s">
        <v>188</v>
      </c>
      <c r="E1520" s="190" t="s">
        <v>3341</v>
      </c>
      <c r="F1520" s="191">
        <f t="shared" si="25"/>
        <v>292.25</v>
      </c>
      <c r="G1520" s="185"/>
      <c r="H1520" s="181"/>
      <c r="I1520" s="74"/>
      <c r="J1520" s="74"/>
      <c r="M1520" s="185"/>
      <c r="N1520" s="185"/>
      <c r="O1520" s="185"/>
      <c r="P1520" s="185"/>
      <c r="Q1520" s="185"/>
      <c r="R1520" s="185"/>
    </row>
    <row r="1521" spans="1:18" s="197" customFormat="1" ht="12.75" x14ac:dyDescent="0.2">
      <c r="A1521" s="181"/>
      <c r="B1521" s="188" t="s">
        <v>3342</v>
      </c>
      <c r="C1521" s="189" t="s">
        <v>130</v>
      </c>
      <c r="D1521" s="189" t="s">
        <v>123</v>
      </c>
      <c r="E1521" s="190" t="s">
        <v>3343</v>
      </c>
      <c r="F1521" s="191">
        <f t="shared" si="25"/>
        <v>278.8</v>
      </c>
      <c r="G1521" s="185"/>
      <c r="H1521" s="181"/>
      <c r="I1521" s="74"/>
      <c r="J1521" s="74"/>
      <c r="M1521" s="185"/>
      <c r="N1521" s="185"/>
      <c r="O1521" s="185"/>
      <c r="P1521" s="185"/>
      <c r="Q1521" s="185"/>
      <c r="R1521" s="185"/>
    </row>
    <row r="1522" spans="1:18" s="197" customFormat="1" ht="12.75" x14ac:dyDescent="0.2">
      <c r="A1522" s="181"/>
      <c r="B1522" s="188" t="s">
        <v>3344</v>
      </c>
      <c r="C1522" s="189" t="s">
        <v>134</v>
      </c>
      <c r="D1522" s="189" t="s">
        <v>123</v>
      </c>
      <c r="E1522" s="190" t="s">
        <v>3345</v>
      </c>
      <c r="F1522" s="191">
        <f t="shared" si="25"/>
        <v>260.55</v>
      </c>
      <c r="G1522" s="185"/>
      <c r="H1522" s="181"/>
      <c r="I1522" s="74"/>
      <c r="J1522" s="74"/>
      <c r="M1522" s="185"/>
      <c r="N1522" s="185"/>
      <c r="O1522" s="185"/>
      <c r="P1522" s="185"/>
      <c r="Q1522" s="185"/>
      <c r="R1522" s="185"/>
    </row>
    <row r="1523" spans="1:18" s="197" customFormat="1" ht="12.75" x14ac:dyDescent="0.2">
      <c r="A1523" s="181"/>
      <c r="B1523" s="188" t="s">
        <v>3346</v>
      </c>
      <c r="C1523" s="189" t="s">
        <v>142</v>
      </c>
      <c r="D1523" s="189" t="s">
        <v>123</v>
      </c>
      <c r="E1523" s="190" t="s">
        <v>3347</v>
      </c>
      <c r="F1523" s="191">
        <f t="shared" si="25"/>
        <v>314.51666666666665</v>
      </c>
      <c r="G1523" s="185"/>
      <c r="H1523" s="181"/>
      <c r="I1523" s="74"/>
      <c r="J1523" s="74"/>
      <c r="M1523" s="185"/>
      <c r="N1523" s="185"/>
      <c r="O1523" s="185"/>
      <c r="P1523" s="185"/>
      <c r="Q1523" s="185"/>
      <c r="R1523" s="185"/>
    </row>
    <row r="1524" spans="1:18" s="197" customFormat="1" ht="12.75" x14ac:dyDescent="0.2">
      <c r="A1524" s="181"/>
      <c r="B1524" s="188" t="s">
        <v>3348</v>
      </c>
      <c r="C1524" s="189" t="s">
        <v>130</v>
      </c>
      <c r="D1524" s="189" t="s">
        <v>132</v>
      </c>
      <c r="E1524" s="190" t="s">
        <v>3349</v>
      </c>
      <c r="F1524" s="191">
        <f t="shared" si="25"/>
        <v>293.5</v>
      </c>
      <c r="G1524" s="185"/>
      <c r="H1524" s="181"/>
      <c r="I1524" s="74"/>
      <c r="J1524" s="74"/>
      <c r="M1524" s="185"/>
      <c r="N1524" s="185"/>
      <c r="O1524" s="185"/>
      <c r="P1524" s="185"/>
      <c r="Q1524" s="185"/>
      <c r="R1524" s="185"/>
    </row>
    <row r="1525" spans="1:18" s="197" customFormat="1" ht="12.75" x14ac:dyDescent="0.2">
      <c r="A1525" s="181"/>
      <c r="B1525" s="188" t="s">
        <v>399</v>
      </c>
      <c r="C1525" s="189" t="s">
        <v>142</v>
      </c>
      <c r="D1525" s="189" t="s">
        <v>123</v>
      </c>
      <c r="E1525" s="190" t="s">
        <v>3350</v>
      </c>
      <c r="F1525" s="191">
        <f t="shared" si="25"/>
        <v>235.26666666666668</v>
      </c>
      <c r="G1525" s="185"/>
      <c r="H1525" s="181"/>
      <c r="I1525" s="74"/>
      <c r="J1525" s="74"/>
      <c r="M1525" s="185"/>
      <c r="N1525" s="185"/>
      <c r="O1525" s="185"/>
      <c r="P1525" s="185"/>
      <c r="Q1525" s="185"/>
      <c r="R1525" s="185"/>
    </row>
    <row r="1526" spans="1:18" s="197" customFormat="1" ht="12.75" x14ac:dyDescent="0.2">
      <c r="A1526" s="181"/>
      <c r="B1526" s="188" t="s">
        <v>3351</v>
      </c>
      <c r="C1526" s="189" t="s">
        <v>130</v>
      </c>
      <c r="D1526" s="189" t="s">
        <v>133</v>
      </c>
      <c r="E1526" s="190" t="s">
        <v>3352</v>
      </c>
      <c r="F1526" s="191">
        <f t="shared" si="25"/>
        <v>237.08333333333334</v>
      </c>
      <c r="G1526" s="185"/>
      <c r="H1526" s="181"/>
      <c r="I1526" s="74"/>
      <c r="J1526" s="74"/>
      <c r="M1526" s="185"/>
      <c r="N1526" s="185"/>
      <c r="O1526" s="185"/>
      <c r="P1526" s="185"/>
      <c r="Q1526" s="185"/>
      <c r="R1526" s="185"/>
    </row>
    <row r="1527" spans="1:18" s="197" customFormat="1" ht="12.75" x14ac:dyDescent="0.2">
      <c r="A1527" s="181"/>
      <c r="B1527" s="188" t="s">
        <v>3353</v>
      </c>
      <c r="C1527" s="189" t="s">
        <v>125</v>
      </c>
      <c r="D1527" s="189" t="s">
        <v>131</v>
      </c>
      <c r="E1527" s="190" t="s">
        <v>929</v>
      </c>
      <c r="F1527" s="191">
        <f t="shared" si="25"/>
        <v>223.9</v>
      </c>
      <c r="G1527" s="185"/>
      <c r="H1527" s="181"/>
      <c r="I1527" s="74"/>
      <c r="J1527" s="74"/>
      <c r="M1527" s="185"/>
      <c r="N1527" s="185"/>
      <c r="O1527" s="185"/>
      <c r="P1527" s="185"/>
      <c r="Q1527" s="185"/>
      <c r="R1527" s="185"/>
    </row>
    <row r="1528" spans="1:18" s="197" customFormat="1" ht="12.75" x14ac:dyDescent="0.2">
      <c r="A1528" s="181"/>
      <c r="B1528" s="188" t="s">
        <v>3354</v>
      </c>
      <c r="C1528" s="189" t="s">
        <v>124</v>
      </c>
      <c r="D1528" s="189" t="s">
        <v>173</v>
      </c>
      <c r="E1528" s="190" t="s">
        <v>3355</v>
      </c>
      <c r="F1528" s="191">
        <f t="shared" si="25"/>
        <v>288.61666666666667</v>
      </c>
      <c r="G1528" s="185"/>
      <c r="H1528" s="181"/>
      <c r="I1528" s="74"/>
      <c r="J1528" s="74"/>
      <c r="M1528" s="185"/>
      <c r="N1528" s="185"/>
      <c r="O1528" s="185"/>
      <c r="P1528" s="185"/>
      <c r="Q1528" s="185"/>
      <c r="R1528" s="185"/>
    </row>
    <row r="1529" spans="1:18" s="197" customFormat="1" ht="12.75" x14ac:dyDescent="0.2">
      <c r="A1529" s="181"/>
      <c r="B1529" s="188" t="s">
        <v>3356</v>
      </c>
      <c r="C1529" s="189" t="s">
        <v>124</v>
      </c>
      <c r="D1529" s="189" t="s">
        <v>123</v>
      </c>
      <c r="E1529" s="190" t="s">
        <v>3357</v>
      </c>
      <c r="F1529" s="191">
        <f t="shared" si="25"/>
        <v>259.21666666666664</v>
      </c>
      <c r="G1529" s="185"/>
      <c r="H1529" s="181"/>
      <c r="I1529" s="74"/>
      <c r="J1529" s="74"/>
      <c r="M1529" s="185"/>
      <c r="N1529" s="185"/>
      <c r="O1529" s="185"/>
      <c r="P1529" s="185"/>
      <c r="Q1529" s="185"/>
      <c r="R1529" s="185"/>
    </row>
    <row r="1530" spans="1:18" s="197" customFormat="1" ht="12.75" x14ac:dyDescent="0.2">
      <c r="A1530" s="181"/>
      <c r="B1530" s="188" t="s">
        <v>3358</v>
      </c>
      <c r="C1530" s="189" t="s">
        <v>130</v>
      </c>
      <c r="D1530" s="189" t="s">
        <v>139</v>
      </c>
      <c r="E1530" s="190" t="s">
        <v>2817</v>
      </c>
      <c r="F1530" s="191">
        <f t="shared" si="25"/>
        <v>245.3</v>
      </c>
      <c r="G1530" s="185"/>
      <c r="H1530" s="181"/>
      <c r="I1530" s="74"/>
      <c r="J1530" s="74"/>
      <c r="M1530" s="185"/>
      <c r="N1530" s="185"/>
      <c r="O1530" s="185"/>
      <c r="P1530" s="185"/>
      <c r="Q1530" s="185"/>
      <c r="R1530" s="185"/>
    </row>
    <row r="1531" spans="1:18" s="197" customFormat="1" ht="12.75" x14ac:dyDescent="0.2">
      <c r="A1531" s="181"/>
      <c r="B1531" s="188" t="s">
        <v>604</v>
      </c>
      <c r="C1531" s="189" t="s">
        <v>130</v>
      </c>
      <c r="D1531" s="189" t="s">
        <v>131</v>
      </c>
      <c r="E1531" s="190" t="s">
        <v>2635</v>
      </c>
      <c r="F1531" s="191">
        <f t="shared" si="25"/>
        <v>284.23333333333335</v>
      </c>
      <c r="G1531" s="185"/>
      <c r="H1531" s="181"/>
      <c r="I1531" s="74"/>
      <c r="J1531" s="74"/>
      <c r="M1531" s="185"/>
      <c r="N1531" s="185"/>
      <c r="O1531" s="185"/>
      <c r="P1531" s="185"/>
      <c r="Q1531" s="185"/>
      <c r="R1531" s="185"/>
    </row>
    <row r="1532" spans="1:18" s="197" customFormat="1" ht="12.75" x14ac:dyDescent="0.2">
      <c r="A1532" s="181"/>
      <c r="B1532" s="188" t="s">
        <v>3359</v>
      </c>
      <c r="C1532" s="189" t="s">
        <v>125</v>
      </c>
      <c r="D1532" s="189" t="s">
        <v>123</v>
      </c>
      <c r="E1532" s="190" t="s">
        <v>3360</v>
      </c>
      <c r="F1532" s="191">
        <f t="shared" si="25"/>
        <v>206.11666666666667</v>
      </c>
      <c r="G1532" s="185"/>
      <c r="H1532" s="181"/>
      <c r="I1532" s="74"/>
      <c r="J1532" s="74"/>
      <c r="M1532" s="185"/>
      <c r="N1532" s="185"/>
      <c r="O1532" s="185"/>
      <c r="P1532" s="185"/>
      <c r="Q1532" s="185"/>
      <c r="R1532" s="185"/>
    </row>
    <row r="1533" spans="1:18" s="197" customFormat="1" ht="12.75" x14ac:dyDescent="0.2">
      <c r="A1533" s="181"/>
      <c r="B1533" s="188" t="s">
        <v>3308</v>
      </c>
      <c r="C1533" s="189" t="s">
        <v>142</v>
      </c>
      <c r="D1533" s="189" t="s">
        <v>123</v>
      </c>
      <c r="E1533" s="190" t="s">
        <v>1615</v>
      </c>
      <c r="F1533" s="191">
        <f t="shared" si="25"/>
        <v>190.76666666666668</v>
      </c>
      <c r="G1533" s="185"/>
      <c r="H1533" s="181"/>
      <c r="I1533" s="74"/>
      <c r="J1533" s="74"/>
      <c r="M1533" s="185"/>
      <c r="N1533" s="185"/>
      <c r="O1533" s="185"/>
      <c r="P1533" s="185"/>
      <c r="Q1533" s="185"/>
      <c r="R1533" s="185"/>
    </row>
    <row r="1534" spans="1:18" s="197" customFormat="1" ht="12.75" x14ac:dyDescent="0.2">
      <c r="A1534" s="181"/>
      <c r="B1534" s="188" t="s">
        <v>3361</v>
      </c>
      <c r="C1534" s="189" t="s">
        <v>128</v>
      </c>
      <c r="D1534" s="189" t="s">
        <v>123</v>
      </c>
      <c r="E1534" s="190" t="s">
        <v>3362</v>
      </c>
      <c r="F1534" s="191">
        <f t="shared" si="25"/>
        <v>240.05</v>
      </c>
      <c r="G1534" s="185"/>
      <c r="H1534" s="181"/>
      <c r="I1534" s="74"/>
      <c r="J1534" s="74"/>
      <c r="M1534" s="185"/>
      <c r="N1534" s="185"/>
      <c r="O1534" s="185"/>
      <c r="P1534" s="185"/>
      <c r="Q1534" s="185"/>
      <c r="R1534" s="185"/>
    </row>
    <row r="1535" spans="1:18" s="197" customFormat="1" ht="12.75" x14ac:dyDescent="0.2">
      <c r="A1535" s="181"/>
      <c r="B1535" s="188" t="s">
        <v>3363</v>
      </c>
      <c r="C1535" s="189" t="s">
        <v>126</v>
      </c>
      <c r="D1535" s="189" t="s">
        <v>123</v>
      </c>
      <c r="E1535" s="190" t="s">
        <v>3364</v>
      </c>
      <c r="F1535" s="191">
        <f t="shared" si="25"/>
        <v>264.95</v>
      </c>
      <c r="G1535" s="185"/>
      <c r="H1535" s="181"/>
      <c r="I1535" s="74"/>
      <c r="J1535" s="74"/>
      <c r="M1535" s="185"/>
      <c r="N1535" s="185"/>
      <c r="O1535" s="185"/>
      <c r="P1535" s="185"/>
      <c r="Q1535" s="185"/>
      <c r="R1535" s="185"/>
    </row>
    <row r="1536" spans="1:18" s="197" customFormat="1" ht="12.75" x14ac:dyDescent="0.2">
      <c r="A1536" s="181"/>
      <c r="B1536" s="188" t="s">
        <v>539</v>
      </c>
      <c r="C1536" s="189" t="s">
        <v>125</v>
      </c>
      <c r="D1536" s="189" t="s">
        <v>123</v>
      </c>
      <c r="E1536" s="190" t="s">
        <v>3335</v>
      </c>
      <c r="F1536" s="191">
        <f t="shared" si="25"/>
        <v>231.98333333333332</v>
      </c>
      <c r="G1536" s="185"/>
      <c r="H1536" s="181"/>
      <c r="I1536" s="74"/>
      <c r="J1536" s="74"/>
      <c r="M1536" s="185"/>
      <c r="N1536" s="185"/>
      <c r="O1536" s="185"/>
      <c r="P1536" s="185"/>
      <c r="Q1536" s="185"/>
      <c r="R1536" s="185"/>
    </row>
    <row r="1537" spans="1:18" s="197" customFormat="1" ht="12.75" x14ac:dyDescent="0.2">
      <c r="A1537" s="181"/>
      <c r="B1537" s="188" t="s">
        <v>3365</v>
      </c>
      <c r="C1537" s="189" t="s">
        <v>136</v>
      </c>
      <c r="D1537" s="189" t="s">
        <v>148</v>
      </c>
      <c r="E1537" s="190" t="s">
        <v>3366</v>
      </c>
      <c r="F1537" s="191">
        <f t="shared" si="25"/>
        <v>283.89999999999998</v>
      </c>
      <c r="G1537" s="185"/>
      <c r="H1537" s="181"/>
      <c r="I1537" s="74"/>
      <c r="J1537" s="74"/>
      <c r="M1537" s="185"/>
      <c r="N1537" s="185"/>
      <c r="O1537" s="185"/>
      <c r="P1537" s="185"/>
      <c r="Q1537" s="185"/>
      <c r="R1537" s="185"/>
    </row>
    <row r="1538" spans="1:18" s="197" customFormat="1" ht="12.75" x14ac:dyDescent="0.2">
      <c r="A1538" s="181"/>
      <c r="B1538" s="188" t="s">
        <v>3367</v>
      </c>
      <c r="C1538" s="189" t="s">
        <v>126</v>
      </c>
      <c r="D1538" s="189" t="s">
        <v>132</v>
      </c>
      <c r="E1538" s="190" t="s">
        <v>3368</v>
      </c>
      <c r="F1538" s="191">
        <f t="shared" si="25"/>
        <v>198.3</v>
      </c>
      <c r="G1538" s="185"/>
      <c r="H1538" s="181"/>
      <c r="I1538" s="74"/>
      <c r="J1538" s="74"/>
      <c r="M1538" s="185"/>
      <c r="N1538" s="185"/>
      <c r="O1538" s="185"/>
      <c r="P1538" s="185"/>
      <c r="Q1538" s="185"/>
      <c r="R1538" s="185"/>
    </row>
    <row r="1539" spans="1:18" s="197" customFormat="1" ht="12.75" x14ac:dyDescent="0.2">
      <c r="A1539" s="181"/>
      <c r="B1539" s="188" t="s">
        <v>426</v>
      </c>
      <c r="C1539" s="189" t="s">
        <v>142</v>
      </c>
      <c r="D1539" s="189" t="s">
        <v>123</v>
      </c>
      <c r="E1539" s="190" t="s">
        <v>3369</v>
      </c>
      <c r="F1539" s="191">
        <f t="shared" si="25"/>
        <v>280.28333333333336</v>
      </c>
      <c r="G1539" s="185"/>
      <c r="H1539" s="181"/>
      <c r="I1539" s="74"/>
      <c r="J1539" s="74"/>
      <c r="M1539" s="185"/>
      <c r="N1539" s="185"/>
      <c r="O1539" s="185"/>
      <c r="P1539" s="185"/>
      <c r="Q1539" s="185"/>
      <c r="R1539" s="185"/>
    </row>
    <row r="1540" spans="1:18" s="197" customFormat="1" ht="12.75" x14ac:dyDescent="0.2">
      <c r="A1540" s="181"/>
      <c r="B1540" s="188" t="s">
        <v>338</v>
      </c>
      <c r="C1540" s="189" t="s">
        <v>142</v>
      </c>
      <c r="D1540" s="189" t="s">
        <v>123</v>
      </c>
      <c r="E1540" s="190" t="s">
        <v>3370</v>
      </c>
      <c r="F1540" s="191">
        <f t="shared" si="25"/>
        <v>281.48333333333335</v>
      </c>
      <c r="G1540" s="185"/>
      <c r="H1540" s="181"/>
      <c r="I1540" s="74"/>
      <c r="J1540" s="74"/>
      <c r="M1540" s="185"/>
      <c r="N1540" s="185"/>
      <c r="O1540" s="185"/>
      <c r="P1540" s="185"/>
      <c r="Q1540" s="185"/>
      <c r="R1540" s="185"/>
    </row>
    <row r="1541" spans="1:18" s="197" customFormat="1" ht="12.75" x14ac:dyDescent="0.2">
      <c r="A1541" s="181"/>
      <c r="B1541" s="188" t="s">
        <v>3371</v>
      </c>
      <c r="C1541" s="189" t="s">
        <v>124</v>
      </c>
      <c r="D1541" s="189" t="s">
        <v>123</v>
      </c>
      <c r="E1541" s="190" t="s">
        <v>3372</v>
      </c>
      <c r="F1541" s="191">
        <f t="shared" si="25"/>
        <v>178.96666666666667</v>
      </c>
      <c r="G1541" s="185"/>
      <c r="H1541" s="181"/>
      <c r="I1541" s="74"/>
      <c r="J1541" s="74"/>
      <c r="M1541" s="185"/>
      <c r="N1541" s="185"/>
      <c r="O1541" s="185"/>
      <c r="P1541" s="185"/>
      <c r="Q1541" s="185"/>
      <c r="R1541" s="185"/>
    </row>
    <row r="1542" spans="1:18" s="197" customFormat="1" ht="12.75" x14ac:dyDescent="0.2">
      <c r="A1542" s="181"/>
      <c r="B1542" s="188" t="s">
        <v>3373</v>
      </c>
      <c r="C1542" s="189" t="s">
        <v>135</v>
      </c>
      <c r="D1542" s="189" t="s">
        <v>123</v>
      </c>
      <c r="E1542" s="190" t="s">
        <v>3374</v>
      </c>
      <c r="F1542" s="191">
        <f t="shared" si="25"/>
        <v>273</v>
      </c>
      <c r="G1542" s="185"/>
      <c r="H1542" s="181"/>
      <c r="I1542" s="74"/>
      <c r="J1542" s="74"/>
      <c r="M1542" s="185"/>
      <c r="N1542" s="185"/>
      <c r="O1542" s="185"/>
      <c r="P1542" s="185"/>
      <c r="Q1542" s="185"/>
      <c r="R1542" s="185"/>
    </row>
    <row r="1543" spans="1:18" s="197" customFormat="1" ht="12.75" x14ac:dyDescent="0.2">
      <c r="A1543" s="181"/>
      <c r="B1543" s="188" t="s">
        <v>3375</v>
      </c>
      <c r="C1543" s="189" t="s">
        <v>140</v>
      </c>
      <c r="D1543" s="189" t="s">
        <v>152</v>
      </c>
      <c r="E1543" s="190" t="s">
        <v>3376</v>
      </c>
      <c r="F1543" s="191">
        <f t="shared" si="25"/>
        <v>274.2</v>
      </c>
      <c r="G1543" s="185"/>
      <c r="H1543" s="181"/>
      <c r="I1543" s="74"/>
      <c r="J1543" s="74"/>
      <c r="M1543" s="185"/>
      <c r="N1543" s="185"/>
      <c r="O1543" s="185"/>
      <c r="P1543" s="185"/>
      <c r="Q1543" s="185"/>
      <c r="R1543" s="185"/>
    </row>
    <row r="1544" spans="1:18" s="197" customFormat="1" ht="12.75" x14ac:dyDescent="0.2">
      <c r="A1544" s="181"/>
      <c r="B1544" s="188" t="s">
        <v>285</v>
      </c>
      <c r="C1544" s="189" t="s">
        <v>124</v>
      </c>
      <c r="D1544" s="189" t="s">
        <v>157</v>
      </c>
      <c r="E1544" s="190" t="s">
        <v>3377</v>
      </c>
      <c r="F1544" s="191">
        <f t="shared" si="25"/>
        <v>213.75</v>
      </c>
      <c r="G1544" s="185"/>
      <c r="H1544" s="181"/>
      <c r="I1544" s="74"/>
      <c r="J1544" s="74"/>
      <c r="M1544" s="185"/>
      <c r="N1544" s="185"/>
      <c r="O1544" s="185"/>
      <c r="P1544" s="185"/>
      <c r="Q1544" s="185"/>
      <c r="R1544" s="185"/>
    </row>
    <row r="1545" spans="1:18" s="197" customFormat="1" ht="12.75" x14ac:dyDescent="0.2">
      <c r="A1545" s="181"/>
      <c r="B1545" s="188" t="s">
        <v>3378</v>
      </c>
      <c r="C1545" s="189" t="s">
        <v>135</v>
      </c>
      <c r="D1545" s="189" t="s">
        <v>132</v>
      </c>
      <c r="E1545" s="190" t="s">
        <v>3379</v>
      </c>
      <c r="F1545" s="191">
        <f t="shared" si="25"/>
        <v>257.61666666666667</v>
      </c>
      <c r="G1545" s="185"/>
      <c r="H1545" s="181"/>
      <c r="I1545" s="74"/>
      <c r="J1545" s="74"/>
      <c r="M1545" s="185"/>
      <c r="N1545" s="185"/>
      <c r="O1545" s="185"/>
      <c r="P1545" s="185"/>
      <c r="Q1545" s="185"/>
      <c r="R1545" s="185"/>
    </row>
    <row r="1546" spans="1:18" s="197" customFormat="1" ht="12.75" x14ac:dyDescent="0.2">
      <c r="A1546" s="181"/>
      <c r="B1546" s="188" t="s">
        <v>3380</v>
      </c>
      <c r="C1546" s="189" t="s">
        <v>142</v>
      </c>
      <c r="D1546" s="189" t="s">
        <v>123</v>
      </c>
      <c r="E1546" s="190" t="s">
        <v>3381</v>
      </c>
      <c r="F1546" s="191">
        <f t="shared" si="25"/>
        <v>276.61666666666667</v>
      </c>
      <c r="G1546" s="185"/>
      <c r="H1546" s="181"/>
      <c r="I1546" s="74"/>
      <c r="J1546" s="74"/>
      <c r="M1546" s="185"/>
      <c r="N1546" s="185"/>
      <c r="O1546" s="185"/>
      <c r="P1546" s="185"/>
      <c r="Q1546" s="185"/>
      <c r="R1546" s="185"/>
    </row>
    <row r="1547" spans="1:18" s="197" customFormat="1" ht="12.75" x14ac:dyDescent="0.2">
      <c r="A1547" s="181"/>
      <c r="B1547" s="188" t="s">
        <v>3382</v>
      </c>
      <c r="C1547" s="189" t="s">
        <v>128</v>
      </c>
      <c r="D1547" s="189" t="s">
        <v>123</v>
      </c>
      <c r="E1547" s="190" t="s">
        <v>3383</v>
      </c>
      <c r="F1547" s="191">
        <f t="shared" ref="F1547:F1610" si="26">HOUR(E1547)*60+MINUTE(E1547)+SECOND(E1547)/60</f>
        <v>236.78333333333333</v>
      </c>
      <c r="G1547" s="185"/>
      <c r="H1547" s="181"/>
      <c r="I1547" s="74"/>
      <c r="J1547" s="74"/>
      <c r="M1547" s="185"/>
      <c r="N1547" s="185"/>
      <c r="O1547" s="185"/>
      <c r="P1547" s="185"/>
      <c r="Q1547" s="185"/>
      <c r="R1547" s="185"/>
    </row>
    <row r="1548" spans="1:18" s="197" customFormat="1" ht="12.75" x14ac:dyDescent="0.2">
      <c r="A1548" s="181"/>
      <c r="B1548" s="188" t="s">
        <v>3384</v>
      </c>
      <c r="C1548" s="189" t="s">
        <v>126</v>
      </c>
      <c r="D1548" s="189" t="s">
        <v>123</v>
      </c>
      <c r="E1548" s="190" t="s">
        <v>3385</v>
      </c>
      <c r="F1548" s="191">
        <f t="shared" si="26"/>
        <v>255.8</v>
      </c>
      <c r="G1548" s="185"/>
      <c r="H1548" s="181"/>
      <c r="I1548" s="74"/>
      <c r="J1548" s="74"/>
      <c r="M1548" s="185"/>
      <c r="N1548" s="185"/>
      <c r="O1548" s="185"/>
      <c r="P1548" s="185"/>
      <c r="Q1548" s="185"/>
      <c r="R1548" s="185"/>
    </row>
    <row r="1549" spans="1:18" s="197" customFormat="1" ht="12.75" x14ac:dyDescent="0.2">
      <c r="A1549" s="181"/>
      <c r="B1549" s="188" t="s">
        <v>3386</v>
      </c>
      <c r="C1549" s="189" t="s">
        <v>134</v>
      </c>
      <c r="D1549" s="189" t="s">
        <v>133</v>
      </c>
      <c r="E1549" s="190" t="s">
        <v>2112</v>
      </c>
      <c r="F1549" s="191">
        <f t="shared" si="26"/>
        <v>265.64999999999998</v>
      </c>
      <c r="G1549" s="185"/>
      <c r="H1549" s="181"/>
      <c r="I1549" s="74"/>
      <c r="J1549" s="74"/>
      <c r="M1549" s="185"/>
      <c r="N1549" s="185"/>
      <c r="O1549" s="185"/>
      <c r="P1549" s="185"/>
      <c r="Q1549" s="185"/>
      <c r="R1549" s="185"/>
    </row>
    <row r="1550" spans="1:18" s="197" customFormat="1" ht="12.75" x14ac:dyDescent="0.2">
      <c r="A1550" s="181"/>
      <c r="B1550" s="188" t="s">
        <v>3387</v>
      </c>
      <c r="C1550" s="189" t="s">
        <v>125</v>
      </c>
      <c r="D1550" s="189" t="s">
        <v>132</v>
      </c>
      <c r="E1550" s="190" t="s">
        <v>3388</v>
      </c>
      <c r="F1550" s="191">
        <f t="shared" si="26"/>
        <v>209.36666666666667</v>
      </c>
      <c r="G1550" s="185"/>
      <c r="H1550" s="181"/>
      <c r="I1550" s="74"/>
      <c r="J1550" s="74"/>
      <c r="M1550" s="185"/>
      <c r="N1550" s="185"/>
      <c r="O1550" s="185"/>
      <c r="P1550" s="185"/>
      <c r="Q1550" s="185"/>
      <c r="R1550" s="185"/>
    </row>
    <row r="1551" spans="1:18" s="197" customFormat="1" ht="12.75" x14ac:dyDescent="0.2">
      <c r="A1551" s="181"/>
      <c r="B1551" s="188" t="s">
        <v>3389</v>
      </c>
      <c r="C1551" s="189" t="s">
        <v>125</v>
      </c>
      <c r="D1551" s="189" t="s">
        <v>148</v>
      </c>
      <c r="E1551" s="190" t="s">
        <v>3390</v>
      </c>
      <c r="F1551" s="191">
        <f t="shared" si="26"/>
        <v>221.75</v>
      </c>
      <c r="G1551" s="185"/>
      <c r="H1551" s="181"/>
      <c r="I1551" s="74"/>
      <c r="J1551" s="74"/>
      <c r="M1551" s="185"/>
      <c r="N1551" s="185"/>
      <c r="O1551" s="185"/>
      <c r="P1551" s="185"/>
      <c r="Q1551" s="185"/>
      <c r="R1551" s="185"/>
    </row>
    <row r="1552" spans="1:18" s="197" customFormat="1" ht="12.75" x14ac:dyDescent="0.2">
      <c r="A1552" s="181"/>
      <c r="B1552" s="188" t="s">
        <v>3391</v>
      </c>
      <c r="C1552" s="189" t="s">
        <v>128</v>
      </c>
      <c r="D1552" s="189" t="s">
        <v>123</v>
      </c>
      <c r="E1552" s="190" t="s">
        <v>3392</v>
      </c>
      <c r="F1552" s="191">
        <f t="shared" si="26"/>
        <v>250.15</v>
      </c>
      <c r="G1552" s="185"/>
      <c r="H1552" s="181"/>
      <c r="I1552" s="74"/>
      <c r="J1552" s="74"/>
      <c r="M1552" s="185"/>
      <c r="N1552" s="185"/>
      <c r="O1552" s="185"/>
      <c r="P1552" s="185"/>
      <c r="Q1552" s="185"/>
      <c r="R1552" s="185"/>
    </row>
    <row r="1553" spans="1:18" s="197" customFormat="1" ht="12.75" x14ac:dyDescent="0.2">
      <c r="A1553" s="181"/>
      <c r="B1553" s="188" t="s">
        <v>3393</v>
      </c>
      <c r="C1553" s="189" t="s">
        <v>125</v>
      </c>
      <c r="D1553" s="189" t="s">
        <v>132</v>
      </c>
      <c r="E1553" s="190" t="s">
        <v>3394</v>
      </c>
      <c r="F1553" s="191">
        <f t="shared" si="26"/>
        <v>209.4</v>
      </c>
      <c r="G1553" s="185"/>
      <c r="H1553" s="181"/>
      <c r="I1553" s="74"/>
      <c r="J1553" s="74"/>
      <c r="M1553" s="185"/>
      <c r="N1553" s="185"/>
      <c r="O1553" s="185"/>
      <c r="P1553" s="185"/>
      <c r="Q1553" s="185"/>
      <c r="R1553" s="185"/>
    </row>
    <row r="1554" spans="1:18" s="197" customFormat="1" ht="12.75" x14ac:dyDescent="0.2">
      <c r="A1554" s="181"/>
      <c r="B1554" s="188" t="s">
        <v>3395</v>
      </c>
      <c r="C1554" s="189" t="s">
        <v>125</v>
      </c>
      <c r="D1554" s="189" t="s">
        <v>123</v>
      </c>
      <c r="E1554" s="190" t="s">
        <v>3396</v>
      </c>
      <c r="F1554" s="191">
        <f t="shared" si="26"/>
        <v>235.23333333333332</v>
      </c>
      <c r="G1554" s="185"/>
      <c r="H1554" s="181"/>
      <c r="I1554" s="74"/>
      <c r="J1554" s="74"/>
      <c r="M1554" s="185"/>
      <c r="N1554" s="185"/>
      <c r="O1554" s="185"/>
      <c r="P1554" s="185"/>
      <c r="Q1554" s="185"/>
      <c r="R1554" s="185"/>
    </row>
    <row r="1555" spans="1:18" s="197" customFormat="1" ht="12.75" x14ac:dyDescent="0.2">
      <c r="A1555" s="181"/>
      <c r="B1555" s="188" t="s">
        <v>3397</v>
      </c>
      <c r="C1555" s="189" t="s">
        <v>125</v>
      </c>
      <c r="D1555" s="189" t="s">
        <v>452</v>
      </c>
      <c r="E1555" s="190" t="s">
        <v>3398</v>
      </c>
      <c r="F1555" s="191">
        <f t="shared" si="26"/>
        <v>243.5</v>
      </c>
      <c r="G1555" s="185"/>
      <c r="H1555" s="181"/>
      <c r="I1555" s="74"/>
      <c r="J1555" s="74"/>
      <c r="M1555" s="185"/>
      <c r="N1555" s="185"/>
      <c r="O1555" s="185"/>
      <c r="P1555" s="185"/>
      <c r="Q1555" s="185"/>
      <c r="R1555" s="185"/>
    </row>
    <row r="1556" spans="1:18" s="197" customFormat="1" ht="12.75" x14ac:dyDescent="0.2">
      <c r="A1556" s="181"/>
      <c r="B1556" s="188" t="s">
        <v>3399</v>
      </c>
      <c r="C1556" s="189" t="s">
        <v>142</v>
      </c>
      <c r="D1556" s="189" t="s">
        <v>129</v>
      </c>
      <c r="E1556" s="190" t="s">
        <v>3400</v>
      </c>
      <c r="F1556" s="191">
        <f t="shared" si="26"/>
        <v>277.89999999999998</v>
      </c>
      <c r="G1556" s="185"/>
      <c r="H1556" s="181"/>
      <c r="I1556" s="74"/>
      <c r="J1556" s="74"/>
      <c r="M1556" s="185"/>
      <c r="N1556" s="185"/>
      <c r="O1556" s="185"/>
      <c r="P1556" s="185"/>
      <c r="Q1556" s="185"/>
      <c r="R1556" s="185"/>
    </row>
    <row r="1557" spans="1:18" s="197" customFormat="1" ht="12.75" x14ac:dyDescent="0.2">
      <c r="A1557" s="181"/>
      <c r="B1557" s="188" t="s">
        <v>3401</v>
      </c>
      <c r="C1557" s="189" t="s">
        <v>130</v>
      </c>
      <c r="D1557" s="189" t="s">
        <v>123</v>
      </c>
      <c r="E1557" s="190" t="s">
        <v>3402</v>
      </c>
      <c r="F1557" s="191">
        <f t="shared" si="26"/>
        <v>177.26666666666668</v>
      </c>
      <c r="G1557" s="185"/>
      <c r="H1557" s="181"/>
      <c r="I1557" s="74"/>
      <c r="J1557" s="74"/>
      <c r="M1557" s="185"/>
      <c r="N1557" s="185"/>
      <c r="O1557" s="185"/>
      <c r="P1557" s="185"/>
      <c r="Q1557" s="185"/>
      <c r="R1557" s="185"/>
    </row>
    <row r="1558" spans="1:18" s="197" customFormat="1" ht="12.75" x14ac:dyDescent="0.2">
      <c r="A1558" s="181"/>
      <c r="B1558" s="188" t="s">
        <v>3403</v>
      </c>
      <c r="C1558" s="189" t="s">
        <v>126</v>
      </c>
      <c r="D1558" s="189" t="s">
        <v>132</v>
      </c>
      <c r="E1558" s="190" t="s">
        <v>3404</v>
      </c>
      <c r="F1558" s="191">
        <f t="shared" si="26"/>
        <v>209.66666666666666</v>
      </c>
      <c r="G1558" s="185"/>
      <c r="H1558" s="181"/>
      <c r="I1558" s="74"/>
      <c r="J1558" s="74"/>
      <c r="M1558" s="185"/>
      <c r="N1558" s="185"/>
      <c r="O1558" s="185"/>
      <c r="P1558" s="185"/>
      <c r="Q1558" s="185"/>
      <c r="R1558" s="185"/>
    </row>
    <row r="1559" spans="1:18" s="197" customFormat="1" ht="12.75" x14ac:dyDescent="0.2">
      <c r="A1559" s="181"/>
      <c r="B1559" s="188" t="s">
        <v>3405</v>
      </c>
      <c r="C1559" s="189" t="s">
        <v>126</v>
      </c>
      <c r="D1559" s="189" t="s">
        <v>160</v>
      </c>
      <c r="E1559" s="190" t="s">
        <v>3406</v>
      </c>
      <c r="F1559" s="191">
        <f t="shared" si="26"/>
        <v>280.11666666666667</v>
      </c>
      <c r="G1559" s="185"/>
      <c r="H1559" s="181"/>
      <c r="I1559" s="74"/>
      <c r="J1559" s="74"/>
      <c r="M1559" s="185"/>
      <c r="N1559" s="185"/>
      <c r="O1559" s="185"/>
      <c r="P1559" s="185"/>
      <c r="Q1559" s="185"/>
      <c r="R1559" s="185"/>
    </row>
    <row r="1560" spans="1:18" s="197" customFormat="1" ht="12.75" x14ac:dyDescent="0.2">
      <c r="A1560" s="181"/>
      <c r="B1560" s="188" t="s">
        <v>3407</v>
      </c>
      <c r="C1560" s="189" t="s">
        <v>126</v>
      </c>
      <c r="D1560" s="189" t="s">
        <v>123</v>
      </c>
      <c r="E1560" s="190" t="s">
        <v>3408</v>
      </c>
      <c r="F1560" s="191">
        <f t="shared" si="26"/>
        <v>225.03333333333333</v>
      </c>
      <c r="G1560" s="185"/>
      <c r="H1560" s="181"/>
      <c r="I1560" s="74"/>
      <c r="J1560" s="74"/>
      <c r="M1560" s="185"/>
      <c r="N1560" s="185"/>
      <c r="O1560" s="185"/>
      <c r="P1560" s="185"/>
      <c r="Q1560" s="185"/>
      <c r="R1560" s="185"/>
    </row>
    <row r="1561" spans="1:18" s="197" customFormat="1" ht="12.75" x14ac:dyDescent="0.2">
      <c r="A1561" s="181"/>
      <c r="B1561" s="188" t="s">
        <v>202</v>
      </c>
      <c r="C1561" s="189" t="s">
        <v>126</v>
      </c>
      <c r="D1561" s="189" t="s">
        <v>188</v>
      </c>
      <c r="E1561" s="190" t="s">
        <v>3409</v>
      </c>
      <c r="F1561" s="191">
        <f t="shared" si="26"/>
        <v>179.18333333333334</v>
      </c>
      <c r="G1561" s="185"/>
      <c r="H1561" s="181"/>
      <c r="I1561" s="74"/>
      <c r="J1561" s="74"/>
      <c r="M1561" s="185"/>
      <c r="N1561" s="185"/>
      <c r="O1561" s="185"/>
      <c r="P1561" s="185"/>
      <c r="Q1561" s="185"/>
      <c r="R1561" s="185"/>
    </row>
    <row r="1562" spans="1:18" s="197" customFormat="1" ht="12.75" x14ac:dyDescent="0.2">
      <c r="A1562" s="181"/>
      <c r="B1562" s="188" t="s">
        <v>3410</v>
      </c>
      <c r="C1562" s="189" t="s">
        <v>125</v>
      </c>
      <c r="D1562" s="189" t="s">
        <v>123</v>
      </c>
      <c r="E1562" s="190" t="s">
        <v>3161</v>
      </c>
      <c r="F1562" s="191">
        <f t="shared" si="26"/>
        <v>263.01666666666665</v>
      </c>
      <c r="G1562" s="185"/>
      <c r="H1562" s="181"/>
      <c r="I1562" s="74"/>
      <c r="J1562" s="74"/>
      <c r="M1562" s="185"/>
      <c r="N1562" s="185"/>
      <c r="O1562" s="185"/>
      <c r="P1562" s="185"/>
      <c r="Q1562" s="185"/>
      <c r="R1562" s="185"/>
    </row>
    <row r="1563" spans="1:18" s="197" customFormat="1" ht="12.75" x14ac:dyDescent="0.2">
      <c r="A1563" s="181"/>
      <c r="B1563" s="188" t="s">
        <v>3411</v>
      </c>
      <c r="C1563" s="189" t="s">
        <v>142</v>
      </c>
      <c r="D1563" s="189" t="s">
        <v>123</v>
      </c>
      <c r="E1563" s="190" t="s">
        <v>2741</v>
      </c>
      <c r="F1563" s="191">
        <f t="shared" si="26"/>
        <v>299.23333333333335</v>
      </c>
      <c r="G1563" s="185"/>
      <c r="H1563" s="181"/>
      <c r="I1563" s="74"/>
      <c r="J1563" s="74"/>
      <c r="M1563" s="185"/>
      <c r="N1563" s="185"/>
      <c r="O1563" s="185"/>
      <c r="P1563" s="185"/>
      <c r="Q1563" s="185"/>
      <c r="R1563" s="185"/>
    </row>
    <row r="1564" spans="1:18" s="197" customFormat="1" ht="12.75" x14ac:dyDescent="0.2">
      <c r="A1564" s="181"/>
      <c r="B1564" s="188" t="s">
        <v>3412</v>
      </c>
      <c r="C1564" s="189" t="s">
        <v>134</v>
      </c>
      <c r="D1564" s="189" t="s">
        <v>131</v>
      </c>
      <c r="E1564" s="190" t="s">
        <v>3413</v>
      </c>
      <c r="F1564" s="191">
        <f t="shared" si="26"/>
        <v>194.35</v>
      </c>
      <c r="G1564" s="185"/>
      <c r="H1564" s="181"/>
      <c r="I1564" s="74"/>
      <c r="J1564" s="74"/>
      <c r="M1564" s="185"/>
      <c r="N1564" s="185"/>
      <c r="O1564" s="185"/>
      <c r="P1564" s="185"/>
      <c r="Q1564" s="185"/>
      <c r="R1564" s="185"/>
    </row>
    <row r="1565" spans="1:18" s="197" customFormat="1" ht="12.75" x14ac:dyDescent="0.2">
      <c r="A1565" s="181"/>
      <c r="B1565" s="188" t="s">
        <v>3414</v>
      </c>
      <c r="C1565" s="189" t="s">
        <v>130</v>
      </c>
      <c r="D1565" s="189" t="s">
        <v>123</v>
      </c>
      <c r="E1565" s="190" t="s">
        <v>1507</v>
      </c>
      <c r="F1565" s="191">
        <f t="shared" si="26"/>
        <v>205.93333333333334</v>
      </c>
      <c r="G1565" s="185"/>
      <c r="H1565" s="181"/>
      <c r="I1565" s="74"/>
      <c r="J1565" s="74"/>
      <c r="M1565" s="185"/>
      <c r="N1565" s="185"/>
      <c r="O1565" s="185"/>
      <c r="P1565" s="185"/>
      <c r="Q1565" s="185"/>
      <c r="R1565" s="185"/>
    </row>
    <row r="1566" spans="1:18" s="197" customFormat="1" ht="12.75" x14ac:dyDescent="0.2">
      <c r="A1566" s="181"/>
      <c r="B1566" s="188" t="s">
        <v>3415</v>
      </c>
      <c r="C1566" s="189" t="s">
        <v>125</v>
      </c>
      <c r="D1566" s="189" t="s">
        <v>123</v>
      </c>
      <c r="E1566" s="190" t="s">
        <v>3416</v>
      </c>
      <c r="F1566" s="191">
        <f t="shared" si="26"/>
        <v>233.65</v>
      </c>
      <c r="G1566" s="185"/>
      <c r="H1566" s="181"/>
      <c r="I1566" s="74"/>
      <c r="J1566" s="74"/>
      <c r="M1566" s="185"/>
      <c r="N1566" s="185"/>
      <c r="O1566" s="185"/>
      <c r="P1566" s="185"/>
      <c r="Q1566" s="185"/>
      <c r="R1566" s="185"/>
    </row>
    <row r="1567" spans="1:18" s="197" customFormat="1" ht="12.75" x14ac:dyDescent="0.2">
      <c r="A1567" s="181"/>
      <c r="B1567" s="188" t="s">
        <v>3417</v>
      </c>
      <c r="C1567" s="189" t="s">
        <v>124</v>
      </c>
      <c r="D1567" s="189" t="s">
        <v>154</v>
      </c>
      <c r="E1567" s="190" t="s">
        <v>3418</v>
      </c>
      <c r="F1567" s="191">
        <f t="shared" si="26"/>
        <v>231.86666666666667</v>
      </c>
      <c r="G1567" s="185"/>
      <c r="H1567" s="181"/>
      <c r="I1567" s="74"/>
      <c r="J1567" s="74"/>
      <c r="M1567" s="185"/>
      <c r="N1567" s="185"/>
      <c r="O1567" s="185"/>
      <c r="P1567" s="185"/>
      <c r="Q1567" s="185"/>
      <c r="R1567" s="185"/>
    </row>
    <row r="1568" spans="1:18" s="197" customFormat="1" ht="12.75" x14ac:dyDescent="0.2">
      <c r="A1568" s="181"/>
      <c r="B1568" s="188" t="s">
        <v>580</v>
      </c>
      <c r="C1568" s="189" t="s">
        <v>136</v>
      </c>
      <c r="D1568" s="189" t="s">
        <v>123</v>
      </c>
      <c r="E1568" s="190" t="s">
        <v>3419</v>
      </c>
      <c r="F1568" s="191">
        <f t="shared" si="26"/>
        <v>298.26666666666665</v>
      </c>
      <c r="G1568" s="185"/>
      <c r="H1568" s="181"/>
      <c r="I1568" s="74"/>
      <c r="J1568" s="74"/>
      <c r="M1568" s="185"/>
      <c r="N1568" s="185"/>
      <c r="O1568" s="185"/>
      <c r="P1568" s="185"/>
      <c r="Q1568" s="185"/>
      <c r="R1568" s="185"/>
    </row>
    <row r="1569" spans="1:18" s="197" customFormat="1" ht="12.75" x14ac:dyDescent="0.2">
      <c r="A1569" s="181"/>
      <c r="B1569" s="188" t="s">
        <v>3420</v>
      </c>
      <c r="C1569" s="189" t="s">
        <v>134</v>
      </c>
      <c r="D1569" s="189" t="s">
        <v>123</v>
      </c>
      <c r="E1569" s="190" t="s">
        <v>2973</v>
      </c>
      <c r="F1569" s="191">
        <f t="shared" si="26"/>
        <v>250.35</v>
      </c>
      <c r="G1569" s="185"/>
      <c r="H1569" s="181"/>
      <c r="I1569" s="74"/>
      <c r="J1569" s="74"/>
      <c r="M1569" s="185"/>
      <c r="N1569" s="185"/>
      <c r="O1569" s="185"/>
      <c r="P1569" s="185"/>
      <c r="Q1569" s="185"/>
      <c r="R1569" s="185"/>
    </row>
    <row r="1570" spans="1:18" s="197" customFormat="1" ht="12.75" x14ac:dyDescent="0.2">
      <c r="A1570" s="181"/>
      <c r="B1570" s="188" t="s">
        <v>3421</v>
      </c>
      <c r="C1570" s="189" t="s">
        <v>142</v>
      </c>
      <c r="D1570" s="189" t="s">
        <v>123</v>
      </c>
      <c r="E1570" s="190" t="s">
        <v>3422</v>
      </c>
      <c r="F1570" s="191">
        <f t="shared" si="26"/>
        <v>198.53333333333333</v>
      </c>
      <c r="G1570" s="185"/>
      <c r="H1570" s="181"/>
      <c r="I1570" s="74"/>
      <c r="J1570" s="74"/>
      <c r="M1570" s="185"/>
      <c r="N1570" s="185"/>
      <c r="O1570" s="185"/>
      <c r="P1570" s="185"/>
      <c r="Q1570" s="185"/>
      <c r="R1570" s="185"/>
    </row>
    <row r="1571" spans="1:18" s="197" customFormat="1" ht="12.75" x14ac:dyDescent="0.2">
      <c r="A1571" s="181"/>
      <c r="B1571" s="188" t="s">
        <v>3423</v>
      </c>
      <c r="C1571" s="189" t="s">
        <v>128</v>
      </c>
      <c r="D1571" s="189" t="s">
        <v>144</v>
      </c>
      <c r="E1571" s="190" t="s">
        <v>3424</v>
      </c>
      <c r="F1571" s="191">
        <f t="shared" si="26"/>
        <v>251.83333333333334</v>
      </c>
      <c r="G1571" s="185"/>
      <c r="H1571" s="181"/>
      <c r="I1571" s="74"/>
      <c r="J1571" s="74"/>
      <c r="M1571" s="185"/>
      <c r="N1571" s="185"/>
      <c r="O1571" s="185"/>
      <c r="P1571" s="185"/>
      <c r="Q1571" s="185"/>
      <c r="R1571" s="185"/>
    </row>
    <row r="1572" spans="1:18" s="197" customFormat="1" ht="12.75" x14ac:dyDescent="0.2">
      <c r="A1572" s="181"/>
      <c r="B1572" s="188" t="s">
        <v>3425</v>
      </c>
      <c r="C1572" s="189" t="s">
        <v>124</v>
      </c>
      <c r="D1572" s="189" t="s">
        <v>188</v>
      </c>
      <c r="E1572" s="190" t="s">
        <v>1956</v>
      </c>
      <c r="F1572" s="191">
        <f t="shared" si="26"/>
        <v>242.41666666666666</v>
      </c>
      <c r="G1572" s="185"/>
      <c r="H1572" s="181"/>
      <c r="I1572" s="74"/>
      <c r="J1572" s="74"/>
      <c r="M1572" s="185"/>
      <c r="N1572" s="185"/>
      <c r="O1572" s="185"/>
      <c r="P1572" s="185"/>
      <c r="Q1572" s="185"/>
      <c r="R1572" s="185"/>
    </row>
    <row r="1573" spans="1:18" s="197" customFormat="1" ht="12.75" x14ac:dyDescent="0.2">
      <c r="A1573" s="181"/>
      <c r="B1573" s="188" t="s">
        <v>269</v>
      </c>
      <c r="C1573" s="189" t="s">
        <v>136</v>
      </c>
      <c r="D1573" s="189" t="s">
        <v>123</v>
      </c>
      <c r="E1573" s="190" t="s">
        <v>3426</v>
      </c>
      <c r="F1573" s="191">
        <f t="shared" si="26"/>
        <v>309.21666666666664</v>
      </c>
      <c r="G1573" s="185"/>
      <c r="H1573" s="181"/>
      <c r="I1573" s="74"/>
      <c r="J1573" s="74"/>
      <c r="M1573" s="185"/>
      <c r="N1573" s="185"/>
      <c r="O1573" s="185"/>
      <c r="P1573" s="185"/>
      <c r="Q1573" s="185"/>
      <c r="R1573" s="185"/>
    </row>
    <row r="1574" spans="1:18" s="197" customFormat="1" ht="12.75" x14ac:dyDescent="0.2">
      <c r="A1574" s="181"/>
      <c r="B1574" s="188" t="s">
        <v>3427</v>
      </c>
      <c r="C1574" s="189" t="s">
        <v>142</v>
      </c>
      <c r="D1574" s="189" t="s">
        <v>123</v>
      </c>
      <c r="E1574" s="190" t="s">
        <v>2108</v>
      </c>
      <c r="F1574" s="191">
        <f t="shared" si="26"/>
        <v>244.08333333333334</v>
      </c>
      <c r="G1574" s="185"/>
      <c r="H1574" s="181"/>
      <c r="I1574" s="74"/>
      <c r="J1574" s="74"/>
      <c r="M1574" s="185"/>
      <c r="N1574" s="185"/>
      <c r="O1574" s="185"/>
      <c r="P1574" s="185"/>
      <c r="Q1574" s="185"/>
      <c r="R1574" s="185"/>
    </row>
    <row r="1575" spans="1:18" s="197" customFormat="1" ht="12.75" x14ac:dyDescent="0.2">
      <c r="A1575" s="181"/>
      <c r="B1575" s="188" t="s">
        <v>3428</v>
      </c>
      <c r="C1575" s="189" t="s">
        <v>142</v>
      </c>
      <c r="D1575" s="189" t="s">
        <v>169</v>
      </c>
      <c r="E1575" s="190" t="s">
        <v>3429</v>
      </c>
      <c r="F1575" s="191">
        <f t="shared" si="26"/>
        <v>250.45</v>
      </c>
      <c r="G1575" s="185"/>
      <c r="H1575" s="181"/>
      <c r="I1575" s="74"/>
      <c r="J1575" s="74"/>
      <c r="M1575" s="185"/>
      <c r="N1575" s="185"/>
      <c r="O1575" s="185"/>
      <c r="P1575" s="185"/>
      <c r="Q1575" s="185"/>
      <c r="R1575" s="185"/>
    </row>
    <row r="1576" spans="1:18" s="197" customFormat="1" ht="12.75" x14ac:dyDescent="0.2">
      <c r="A1576" s="181"/>
      <c r="B1576" s="188" t="s">
        <v>295</v>
      </c>
      <c r="C1576" s="189" t="s">
        <v>124</v>
      </c>
      <c r="D1576" s="189" t="s">
        <v>147</v>
      </c>
      <c r="E1576" s="190" t="s">
        <v>3430</v>
      </c>
      <c r="F1576" s="191">
        <f t="shared" si="26"/>
        <v>307.11666666666667</v>
      </c>
      <c r="G1576" s="185"/>
      <c r="H1576" s="181"/>
      <c r="I1576" s="74"/>
      <c r="J1576" s="74"/>
      <c r="M1576" s="185"/>
      <c r="N1576" s="185"/>
      <c r="O1576" s="185"/>
      <c r="P1576" s="185"/>
      <c r="Q1576" s="185"/>
      <c r="R1576" s="185"/>
    </row>
    <row r="1577" spans="1:18" s="197" customFormat="1" ht="12.75" x14ac:dyDescent="0.2">
      <c r="A1577" s="181"/>
      <c r="B1577" s="188" t="s">
        <v>270</v>
      </c>
      <c r="C1577" s="189" t="s">
        <v>135</v>
      </c>
      <c r="D1577" s="189" t="s">
        <v>123</v>
      </c>
      <c r="E1577" s="190" t="s">
        <v>3431</v>
      </c>
      <c r="F1577" s="191">
        <f t="shared" si="26"/>
        <v>299.56666666666666</v>
      </c>
      <c r="G1577" s="185"/>
      <c r="H1577" s="181"/>
      <c r="I1577" s="74"/>
      <c r="J1577" s="74"/>
      <c r="M1577" s="185"/>
      <c r="N1577" s="185"/>
      <c r="O1577" s="185"/>
      <c r="P1577" s="185"/>
      <c r="Q1577" s="185"/>
      <c r="R1577" s="185"/>
    </row>
    <row r="1578" spans="1:18" s="197" customFormat="1" ht="12.75" x14ac:dyDescent="0.2">
      <c r="A1578" s="181"/>
      <c r="B1578" s="188" t="s">
        <v>3432</v>
      </c>
      <c r="C1578" s="189" t="s">
        <v>125</v>
      </c>
      <c r="D1578" s="189" t="s">
        <v>123</v>
      </c>
      <c r="E1578" s="190" t="s">
        <v>3433</v>
      </c>
      <c r="F1578" s="191">
        <f t="shared" si="26"/>
        <v>281.38333333333333</v>
      </c>
      <c r="G1578" s="185"/>
      <c r="H1578" s="181"/>
      <c r="I1578" s="74"/>
      <c r="J1578" s="74"/>
      <c r="M1578" s="185"/>
      <c r="N1578" s="185"/>
      <c r="O1578" s="185"/>
      <c r="P1578" s="185"/>
      <c r="Q1578" s="185"/>
      <c r="R1578" s="185"/>
    </row>
    <row r="1579" spans="1:18" s="197" customFormat="1" ht="12.75" x14ac:dyDescent="0.2">
      <c r="A1579" s="181"/>
      <c r="B1579" s="188" t="s">
        <v>3434</v>
      </c>
      <c r="C1579" s="189" t="s">
        <v>124</v>
      </c>
      <c r="D1579" s="189" t="s">
        <v>169</v>
      </c>
      <c r="E1579" s="190" t="s">
        <v>3435</v>
      </c>
      <c r="F1579" s="191">
        <f t="shared" si="26"/>
        <v>256.7</v>
      </c>
      <c r="G1579" s="185"/>
      <c r="H1579" s="181"/>
      <c r="I1579" s="74"/>
      <c r="J1579" s="74"/>
      <c r="M1579" s="185"/>
      <c r="N1579" s="185"/>
      <c r="O1579" s="185"/>
      <c r="P1579" s="185"/>
      <c r="Q1579" s="185"/>
      <c r="R1579" s="185"/>
    </row>
    <row r="1580" spans="1:18" s="197" customFormat="1" ht="12.75" x14ac:dyDescent="0.2">
      <c r="A1580" s="181"/>
      <c r="B1580" s="188" t="s">
        <v>3436</v>
      </c>
      <c r="C1580" s="189" t="s">
        <v>134</v>
      </c>
      <c r="D1580" s="189" t="s">
        <v>155</v>
      </c>
      <c r="E1580" s="190" t="s">
        <v>3437</v>
      </c>
      <c r="F1580" s="191">
        <f t="shared" si="26"/>
        <v>259.46666666666664</v>
      </c>
      <c r="G1580" s="185"/>
      <c r="H1580" s="181"/>
      <c r="I1580" s="74"/>
      <c r="J1580" s="74"/>
      <c r="M1580" s="185"/>
      <c r="N1580" s="185"/>
      <c r="O1580" s="185"/>
      <c r="P1580" s="185"/>
      <c r="Q1580" s="185"/>
      <c r="R1580" s="185"/>
    </row>
    <row r="1581" spans="1:18" s="197" customFormat="1" ht="12.75" x14ac:dyDescent="0.2">
      <c r="A1581" s="181"/>
      <c r="B1581" s="188" t="s">
        <v>3438</v>
      </c>
      <c r="C1581" s="189" t="s">
        <v>222</v>
      </c>
      <c r="D1581" s="189" t="s">
        <v>123</v>
      </c>
      <c r="E1581" s="190" t="s">
        <v>3439</v>
      </c>
      <c r="F1581" s="191">
        <f t="shared" si="26"/>
        <v>247.76666666666668</v>
      </c>
      <c r="G1581" s="185"/>
      <c r="H1581" s="181"/>
      <c r="I1581" s="74"/>
      <c r="J1581" s="74"/>
      <c r="M1581" s="185"/>
      <c r="N1581" s="185"/>
      <c r="O1581" s="185"/>
      <c r="P1581" s="185"/>
      <c r="Q1581" s="185"/>
      <c r="R1581" s="185"/>
    </row>
    <row r="1582" spans="1:18" s="197" customFormat="1" ht="12.75" x14ac:dyDescent="0.2">
      <c r="A1582" s="181"/>
      <c r="B1582" s="188" t="s">
        <v>3440</v>
      </c>
      <c r="C1582" s="189" t="s">
        <v>134</v>
      </c>
      <c r="D1582" s="189" t="s">
        <v>131</v>
      </c>
      <c r="E1582" s="190" t="s">
        <v>3441</v>
      </c>
      <c r="F1582" s="191">
        <f t="shared" si="26"/>
        <v>181.2</v>
      </c>
      <c r="G1582" s="185"/>
      <c r="H1582" s="181"/>
      <c r="I1582" s="74"/>
      <c r="J1582" s="74"/>
      <c r="M1582" s="185"/>
      <c r="N1582" s="185"/>
      <c r="O1582" s="185"/>
      <c r="P1582" s="185"/>
      <c r="Q1582" s="185"/>
      <c r="R1582" s="185"/>
    </row>
    <row r="1583" spans="1:18" s="197" customFormat="1" ht="12.75" x14ac:dyDescent="0.2">
      <c r="A1583" s="181"/>
      <c r="B1583" s="188" t="s">
        <v>565</v>
      </c>
      <c r="C1583" s="189" t="s">
        <v>142</v>
      </c>
      <c r="D1583" s="189" t="s">
        <v>450</v>
      </c>
      <c r="E1583" s="190" t="s">
        <v>1009</v>
      </c>
      <c r="F1583" s="191">
        <f t="shared" si="26"/>
        <v>247.66666666666666</v>
      </c>
      <c r="G1583" s="185"/>
      <c r="H1583" s="181"/>
      <c r="I1583" s="74"/>
      <c r="J1583" s="74"/>
      <c r="M1583" s="185"/>
      <c r="N1583" s="185"/>
      <c r="O1583" s="185"/>
      <c r="P1583" s="185"/>
      <c r="Q1583" s="185"/>
      <c r="R1583" s="185"/>
    </row>
    <row r="1584" spans="1:18" s="197" customFormat="1" ht="12.75" x14ac:dyDescent="0.2">
      <c r="A1584" s="181"/>
      <c r="B1584" s="188" t="s">
        <v>3442</v>
      </c>
      <c r="C1584" s="189" t="s">
        <v>142</v>
      </c>
      <c r="D1584" s="189" t="s">
        <v>123</v>
      </c>
      <c r="E1584" s="190" t="s">
        <v>3443</v>
      </c>
      <c r="F1584" s="191">
        <f t="shared" si="26"/>
        <v>302.68333333333334</v>
      </c>
      <c r="G1584" s="185"/>
      <c r="H1584" s="181"/>
      <c r="I1584" s="74"/>
      <c r="J1584" s="74"/>
      <c r="M1584" s="185"/>
      <c r="N1584" s="185"/>
      <c r="O1584" s="185"/>
      <c r="P1584" s="185"/>
      <c r="Q1584" s="185"/>
      <c r="R1584" s="185"/>
    </row>
    <row r="1585" spans="1:18" s="197" customFormat="1" ht="12.75" x14ac:dyDescent="0.2">
      <c r="A1585" s="181"/>
      <c r="B1585" s="188" t="s">
        <v>3444</v>
      </c>
      <c r="C1585" s="189" t="s">
        <v>128</v>
      </c>
      <c r="D1585" s="189" t="s">
        <v>123</v>
      </c>
      <c r="E1585" s="190" t="s">
        <v>838</v>
      </c>
      <c r="F1585" s="191">
        <f t="shared" si="26"/>
        <v>228.38333333333333</v>
      </c>
      <c r="G1585" s="185"/>
      <c r="H1585" s="181"/>
      <c r="I1585" s="74"/>
      <c r="J1585" s="74"/>
      <c r="M1585" s="185"/>
      <c r="N1585" s="185"/>
      <c r="O1585" s="185"/>
      <c r="P1585" s="185"/>
      <c r="Q1585" s="185"/>
      <c r="R1585" s="185"/>
    </row>
    <row r="1586" spans="1:18" s="197" customFormat="1" ht="12.75" x14ac:dyDescent="0.2">
      <c r="A1586" s="181"/>
      <c r="B1586" s="188" t="s">
        <v>3445</v>
      </c>
      <c r="C1586" s="189" t="s">
        <v>126</v>
      </c>
      <c r="D1586" s="189" t="s">
        <v>123</v>
      </c>
      <c r="E1586" s="190" t="s">
        <v>3446</v>
      </c>
      <c r="F1586" s="191">
        <f t="shared" si="26"/>
        <v>279.68333333333334</v>
      </c>
      <c r="G1586" s="185"/>
      <c r="H1586" s="181"/>
      <c r="I1586" s="74"/>
      <c r="J1586" s="74"/>
      <c r="M1586" s="185"/>
      <c r="N1586" s="185"/>
      <c r="O1586" s="185"/>
      <c r="P1586" s="185"/>
      <c r="Q1586" s="185"/>
      <c r="R1586" s="185"/>
    </row>
    <row r="1587" spans="1:18" s="197" customFormat="1" ht="12.75" x14ac:dyDescent="0.2">
      <c r="A1587" s="181"/>
      <c r="B1587" s="188" t="s">
        <v>3447</v>
      </c>
      <c r="C1587" s="189" t="s">
        <v>249</v>
      </c>
      <c r="D1587" s="189" t="s">
        <v>123</v>
      </c>
      <c r="E1587" s="190" t="s">
        <v>3448</v>
      </c>
      <c r="F1587" s="191">
        <f t="shared" si="26"/>
        <v>265.83333333333331</v>
      </c>
      <c r="G1587" s="185"/>
      <c r="H1587" s="181"/>
      <c r="I1587" s="74"/>
      <c r="J1587" s="74"/>
      <c r="M1587" s="185"/>
      <c r="N1587" s="185"/>
      <c r="O1587" s="185"/>
      <c r="P1587" s="185"/>
      <c r="Q1587" s="185"/>
      <c r="R1587" s="185"/>
    </row>
    <row r="1588" spans="1:18" s="197" customFormat="1" ht="12.75" x14ac:dyDescent="0.2">
      <c r="A1588" s="181"/>
      <c r="B1588" s="188" t="s">
        <v>3449</v>
      </c>
      <c r="C1588" s="189" t="s">
        <v>142</v>
      </c>
      <c r="D1588" s="189" t="s">
        <v>446</v>
      </c>
      <c r="E1588" s="190" t="s">
        <v>3450</v>
      </c>
      <c r="F1588" s="191">
        <f t="shared" si="26"/>
        <v>286.5</v>
      </c>
      <c r="G1588" s="185"/>
      <c r="H1588" s="181"/>
      <c r="I1588" s="74"/>
      <c r="J1588" s="74"/>
      <c r="M1588" s="185"/>
      <c r="N1588" s="185"/>
      <c r="O1588" s="185"/>
      <c r="P1588" s="185"/>
      <c r="Q1588" s="185"/>
      <c r="R1588" s="185"/>
    </row>
    <row r="1589" spans="1:18" s="197" customFormat="1" ht="12.75" x14ac:dyDescent="0.2">
      <c r="A1589" s="181"/>
      <c r="B1589" s="188" t="s">
        <v>438</v>
      </c>
      <c r="C1589" s="189" t="s">
        <v>125</v>
      </c>
      <c r="D1589" s="189" t="s">
        <v>123</v>
      </c>
      <c r="E1589" s="190" t="s">
        <v>2004</v>
      </c>
      <c r="F1589" s="191">
        <f t="shared" si="26"/>
        <v>253.93333333333334</v>
      </c>
      <c r="G1589" s="185"/>
      <c r="H1589" s="181"/>
      <c r="I1589" s="74"/>
      <c r="J1589" s="74"/>
      <c r="M1589" s="185"/>
      <c r="N1589" s="185"/>
      <c r="O1589" s="185"/>
      <c r="P1589" s="185"/>
      <c r="Q1589" s="185"/>
      <c r="R1589" s="185"/>
    </row>
    <row r="1590" spans="1:18" s="197" customFormat="1" ht="12.75" x14ac:dyDescent="0.2">
      <c r="A1590" s="181"/>
      <c r="B1590" s="188" t="s">
        <v>3451</v>
      </c>
      <c r="C1590" s="189" t="s">
        <v>130</v>
      </c>
      <c r="D1590" s="189" t="s">
        <v>155</v>
      </c>
      <c r="E1590" s="190" t="s">
        <v>3452</v>
      </c>
      <c r="F1590" s="191">
        <f t="shared" si="26"/>
        <v>195.16666666666666</v>
      </c>
      <c r="G1590" s="185"/>
      <c r="H1590" s="181"/>
      <c r="I1590" s="74"/>
      <c r="J1590" s="74"/>
      <c r="M1590" s="185"/>
      <c r="N1590" s="185"/>
      <c r="O1590" s="185"/>
      <c r="P1590" s="185"/>
      <c r="Q1590" s="185"/>
      <c r="R1590" s="185"/>
    </row>
    <row r="1591" spans="1:18" s="197" customFormat="1" ht="12.75" x14ac:dyDescent="0.2">
      <c r="A1591" s="181"/>
      <c r="B1591" s="188" t="s">
        <v>3453</v>
      </c>
      <c r="C1591" s="189" t="s">
        <v>126</v>
      </c>
      <c r="D1591" s="189" t="s">
        <v>123</v>
      </c>
      <c r="E1591" s="190" t="s">
        <v>3454</v>
      </c>
      <c r="F1591" s="191">
        <f t="shared" si="26"/>
        <v>256.33333333333331</v>
      </c>
      <c r="G1591" s="185"/>
      <c r="H1591" s="181"/>
      <c r="I1591" s="74"/>
      <c r="J1591" s="74"/>
      <c r="M1591" s="185"/>
      <c r="N1591" s="185"/>
      <c r="O1591" s="185"/>
      <c r="P1591" s="185"/>
      <c r="Q1591" s="185"/>
      <c r="R1591" s="185"/>
    </row>
    <row r="1592" spans="1:18" s="197" customFormat="1" ht="12.75" x14ac:dyDescent="0.2">
      <c r="A1592" s="181"/>
      <c r="B1592" s="188" t="s">
        <v>3455</v>
      </c>
      <c r="C1592" s="189" t="s">
        <v>136</v>
      </c>
      <c r="D1592" s="189" t="s">
        <v>160</v>
      </c>
      <c r="E1592" s="190" t="s">
        <v>3456</v>
      </c>
      <c r="F1592" s="191">
        <f t="shared" si="26"/>
        <v>265.8</v>
      </c>
      <c r="G1592" s="185"/>
      <c r="H1592" s="181"/>
      <c r="I1592" s="74"/>
      <c r="J1592" s="74"/>
      <c r="M1592" s="185"/>
      <c r="N1592" s="185"/>
      <c r="O1592" s="185"/>
      <c r="P1592" s="185"/>
      <c r="Q1592" s="185"/>
      <c r="R1592" s="185"/>
    </row>
    <row r="1593" spans="1:18" s="197" customFormat="1" ht="12.75" x14ac:dyDescent="0.2">
      <c r="A1593" s="181"/>
      <c r="B1593" s="188" t="s">
        <v>3457</v>
      </c>
      <c r="C1593" s="189" t="s">
        <v>125</v>
      </c>
      <c r="D1593" s="189" t="s">
        <v>123</v>
      </c>
      <c r="E1593" s="190" t="s">
        <v>1795</v>
      </c>
      <c r="F1593" s="191">
        <f t="shared" si="26"/>
        <v>298.36666666666667</v>
      </c>
      <c r="G1593" s="185"/>
      <c r="H1593" s="181"/>
      <c r="I1593" s="74"/>
      <c r="J1593" s="74"/>
      <c r="M1593" s="185"/>
      <c r="N1593" s="185"/>
      <c r="O1593" s="185"/>
      <c r="P1593" s="185"/>
      <c r="Q1593" s="185"/>
      <c r="R1593" s="185"/>
    </row>
    <row r="1594" spans="1:18" s="197" customFormat="1" ht="12.75" x14ac:dyDescent="0.2">
      <c r="A1594" s="181"/>
      <c r="B1594" s="188" t="s">
        <v>3458</v>
      </c>
      <c r="C1594" s="189" t="s">
        <v>125</v>
      </c>
      <c r="D1594" s="189" t="s">
        <v>123</v>
      </c>
      <c r="E1594" s="190" t="s">
        <v>3459</v>
      </c>
      <c r="F1594" s="191">
        <f t="shared" si="26"/>
        <v>262</v>
      </c>
      <c r="G1594" s="185"/>
      <c r="H1594" s="181"/>
      <c r="I1594" s="74"/>
      <c r="J1594" s="74"/>
      <c r="M1594" s="185"/>
      <c r="N1594" s="185"/>
      <c r="O1594" s="185"/>
      <c r="P1594" s="185"/>
      <c r="Q1594" s="185"/>
      <c r="R1594" s="185"/>
    </row>
    <row r="1595" spans="1:18" s="197" customFormat="1" ht="12.75" x14ac:dyDescent="0.2">
      <c r="A1595" s="181"/>
      <c r="B1595" s="188" t="s">
        <v>3460</v>
      </c>
      <c r="C1595" s="189" t="s">
        <v>124</v>
      </c>
      <c r="D1595" s="189" t="s">
        <v>123</v>
      </c>
      <c r="E1595" s="190" t="s">
        <v>3461</v>
      </c>
      <c r="F1595" s="191">
        <f t="shared" si="26"/>
        <v>235.21666666666667</v>
      </c>
      <c r="G1595" s="185"/>
      <c r="H1595" s="181"/>
      <c r="I1595" s="74"/>
      <c r="J1595" s="74"/>
      <c r="M1595" s="185"/>
      <c r="N1595" s="185"/>
      <c r="O1595" s="185"/>
      <c r="P1595" s="185"/>
      <c r="Q1595" s="185"/>
      <c r="R1595" s="185"/>
    </row>
    <row r="1596" spans="1:18" s="197" customFormat="1" ht="12.75" x14ac:dyDescent="0.2">
      <c r="A1596" s="181"/>
      <c r="B1596" s="188" t="s">
        <v>3462</v>
      </c>
      <c r="C1596" s="189" t="s">
        <v>124</v>
      </c>
      <c r="D1596" s="189" t="s">
        <v>123</v>
      </c>
      <c r="E1596" s="190" t="s">
        <v>3463</v>
      </c>
      <c r="F1596" s="191">
        <f t="shared" si="26"/>
        <v>268.88333333333333</v>
      </c>
      <c r="G1596" s="185"/>
      <c r="H1596" s="181"/>
      <c r="I1596" s="74"/>
      <c r="J1596" s="74"/>
      <c r="M1596" s="185"/>
      <c r="N1596" s="185"/>
      <c r="O1596" s="185"/>
      <c r="P1596" s="185"/>
      <c r="Q1596" s="185"/>
      <c r="R1596" s="185"/>
    </row>
    <row r="1597" spans="1:18" s="197" customFormat="1" ht="12.75" x14ac:dyDescent="0.2">
      <c r="A1597" s="181"/>
      <c r="B1597" s="188" t="s">
        <v>3464</v>
      </c>
      <c r="C1597" s="189" t="s">
        <v>134</v>
      </c>
      <c r="D1597" s="189" t="s">
        <v>123</v>
      </c>
      <c r="E1597" s="190" t="s">
        <v>3465</v>
      </c>
      <c r="F1597" s="191">
        <f t="shared" si="26"/>
        <v>167.66666666666666</v>
      </c>
      <c r="G1597" s="185"/>
      <c r="H1597" s="181"/>
      <c r="I1597" s="74"/>
      <c r="J1597" s="74"/>
      <c r="M1597" s="185"/>
      <c r="N1597" s="185"/>
      <c r="O1597" s="185"/>
      <c r="P1597" s="185"/>
      <c r="Q1597" s="185"/>
      <c r="R1597" s="185"/>
    </row>
    <row r="1598" spans="1:18" s="197" customFormat="1" ht="12.75" x14ac:dyDescent="0.2">
      <c r="A1598" s="181"/>
      <c r="B1598" s="188" t="s">
        <v>3466</v>
      </c>
      <c r="C1598" s="189" t="s">
        <v>135</v>
      </c>
      <c r="D1598" s="189" t="s">
        <v>123</v>
      </c>
      <c r="E1598" s="190" t="s">
        <v>3467</v>
      </c>
      <c r="F1598" s="191">
        <f t="shared" si="26"/>
        <v>276.76666666666665</v>
      </c>
      <c r="G1598" s="185"/>
      <c r="H1598" s="181"/>
      <c r="I1598" s="74"/>
      <c r="J1598" s="74"/>
      <c r="M1598" s="185"/>
      <c r="N1598" s="185"/>
      <c r="O1598" s="185"/>
      <c r="P1598" s="185"/>
      <c r="Q1598" s="185"/>
      <c r="R1598" s="185"/>
    </row>
    <row r="1599" spans="1:18" s="197" customFormat="1" ht="12.75" x14ac:dyDescent="0.2">
      <c r="A1599" s="181"/>
      <c r="B1599" s="188" t="s">
        <v>3468</v>
      </c>
      <c r="C1599" s="189" t="s">
        <v>124</v>
      </c>
      <c r="D1599" s="189" t="s">
        <v>123</v>
      </c>
      <c r="E1599" s="190" t="s">
        <v>3469</v>
      </c>
      <c r="F1599" s="191">
        <f t="shared" si="26"/>
        <v>222.11666666666667</v>
      </c>
      <c r="G1599" s="185"/>
      <c r="H1599" s="181"/>
      <c r="I1599" s="74"/>
      <c r="J1599" s="74"/>
      <c r="M1599" s="185"/>
      <c r="N1599" s="185"/>
      <c r="O1599" s="185"/>
      <c r="P1599" s="185"/>
      <c r="Q1599" s="185"/>
      <c r="R1599" s="185"/>
    </row>
    <row r="1600" spans="1:18" s="197" customFormat="1" ht="12.75" x14ac:dyDescent="0.2">
      <c r="A1600" s="181"/>
      <c r="B1600" s="188" t="s">
        <v>3470</v>
      </c>
      <c r="C1600" s="189" t="s">
        <v>130</v>
      </c>
      <c r="D1600" s="189" t="s">
        <v>123</v>
      </c>
      <c r="E1600" s="190" t="s">
        <v>1295</v>
      </c>
      <c r="F1600" s="191">
        <f t="shared" si="26"/>
        <v>242.81666666666666</v>
      </c>
      <c r="G1600" s="185"/>
      <c r="H1600" s="181"/>
      <c r="I1600" s="74"/>
      <c r="J1600" s="74"/>
      <c r="M1600" s="185"/>
      <c r="N1600" s="185"/>
      <c r="O1600" s="185"/>
      <c r="P1600" s="185"/>
      <c r="Q1600" s="185"/>
      <c r="R1600" s="185"/>
    </row>
    <row r="1601" spans="1:18" s="197" customFormat="1" ht="12.75" x14ac:dyDescent="0.2">
      <c r="A1601" s="181"/>
      <c r="B1601" s="188" t="s">
        <v>3471</v>
      </c>
      <c r="C1601" s="189" t="s">
        <v>124</v>
      </c>
      <c r="D1601" s="189" t="s">
        <v>123</v>
      </c>
      <c r="E1601" s="190" t="s">
        <v>3472</v>
      </c>
      <c r="F1601" s="191">
        <f t="shared" si="26"/>
        <v>269.7</v>
      </c>
      <c r="G1601" s="185"/>
      <c r="H1601" s="181"/>
      <c r="I1601" s="74"/>
      <c r="J1601" s="74"/>
      <c r="M1601" s="185"/>
      <c r="N1601" s="185"/>
      <c r="O1601" s="185"/>
      <c r="P1601" s="185"/>
      <c r="Q1601" s="185"/>
      <c r="R1601" s="185"/>
    </row>
    <row r="1602" spans="1:18" s="197" customFormat="1" ht="12.75" x14ac:dyDescent="0.2">
      <c r="A1602" s="181"/>
      <c r="B1602" s="188" t="s">
        <v>3473</v>
      </c>
      <c r="C1602" s="189" t="s">
        <v>130</v>
      </c>
      <c r="D1602" s="189" t="s">
        <v>132</v>
      </c>
      <c r="E1602" s="190" t="s">
        <v>3474</v>
      </c>
      <c r="F1602" s="191">
        <f t="shared" si="26"/>
        <v>316.51666666666665</v>
      </c>
      <c r="G1602" s="185"/>
      <c r="H1602" s="181"/>
      <c r="I1602" s="74"/>
      <c r="J1602" s="74"/>
      <c r="M1602" s="185"/>
      <c r="N1602" s="185"/>
      <c r="O1602" s="185"/>
      <c r="P1602" s="185"/>
      <c r="Q1602" s="185"/>
      <c r="R1602" s="185"/>
    </row>
    <row r="1603" spans="1:18" s="197" customFormat="1" ht="12.75" x14ac:dyDescent="0.2">
      <c r="A1603" s="181"/>
      <c r="B1603" s="188" t="s">
        <v>3475</v>
      </c>
      <c r="C1603" s="189" t="s">
        <v>124</v>
      </c>
      <c r="D1603" s="189" t="s">
        <v>152</v>
      </c>
      <c r="E1603" s="190" t="s">
        <v>3476</v>
      </c>
      <c r="F1603" s="191">
        <f t="shared" si="26"/>
        <v>261.96666666666664</v>
      </c>
      <c r="G1603" s="185"/>
      <c r="H1603" s="181"/>
      <c r="I1603" s="74"/>
      <c r="J1603" s="74"/>
      <c r="M1603" s="185"/>
      <c r="N1603" s="185"/>
      <c r="O1603" s="185"/>
      <c r="P1603" s="185"/>
      <c r="Q1603" s="185"/>
      <c r="R1603" s="185"/>
    </row>
    <row r="1604" spans="1:18" s="197" customFormat="1" ht="12.75" x14ac:dyDescent="0.2">
      <c r="A1604" s="181"/>
      <c r="B1604" s="188" t="s">
        <v>3477</v>
      </c>
      <c r="C1604" s="189" t="s">
        <v>128</v>
      </c>
      <c r="D1604" s="189" t="s">
        <v>123</v>
      </c>
      <c r="E1604" s="190" t="s">
        <v>3478</v>
      </c>
      <c r="F1604" s="191">
        <f t="shared" si="26"/>
        <v>216.16666666666666</v>
      </c>
      <c r="G1604" s="185"/>
      <c r="H1604" s="181"/>
      <c r="I1604" s="74"/>
      <c r="J1604" s="74"/>
      <c r="M1604" s="185"/>
      <c r="N1604" s="185"/>
      <c r="O1604" s="185"/>
      <c r="P1604" s="185"/>
      <c r="Q1604" s="185"/>
      <c r="R1604" s="185"/>
    </row>
    <row r="1605" spans="1:18" s="197" customFormat="1" ht="12.75" x14ac:dyDescent="0.2">
      <c r="A1605" s="181"/>
      <c r="B1605" s="188" t="s">
        <v>3479</v>
      </c>
      <c r="C1605" s="189" t="s">
        <v>125</v>
      </c>
      <c r="D1605" s="189" t="s">
        <v>148</v>
      </c>
      <c r="E1605" s="190" t="s">
        <v>3480</v>
      </c>
      <c r="F1605" s="191">
        <f t="shared" si="26"/>
        <v>262.98333333333335</v>
      </c>
      <c r="G1605" s="185"/>
      <c r="H1605" s="181"/>
      <c r="I1605" s="74"/>
      <c r="J1605" s="74"/>
      <c r="M1605" s="185"/>
      <c r="N1605" s="185"/>
      <c r="O1605" s="185"/>
      <c r="P1605" s="185"/>
      <c r="Q1605" s="185"/>
      <c r="R1605" s="185"/>
    </row>
    <row r="1606" spans="1:18" s="197" customFormat="1" ht="12.75" x14ac:dyDescent="0.2">
      <c r="A1606" s="181"/>
      <c r="B1606" s="188" t="s">
        <v>618</v>
      </c>
      <c r="C1606" s="189" t="s">
        <v>134</v>
      </c>
      <c r="D1606" s="189" t="s">
        <v>123</v>
      </c>
      <c r="E1606" s="190" t="s">
        <v>3481</v>
      </c>
      <c r="F1606" s="191">
        <f t="shared" si="26"/>
        <v>184.76666666666668</v>
      </c>
      <c r="G1606" s="185"/>
      <c r="H1606" s="181"/>
      <c r="I1606" s="74"/>
      <c r="J1606" s="74"/>
      <c r="M1606" s="185"/>
      <c r="N1606" s="185"/>
      <c r="O1606" s="185"/>
      <c r="P1606" s="185"/>
      <c r="Q1606" s="185"/>
      <c r="R1606" s="185"/>
    </row>
    <row r="1607" spans="1:18" s="197" customFormat="1" ht="12.75" x14ac:dyDescent="0.2">
      <c r="A1607" s="181"/>
      <c r="B1607" s="188" t="s">
        <v>3482</v>
      </c>
      <c r="C1607" s="189" t="s">
        <v>142</v>
      </c>
      <c r="D1607" s="189" t="s">
        <v>123</v>
      </c>
      <c r="E1607" s="190" t="s">
        <v>3483</v>
      </c>
      <c r="F1607" s="191">
        <f t="shared" si="26"/>
        <v>267.56666666666666</v>
      </c>
      <c r="G1607" s="185"/>
      <c r="H1607" s="181"/>
      <c r="I1607" s="74"/>
      <c r="J1607" s="74"/>
      <c r="M1607" s="185"/>
      <c r="N1607" s="185"/>
      <c r="O1607" s="185"/>
      <c r="P1607" s="185"/>
      <c r="Q1607" s="185"/>
      <c r="R1607" s="185"/>
    </row>
    <row r="1608" spans="1:18" s="197" customFormat="1" ht="12.75" x14ac:dyDescent="0.2">
      <c r="A1608" s="181"/>
      <c r="B1608" s="188" t="s">
        <v>3484</v>
      </c>
      <c r="C1608" s="189" t="s">
        <v>136</v>
      </c>
      <c r="D1608" s="189" t="s">
        <v>123</v>
      </c>
      <c r="E1608" s="190" t="s">
        <v>3485</v>
      </c>
      <c r="F1608" s="191">
        <f t="shared" si="26"/>
        <v>234.33333333333334</v>
      </c>
      <c r="G1608" s="185"/>
      <c r="H1608" s="181"/>
      <c r="I1608" s="74"/>
      <c r="J1608" s="74"/>
      <c r="M1608" s="185"/>
      <c r="N1608" s="185"/>
      <c r="O1608" s="185"/>
      <c r="P1608" s="185"/>
      <c r="Q1608" s="185"/>
      <c r="R1608" s="185"/>
    </row>
    <row r="1609" spans="1:18" s="197" customFormat="1" ht="12.75" x14ac:dyDescent="0.2">
      <c r="A1609" s="181"/>
      <c r="B1609" s="188" t="s">
        <v>3486</v>
      </c>
      <c r="C1609" s="189" t="s">
        <v>134</v>
      </c>
      <c r="D1609" s="189" t="s">
        <v>123</v>
      </c>
      <c r="E1609" s="190" t="s">
        <v>2492</v>
      </c>
      <c r="F1609" s="191">
        <f t="shared" si="26"/>
        <v>255.65</v>
      </c>
      <c r="G1609" s="185"/>
      <c r="H1609" s="181"/>
      <c r="I1609" s="74"/>
      <c r="J1609" s="74"/>
      <c r="M1609" s="185"/>
      <c r="N1609" s="185"/>
      <c r="O1609" s="185"/>
      <c r="P1609" s="185"/>
      <c r="Q1609" s="185"/>
      <c r="R1609" s="185"/>
    </row>
    <row r="1610" spans="1:18" s="197" customFormat="1" ht="12.75" x14ac:dyDescent="0.2">
      <c r="A1610" s="181"/>
      <c r="B1610" s="188" t="s">
        <v>3487</v>
      </c>
      <c r="C1610" s="189" t="s">
        <v>142</v>
      </c>
      <c r="D1610" s="189" t="s">
        <v>123</v>
      </c>
      <c r="E1610" s="190" t="s">
        <v>3488</v>
      </c>
      <c r="F1610" s="191">
        <f t="shared" si="26"/>
        <v>276.68333333333334</v>
      </c>
      <c r="G1610" s="185"/>
      <c r="H1610" s="181"/>
      <c r="I1610" s="74"/>
      <c r="J1610" s="74"/>
      <c r="M1610" s="185"/>
      <c r="N1610" s="185"/>
      <c r="O1610" s="185"/>
      <c r="P1610" s="185"/>
      <c r="Q1610" s="185"/>
      <c r="R1610" s="185"/>
    </row>
    <row r="1611" spans="1:18" s="197" customFormat="1" ht="12.75" x14ac:dyDescent="0.2">
      <c r="A1611" s="181"/>
      <c r="B1611" s="188" t="s">
        <v>3489</v>
      </c>
      <c r="C1611" s="189" t="s">
        <v>125</v>
      </c>
      <c r="D1611" s="189" t="s">
        <v>123</v>
      </c>
      <c r="E1611" s="190" t="s">
        <v>1372</v>
      </c>
      <c r="F1611" s="191">
        <f t="shared" ref="F1611:F1674" si="27">HOUR(E1611)*60+MINUTE(E1611)+SECOND(E1611)/60</f>
        <v>207.31666666666666</v>
      </c>
      <c r="G1611" s="185"/>
      <c r="H1611" s="181"/>
      <c r="I1611" s="74"/>
      <c r="J1611" s="74"/>
      <c r="M1611" s="185"/>
      <c r="N1611" s="185"/>
      <c r="O1611" s="185"/>
      <c r="P1611" s="185"/>
      <c r="Q1611" s="185"/>
      <c r="R1611" s="185"/>
    </row>
    <row r="1612" spans="1:18" s="197" customFormat="1" ht="12.75" x14ac:dyDescent="0.2">
      <c r="A1612" s="181"/>
      <c r="B1612" s="188" t="s">
        <v>3490</v>
      </c>
      <c r="C1612" s="189" t="s">
        <v>125</v>
      </c>
      <c r="D1612" s="189" t="s">
        <v>127</v>
      </c>
      <c r="E1612" s="190" t="s">
        <v>3491</v>
      </c>
      <c r="F1612" s="191">
        <f t="shared" si="27"/>
        <v>255.45</v>
      </c>
      <c r="G1612" s="185"/>
      <c r="H1612" s="181"/>
      <c r="I1612" s="74"/>
      <c r="J1612" s="74"/>
      <c r="M1612" s="185"/>
      <c r="N1612" s="185"/>
      <c r="O1612" s="185"/>
      <c r="P1612" s="185"/>
      <c r="Q1612" s="185"/>
      <c r="R1612" s="185"/>
    </row>
    <row r="1613" spans="1:18" s="197" customFormat="1" ht="12.75" x14ac:dyDescent="0.2">
      <c r="A1613" s="181"/>
      <c r="B1613" s="188" t="s">
        <v>3492</v>
      </c>
      <c r="C1613" s="189" t="s">
        <v>135</v>
      </c>
      <c r="D1613" s="189" t="s">
        <v>160</v>
      </c>
      <c r="E1613" s="190" t="s">
        <v>2946</v>
      </c>
      <c r="F1613" s="191">
        <f t="shared" si="27"/>
        <v>279.71666666666664</v>
      </c>
      <c r="G1613" s="185"/>
      <c r="H1613" s="181"/>
      <c r="I1613" s="74"/>
      <c r="J1613" s="74"/>
      <c r="M1613" s="185"/>
      <c r="N1613" s="185"/>
      <c r="O1613" s="185"/>
      <c r="P1613" s="185"/>
      <c r="Q1613" s="185"/>
      <c r="R1613" s="185"/>
    </row>
    <row r="1614" spans="1:18" s="197" customFormat="1" ht="12.75" x14ac:dyDescent="0.2">
      <c r="A1614" s="181"/>
      <c r="B1614" s="188" t="s">
        <v>3493</v>
      </c>
      <c r="C1614" s="189" t="s">
        <v>135</v>
      </c>
      <c r="D1614" s="189" t="s">
        <v>123</v>
      </c>
      <c r="E1614" s="190" t="s">
        <v>3494</v>
      </c>
      <c r="F1614" s="191">
        <f t="shared" si="27"/>
        <v>246.51666666666668</v>
      </c>
      <c r="G1614" s="185"/>
      <c r="H1614" s="181"/>
      <c r="I1614" s="74"/>
      <c r="J1614" s="74"/>
      <c r="M1614" s="185"/>
      <c r="N1614" s="185"/>
      <c r="O1614" s="185"/>
      <c r="P1614" s="185"/>
      <c r="Q1614" s="185"/>
      <c r="R1614" s="185"/>
    </row>
    <row r="1615" spans="1:18" s="197" customFormat="1" ht="12.75" x14ac:dyDescent="0.2">
      <c r="A1615" s="181"/>
      <c r="B1615" s="188" t="s">
        <v>3495</v>
      </c>
      <c r="C1615" s="189" t="s">
        <v>142</v>
      </c>
      <c r="D1615" s="189" t="s">
        <v>131</v>
      </c>
      <c r="E1615" s="190" t="s">
        <v>3496</v>
      </c>
      <c r="F1615" s="191">
        <f t="shared" si="27"/>
        <v>270.7</v>
      </c>
      <c r="G1615" s="185"/>
      <c r="H1615" s="181"/>
      <c r="I1615" s="74"/>
      <c r="J1615" s="74"/>
      <c r="M1615" s="185"/>
      <c r="N1615" s="185"/>
      <c r="O1615" s="185"/>
      <c r="P1615" s="185"/>
      <c r="Q1615" s="185"/>
      <c r="R1615" s="185"/>
    </row>
    <row r="1616" spans="1:18" s="197" customFormat="1" ht="12.75" x14ac:dyDescent="0.2">
      <c r="A1616" s="181"/>
      <c r="B1616" s="188" t="s">
        <v>3497</v>
      </c>
      <c r="C1616" s="189" t="s">
        <v>142</v>
      </c>
      <c r="D1616" s="189" t="s">
        <v>129</v>
      </c>
      <c r="E1616" s="190" t="s">
        <v>3498</v>
      </c>
      <c r="F1616" s="191">
        <f t="shared" si="27"/>
        <v>316.88333333333333</v>
      </c>
      <c r="G1616" s="185"/>
      <c r="H1616" s="181"/>
      <c r="I1616" s="74"/>
      <c r="J1616" s="74"/>
      <c r="M1616" s="185"/>
      <c r="N1616" s="185"/>
      <c r="O1616" s="185"/>
      <c r="P1616" s="185"/>
      <c r="Q1616" s="185"/>
      <c r="R1616" s="185"/>
    </row>
    <row r="1617" spans="1:18" s="197" customFormat="1" ht="12.75" x14ac:dyDescent="0.2">
      <c r="A1617" s="181"/>
      <c r="B1617" s="188" t="s">
        <v>3499</v>
      </c>
      <c r="C1617" s="189" t="s">
        <v>130</v>
      </c>
      <c r="D1617" s="189" t="s">
        <v>123</v>
      </c>
      <c r="E1617" s="190" t="s">
        <v>3500</v>
      </c>
      <c r="F1617" s="191">
        <f t="shared" si="27"/>
        <v>280.7</v>
      </c>
      <c r="G1617" s="185"/>
      <c r="H1617" s="181"/>
      <c r="I1617" s="74"/>
      <c r="J1617" s="74"/>
      <c r="M1617" s="185"/>
      <c r="N1617" s="185"/>
      <c r="O1617" s="185"/>
      <c r="P1617" s="185"/>
      <c r="Q1617" s="185"/>
      <c r="R1617" s="185"/>
    </row>
    <row r="1618" spans="1:18" s="197" customFormat="1" ht="12.75" x14ac:dyDescent="0.2">
      <c r="A1618" s="181"/>
      <c r="B1618" s="188" t="s">
        <v>3501</v>
      </c>
      <c r="C1618" s="189" t="s">
        <v>142</v>
      </c>
      <c r="D1618" s="189" t="s">
        <v>123</v>
      </c>
      <c r="E1618" s="190" t="s">
        <v>1123</v>
      </c>
      <c r="F1618" s="191">
        <f t="shared" si="27"/>
        <v>245.73333333333332</v>
      </c>
      <c r="G1618" s="185"/>
      <c r="H1618" s="181"/>
      <c r="I1618" s="74"/>
      <c r="J1618" s="74"/>
      <c r="M1618" s="185"/>
      <c r="N1618" s="185"/>
      <c r="O1618" s="185"/>
      <c r="P1618" s="185"/>
      <c r="Q1618" s="185"/>
      <c r="R1618" s="185"/>
    </row>
    <row r="1619" spans="1:18" s="197" customFormat="1" ht="12.75" x14ac:dyDescent="0.2">
      <c r="A1619" s="181"/>
      <c r="B1619" s="188" t="s">
        <v>3133</v>
      </c>
      <c r="C1619" s="189" t="s">
        <v>135</v>
      </c>
      <c r="D1619" s="189" t="s">
        <v>123</v>
      </c>
      <c r="E1619" s="190" t="s">
        <v>3134</v>
      </c>
      <c r="F1619" s="191">
        <f t="shared" si="27"/>
        <v>221.45</v>
      </c>
      <c r="G1619" s="185"/>
      <c r="H1619" s="181"/>
      <c r="I1619" s="74"/>
      <c r="J1619" s="74"/>
      <c r="M1619" s="185"/>
      <c r="N1619" s="185"/>
      <c r="O1619" s="185"/>
      <c r="P1619" s="185"/>
      <c r="Q1619" s="185"/>
      <c r="R1619" s="185"/>
    </row>
    <row r="1620" spans="1:18" s="197" customFormat="1" ht="12.75" x14ac:dyDescent="0.2">
      <c r="A1620" s="181"/>
      <c r="B1620" s="188" t="s">
        <v>3502</v>
      </c>
      <c r="C1620" s="189" t="s">
        <v>125</v>
      </c>
      <c r="D1620" s="189" t="s">
        <v>123</v>
      </c>
      <c r="E1620" s="190" t="s">
        <v>3503</v>
      </c>
      <c r="F1620" s="191">
        <f t="shared" si="27"/>
        <v>251.76666666666668</v>
      </c>
      <c r="G1620" s="185"/>
      <c r="H1620" s="181"/>
      <c r="I1620" s="74"/>
      <c r="J1620" s="74"/>
      <c r="M1620" s="185"/>
      <c r="N1620" s="185"/>
      <c r="O1620" s="185"/>
      <c r="P1620" s="185"/>
      <c r="Q1620" s="185"/>
      <c r="R1620" s="185"/>
    </row>
    <row r="1621" spans="1:18" s="197" customFormat="1" ht="12.75" x14ac:dyDescent="0.2">
      <c r="A1621" s="181"/>
      <c r="B1621" s="188" t="s">
        <v>3504</v>
      </c>
      <c r="C1621" s="189" t="s">
        <v>128</v>
      </c>
      <c r="D1621" s="189" t="s">
        <v>169</v>
      </c>
      <c r="E1621" s="190" t="s">
        <v>3505</v>
      </c>
      <c r="F1621" s="191">
        <f t="shared" si="27"/>
        <v>255.13333333333333</v>
      </c>
      <c r="G1621" s="185"/>
      <c r="H1621" s="181"/>
      <c r="I1621" s="74"/>
      <c r="J1621" s="74"/>
      <c r="M1621" s="185"/>
      <c r="N1621" s="185"/>
      <c r="O1621" s="185"/>
      <c r="P1621" s="185"/>
      <c r="Q1621" s="185"/>
      <c r="R1621" s="185"/>
    </row>
    <row r="1622" spans="1:18" s="197" customFormat="1" ht="12.75" x14ac:dyDescent="0.2">
      <c r="A1622" s="181"/>
      <c r="B1622" s="188" t="s">
        <v>3506</v>
      </c>
      <c r="C1622" s="189" t="s">
        <v>142</v>
      </c>
      <c r="D1622" s="189" t="s">
        <v>123</v>
      </c>
      <c r="E1622" s="190" t="s">
        <v>1781</v>
      </c>
      <c r="F1622" s="191">
        <f t="shared" si="27"/>
        <v>270.36666666666667</v>
      </c>
      <c r="G1622" s="185"/>
      <c r="H1622" s="181"/>
      <c r="I1622" s="74"/>
      <c r="J1622" s="74"/>
      <c r="M1622" s="185"/>
      <c r="N1622" s="185"/>
      <c r="O1622" s="185"/>
      <c r="P1622" s="185"/>
      <c r="Q1622" s="185"/>
      <c r="R1622" s="185"/>
    </row>
    <row r="1623" spans="1:18" s="197" customFormat="1" ht="12.75" x14ac:dyDescent="0.2">
      <c r="A1623" s="181"/>
      <c r="B1623" s="188" t="s">
        <v>3507</v>
      </c>
      <c r="C1623" s="189" t="s">
        <v>125</v>
      </c>
      <c r="D1623" s="189" t="s">
        <v>123</v>
      </c>
      <c r="E1623" s="190" t="s">
        <v>3508</v>
      </c>
      <c r="F1623" s="191">
        <f t="shared" si="27"/>
        <v>198.78333333333333</v>
      </c>
      <c r="G1623" s="185"/>
      <c r="H1623" s="181"/>
      <c r="I1623" s="74"/>
      <c r="J1623" s="74"/>
      <c r="M1623" s="185"/>
      <c r="N1623" s="185"/>
      <c r="O1623" s="185"/>
      <c r="P1623" s="185"/>
      <c r="Q1623" s="185"/>
      <c r="R1623" s="185"/>
    </row>
    <row r="1624" spans="1:18" s="197" customFormat="1" ht="12.75" x14ac:dyDescent="0.2">
      <c r="A1624" s="181"/>
      <c r="B1624" s="188" t="s">
        <v>3509</v>
      </c>
      <c r="C1624" s="189" t="s">
        <v>130</v>
      </c>
      <c r="D1624" s="189" t="s">
        <v>123</v>
      </c>
      <c r="E1624" s="190" t="s">
        <v>3510</v>
      </c>
      <c r="F1624" s="191">
        <f t="shared" si="27"/>
        <v>216.08333333333334</v>
      </c>
      <c r="G1624" s="185"/>
      <c r="H1624" s="181"/>
      <c r="I1624" s="74"/>
      <c r="J1624" s="74"/>
      <c r="M1624" s="185"/>
      <c r="N1624" s="185"/>
      <c r="O1624" s="185"/>
      <c r="P1624" s="185"/>
      <c r="Q1624" s="185"/>
      <c r="R1624" s="185"/>
    </row>
    <row r="1625" spans="1:18" s="197" customFormat="1" ht="12.75" x14ac:dyDescent="0.2">
      <c r="A1625" s="181"/>
      <c r="B1625" s="188" t="s">
        <v>3511</v>
      </c>
      <c r="C1625" s="189" t="s">
        <v>134</v>
      </c>
      <c r="D1625" s="189" t="s">
        <v>123</v>
      </c>
      <c r="E1625" s="190" t="s">
        <v>1376</v>
      </c>
      <c r="F1625" s="191">
        <f t="shared" si="27"/>
        <v>236.65</v>
      </c>
      <c r="G1625" s="185"/>
      <c r="H1625" s="181"/>
      <c r="I1625" s="74"/>
      <c r="J1625" s="74"/>
      <c r="M1625" s="185"/>
      <c r="N1625" s="185"/>
      <c r="O1625" s="185"/>
      <c r="P1625" s="185"/>
      <c r="Q1625" s="185"/>
      <c r="R1625" s="185"/>
    </row>
    <row r="1626" spans="1:18" s="197" customFormat="1" ht="12.75" x14ac:dyDescent="0.2">
      <c r="A1626" s="181"/>
      <c r="B1626" s="188" t="s">
        <v>3512</v>
      </c>
      <c r="C1626" s="189" t="s">
        <v>142</v>
      </c>
      <c r="D1626" s="189" t="s">
        <v>123</v>
      </c>
      <c r="E1626" s="190" t="s">
        <v>3513</v>
      </c>
      <c r="F1626" s="191">
        <f t="shared" si="27"/>
        <v>178.68333333333334</v>
      </c>
      <c r="G1626" s="185"/>
      <c r="H1626" s="181"/>
      <c r="I1626" s="74"/>
      <c r="J1626" s="74"/>
      <c r="M1626" s="185"/>
      <c r="N1626" s="185"/>
      <c r="O1626" s="185"/>
      <c r="P1626" s="185"/>
      <c r="Q1626" s="185"/>
      <c r="R1626" s="185"/>
    </row>
    <row r="1627" spans="1:18" s="197" customFormat="1" ht="12.75" x14ac:dyDescent="0.2">
      <c r="A1627" s="181"/>
      <c r="B1627" s="188" t="s">
        <v>1660</v>
      </c>
      <c r="C1627" s="189" t="s">
        <v>142</v>
      </c>
      <c r="D1627" s="189" t="s">
        <v>123</v>
      </c>
      <c r="E1627" s="190" t="s">
        <v>1661</v>
      </c>
      <c r="F1627" s="191">
        <f t="shared" si="27"/>
        <v>189.65</v>
      </c>
      <c r="G1627" s="185"/>
      <c r="H1627" s="181"/>
      <c r="I1627" s="74"/>
      <c r="J1627" s="74"/>
      <c r="M1627" s="185"/>
      <c r="N1627" s="185"/>
      <c r="O1627" s="185"/>
      <c r="P1627" s="185"/>
      <c r="Q1627" s="185"/>
      <c r="R1627" s="185"/>
    </row>
    <row r="1628" spans="1:18" s="197" customFormat="1" ht="12.75" x14ac:dyDescent="0.2">
      <c r="A1628" s="181"/>
      <c r="B1628" s="188" t="s">
        <v>276</v>
      </c>
      <c r="C1628" s="189" t="s">
        <v>136</v>
      </c>
      <c r="D1628" s="189" t="s">
        <v>123</v>
      </c>
      <c r="E1628" s="190" t="s">
        <v>3514</v>
      </c>
      <c r="F1628" s="191">
        <f t="shared" si="27"/>
        <v>231.31666666666666</v>
      </c>
      <c r="G1628" s="185"/>
      <c r="H1628" s="181"/>
      <c r="I1628" s="74"/>
      <c r="J1628" s="74"/>
      <c r="M1628" s="185"/>
      <c r="N1628" s="185"/>
      <c r="O1628" s="185"/>
      <c r="P1628" s="185"/>
      <c r="Q1628" s="185"/>
      <c r="R1628" s="185"/>
    </row>
    <row r="1629" spans="1:18" s="197" customFormat="1" ht="12.75" x14ac:dyDescent="0.2">
      <c r="A1629" s="181"/>
      <c r="B1629" s="188" t="s">
        <v>3515</v>
      </c>
      <c r="C1629" s="189" t="s">
        <v>130</v>
      </c>
      <c r="D1629" s="189" t="s">
        <v>173</v>
      </c>
      <c r="E1629" s="190" t="s">
        <v>3516</v>
      </c>
      <c r="F1629" s="191">
        <f t="shared" si="27"/>
        <v>245.15</v>
      </c>
      <c r="G1629" s="185"/>
      <c r="H1629" s="181"/>
      <c r="I1629" s="74"/>
      <c r="J1629" s="74"/>
      <c r="M1629" s="185"/>
      <c r="N1629" s="185"/>
      <c r="O1629" s="185"/>
      <c r="P1629" s="185"/>
      <c r="Q1629" s="185"/>
      <c r="R1629" s="185"/>
    </row>
    <row r="1630" spans="1:18" s="197" customFormat="1" ht="12.75" x14ac:dyDescent="0.2">
      <c r="A1630" s="181"/>
      <c r="B1630" s="188" t="s">
        <v>3517</v>
      </c>
      <c r="C1630" s="189" t="s">
        <v>135</v>
      </c>
      <c r="D1630" s="189" t="s">
        <v>131</v>
      </c>
      <c r="E1630" s="190" t="s">
        <v>840</v>
      </c>
      <c r="F1630" s="191">
        <f t="shared" si="27"/>
        <v>264.73333333333335</v>
      </c>
      <c r="G1630" s="185"/>
      <c r="H1630" s="181"/>
      <c r="I1630" s="74"/>
      <c r="J1630" s="74"/>
      <c r="M1630" s="185"/>
      <c r="N1630" s="185"/>
      <c r="O1630" s="185"/>
      <c r="P1630" s="185"/>
      <c r="Q1630" s="185"/>
      <c r="R1630" s="185"/>
    </row>
    <row r="1631" spans="1:18" s="197" customFormat="1" ht="12.75" x14ac:dyDescent="0.2">
      <c r="A1631" s="181"/>
      <c r="B1631" s="188" t="s">
        <v>3518</v>
      </c>
      <c r="C1631" s="189" t="s">
        <v>125</v>
      </c>
      <c r="D1631" s="189" t="s">
        <v>123</v>
      </c>
      <c r="E1631" s="190" t="s">
        <v>3519</v>
      </c>
      <c r="F1631" s="191">
        <f t="shared" si="27"/>
        <v>272.06666666666666</v>
      </c>
      <c r="G1631" s="185"/>
      <c r="H1631" s="181"/>
      <c r="I1631" s="74"/>
      <c r="J1631" s="74"/>
      <c r="M1631" s="185"/>
      <c r="N1631" s="185"/>
      <c r="O1631" s="185"/>
      <c r="P1631" s="185"/>
      <c r="Q1631" s="185"/>
      <c r="R1631" s="185"/>
    </row>
    <row r="1632" spans="1:18" s="197" customFormat="1" ht="12.75" x14ac:dyDescent="0.2">
      <c r="A1632" s="181"/>
      <c r="B1632" s="188" t="s">
        <v>350</v>
      </c>
      <c r="C1632" s="189" t="s">
        <v>135</v>
      </c>
      <c r="D1632" s="189" t="s">
        <v>148</v>
      </c>
      <c r="E1632" s="190" t="s">
        <v>1037</v>
      </c>
      <c r="F1632" s="191">
        <f t="shared" si="27"/>
        <v>224.6</v>
      </c>
      <c r="G1632" s="185"/>
      <c r="H1632" s="181"/>
      <c r="I1632" s="74"/>
      <c r="J1632" s="74"/>
      <c r="M1632" s="185"/>
      <c r="N1632" s="185"/>
      <c r="O1632" s="185"/>
      <c r="P1632" s="185"/>
      <c r="Q1632" s="185"/>
      <c r="R1632" s="185"/>
    </row>
    <row r="1633" spans="1:18" s="197" customFormat="1" ht="12.75" x14ac:dyDescent="0.2">
      <c r="A1633" s="181"/>
      <c r="B1633" s="188" t="s">
        <v>3520</v>
      </c>
      <c r="C1633" s="189" t="s">
        <v>125</v>
      </c>
      <c r="D1633" s="189" t="s">
        <v>131</v>
      </c>
      <c r="E1633" s="190" t="s">
        <v>3521</v>
      </c>
      <c r="F1633" s="191">
        <f t="shared" si="27"/>
        <v>226.95</v>
      </c>
      <c r="G1633" s="185"/>
      <c r="H1633" s="181"/>
      <c r="I1633" s="74"/>
      <c r="J1633" s="74"/>
      <c r="M1633" s="185"/>
      <c r="N1633" s="185"/>
      <c r="O1633" s="185"/>
      <c r="P1633" s="185"/>
      <c r="Q1633" s="185"/>
      <c r="R1633" s="185"/>
    </row>
    <row r="1634" spans="1:18" s="197" customFormat="1" ht="12.75" x14ac:dyDescent="0.2">
      <c r="A1634" s="181"/>
      <c r="B1634" s="188" t="s">
        <v>3522</v>
      </c>
      <c r="C1634" s="189" t="s">
        <v>134</v>
      </c>
      <c r="D1634" s="189" t="s">
        <v>133</v>
      </c>
      <c r="E1634" s="190" t="s">
        <v>3523</v>
      </c>
      <c r="F1634" s="191">
        <f t="shared" si="27"/>
        <v>190.46666666666667</v>
      </c>
      <c r="G1634" s="185"/>
      <c r="H1634" s="181"/>
      <c r="I1634" s="74"/>
      <c r="J1634" s="74"/>
      <c r="M1634" s="185"/>
      <c r="N1634" s="185"/>
      <c r="O1634" s="185"/>
      <c r="P1634" s="185"/>
      <c r="Q1634" s="185"/>
      <c r="R1634" s="185"/>
    </row>
    <row r="1635" spans="1:18" s="197" customFormat="1" ht="12.75" x14ac:dyDescent="0.2">
      <c r="A1635" s="181"/>
      <c r="B1635" s="188" t="s">
        <v>3524</v>
      </c>
      <c r="C1635" s="189" t="s">
        <v>135</v>
      </c>
      <c r="D1635" s="189" t="s">
        <v>123</v>
      </c>
      <c r="E1635" s="190" t="s">
        <v>3525</v>
      </c>
      <c r="F1635" s="191">
        <f t="shared" si="27"/>
        <v>230</v>
      </c>
      <c r="G1635" s="185"/>
      <c r="H1635" s="181"/>
      <c r="I1635" s="74"/>
      <c r="J1635" s="74"/>
      <c r="M1635" s="185"/>
      <c r="N1635" s="185"/>
      <c r="O1635" s="185"/>
      <c r="P1635" s="185"/>
      <c r="Q1635" s="185"/>
      <c r="R1635" s="185"/>
    </row>
    <row r="1636" spans="1:18" s="197" customFormat="1" ht="12.75" x14ac:dyDescent="0.2">
      <c r="A1636" s="181"/>
      <c r="B1636" s="188" t="s">
        <v>3526</v>
      </c>
      <c r="C1636" s="189" t="s">
        <v>135</v>
      </c>
      <c r="D1636" s="189" t="s">
        <v>160</v>
      </c>
      <c r="E1636" s="190" t="s">
        <v>3527</v>
      </c>
      <c r="F1636" s="191">
        <f t="shared" si="27"/>
        <v>256.06666666666666</v>
      </c>
      <c r="G1636" s="185"/>
      <c r="H1636" s="181"/>
      <c r="I1636" s="74"/>
      <c r="J1636" s="74"/>
      <c r="M1636" s="185"/>
      <c r="N1636" s="185"/>
      <c r="O1636" s="185"/>
      <c r="P1636" s="185"/>
      <c r="Q1636" s="185"/>
      <c r="R1636" s="185"/>
    </row>
    <row r="1637" spans="1:18" s="197" customFormat="1" ht="12.75" x14ac:dyDescent="0.2">
      <c r="A1637" s="181"/>
      <c r="B1637" s="188" t="s">
        <v>252</v>
      </c>
      <c r="C1637" s="189" t="s">
        <v>130</v>
      </c>
      <c r="D1637" s="189" t="s">
        <v>132</v>
      </c>
      <c r="E1637" s="190" t="s">
        <v>1895</v>
      </c>
      <c r="F1637" s="191">
        <f t="shared" si="27"/>
        <v>231.76666666666668</v>
      </c>
      <c r="G1637" s="185"/>
      <c r="H1637" s="181"/>
      <c r="I1637" s="74"/>
      <c r="J1637" s="74"/>
      <c r="M1637" s="185"/>
      <c r="N1637" s="185"/>
      <c r="O1637" s="185"/>
      <c r="P1637" s="185"/>
      <c r="Q1637" s="185"/>
      <c r="R1637" s="185"/>
    </row>
    <row r="1638" spans="1:18" s="197" customFormat="1" ht="12.75" x14ac:dyDescent="0.2">
      <c r="A1638" s="181"/>
      <c r="B1638" s="188" t="s">
        <v>3528</v>
      </c>
      <c r="C1638" s="189" t="s">
        <v>222</v>
      </c>
      <c r="D1638" s="189" t="s">
        <v>145</v>
      </c>
      <c r="E1638" s="190" t="s">
        <v>3529</v>
      </c>
      <c r="F1638" s="191">
        <f t="shared" si="27"/>
        <v>315.75</v>
      </c>
      <c r="G1638" s="185"/>
      <c r="H1638" s="181"/>
      <c r="I1638" s="74"/>
      <c r="J1638" s="74"/>
      <c r="M1638" s="185"/>
      <c r="N1638" s="185"/>
      <c r="O1638" s="185"/>
      <c r="P1638" s="185"/>
      <c r="Q1638" s="185"/>
      <c r="R1638" s="185"/>
    </row>
    <row r="1639" spans="1:18" s="197" customFormat="1" ht="12.75" x14ac:dyDescent="0.2">
      <c r="A1639" s="181"/>
      <c r="B1639" s="188" t="s">
        <v>3530</v>
      </c>
      <c r="C1639" s="189" t="s">
        <v>126</v>
      </c>
      <c r="D1639" s="189" t="s">
        <v>123</v>
      </c>
      <c r="E1639" s="190" t="s">
        <v>3531</v>
      </c>
      <c r="F1639" s="191">
        <f t="shared" si="27"/>
        <v>316.43333333333334</v>
      </c>
      <c r="G1639" s="185"/>
      <c r="H1639" s="181"/>
      <c r="I1639" s="74"/>
      <c r="J1639" s="74"/>
      <c r="M1639" s="185"/>
      <c r="N1639" s="185"/>
      <c r="O1639" s="185"/>
      <c r="P1639" s="185"/>
      <c r="Q1639" s="185"/>
      <c r="R1639" s="185"/>
    </row>
    <row r="1640" spans="1:18" s="197" customFormat="1" ht="12.75" x14ac:dyDescent="0.2">
      <c r="A1640" s="181"/>
      <c r="B1640" s="188" t="s">
        <v>3532</v>
      </c>
      <c r="C1640" s="189" t="s">
        <v>134</v>
      </c>
      <c r="D1640" s="189" t="s">
        <v>123</v>
      </c>
      <c r="E1640" s="190" t="s">
        <v>3533</v>
      </c>
      <c r="F1640" s="191">
        <f t="shared" si="27"/>
        <v>214.51666666666668</v>
      </c>
      <c r="G1640" s="185"/>
      <c r="H1640" s="181"/>
      <c r="I1640" s="74"/>
      <c r="J1640" s="74"/>
      <c r="M1640" s="185"/>
      <c r="N1640" s="185"/>
      <c r="O1640" s="185"/>
      <c r="P1640" s="185"/>
      <c r="Q1640" s="185"/>
      <c r="R1640" s="185"/>
    </row>
    <row r="1641" spans="1:18" s="197" customFormat="1" ht="12.75" x14ac:dyDescent="0.2">
      <c r="A1641" s="181"/>
      <c r="B1641" s="188" t="s">
        <v>3534</v>
      </c>
      <c r="C1641" s="189" t="s">
        <v>124</v>
      </c>
      <c r="D1641" s="189" t="s">
        <v>132</v>
      </c>
      <c r="E1641" s="190" t="s">
        <v>3535</v>
      </c>
      <c r="F1641" s="191">
        <f t="shared" si="27"/>
        <v>258.28333333333336</v>
      </c>
      <c r="G1641" s="185"/>
      <c r="H1641" s="181"/>
      <c r="I1641" s="74"/>
      <c r="J1641" s="74"/>
      <c r="M1641" s="185"/>
      <c r="N1641" s="185"/>
      <c r="O1641" s="185"/>
      <c r="P1641" s="185"/>
      <c r="Q1641" s="185"/>
      <c r="R1641" s="185"/>
    </row>
    <row r="1642" spans="1:18" s="197" customFormat="1" ht="12.75" x14ac:dyDescent="0.2">
      <c r="A1642" s="181"/>
      <c r="B1642" s="188" t="s">
        <v>3536</v>
      </c>
      <c r="C1642" s="189" t="s">
        <v>125</v>
      </c>
      <c r="D1642" s="189" t="s">
        <v>123</v>
      </c>
      <c r="E1642" s="190" t="s">
        <v>1580</v>
      </c>
      <c r="F1642" s="191">
        <f t="shared" si="27"/>
        <v>319</v>
      </c>
      <c r="G1642" s="185"/>
      <c r="H1642" s="181"/>
      <c r="I1642" s="74"/>
      <c r="J1642" s="74"/>
      <c r="M1642" s="185"/>
      <c r="N1642" s="185"/>
      <c r="O1642" s="185"/>
      <c r="P1642" s="185"/>
      <c r="Q1642" s="185"/>
      <c r="R1642" s="185"/>
    </row>
    <row r="1643" spans="1:18" s="197" customFormat="1" ht="12.75" x14ac:dyDescent="0.2">
      <c r="A1643" s="181"/>
      <c r="B1643" s="188" t="s">
        <v>3537</v>
      </c>
      <c r="C1643" s="189" t="s">
        <v>135</v>
      </c>
      <c r="D1643" s="189" t="s">
        <v>123</v>
      </c>
      <c r="E1643" s="190" t="s">
        <v>3538</v>
      </c>
      <c r="F1643" s="191">
        <f t="shared" si="27"/>
        <v>232.08333333333334</v>
      </c>
      <c r="G1643" s="185"/>
      <c r="H1643" s="181"/>
      <c r="I1643" s="74"/>
      <c r="J1643" s="74"/>
      <c r="M1643" s="185"/>
      <c r="N1643" s="185"/>
      <c r="O1643" s="185"/>
      <c r="P1643" s="185"/>
      <c r="Q1643" s="185"/>
      <c r="R1643" s="185"/>
    </row>
    <row r="1644" spans="1:18" s="197" customFormat="1" ht="12.75" x14ac:dyDescent="0.2">
      <c r="A1644" s="181"/>
      <c r="B1644" s="188" t="s">
        <v>3539</v>
      </c>
      <c r="C1644" s="189" t="s">
        <v>128</v>
      </c>
      <c r="D1644" s="189" t="s">
        <v>171</v>
      </c>
      <c r="E1644" s="190" t="s">
        <v>3540</v>
      </c>
      <c r="F1644" s="191">
        <f t="shared" si="27"/>
        <v>263.55</v>
      </c>
      <c r="G1644" s="185"/>
      <c r="H1644" s="181"/>
      <c r="I1644" s="74"/>
      <c r="J1644" s="74"/>
      <c r="M1644" s="185"/>
      <c r="N1644" s="185"/>
      <c r="O1644" s="185"/>
      <c r="P1644" s="185"/>
      <c r="Q1644" s="185"/>
      <c r="R1644" s="185"/>
    </row>
    <row r="1645" spans="1:18" s="197" customFormat="1" ht="12.75" x14ac:dyDescent="0.2">
      <c r="A1645" s="181"/>
      <c r="B1645" s="188" t="s">
        <v>3541</v>
      </c>
      <c r="C1645" s="189" t="s">
        <v>136</v>
      </c>
      <c r="D1645" s="189" t="s">
        <v>302</v>
      </c>
      <c r="E1645" s="190" t="s">
        <v>3542</v>
      </c>
      <c r="F1645" s="191">
        <f t="shared" si="27"/>
        <v>225.7</v>
      </c>
      <c r="G1645" s="185"/>
      <c r="H1645" s="181"/>
      <c r="I1645" s="74"/>
      <c r="J1645" s="74"/>
      <c r="M1645" s="185"/>
      <c r="N1645" s="185"/>
      <c r="O1645" s="185"/>
      <c r="P1645" s="185"/>
      <c r="Q1645" s="185"/>
      <c r="R1645" s="185"/>
    </row>
    <row r="1646" spans="1:18" s="197" customFormat="1" ht="12.75" x14ac:dyDescent="0.2">
      <c r="A1646" s="181"/>
      <c r="B1646" s="188" t="s">
        <v>3543</v>
      </c>
      <c r="C1646" s="189" t="s">
        <v>128</v>
      </c>
      <c r="D1646" s="189" t="s">
        <v>152</v>
      </c>
      <c r="E1646" s="190" t="s">
        <v>3544</v>
      </c>
      <c r="F1646" s="191">
        <f t="shared" si="27"/>
        <v>242.38333333333333</v>
      </c>
      <c r="G1646" s="185"/>
      <c r="H1646" s="181"/>
      <c r="I1646" s="74"/>
      <c r="J1646" s="74"/>
      <c r="M1646" s="185"/>
      <c r="N1646" s="185"/>
      <c r="O1646" s="185"/>
      <c r="P1646" s="185"/>
      <c r="Q1646" s="185"/>
      <c r="R1646" s="185"/>
    </row>
    <row r="1647" spans="1:18" s="197" customFormat="1" ht="12.75" x14ac:dyDescent="0.2">
      <c r="A1647" s="181"/>
      <c r="B1647" s="188" t="s">
        <v>3545</v>
      </c>
      <c r="C1647" s="189" t="s">
        <v>135</v>
      </c>
      <c r="D1647" s="189" t="s">
        <v>154</v>
      </c>
      <c r="E1647" s="190" t="s">
        <v>3546</v>
      </c>
      <c r="F1647" s="191">
        <f t="shared" si="27"/>
        <v>259.95</v>
      </c>
      <c r="G1647" s="185"/>
      <c r="H1647" s="181"/>
      <c r="I1647" s="74"/>
      <c r="J1647" s="74"/>
      <c r="M1647" s="185"/>
      <c r="N1647" s="185"/>
      <c r="O1647" s="185"/>
      <c r="P1647" s="185"/>
      <c r="Q1647" s="185"/>
      <c r="R1647" s="185"/>
    </row>
    <row r="1648" spans="1:18" s="197" customFormat="1" ht="12.75" x14ac:dyDescent="0.2">
      <c r="A1648" s="181"/>
      <c r="B1648" s="188" t="s">
        <v>2547</v>
      </c>
      <c r="C1648" s="189" t="s">
        <v>124</v>
      </c>
      <c r="D1648" s="189" t="s">
        <v>155</v>
      </c>
      <c r="E1648" s="190" t="s">
        <v>2548</v>
      </c>
      <c r="F1648" s="191">
        <f t="shared" si="27"/>
        <v>203.63333333333333</v>
      </c>
      <c r="G1648" s="185"/>
      <c r="H1648" s="181"/>
      <c r="I1648" s="74"/>
      <c r="J1648" s="74"/>
      <c r="M1648" s="185"/>
      <c r="N1648" s="185"/>
      <c r="O1648" s="185"/>
      <c r="P1648" s="185"/>
      <c r="Q1648" s="185"/>
      <c r="R1648" s="185"/>
    </row>
    <row r="1649" spans="1:18" s="197" customFormat="1" ht="12.75" x14ac:dyDescent="0.2">
      <c r="A1649" s="181"/>
      <c r="B1649" s="188" t="s">
        <v>3547</v>
      </c>
      <c r="C1649" s="189" t="s">
        <v>124</v>
      </c>
      <c r="D1649" s="189" t="s">
        <v>131</v>
      </c>
      <c r="E1649" s="190" t="s">
        <v>3548</v>
      </c>
      <c r="F1649" s="191">
        <f t="shared" si="27"/>
        <v>253.36666666666667</v>
      </c>
      <c r="G1649" s="185"/>
      <c r="H1649" s="181"/>
      <c r="I1649" s="74"/>
      <c r="J1649" s="74"/>
      <c r="M1649" s="185"/>
      <c r="N1649" s="185"/>
      <c r="O1649" s="185"/>
      <c r="P1649" s="185"/>
      <c r="Q1649" s="185"/>
      <c r="R1649" s="185"/>
    </row>
    <row r="1650" spans="1:18" s="197" customFormat="1" ht="12.75" x14ac:dyDescent="0.2">
      <c r="A1650" s="181"/>
      <c r="B1650" s="188" t="s">
        <v>3549</v>
      </c>
      <c r="C1650" s="189" t="s">
        <v>134</v>
      </c>
      <c r="D1650" s="189" t="s">
        <v>123</v>
      </c>
      <c r="E1650" s="190" t="s">
        <v>3550</v>
      </c>
      <c r="F1650" s="191">
        <f t="shared" si="27"/>
        <v>189.03333333333333</v>
      </c>
      <c r="G1650" s="185"/>
      <c r="H1650" s="181"/>
      <c r="I1650" s="74"/>
      <c r="J1650" s="74"/>
      <c r="M1650" s="185"/>
      <c r="N1650" s="185"/>
      <c r="O1650" s="185"/>
      <c r="P1650" s="185"/>
      <c r="Q1650" s="185"/>
      <c r="R1650" s="185"/>
    </row>
    <row r="1651" spans="1:18" s="197" customFormat="1" ht="12.75" x14ac:dyDescent="0.2">
      <c r="A1651" s="181"/>
      <c r="B1651" s="188" t="s">
        <v>3551</v>
      </c>
      <c r="C1651" s="189" t="s">
        <v>130</v>
      </c>
      <c r="D1651" s="189" t="s">
        <v>129</v>
      </c>
      <c r="E1651" s="190" t="s">
        <v>3279</v>
      </c>
      <c r="F1651" s="191">
        <f t="shared" si="27"/>
        <v>237.55</v>
      </c>
      <c r="G1651" s="185"/>
      <c r="H1651" s="181"/>
      <c r="I1651" s="74"/>
      <c r="J1651" s="74"/>
      <c r="M1651" s="185"/>
      <c r="N1651" s="185"/>
      <c r="O1651" s="185"/>
      <c r="P1651" s="185"/>
      <c r="Q1651" s="185"/>
      <c r="R1651" s="185"/>
    </row>
    <row r="1652" spans="1:18" s="197" customFormat="1" ht="12.75" x14ac:dyDescent="0.2">
      <c r="A1652" s="181"/>
      <c r="B1652" s="188" t="s">
        <v>3552</v>
      </c>
      <c r="C1652" s="189" t="s">
        <v>130</v>
      </c>
      <c r="D1652" s="189" t="s">
        <v>123</v>
      </c>
      <c r="E1652" s="190" t="s">
        <v>3553</v>
      </c>
      <c r="F1652" s="191">
        <f t="shared" si="27"/>
        <v>228.28333333333333</v>
      </c>
      <c r="G1652" s="185"/>
      <c r="H1652" s="181"/>
      <c r="I1652" s="74"/>
      <c r="J1652" s="74"/>
      <c r="M1652" s="185"/>
      <c r="N1652" s="185"/>
      <c r="O1652" s="185"/>
      <c r="P1652" s="185"/>
      <c r="Q1652" s="185"/>
      <c r="R1652" s="185"/>
    </row>
    <row r="1653" spans="1:18" s="197" customFormat="1" ht="12.75" x14ac:dyDescent="0.2">
      <c r="A1653" s="181"/>
      <c r="B1653" s="188" t="s">
        <v>3554</v>
      </c>
      <c r="C1653" s="189" t="s">
        <v>125</v>
      </c>
      <c r="D1653" s="189" t="s">
        <v>123</v>
      </c>
      <c r="E1653" s="190" t="s">
        <v>3555</v>
      </c>
      <c r="F1653" s="191">
        <f t="shared" si="27"/>
        <v>313.41666666666669</v>
      </c>
      <c r="G1653" s="185"/>
      <c r="H1653" s="181"/>
      <c r="I1653" s="74"/>
      <c r="J1653" s="74"/>
      <c r="M1653" s="185"/>
      <c r="N1653" s="185"/>
      <c r="O1653" s="185"/>
      <c r="P1653" s="185"/>
      <c r="Q1653" s="185"/>
      <c r="R1653" s="185"/>
    </row>
    <row r="1654" spans="1:18" s="197" customFormat="1" ht="12.75" x14ac:dyDescent="0.2">
      <c r="A1654" s="181"/>
      <c r="B1654" s="188" t="s">
        <v>3556</v>
      </c>
      <c r="C1654" s="189" t="s">
        <v>126</v>
      </c>
      <c r="D1654" s="189" t="s">
        <v>123</v>
      </c>
      <c r="E1654" s="190" t="s">
        <v>3557</v>
      </c>
      <c r="F1654" s="191">
        <f t="shared" si="27"/>
        <v>264.68333333333334</v>
      </c>
      <c r="G1654" s="185"/>
      <c r="H1654" s="181"/>
      <c r="I1654" s="74"/>
      <c r="J1654" s="74"/>
      <c r="M1654" s="185"/>
      <c r="N1654" s="185"/>
      <c r="O1654" s="185"/>
      <c r="P1654" s="185"/>
      <c r="Q1654" s="185"/>
      <c r="R1654" s="185"/>
    </row>
    <row r="1655" spans="1:18" s="197" customFormat="1" ht="12.75" x14ac:dyDescent="0.2">
      <c r="A1655" s="181"/>
      <c r="B1655" s="188" t="s">
        <v>3558</v>
      </c>
      <c r="C1655" s="189" t="s">
        <v>124</v>
      </c>
      <c r="D1655" s="189" t="s">
        <v>147</v>
      </c>
      <c r="E1655" s="190" t="s">
        <v>3559</v>
      </c>
      <c r="F1655" s="191">
        <f t="shared" si="27"/>
        <v>209.38333333333333</v>
      </c>
      <c r="G1655" s="185"/>
      <c r="H1655" s="181"/>
      <c r="I1655" s="74"/>
      <c r="J1655" s="74"/>
      <c r="M1655" s="185"/>
      <c r="N1655" s="185"/>
      <c r="O1655" s="185"/>
      <c r="P1655" s="185"/>
      <c r="Q1655" s="185"/>
      <c r="R1655" s="185"/>
    </row>
    <row r="1656" spans="1:18" s="197" customFormat="1" ht="12.75" x14ac:dyDescent="0.2">
      <c r="A1656" s="181"/>
      <c r="B1656" s="188" t="s">
        <v>3560</v>
      </c>
      <c r="C1656" s="189" t="s">
        <v>135</v>
      </c>
      <c r="D1656" s="189" t="s">
        <v>123</v>
      </c>
      <c r="E1656" s="190" t="s">
        <v>3561</v>
      </c>
      <c r="F1656" s="191">
        <f t="shared" si="27"/>
        <v>215.9</v>
      </c>
      <c r="G1656" s="185"/>
      <c r="H1656" s="181"/>
      <c r="I1656" s="74"/>
      <c r="J1656" s="74"/>
      <c r="M1656" s="185"/>
      <c r="N1656" s="185"/>
      <c r="O1656" s="185"/>
      <c r="P1656" s="185"/>
      <c r="Q1656" s="185"/>
      <c r="R1656" s="185"/>
    </row>
    <row r="1657" spans="1:18" s="197" customFormat="1" ht="12.75" x14ac:dyDescent="0.2">
      <c r="A1657" s="181"/>
      <c r="B1657" s="188" t="s">
        <v>3562</v>
      </c>
      <c r="C1657" s="189" t="s">
        <v>135</v>
      </c>
      <c r="D1657" s="189" t="s">
        <v>123</v>
      </c>
      <c r="E1657" s="190" t="s">
        <v>3220</v>
      </c>
      <c r="F1657" s="191">
        <f t="shared" si="27"/>
        <v>236.35</v>
      </c>
      <c r="G1657" s="185"/>
      <c r="H1657" s="181"/>
      <c r="I1657" s="74"/>
      <c r="J1657" s="74"/>
      <c r="M1657" s="185"/>
      <c r="N1657" s="185"/>
      <c r="O1657" s="185"/>
      <c r="P1657" s="185"/>
      <c r="Q1657" s="185"/>
      <c r="R1657" s="185"/>
    </row>
    <row r="1658" spans="1:18" s="197" customFormat="1" ht="12.75" x14ac:dyDescent="0.2">
      <c r="A1658" s="181"/>
      <c r="B1658" s="188" t="s">
        <v>3563</v>
      </c>
      <c r="C1658" s="189" t="s">
        <v>142</v>
      </c>
      <c r="D1658" s="189" t="s">
        <v>123</v>
      </c>
      <c r="E1658" s="190" t="s">
        <v>3564</v>
      </c>
      <c r="F1658" s="191">
        <f t="shared" si="27"/>
        <v>218.01666666666668</v>
      </c>
      <c r="G1658" s="185"/>
      <c r="H1658" s="181"/>
      <c r="I1658" s="74"/>
      <c r="J1658" s="74"/>
      <c r="M1658" s="185"/>
      <c r="N1658" s="185"/>
      <c r="O1658" s="185"/>
      <c r="P1658" s="185"/>
      <c r="Q1658" s="185"/>
      <c r="R1658" s="185"/>
    </row>
    <row r="1659" spans="1:18" s="197" customFormat="1" ht="12.75" x14ac:dyDescent="0.2">
      <c r="A1659" s="181"/>
      <c r="B1659" s="188" t="s">
        <v>3565</v>
      </c>
      <c r="C1659" s="189" t="s">
        <v>142</v>
      </c>
      <c r="D1659" s="189" t="s">
        <v>123</v>
      </c>
      <c r="E1659" s="190" t="s">
        <v>1449</v>
      </c>
      <c r="F1659" s="191">
        <f t="shared" si="27"/>
        <v>237.36666666666667</v>
      </c>
      <c r="G1659" s="185"/>
      <c r="H1659" s="181"/>
      <c r="I1659" s="74"/>
      <c r="J1659" s="74"/>
      <c r="M1659" s="185"/>
      <c r="N1659" s="185"/>
      <c r="O1659" s="185"/>
      <c r="P1659" s="185"/>
      <c r="Q1659" s="185"/>
      <c r="R1659" s="185"/>
    </row>
    <row r="1660" spans="1:18" s="197" customFormat="1" ht="12.75" x14ac:dyDescent="0.2">
      <c r="A1660" s="181"/>
      <c r="B1660" s="188" t="s">
        <v>3566</v>
      </c>
      <c r="C1660" s="189" t="s">
        <v>134</v>
      </c>
      <c r="D1660" s="189" t="s">
        <v>123</v>
      </c>
      <c r="E1660" s="190" t="s">
        <v>3567</v>
      </c>
      <c r="F1660" s="191">
        <f t="shared" si="27"/>
        <v>262.63333333333333</v>
      </c>
      <c r="G1660" s="185"/>
      <c r="H1660" s="181"/>
      <c r="I1660" s="74"/>
      <c r="J1660" s="74"/>
      <c r="M1660" s="185"/>
      <c r="N1660" s="185"/>
      <c r="O1660" s="185"/>
      <c r="P1660" s="185"/>
      <c r="Q1660" s="185"/>
      <c r="R1660" s="185"/>
    </row>
    <row r="1661" spans="1:18" s="197" customFormat="1" ht="12.75" x14ac:dyDescent="0.2">
      <c r="A1661" s="181"/>
      <c r="B1661" s="188" t="s">
        <v>3568</v>
      </c>
      <c r="C1661" s="189" t="s">
        <v>125</v>
      </c>
      <c r="D1661" s="189" t="s">
        <v>157</v>
      </c>
      <c r="E1661" s="190" t="s">
        <v>3569</v>
      </c>
      <c r="F1661" s="191">
        <f t="shared" si="27"/>
        <v>197.96666666666667</v>
      </c>
      <c r="G1661" s="185"/>
      <c r="H1661" s="181"/>
      <c r="I1661" s="74"/>
      <c r="J1661" s="74"/>
      <c r="M1661" s="185"/>
      <c r="N1661" s="185"/>
      <c r="O1661" s="185"/>
      <c r="P1661" s="185"/>
      <c r="Q1661" s="185"/>
      <c r="R1661" s="185"/>
    </row>
    <row r="1662" spans="1:18" s="197" customFormat="1" ht="12.75" x14ac:dyDescent="0.2">
      <c r="A1662" s="181"/>
      <c r="B1662" s="188" t="s">
        <v>3570</v>
      </c>
      <c r="C1662" s="189" t="s">
        <v>142</v>
      </c>
      <c r="D1662" s="189" t="s">
        <v>123</v>
      </c>
      <c r="E1662" s="190" t="s">
        <v>3571</v>
      </c>
      <c r="F1662" s="191">
        <f t="shared" si="27"/>
        <v>239.45</v>
      </c>
      <c r="G1662" s="185"/>
      <c r="H1662" s="181"/>
      <c r="I1662" s="74"/>
      <c r="J1662" s="74"/>
      <c r="M1662" s="185"/>
      <c r="N1662" s="185"/>
      <c r="O1662" s="185"/>
      <c r="P1662" s="185"/>
      <c r="Q1662" s="185"/>
      <c r="R1662" s="185"/>
    </row>
    <row r="1663" spans="1:18" s="197" customFormat="1" ht="12.75" x14ac:dyDescent="0.2">
      <c r="A1663" s="181"/>
      <c r="B1663" s="188" t="s">
        <v>3572</v>
      </c>
      <c r="C1663" s="189" t="s">
        <v>125</v>
      </c>
      <c r="D1663" s="189" t="s">
        <v>123</v>
      </c>
      <c r="E1663" s="190" t="s">
        <v>2296</v>
      </c>
      <c r="F1663" s="191">
        <f t="shared" si="27"/>
        <v>267.46666666666664</v>
      </c>
      <c r="G1663" s="185"/>
      <c r="H1663" s="181"/>
      <c r="I1663" s="74"/>
      <c r="J1663" s="74"/>
      <c r="M1663" s="185"/>
      <c r="N1663" s="185"/>
      <c r="O1663" s="185"/>
      <c r="P1663" s="185"/>
      <c r="Q1663" s="185"/>
      <c r="R1663" s="185"/>
    </row>
    <row r="1664" spans="1:18" s="197" customFormat="1" ht="12.75" x14ac:dyDescent="0.2">
      <c r="A1664" s="181"/>
      <c r="B1664" s="188" t="s">
        <v>3573</v>
      </c>
      <c r="C1664" s="189" t="s">
        <v>126</v>
      </c>
      <c r="D1664" s="189" t="s">
        <v>289</v>
      </c>
      <c r="E1664" s="190" t="s">
        <v>3574</v>
      </c>
      <c r="F1664" s="191">
        <f t="shared" si="27"/>
        <v>196.13333333333333</v>
      </c>
      <c r="G1664" s="185"/>
      <c r="H1664" s="181"/>
      <c r="I1664" s="74"/>
      <c r="J1664" s="74"/>
      <c r="M1664" s="185"/>
      <c r="N1664" s="185"/>
      <c r="O1664" s="185"/>
      <c r="P1664" s="185"/>
      <c r="Q1664" s="185"/>
      <c r="R1664" s="185"/>
    </row>
    <row r="1665" spans="1:18" s="197" customFormat="1" ht="12.75" x14ac:dyDescent="0.2">
      <c r="A1665" s="181"/>
      <c r="B1665" s="188" t="s">
        <v>3575</v>
      </c>
      <c r="C1665" s="189" t="s">
        <v>124</v>
      </c>
      <c r="D1665" s="189" t="s">
        <v>123</v>
      </c>
      <c r="E1665" s="190" t="s">
        <v>3576</v>
      </c>
      <c r="F1665" s="191">
        <f t="shared" si="27"/>
        <v>226.1</v>
      </c>
      <c r="G1665" s="185"/>
      <c r="H1665" s="181"/>
      <c r="I1665" s="74"/>
      <c r="J1665" s="74"/>
      <c r="M1665" s="185"/>
      <c r="N1665" s="185"/>
      <c r="O1665" s="185"/>
      <c r="P1665" s="185"/>
      <c r="Q1665" s="185"/>
      <c r="R1665" s="185"/>
    </row>
    <row r="1666" spans="1:18" s="197" customFormat="1" ht="12.75" x14ac:dyDescent="0.2">
      <c r="A1666" s="181"/>
      <c r="B1666" s="188" t="s">
        <v>3577</v>
      </c>
      <c r="C1666" s="189" t="s">
        <v>140</v>
      </c>
      <c r="D1666" s="189" t="s">
        <v>123</v>
      </c>
      <c r="E1666" s="190" t="s">
        <v>3578</v>
      </c>
      <c r="F1666" s="191">
        <f t="shared" si="27"/>
        <v>269.31666666666666</v>
      </c>
      <c r="G1666" s="185"/>
      <c r="H1666" s="181"/>
      <c r="I1666" s="74"/>
      <c r="J1666" s="74"/>
      <c r="M1666" s="185"/>
      <c r="N1666" s="185"/>
      <c r="O1666" s="185"/>
      <c r="P1666" s="185"/>
      <c r="Q1666" s="185"/>
      <c r="R1666" s="185"/>
    </row>
    <row r="1667" spans="1:18" s="197" customFormat="1" ht="12.75" x14ac:dyDescent="0.2">
      <c r="A1667" s="181"/>
      <c r="B1667" s="188" t="s">
        <v>3579</v>
      </c>
      <c r="C1667" s="189" t="s">
        <v>128</v>
      </c>
      <c r="D1667" s="189" t="s">
        <v>123</v>
      </c>
      <c r="E1667" s="190" t="s">
        <v>3580</v>
      </c>
      <c r="F1667" s="191">
        <f t="shared" si="27"/>
        <v>325.66666666666669</v>
      </c>
      <c r="G1667" s="185"/>
      <c r="H1667" s="181"/>
      <c r="I1667" s="74"/>
      <c r="J1667" s="74"/>
      <c r="M1667" s="185"/>
      <c r="N1667" s="185"/>
      <c r="O1667" s="185"/>
      <c r="P1667" s="185"/>
      <c r="Q1667" s="185"/>
      <c r="R1667" s="185"/>
    </row>
    <row r="1668" spans="1:18" s="197" customFormat="1" ht="12.75" x14ac:dyDescent="0.2">
      <c r="A1668" s="181"/>
      <c r="B1668" s="188" t="s">
        <v>3581</v>
      </c>
      <c r="C1668" s="189" t="s">
        <v>125</v>
      </c>
      <c r="D1668" s="189" t="s">
        <v>208</v>
      </c>
      <c r="E1668" s="190" t="s">
        <v>3582</v>
      </c>
      <c r="F1668" s="191">
        <f t="shared" si="27"/>
        <v>209.15</v>
      </c>
      <c r="G1668" s="185"/>
      <c r="H1668" s="181"/>
      <c r="I1668" s="74"/>
      <c r="J1668" s="74"/>
      <c r="M1668" s="185"/>
      <c r="N1668" s="185"/>
      <c r="O1668" s="185"/>
      <c r="P1668" s="185"/>
      <c r="Q1668" s="185"/>
      <c r="R1668" s="185"/>
    </row>
    <row r="1669" spans="1:18" s="197" customFormat="1" ht="12.75" x14ac:dyDescent="0.2">
      <c r="A1669" s="181"/>
      <c r="B1669" s="188" t="s">
        <v>3583</v>
      </c>
      <c r="C1669" s="189" t="s">
        <v>126</v>
      </c>
      <c r="D1669" s="189" t="s">
        <v>123</v>
      </c>
      <c r="E1669" s="190" t="s">
        <v>3584</v>
      </c>
      <c r="F1669" s="191">
        <f t="shared" si="27"/>
        <v>224.4</v>
      </c>
      <c r="G1669" s="185"/>
      <c r="H1669" s="181"/>
      <c r="I1669" s="74"/>
      <c r="J1669" s="74"/>
      <c r="M1669" s="185"/>
      <c r="N1669" s="185"/>
      <c r="O1669" s="185"/>
      <c r="P1669" s="185"/>
      <c r="Q1669" s="185"/>
      <c r="R1669" s="185"/>
    </row>
    <row r="1670" spans="1:18" s="197" customFormat="1" ht="12.75" x14ac:dyDescent="0.2">
      <c r="A1670" s="181"/>
      <c r="B1670" s="188" t="s">
        <v>3585</v>
      </c>
      <c r="C1670" s="189" t="s">
        <v>126</v>
      </c>
      <c r="D1670" s="189" t="s">
        <v>141</v>
      </c>
      <c r="E1670" s="190" t="s">
        <v>3586</v>
      </c>
      <c r="F1670" s="191">
        <f t="shared" si="27"/>
        <v>246.45</v>
      </c>
      <c r="G1670" s="185"/>
      <c r="H1670" s="181"/>
      <c r="I1670" s="74"/>
      <c r="J1670" s="74"/>
      <c r="M1670" s="185"/>
      <c r="N1670" s="185"/>
      <c r="O1670" s="185"/>
      <c r="P1670" s="185"/>
      <c r="Q1670" s="185"/>
      <c r="R1670" s="185"/>
    </row>
    <row r="1671" spans="1:18" s="197" customFormat="1" ht="12.75" x14ac:dyDescent="0.2">
      <c r="A1671" s="181"/>
      <c r="B1671" s="188" t="s">
        <v>1355</v>
      </c>
      <c r="C1671" s="189" t="s">
        <v>124</v>
      </c>
      <c r="D1671" s="189" t="s">
        <v>123</v>
      </c>
      <c r="E1671" s="190" t="s">
        <v>1356</v>
      </c>
      <c r="F1671" s="191">
        <f t="shared" si="27"/>
        <v>302.73333333333335</v>
      </c>
      <c r="G1671" s="185"/>
      <c r="H1671" s="181"/>
      <c r="I1671" s="74"/>
      <c r="J1671" s="74"/>
      <c r="M1671" s="185"/>
      <c r="N1671" s="185"/>
      <c r="O1671" s="185"/>
      <c r="P1671" s="185"/>
      <c r="Q1671" s="185"/>
      <c r="R1671" s="185"/>
    </row>
    <row r="1672" spans="1:18" s="197" customFormat="1" ht="12.75" x14ac:dyDescent="0.2">
      <c r="A1672" s="181"/>
      <c r="B1672" s="188" t="s">
        <v>3587</v>
      </c>
      <c r="C1672" s="189" t="s">
        <v>126</v>
      </c>
      <c r="D1672" s="189" t="s">
        <v>123</v>
      </c>
      <c r="E1672" s="190" t="s">
        <v>3588</v>
      </c>
      <c r="F1672" s="191">
        <f t="shared" si="27"/>
        <v>217.61666666666667</v>
      </c>
      <c r="G1672" s="185"/>
      <c r="H1672" s="181"/>
      <c r="I1672" s="74"/>
      <c r="J1672" s="74"/>
      <c r="M1672" s="185"/>
      <c r="N1672" s="185"/>
      <c r="O1672" s="185"/>
      <c r="P1672" s="185"/>
      <c r="Q1672" s="185"/>
      <c r="R1672" s="185"/>
    </row>
    <row r="1673" spans="1:18" s="197" customFormat="1" ht="12.75" x14ac:dyDescent="0.2">
      <c r="A1673" s="181"/>
      <c r="B1673" s="188" t="s">
        <v>3589</v>
      </c>
      <c r="C1673" s="189" t="s">
        <v>126</v>
      </c>
      <c r="D1673" s="189" t="s">
        <v>131</v>
      </c>
      <c r="E1673" s="190" t="s">
        <v>747</v>
      </c>
      <c r="F1673" s="191">
        <f t="shared" si="27"/>
        <v>281.13333333333333</v>
      </c>
      <c r="G1673" s="185"/>
      <c r="H1673" s="181"/>
      <c r="I1673" s="74"/>
      <c r="J1673" s="74"/>
      <c r="M1673" s="185"/>
      <c r="N1673" s="185"/>
      <c r="O1673" s="185"/>
      <c r="P1673" s="185"/>
      <c r="Q1673" s="185"/>
      <c r="R1673" s="185"/>
    </row>
    <row r="1674" spans="1:18" s="197" customFormat="1" ht="12.75" x14ac:dyDescent="0.2">
      <c r="A1674" s="181"/>
      <c r="B1674" s="188" t="s">
        <v>3590</v>
      </c>
      <c r="C1674" s="189" t="s">
        <v>134</v>
      </c>
      <c r="D1674" s="189" t="s">
        <v>123</v>
      </c>
      <c r="E1674" s="190" t="s">
        <v>3591</v>
      </c>
      <c r="F1674" s="191">
        <f t="shared" si="27"/>
        <v>209.41666666666666</v>
      </c>
      <c r="G1674" s="185"/>
      <c r="H1674" s="181"/>
      <c r="I1674" s="74"/>
      <c r="J1674" s="74"/>
      <c r="M1674" s="185"/>
      <c r="N1674" s="185"/>
      <c r="O1674" s="185"/>
      <c r="P1674" s="185"/>
      <c r="Q1674" s="185"/>
      <c r="R1674" s="185"/>
    </row>
    <row r="1675" spans="1:18" s="197" customFormat="1" ht="12.75" x14ac:dyDescent="0.2">
      <c r="A1675" s="181"/>
      <c r="B1675" s="188" t="s">
        <v>3592</v>
      </c>
      <c r="C1675" s="189" t="s">
        <v>134</v>
      </c>
      <c r="D1675" s="189" t="s">
        <v>123</v>
      </c>
      <c r="E1675" s="190" t="s">
        <v>1009</v>
      </c>
      <c r="F1675" s="191">
        <f t="shared" ref="F1675:F1738" si="28">HOUR(E1675)*60+MINUTE(E1675)+SECOND(E1675)/60</f>
        <v>247.66666666666666</v>
      </c>
      <c r="G1675" s="185"/>
      <c r="H1675" s="181"/>
      <c r="I1675" s="74"/>
      <c r="J1675" s="74"/>
      <c r="M1675" s="185"/>
      <c r="N1675" s="185"/>
      <c r="O1675" s="185"/>
      <c r="P1675" s="185"/>
      <c r="Q1675" s="185"/>
      <c r="R1675" s="185"/>
    </row>
    <row r="1676" spans="1:18" s="197" customFormat="1" ht="12.75" x14ac:dyDescent="0.2">
      <c r="A1676" s="181"/>
      <c r="B1676" s="188" t="s">
        <v>460</v>
      </c>
      <c r="C1676" s="189" t="s">
        <v>140</v>
      </c>
      <c r="D1676" s="189" t="s">
        <v>144</v>
      </c>
      <c r="E1676" s="190" t="s">
        <v>2088</v>
      </c>
      <c r="F1676" s="191">
        <f t="shared" si="28"/>
        <v>290.25</v>
      </c>
      <c r="G1676" s="185"/>
      <c r="H1676" s="181"/>
      <c r="I1676" s="74"/>
      <c r="J1676" s="74"/>
      <c r="M1676" s="185"/>
      <c r="N1676" s="185"/>
      <c r="O1676" s="185"/>
      <c r="P1676" s="185"/>
      <c r="Q1676" s="185"/>
      <c r="R1676" s="185"/>
    </row>
    <row r="1677" spans="1:18" s="197" customFormat="1" ht="12.75" x14ac:dyDescent="0.2">
      <c r="A1677" s="181"/>
      <c r="B1677" s="188" t="s">
        <v>3593</v>
      </c>
      <c r="C1677" s="189" t="s">
        <v>135</v>
      </c>
      <c r="D1677" s="189" t="s">
        <v>131</v>
      </c>
      <c r="E1677" s="190" t="s">
        <v>3594</v>
      </c>
      <c r="F1677" s="191">
        <f t="shared" si="28"/>
        <v>241.28333333333333</v>
      </c>
      <c r="G1677" s="185"/>
      <c r="H1677" s="181"/>
      <c r="I1677" s="74"/>
      <c r="J1677" s="74"/>
      <c r="M1677" s="185"/>
      <c r="N1677" s="185"/>
      <c r="O1677" s="185"/>
      <c r="P1677" s="185"/>
      <c r="Q1677" s="185"/>
      <c r="R1677" s="185"/>
    </row>
    <row r="1678" spans="1:18" s="197" customFormat="1" ht="12.75" x14ac:dyDescent="0.2">
      <c r="A1678" s="181"/>
      <c r="B1678" s="188" t="s">
        <v>320</v>
      </c>
      <c r="C1678" s="189" t="s">
        <v>142</v>
      </c>
      <c r="D1678" s="189" t="s">
        <v>123</v>
      </c>
      <c r="E1678" s="190" t="s">
        <v>743</v>
      </c>
      <c r="F1678" s="191">
        <f t="shared" si="28"/>
        <v>211.26666666666668</v>
      </c>
      <c r="G1678" s="185"/>
      <c r="H1678" s="181"/>
      <c r="I1678" s="74"/>
      <c r="J1678" s="74"/>
      <c r="M1678" s="185"/>
      <c r="N1678" s="185"/>
      <c r="O1678" s="185"/>
      <c r="P1678" s="185"/>
      <c r="Q1678" s="185"/>
      <c r="R1678" s="185"/>
    </row>
    <row r="1679" spans="1:18" s="197" customFormat="1" ht="12.75" x14ac:dyDescent="0.2">
      <c r="A1679" s="181"/>
      <c r="B1679" s="188" t="s">
        <v>3595</v>
      </c>
      <c r="C1679" s="189" t="s">
        <v>125</v>
      </c>
      <c r="D1679" s="189" t="s">
        <v>123</v>
      </c>
      <c r="E1679" s="190" t="s">
        <v>3596</v>
      </c>
      <c r="F1679" s="191">
        <f t="shared" si="28"/>
        <v>194.18333333333334</v>
      </c>
      <c r="G1679" s="185"/>
      <c r="H1679" s="181"/>
      <c r="I1679" s="74"/>
      <c r="J1679" s="74"/>
      <c r="M1679" s="185"/>
      <c r="N1679" s="185"/>
      <c r="O1679" s="185"/>
      <c r="P1679" s="185"/>
      <c r="Q1679" s="185"/>
      <c r="R1679" s="185"/>
    </row>
    <row r="1680" spans="1:18" s="197" customFormat="1" ht="12.75" x14ac:dyDescent="0.2">
      <c r="A1680" s="181"/>
      <c r="B1680" s="188" t="s">
        <v>3056</v>
      </c>
      <c r="C1680" s="189" t="s">
        <v>124</v>
      </c>
      <c r="D1680" s="189" t="s">
        <v>123</v>
      </c>
      <c r="E1680" s="190" t="s">
        <v>3597</v>
      </c>
      <c r="F1680" s="191">
        <f t="shared" si="28"/>
        <v>230.81666666666666</v>
      </c>
      <c r="G1680" s="185"/>
      <c r="H1680" s="181"/>
      <c r="I1680" s="74"/>
      <c r="J1680" s="74"/>
      <c r="M1680" s="185"/>
      <c r="N1680" s="185"/>
      <c r="O1680" s="185"/>
      <c r="P1680" s="185"/>
      <c r="Q1680" s="185"/>
      <c r="R1680" s="185"/>
    </row>
    <row r="1681" spans="1:18" s="197" customFormat="1" ht="12.75" x14ac:dyDescent="0.2">
      <c r="A1681" s="181"/>
      <c r="B1681" s="188" t="s">
        <v>3598</v>
      </c>
      <c r="C1681" s="189" t="s">
        <v>222</v>
      </c>
      <c r="D1681" s="189" t="s">
        <v>123</v>
      </c>
      <c r="E1681" s="190" t="s">
        <v>3599</v>
      </c>
      <c r="F1681" s="191">
        <f t="shared" si="28"/>
        <v>262.53333333333336</v>
      </c>
      <c r="G1681" s="185"/>
      <c r="H1681" s="181"/>
      <c r="I1681" s="74"/>
      <c r="J1681" s="74"/>
      <c r="M1681" s="185"/>
      <c r="N1681" s="185"/>
      <c r="O1681" s="185"/>
      <c r="P1681" s="185"/>
      <c r="Q1681" s="185"/>
      <c r="R1681" s="185"/>
    </row>
    <row r="1682" spans="1:18" s="197" customFormat="1" ht="12.75" x14ac:dyDescent="0.2">
      <c r="A1682" s="181"/>
      <c r="B1682" s="188" t="s">
        <v>3600</v>
      </c>
      <c r="C1682" s="189" t="s">
        <v>134</v>
      </c>
      <c r="D1682" s="189" t="s">
        <v>152</v>
      </c>
      <c r="E1682" s="190" t="s">
        <v>3601</v>
      </c>
      <c r="F1682" s="191">
        <f t="shared" si="28"/>
        <v>249.71666666666667</v>
      </c>
      <c r="G1682" s="185"/>
      <c r="H1682" s="181"/>
      <c r="I1682" s="74"/>
      <c r="J1682" s="74"/>
      <c r="M1682" s="185"/>
      <c r="N1682" s="185"/>
      <c r="O1682" s="185"/>
      <c r="P1682" s="185"/>
      <c r="Q1682" s="185"/>
      <c r="R1682" s="185"/>
    </row>
    <row r="1683" spans="1:18" s="197" customFormat="1" ht="12.75" x14ac:dyDescent="0.2">
      <c r="A1683" s="181"/>
      <c r="B1683" s="188" t="s">
        <v>593</v>
      </c>
      <c r="C1683" s="189" t="s">
        <v>142</v>
      </c>
      <c r="D1683" s="189" t="s">
        <v>123</v>
      </c>
      <c r="E1683" s="190" t="s">
        <v>3602</v>
      </c>
      <c r="F1683" s="191">
        <f t="shared" si="28"/>
        <v>175.8</v>
      </c>
      <c r="G1683" s="185"/>
      <c r="H1683" s="181"/>
      <c r="I1683" s="74"/>
      <c r="J1683" s="74"/>
      <c r="M1683" s="185"/>
      <c r="N1683" s="185"/>
      <c r="O1683" s="185"/>
      <c r="P1683" s="185"/>
      <c r="Q1683" s="185"/>
      <c r="R1683" s="185"/>
    </row>
    <row r="1684" spans="1:18" s="197" customFormat="1" ht="12.75" x14ac:dyDescent="0.2">
      <c r="A1684" s="181"/>
      <c r="B1684" s="188" t="s">
        <v>330</v>
      </c>
      <c r="C1684" s="189" t="s">
        <v>130</v>
      </c>
      <c r="D1684" s="189" t="s">
        <v>131</v>
      </c>
      <c r="E1684" s="190" t="s">
        <v>3603</v>
      </c>
      <c r="F1684" s="191">
        <f t="shared" si="28"/>
        <v>253.96666666666667</v>
      </c>
      <c r="G1684" s="185"/>
      <c r="H1684" s="181"/>
      <c r="I1684" s="74"/>
      <c r="J1684" s="74"/>
      <c r="M1684" s="185"/>
      <c r="N1684" s="185"/>
      <c r="O1684" s="185"/>
      <c r="P1684" s="185"/>
      <c r="Q1684" s="185"/>
      <c r="R1684" s="185"/>
    </row>
    <row r="1685" spans="1:18" s="197" customFormat="1" ht="12.75" x14ac:dyDescent="0.2">
      <c r="A1685" s="181"/>
      <c r="B1685" s="188" t="s">
        <v>3604</v>
      </c>
      <c r="C1685" s="189" t="s">
        <v>142</v>
      </c>
      <c r="D1685" s="189" t="s">
        <v>131</v>
      </c>
      <c r="E1685" s="190" t="s">
        <v>3605</v>
      </c>
      <c r="F1685" s="191">
        <f t="shared" si="28"/>
        <v>170.06666666666666</v>
      </c>
      <c r="G1685" s="185"/>
      <c r="H1685" s="181"/>
      <c r="I1685" s="74"/>
      <c r="J1685" s="74"/>
      <c r="M1685" s="185"/>
      <c r="N1685" s="185"/>
      <c r="O1685" s="185"/>
      <c r="P1685" s="185"/>
      <c r="Q1685" s="185"/>
      <c r="R1685" s="185"/>
    </row>
    <row r="1686" spans="1:18" s="197" customFormat="1" ht="12.75" x14ac:dyDescent="0.2">
      <c r="A1686" s="181"/>
      <c r="B1686" s="188" t="s">
        <v>3606</v>
      </c>
      <c r="C1686" s="189" t="s">
        <v>142</v>
      </c>
      <c r="D1686" s="189" t="s">
        <v>123</v>
      </c>
      <c r="E1686" s="190" t="s">
        <v>3607</v>
      </c>
      <c r="F1686" s="191">
        <f t="shared" si="28"/>
        <v>203.18333333333334</v>
      </c>
      <c r="G1686" s="185"/>
      <c r="H1686" s="181"/>
      <c r="I1686" s="74"/>
      <c r="J1686" s="74"/>
      <c r="M1686" s="185"/>
      <c r="N1686" s="185"/>
      <c r="O1686" s="185"/>
      <c r="P1686" s="185"/>
      <c r="Q1686" s="185"/>
      <c r="R1686" s="185"/>
    </row>
    <row r="1687" spans="1:18" s="197" customFormat="1" ht="12.75" x14ac:dyDescent="0.2">
      <c r="A1687" s="181"/>
      <c r="B1687" s="188" t="s">
        <v>2083</v>
      </c>
      <c r="C1687" s="189" t="s">
        <v>125</v>
      </c>
      <c r="D1687" s="189" t="s">
        <v>144</v>
      </c>
      <c r="E1687" s="190" t="s">
        <v>2084</v>
      </c>
      <c r="F1687" s="191">
        <f t="shared" si="28"/>
        <v>266.14999999999998</v>
      </c>
      <c r="G1687" s="185"/>
      <c r="H1687" s="181"/>
      <c r="I1687" s="74"/>
      <c r="J1687" s="74"/>
      <c r="M1687" s="185"/>
      <c r="N1687" s="185"/>
      <c r="O1687" s="185"/>
      <c r="P1687" s="185"/>
      <c r="Q1687" s="185"/>
      <c r="R1687" s="185"/>
    </row>
    <row r="1688" spans="1:18" s="197" customFormat="1" ht="12.75" x14ac:dyDescent="0.2">
      <c r="A1688" s="181"/>
      <c r="B1688" s="188" t="s">
        <v>3608</v>
      </c>
      <c r="C1688" s="189" t="s">
        <v>134</v>
      </c>
      <c r="D1688" s="189" t="s">
        <v>123</v>
      </c>
      <c r="E1688" s="190" t="s">
        <v>3609</v>
      </c>
      <c r="F1688" s="191">
        <f t="shared" si="28"/>
        <v>290.35000000000002</v>
      </c>
      <c r="G1688" s="185"/>
      <c r="H1688" s="181"/>
      <c r="I1688" s="74"/>
      <c r="J1688" s="74"/>
      <c r="M1688" s="185"/>
      <c r="N1688" s="185"/>
      <c r="O1688" s="185"/>
      <c r="P1688" s="185"/>
      <c r="Q1688" s="185"/>
      <c r="R1688" s="185"/>
    </row>
    <row r="1689" spans="1:18" s="197" customFormat="1" ht="12.75" x14ac:dyDescent="0.2">
      <c r="A1689" s="181"/>
      <c r="B1689" s="188" t="s">
        <v>3610</v>
      </c>
      <c r="C1689" s="189" t="s">
        <v>126</v>
      </c>
      <c r="D1689" s="189" t="s">
        <v>171</v>
      </c>
      <c r="E1689" s="190" t="s">
        <v>3611</v>
      </c>
      <c r="F1689" s="191">
        <f t="shared" si="28"/>
        <v>327</v>
      </c>
      <c r="G1689" s="185"/>
      <c r="H1689" s="181"/>
      <c r="I1689" s="74"/>
      <c r="J1689" s="74"/>
      <c r="M1689" s="185"/>
      <c r="N1689" s="185"/>
      <c r="O1689" s="185"/>
      <c r="P1689" s="185"/>
      <c r="Q1689" s="185"/>
      <c r="R1689" s="185"/>
    </row>
    <row r="1690" spans="1:18" s="197" customFormat="1" ht="12.75" x14ac:dyDescent="0.2">
      <c r="A1690" s="181"/>
      <c r="B1690" s="188" t="s">
        <v>345</v>
      </c>
      <c r="C1690" s="189" t="s">
        <v>142</v>
      </c>
      <c r="D1690" s="189" t="s">
        <v>132</v>
      </c>
      <c r="E1690" s="190" t="s">
        <v>2212</v>
      </c>
      <c r="F1690" s="191">
        <f t="shared" si="28"/>
        <v>248.35</v>
      </c>
      <c r="G1690" s="185"/>
      <c r="H1690" s="181"/>
      <c r="I1690" s="74"/>
      <c r="J1690" s="74"/>
      <c r="M1690" s="185"/>
      <c r="N1690" s="185"/>
      <c r="O1690" s="185"/>
      <c r="P1690" s="185"/>
      <c r="Q1690" s="185"/>
      <c r="R1690" s="185"/>
    </row>
    <row r="1691" spans="1:18" s="197" customFormat="1" ht="12.75" x14ac:dyDescent="0.2">
      <c r="A1691" s="181"/>
      <c r="B1691" s="188" t="s">
        <v>3612</v>
      </c>
      <c r="C1691" s="189" t="s">
        <v>125</v>
      </c>
      <c r="D1691" s="189" t="s">
        <v>123</v>
      </c>
      <c r="E1691" s="190" t="s">
        <v>3613</v>
      </c>
      <c r="F1691" s="191">
        <f t="shared" si="28"/>
        <v>238.15</v>
      </c>
      <c r="G1691" s="185"/>
      <c r="H1691" s="181"/>
      <c r="I1691" s="74"/>
      <c r="J1691" s="74"/>
      <c r="M1691" s="185"/>
      <c r="N1691" s="185"/>
      <c r="O1691" s="185"/>
      <c r="P1691" s="185"/>
      <c r="Q1691" s="185"/>
      <c r="R1691" s="185"/>
    </row>
    <row r="1692" spans="1:18" s="197" customFormat="1" ht="12.75" x14ac:dyDescent="0.2">
      <c r="A1692" s="181"/>
      <c r="B1692" s="188" t="s">
        <v>3614</v>
      </c>
      <c r="C1692" s="189" t="s">
        <v>249</v>
      </c>
      <c r="D1692" s="189" t="s">
        <v>123</v>
      </c>
      <c r="E1692" s="190" t="s">
        <v>3615</v>
      </c>
      <c r="F1692" s="191">
        <f t="shared" si="28"/>
        <v>262.13333333333333</v>
      </c>
      <c r="G1692" s="185"/>
      <c r="H1692" s="181"/>
      <c r="I1692" s="74"/>
      <c r="J1692" s="74"/>
      <c r="M1692" s="185"/>
      <c r="N1692" s="185"/>
      <c r="O1692" s="185"/>
      <c r="P1692" s="185"/>
      <c r="Q1692" s="185"/>
      <c r="R1692" s="185"/>
    </row>
    <row r="1693" spans="1:18" s="197" customFormat="1" ht="12.75" x14ac:dyDescent="0.2">
      <c r="A1693" s="181"/>
      <c r="B1693" s="188" t="s">
        <v>3616</v>
      </c>
      <c r="C1693" s="189" t="s">
        <v>124</v>
      </c>
      <c r="D1693" s="189" t="s">
        <v>148</v>
      </c>
      <c r="E1693" s="190" t="s">
        <v>3617</v>
      </c>
      <c r="F1693" s="191">
        <f t="shared" si="28"/>
        <v>293.81666666666666</v>
      </c>
      <c r="G1693" s="185"/>
      <c r="H1693" s="181"/>
      <c r="I1693" s="74"/>
      <c r="J1693" s="74"/>
      <c r="M1693" s="185"/>
      <c r="N1693" s="185"/>
      <c r="O1693" s="185"/>
      <c r="P1693" s="185"/>
      <c r="Q1693" s="185"/>
      <c r="R1693" s="185"/>
    </row>
    <row r="1694" spans="1:18" s="197" customFormat="1" ht="12.75" x14ac:dyDescent="0.2">
      <c r="A1694" s="181"/>
      <c r="B1694" s="188" t="s">
        <v>3618</v>
      </c>
      <c r="C1694" s="189" t="s">
        <v>142</v>
      </c>
      <c r="D1694" s="189" t="s">
        <v>123</v>
      </c>
      <c r="E1694" s="190" t="s">
        <v>3619</v>
      </c>
      <c r="F1694" s="191">
        <f t="shared" si="28"/>
        <v>169.46666666666667</v>
      </c>
      <c r="G1694" s="185"/>
      <c r="H1694" s="181"/>
      <c r="I1694" s="74"/>
      <c r="J1694" s="74"/>
      <c r="M1694" s="185"/>
      <c r="N1694" s="185"/>
      <c r="O1694" s="185"/>
      <c r="P1694" s="185"/>
      <c r="Q1694" s="185"/>
      <c r="R1694" s="185"/>
    </row>
    <row r="1695" spans="1:18" s="197" customFormat="1" ht="12.75" x14ac:dyDescent="0.2">
      <c r="A1695" s="181"/>
      <c r="B1695" s="188" t="s">
        <v>3620</v>
      </c>
      <c r="C1695" s="189" t="s">
        <v>126</v>
      </c>
      <c r="D1695" s="189" t="s">
        <v>123</v>
      </c>
      <c r="E1695" s="190" t="s">
        <v>3621</v>
      </c>
      <c r="F1695" s="191">
        <f t="shared" si="28"/>
        <v>227.11666666666667</v>
      </c>
      <c r="G1695" s="185"/>
      <c r="H1695" s="181"/>
      <c r="I1695" s="74"/>
      <c r="J1695" s="74"/>
      <c r="M1695" s="185"/>
      <c r="N1695" s="185"/>
      <c r="O1695" s="185"/>
      <c r="P1695" s="185"/>
      <c r="Q1695" s="185"/>
      <c r="R1695" s="185"/>
    </row>
    <row r="1696" spans="1:18" s="197" customFormat="1" ht="12.75" x14ac:dyDescent="0.2">
      <c r="A1696" s="181"/>
      <c r="B1696" s="188" t="s">
        <v>1587</v>
      </c>
      <c r="C1696" s="189" t="s">
        <v>128</v>
      </c>
      <c r="D1696" s="189" t="s">
        <v>123</v>
      </c>
      <c r="E1696" s="190" t="s">
        <v>1588</v>
      </c>
      <c r="F1696" s="191">
        <f t="shared" si="28"/>
        <v>265.86666666666667</v>
      </c>
      <c r="G1696" s="185"/>
      <c r="H1696" s="181"/>
      <c r="I1696" s="74"/>
      <c r="J1696" s="74"/>
      <c r="M1696" s="185"/>
      <c r="N1696" s="185"/>
      <c r="O1696" s="185"/>
      <c r="P1696" s="185"/>
      <c r="Q1696" s="185"/>
      <c r="R1696" s="185"/>
    </row>
    <row r="1697" spans="1:18" s="197" customFormat="1" ht="12.75" x14ac:dyDescent="0.2">
      <c r="A1697" s="181"/>
      <c r="B1697" s="188" t="s">
        <v>3622</v>
      </c>
      <c r="C1697" s="189" t="s">
        <v>135</v>
      </c>
      <c r="D1697" s="189" t="s">
        <v>131</v>
      </c>
      <c r="E1697" s="190" t="s">
        <v>3623</v>
      </c>
      <c r="F1697" s="191">
        <f t="shared" si="28"/>
        <v>315.28333333333336</v>
      </c>
      <c r="G1697" s="185"/>
      <c r="H1697" s="181"/>
      <c r="I1697" s="74"/>
      <c r="J1697" s="74"/>
      <c r="M1697" s="185"/>
      <c r="N1697" s="185"/>
      <c r="O1697" s="185"/>
      <c r="P1697" s="185"/>
      <c r="Q1697" s="185"/>
      <c r="R1697" s="185"/>
    </row>
    <row r="1698" spans="1:18" s="197" customFormat="1" ht="12.75" x14ac:dyDescent="0.2">
      <c r="A1698" s="181"/>
      <c r="B1698" s="188" t="s">
        <v>3624</v>
      </c>
      <c r="C1698" s="189" t="s">
        <v>128</v>
      </c>
      <c r="D1698" s="189" t="s">
        <v>123</v>
      </c>
      <c r="E1698" s="190" t="s">
        <v>3625</v>
      </c>
      <c r="F1698" s="191">
        <f t="shared" si="28"/>
        <v>227.73333333333332</v>
      </c>
      <c r="G1698" s="185"/>
      <c r="H1698" s="181"/>
      <c r="I1698" s="74"/>
      <c r="J1698" s="74"/>
      <c r="M1698" s="185"/>
      <c r="N1698" s="185"/>
      <c r="O1698" s="185"/>
      <c r="P1698" s="185"/>
      <c r="Q1698" s="185"/>
      <c r="R1698" s="185"/>
    </row>
    <row r="1699" spans="1:18" s="197" customFormat="1" ht="12.75" x14ac:dyDescent="0.2">
      <c r="A1699" s="181"/>
      <c r="B1699" s="188" t="s">
        <v>3626</v>
      </c>
      <c r="C1699" s="189" t="s">
        <v>134</v>
      </c>
      <c r="D1699" s="189" t="s">
        <v>131</v>
      </c>
      <c r="E1699" s="190" t="s">
        <v>1559</v>
      </c>
      <c r="F1699" s="191">
        <f t="shared" si="28"/>
        <v>253.15</v>
      </c>
      <c r="G1699" s="185"/>
      <c r="H1699" s="181"/>
      <c r="I1699" s="74"/>
      <c r="J1699" s="74"/>
      <c r="M1699" s="185"/>
      <c r="N1699" s="185"/>
      <c r="O1699" s="185"/>
      <c r="P1699" s="185"/>
      <c r="Q1699" s="185"/>
      <c r="R1699" s="185"/>
    </row>
    <row r="1700" spans="1:18" s="197" customFormat="1" ht="12.75" x14ac:dyDescent="0.2">
      <c r="A1700" s="181"/>
      <c r="B1700" s="188" t="s">
        <v>3627</v>
      </c>
      <c r="C1700" s="189" t="s">
        <v>125</v>
      </c>
      <c r="D1700" s="189" t="s">
        <v>139</v>
      </c>
      <c r="E1700" s="190" t="s">
        <v>3628</v>
      </c>
      <c r="F1700" s="191">
        <f t="shared" si="28"/>
        <v>291.39999999999998</v>
      </c>
      <c r="G1700" s="185"/>
      <c r="H1700" s="181"/>
      <c r="I1700" s="74"/>
      <c r="J1700" s="74"/>
      <c r="M1700" s="185"/>
      <c r="N1700" s="185"/>
      <c r="O1700" s="185"/>
      <c r="P1700" s="185"/>
      <c r="Q1700" s="185"/>
      <c r="R1700" s="185"/>
    </row>
    <row r="1701" spans="1:18" s="197" customFormat="1" ht="12.75" x14ac:dyDescent="0.2">
      <c r="A1701" s="181"/>
      <c r="B1701" s="188" t="s">
        <v>3629</v>
      </c>
      <c r="C1701" s="189" t="s">
        <v>124</v>
      </c>
      <c r="D1701" s="189" t="s">
        <v>427</v>
      </c>
      <c r="E1701" s="190" t="s">
        <v>1846</v>
      </c>
      <c r="F1701" s="191">
        <f t="shared" si="28"/>
        <v>239</v>
      </c>
      <c r="G1701" s="185"/>
      <c r="H1701" s="181"/>
      <c r="I1701" s="74"/>
      <c r="J1701" s="74"/>
      <c r="M1701" s="185"/>
      <c r="N1701" s="185"/>
      <c r="O1701" s="185"/>
      <c r="P1701" s="185"/>
      <c r="Q1701" s="185"/>
      <c r="R1701" s="185"/>
    </row>
    <row r="1702" spans="1:18" s="197" customFormat="1" ht="12.75" x14ac:dyDescent="0.2">
      <c r="A1702" s="181"/>
      <c r="B1702" s="188" t="s">
        <v>3630</v>
      </c>
      <c r="C1702" s="189" t="s">
        <v>126</v>
      </c>
      <c r="D1702" s="189" t="s">
        <v>123</v>
      </c>
      <c r="E1702" s="190" t="s">
        <v>3631</v>
      </c>
      <c r="F1702" s="191">
        <f t="shared" si="28"/>
        <v>262.86666666666667</v>
      </c>
      <c r="G1702" s="185"/>
      <c r="H1702" s="181"/>
      <c r="I1702" s="74"/>
      <c r="J1702" s="74"/>
      <c r="M1702" s="185"/>
      <c r="N1702" s="185"/>
      <c r="O1702" s="185"/>
      <c r="P1702" s="185"/>
      <c r="Q1702" s="185"/>
      <c r="R1702" s="185"/>
    </row>
    <row r="1703" spans="1:18" s="197" customFormat="1" ht="12.75" x14ac:dyDescent="0.2">
      <c r="A1703" s="181"/>
      <c r="B1703" s="188" t="s">
        <v>3632</v>
      </c>
      <c r="C1703" s="189" t="s">
        <v>140</v>
      </c>
      <c r="D1703" s="189" t="s">
        <v>168</v>
      </c>
      <c r="E1703" s="190" t="s">
        <v>3633</v>
      </c>
      <c r="F1703" s="191">
        <f t="shared" si="28"/>
        <v>275.23333333333335</v>
      </c>
      <c r="G1703" s="185"/>
      <c r="H1703" s="181"/>
      <c r="I1703" s="74"/>
      <c r="J1703" s="74"/>
      <c r="M1703" s="185"/>
      <c r="N1703" s="185"/>
      <c r="O1703" s="185"/>
      <c r="P1703" s="185"/>
      <c r="Q1703" s="185"/>
      <c r="R1703" s="185"/>
    </row>
    <row r="1704" spans="1:18" s="197" customFormat="1" ht="12.75" x14ac:dyDescent="0.2">
      <c r="A1704" s="181"/>
      <c r="B1704" s="188" t="s">
        <v>3634</v>
      </c>
      <c r="C1704" s="189" t="s">
        <v>142</v>
      </c>
      <c r="D1704" s="189" t="s">
        <v>123</v>
      </c>
      <c r="E1704" s="190" t="s">
        <v>3635</v>
      </c>
      <c r="F1704" s="191">
        <f t="shared" si="28"/>
        <v>196.55</v>
      </c>
      <c r="G1704" s="185"/>
      <c r="H1704" s="181"/>
      <c r="I1704" s="74"/>
      <c r="J1704" s="74"/>
      <c r="M1704" s="185"/>
      <c r="N1704" s="185"/>
      <c r="O1704" s="185"/>
      <c r="P1704" s="185"/>
      <c r="Q1704" s="185"/>
      <c r="R1704" s="185"/>
    </row>
    <row r="1705" spans="1:18" s="197" customFormat="1" ht="12.75" x14ac:dyDescent="0.2">
      <c r="A1705" s="181"/>
      <c r="B1705" s="188" t="s">
        <v>3636</v>
      </c>
      <c r="C1705" s="189" t="s">
        <v>124</v>
      </c>
      <c r="D1705" s="189" t="s">
        <v>123</v>
      </c>
      <c r="E1705" s="190" t="s">
        <v>3637</v>
      </c>
      <c r="F1705" s="191">
        <f t="shared" si="28"/>
        <v>324.56666666666666</v>
      </c>
      <c r="G1705" s="185"/>
      <c r="H1705" s="181"/>
      <c r="I1705" s="74"/>
      <c r="J1705" s="74"/>
      <c r="M1705" s="185"/>
      <c r="N1705" s="185"/>
      <c r="O1705" s="185"/>
      <c r="P1705" s="185"/>
      <c r="Q1705" s="185"/>
      <c r="R1705" s="185"/>
    </row>
    <row r="1706" spans="1:18" s="197" customFormat="1" ht="12.75" x14ac:dyDescent="0.2">
      <c r="A1706" s="181"/>
      <c r="B1706" s="188" t="s">
        <v>584</v>
      </c>
      <c r="C1706" s="189" t="s">
        <v>130</v>
      </c>
      <c r="D1706" s="189" t="s">
        <v>123</v>
      </c>
      <c r="E1706" s="190" t="s">
        <v>3638</v>
      </c>
      <c r="F1706" s="191">
        <f t="shared" si="28"/>
        <v>269.56666666666666</v>
      </c>
      <c r="G1706" s="185"/>
      <c r="H1706" s="181"/>
      <c r="I1706" s="74"/>
      <c r="J1706" s="74"/>
      <c r="M1706" s="185"/>
      <c r="N1706" s="185"/>
      <c r="O1706" s="185"/>
      <c r="P1706" s="185"/>
      <c r="Q1706" s="185"/>
      <c r="R1706" s="185"/>
    </row>
    <row r="1707" spans="1:18" s="197" customFormat="1" ht="12.75" x14ac:dyDescent="0.2">
      <c r="A1707" s="181"/>
      <c r="B1707" s="188" t="s">
        <v>336</v>
      </c>
      <c r="C1707" s="189" t="s">
        <v>125</v>
      </c>
      <c r="D1707" s="189" t="s">
        <v>123</v>
      </c>
      <c r="E1707" s="190" t="s">
        <v>2826</v>
      </c>
      <c r="F1707" s="191">
        <f t="shared" si="28"/>
        <v>231.53333333333333</v>
      </c>
      <c r="G1707" s="185"/>
      <c r="H1707" s="181"/>
      <c r="I1707" s="74"/>
      <c r="J1707" s="74"/>
      <c r="M1707" s="185"/>
      <c r="N1707" s="185"/>
      <c r="O1707" s="185"/>
      <c r="P1707" s="185"/>
      <c r="Q1707" s="185"/>
      <c r="R1707" s="185"/>
    </row>
    <row r="1708" spans="1:18" s="197" customFormat="1" ht="12.75" x14ac:dyDescent="0.2">
      <c r="A1708" s="181"/>
      <c r="B1708" s="188" t="s">
        <v>3639</v>
      </c>
      <c r="C1708" s="189" t="s">
        <v>134</v>
      </c>
      <c r="D1708" s="189" t="s">
        <v>133</v>
      </c>
      <c r="E1708" s="190" t="s">
        <v>3640</v>
      </c>
      <c r="F1708" s="191">
        <f t="shared" si="28"/>
        <v>209.48333333333332</v>
      </c>
      <c r="G1708" s="185"/>
      <c r="H1708" s="181"/>
      <c r="I1708" s="74"/>
      <c r="J1708" s="74"/>
      <c r="M1708" s="185"/>
      <c r="N1708" s="185"/>
      <c r="O1708" s="185"/>
      <c r="P1708" s="185"/>
      <c r="Q1708" s="185"/>
      <c r="R1708" s="185"/>
    </row>
    <row r="1709" spans="1:18" s="197" customFormat="1" ht="12.75" x14ac:dyDescent="0.2">
      <c r="A1709" s="181"/>
      <c r="B1709" s="188" t="s">
        <v>3641</v>
      </c>
      <c r="C1709" s="189" t="s">
        <v>125</v>
      </c>
      <c r="D1709" s="189" t="s">
        <v>149</v>
      </c>
      <c r="E1709" s="190" t="s">
        <v>3642</v>
      </c>
      <c r="F1709" s="191">
        <f t="shared" si="28"/>
        <v>205.61666666666667</v>
      </c>
      <c r="G1709" s="185"/>
      <c r="H1709" s="181"/>
      <c r="I1709" s="74"/>
      <c r="J1709" s="74"/>
      <c r="M1709" s="185"/>
      <c r="N1709" s="185"/>
      <c r="O1709" s="185"/>
      <c r="P1709" s="185"/>
      <c r="Q1709" s="185"/>
      <c r="R1709" s="185"/>
    </row>
    <row r="1710" spans="1:18" s="197" customFormat="1" ht="12.75" x14ac:dyDescent="0.2">
      <c r="A1710" s="181"/>
      <c r="B1710" s="188" t="s">
        <v>3643</v>
      </c>
      <c r="C1710" s="189" t="s">
        <v>134</v>
      </c>
      <c r="D1710" s="189" t="s">
        <v>123</v>
      </c>
      <c r="E1710" s="190" t="s">
        <v>3644</v>
      </c>
      <c r="F1710" s="191">
        <f t="shared" si="28"/>
        <v>212.93333333333334</v>
      </c>
      <c r="G1710" s="185"/>
      <c r="H1710" s="181"/>
      <c r="I1710" s="74"/>
      <c r="J1710" s="74"/>
      <c r="M1710" s="185"/>
      <c r="N1710" s="185"/>
      <c r="O1710" s="185"/>
      <c r="P1710" s="185"/>
      <c r="Q1710" s="185"/>
      <c r="R1710" s="185"/>
    </row>
    <row r="1711" spans="1:18" s="197" customFormat="1" ht="12.75" x14ac:dyDescent="0.2">
      <c r="A1711" s="181"/>
      <c r="B1711" s="188" t="s">
        <v>3645</v>
      </c>
      <c r="C1711" s="189" t="s">
        <v>142</v>
      </c>
      <c r="D1711" s="189" t="s">
        <v>424</v>
      </c>
      <c r="E1711" s="190" t="s">
        <v>3183</v>
      </c>
      <c r="F1711" s="191">
        <f t="shared" si="28"/>
        <v>230.36666666666667</v>
      </c>
      <c r="G1711" s="185"/>
      <c r="H1711" s="181"/>
      <c r="I1711" s="74"/>
      <c r="J1711" s="74"/>
      <c r="M1711" s="185"/>
      <c r="N1711" s="185"/>
      <c r="O1711" s="185"/>
      <c r="P1711" s="185"/>
      <c r="Q1711" s="185"/>
      <c r="R1711" s="185"/>
    </row>
    <row r="1712" spans="1:18" s="197" customFormat="1" ht="12.75" x14ac:dyDescent="0.2">
      <c r="A1712" s="181"/>
      <c r="B1712" s="188" t="s">
        <v>3646</v>
      </c>
      <c r="C1712" s="189" t="s">
        <v>126</v>
      </c>
      <c r="D1712" s="189" t="s">
        <v>123</v>
      </c>
      <c r="E1712" s="190" t="s">
        <v>3647</v>
      </c>
      <c r="F1712" s="191">
        <f t="shared" si="28"/>
        <v>172.2</v>
      </c>
      <c r="G1712" s="185"/>
      <c r="H1712" s="181"/>
      <c r="I1712" s="74"/>
      <c r="J1712" s="74"/>
      <c r="M1712" s="185"/>
      <c r="N1712" s="185"/>
      <c r="O1712" s="185"/>
      <c r="P1712" s="185"/>
      <c r="Q1712" s="185"/>
      <c r="R1712" s="185"/>
    </row>
    <row r="1713" spans="1:18" s="197" customFormat="1" ht="12.75" x14ac:dyDescent="0.2">
      <c r="A1713" s="181"/>
      <c r="B1713" s="188" t="s">
        <v>262</v>
      </c>
      <c r="C1713" s="189" t="s">
        <v>125</v>
      </c>
      <c r="D1713" s="189" t="s">
        <v>123</v>
      </c>
      <c r="E1713" s="190" t="s">
        <v>3648</v>
      </c>
      <c r="F1713" s="191">
        <f t="shared" si="28"/>
        <v>249.1</v>
      </c>
      <c r="G1713" s="185"/>
      <c r="H1713" s="181"/>
      <c r="I1713" s="74"/>
      <c r="J1713" s="74"/>
      <c r="M1713" s="185"/>
      <c r="N1713" s="185"/>
      <c r="O1713" s="185"/>
      <c r="P1713" s="185"/>
      <c r="Q1713" s="185"/>
      <c r="R1713" s="185"/>
    </row>
    <row r="1714" spans="1:18" s="197" customFormat="1" ht="12.75" x14ac:dyDescent="0.2">
      <c r="A1714" s="181"/>
      <c r="B1714" s="188" t="s">
        <v>627</v>
      </c>
      <c r="C1714" s="189" t="s">
        <v>140</v>
      </c>
      <c r="D1714" s="189" t="s">
        <v>133</v>
      </c>
      <c r="E1714" s="190" t="s">
        <v>3649</v>
      </c>
      <c r="F1714" s="191">
        <f t="shared" si="28"/>
        <v>269.48333333333335</v>
      </c>
      <c r="G1714" s="185"/>
      <c r="H1714" s="181"/>
      <c r="I1714" s="74"/>
      <c r="J1714" s="74"/>
      <c r="M1714" s="185"/>
      <c r="N1714" s="185"/>
      <c r="O1714" s="185"/>
      <c r="P1714" s="185"/>
      <c r="Q1714" s="185"/>
      <c r="R1714" s="185"/>
    </row>
    <row r="1715" spans="1:18" s="197" customFormat="1" ht="12.75" x14ac:dyDescent="0.2">
      <c r="A1715" s="181"/>
      <c r="B1715" s="188" t="s">
        <v>3650</v>
      </c>
      <c r="C1715" s="189" t="s">
        <v>124</v>
      </c>
      <c r="D1715" s="189" t="s">
        <v>123</v>
      </c>
      <c r="E1715" s="190" t="s">
        <v>3651</v>
      </c>
      <c r="F1715" s="191">
        <f t="shared" si="28"/>
        <v>179.31666666666666</v>
      </c>
      <c r="G1715" s="185"/>
      <c r="H1715" s="181"/>
      <c r="I1715" s="74"/>
      <c r="J1715" s="74"/>
      <c r="M1715" s="185"/>
      <c r="N1715" s="185"/>
      <c r="O1715" s="185"/>
      <c r="P1715" s="185"/>
      <c r="Q1715" s="185"/>
      <c r="R1715" s="185"/>
    </row>
    <row r="1716" spans="1:18" s="197" customFormat="1" ht="12.75" x14ac:dyDescent="0.2">
      <c r="A1716" s="181"/>
      <c r="B1716" s="188" t="s">
        <v>3652</v>
      </c>
      <c r="C1716" s="189" t="s">
        <v>126</v>
      </c>
      <c r="D1716" s="189" t="s">
        <v>123</v>
      </c>
      <c r="E1716" s="190" t="s">
        <v>3653</v>
      </c>
      <c r="F1716" s="191">
        <f t="shared" si="28"/>
        <v>237.58333333333334</v>
      </c>
      <c r="G1716" s="185"/>
      <c r="H1716" s="181"/>
      <c r="I1716" s="74"/>
      <c r="J1716" s="74"/>
      <c r="M1716" s="185"/>
      <c r="N1716" s="185"/>
      <c r="O1716" s="185"/>
      <c r="P1716" s="185"/>
      <c r="Q1716" s="185"/>
      <c r="R1716" s="185"/>
    </row>
    <row r="1717" spans="1:18" s="197" customFormat="1" ht="12.75" x14ac:dyDescent="0.2">
      <c r="A1717" s="181"/>
      <c r="B1717" s="188" t="s">
        <v>3654</v>
      </c>
      <c r="C1717" s="189" t="s">
        <v>130</v>
      </c>
      <c r="D1717" s="189" t="s">
        <v>123</v>
      </c>
      <c r="E1717" s="190" t="s">
        <v>3655</v>
      </c>
      <c r="F1717" s="191">
        <f t="shared" si="28"/>
        <v>313.68333333333334</v>
      </c>
      <c r="G1717" s="185"/>
      <c r="H1717" s="181"/>
      <c r="I1717" s="74"/>
      <c r="J1717" s="74"/>
      <c r="M1717" s="185"/>
      <c r="N1717" s="185"/>
      <c r="O1717" s="185"/>
      <c r="P1717" s="185"/>
      <c r="Q1717" s="185"/>
      <c r="R1717" s="185"/>
    </row>
    <row r="1718" spans="1:18" s="197" customFormat="1" ht="12.75" x14ac:dyDescent="0.2">
      <c r="A1718" s="181"/>
      <c r="B1718" s="188" t="s">
        <v>3656</v>
      </c>
      <c r="C1718" s="189" t="s">
        <v>142</v>
      </c>
      <c r="D1718" s="189" t="s">
        <v>123</v>
      </c>
      <c r="E1718" s="190" t="s">
        <v>3485</v>
      </c>
      <c r="F1718" s="191">
        <f t="shared" si="28"/>
        <v>234.33333333333334</v>
      </c>
      <c r="G1718" s="185"/>
      <c r="H1718" s="181"/>
      <c r="I1718" s="74"/>
      <c r="J1718" s="74"/>
      <c r="M1718" s="185"/>
      <c r="N1718" s="185"/>
      <c r="O1718" s="185"/>
      <c r="P1718" s="185"/>
      <c r="Q1718" s="185"/>
      <c r="R1718" s="185"/>
    </row>
    <row r="1719" spans="1:18" s="197" customFormat="1" ht="12.75" x14ac:dyDescent="0.2">
      <c r="A1719" s="181"/>
      <c r="B1719" s="188" t="s">
        <v>3657</v>
      </c>
      <c r="C1719" s="189" t="s">
        <v>134</v>
      </c>
      <c r="D1719" s="189" t="s">
        <v>123</v>
      </c>
      <c r="E1719" s="190" t="s">
        <v>2585</v>
      </c>
      <c r="F1719" s="191">
        <f t="shared" si="28"/>
        <v>252.93333333333334</v>
      </c>
      <c r="G1719" s="185"/>
      <c r="H1719" s="181"/>
      <c r="I1719" s="74"/>
      <c r="J1719" s="74"/>
      <c r="M1719" s="185"/>
      <c r="N1719" s="185"/>
      <c r="O1719" s="185"/>
      <c r="P1719" s="185"/>
      <c r="Q1719" s="185"/>
      <c r="R1719" s="185"/>
    </row>
    <row r="1720" spans="1:18" s="197" customFormat="1" ht="12.75" x14ac:dyDescent="0.2">
      <c r="A1720" s="181"/>
      <c r="B1720" s="188" t="s">
        <v>3658</v>
      </c>
      <c r="C1720" s="189" t="s">
        <v>128</v>
      </c>
      <c r="D1720" s="189" t="s">
        <v>212</v>
      </c>
      <c r="E1720" s="190" t="s">
        <v>3659</v>
      </c>
      <c r="F1720" s="191">
        <f t="shared" si="28"/>
        <v>226.45</v>
      </c>
      <c r="G1720" s="185"/>
      <c r="H1720" s="181"/>
      <c r="I1720" s="74"/>
      <c r="J1720" s="74"/>
      <c r="M1720" s="185"/>
      <c r="N1720" s="185"/>
      <c r="O1720" s="185"/>
      <c r="P1720" s="185"/>
      <c r="Q1720" s="185"/>
      <c r="R1720" s="185"/>
    </row>
    <row r="1721" spans="1:18" s="197" customFormat="1" ht="12.75" x14ac:dyDescent="0.2">
      <c r="A1721" s="181"/>
      <c r="B1721" s="188" t="s">
        <v>3660</v>
      </c>
      <c r="C1721" s="189" t="s">
        <v>134</v>
      </c>
      <c r="D1721" s="189" t="s">
        <v>131</v>
      </c>
      <c r="E1721" s="190" t="s">
        <v>3661</v>
      </c>
      <c r="F1721" s="191">
        <f t="shared" si="28"/>
        <v>311</v>
      </c>
      <c r="G1721" s="185"/>
      <c r="H1721" s="181"/>
      <c r="I1721" s="74"/>
      <c r="J1721" s="74"/>
      <c r="M1721" s="185"/>
      <c r="N1721" s="185"/>
      <c r="O1721" s="185"/>
      <c r="P1721" s="185"/>
      <c r="Q1721" s="185"/>
      <c r="R1721" s="185"/>
    </row>
    <row r="1722" spans="1:18" s="197" customFormat="1" ht="12.75" x14ac:dyDescent="0.2">
      <c r="A1722" s="181"/>
      <c r="B1722" s="188" t="s">
        <v>3662</v>
      </c>
      <c r="C1722" s="189" t="s">
        <v>130</v>
      </c>
      <c r="D1722" s="189" t="s">
        <v>123</v>
      </c>
      <c r="E1722" s="190" t="s">
        <v>3663</v>
      </c>
      <c r="F1722" s="191">
        <f t="shared" si="28"/>
        <v>188.65</v>
      </c>
      <c r="G1722" s="185"/>
      <c r="H1722" s="181"/>
      <c r="I1722" s="74"/>
      <c r="J1722" s="74"/>
      <c r="M1722" s="185"/>
      <c r="N1722" s="185"/>
      <c r="O1722" s="185"/>
      <c r="P1722" s="185"/>
      <c r="Q1722" s="185"/>
      <c r="R1722" s="185"/>
    </row>
    <row r="1723" spans="1:18" s="197" customFormat="1" ht="12.75" x14ac:dyDescent="0.2">
      <c r="A1723" s="181"/>
      <c r="B1723" s="188" t="s">
        <v>3664</v>
      </c>
      <c r="C1723" s="189" t="s">
        <v>134</v>
      </c>
      <c r="D1723" s="189" t="s">
        <v>123</v>
      </c>
      <c r="E1723" s="190" t="s">
        <v>3665</v>
      </c>
      <c r="F1723" s="191">
        <f t="shared" si="28"/>
        <v>267.25</v>
      </c>
      <c r="G1723" s="185"/>
      <c r="H1723" s="181"/>
      <c r="I1723" s="74"/>
      <c r="J1723" s="74"/>
      <c r="M1723" s="185"/>
      <c r="N1723" s="185"/>
      <c r="O1723" s="185"/>
      <c r="P1723" s="185"/>
      <c r="Q1723" s="185"/>
      <c r="R1723" s="185"/>
    </row>
    <row r="1724" spans="1:18" s="197" customFormat="1" ht="12.75" x14ac:dyDescent="0.2">
      <c r="A1724" s="181"/>
      <c r="B1724" s="188" t="s">
        <v>3666</v>
      </c>
      <c r="C1724" s="189" t="s">
        <v>135</v>
      </c>
      <c r="D1724" s="189" t="s">
        <v>123</v>
      </c>
      <c r="E1724" s="190" t="s">
        <v>3667</v>
      </c>
      <c r="F1724" s="191">
        <f t="shared" si="28"/>
        <v>213.71666666666667</v>
      </c>
      <c r="G1724" s="185"/>
      <c r="H1724" s="181"/>
      <c r="I1724" s="74"/>
      <c r="J1724" s="74"/>
      <c r="M1724" s="185"/>
      <c r="N1724" s="185"/>
      <c r="O1724" s="185"/>
      <c r="P1724" s="185"/>
      <c r="Q1724" s="185"/>
      <c r="R1724" s="185"/>
    </row>
    <row r="1725" spans="1:18" s="197" customFormat="1" ht="12.75" x14ac:dyDescent="0.2">
      <c r="A1725" s="181"/>
      <c r="B1725" s="188" t="s">
        <v>474</v>
      </c>
      <c r="C1725" s="189" t="s">
        <v>130</v>
      </c>
      <c r="D1725" s="189" t="s">
        <v>123</v>
      </c>
      <c r="E1725" s="190" t="s">
        <v>3668</v>
      </c>
      <c r="F1725" s="191">
        <f t="shared" si="28"/>
        <v>220.95</v>
      </c>
      <c r="G1725" s="185"/>
      <c r="H1725" s="181"/>
      <c r="I1725" s="74"/>
      <c r="J1725" s="74"/>
      <c r="M1725" s="185"/>
      <c r="N1725" s="185"/>
      <c r="O1725" s="185"/>
      <c r="P1725" s="185"/>
      <c r="Q1725" s="185"/>
      <c r="R1725" s="185"/>
    </row>
    <row r="1726" spans="1:18" s="197" customFormat="1" ht="12.75" x14ac:dyDescent="0.2">
      <c r="A1726" s="181"/>
      <c r="B1726" s="188" t="s">
        <v>3669</v>
      </c>
      <c r="C1726" s="189" t="s">
        <v>125</v>
      </c>
      <c r="D1726" s="189" t="s">
        <v>123</v>
      </c>
      <c r="E1726" s="190" t="s">
        <v>2004</v>
      </c>
      <c r="F1726" s="191">
        <f t="shared" si="28"/>
        <v>253.93333333333334</v>
      </c>
      <c r="G1726" s="185"/>
      <c r="H1726" s="181"/>
      <c r="I1726" s="74"/>
      <c r="J1726" s="74"/>
      <c r="M1726" s="185"/>
      <c r="N1726" s="185"/>
      <c r="O1726" s="185"/>
      <c r="P1726" s="185"/>
      <c r="Q1726" s="185"/>
      <c r="R1726" s="185"/>
    </row>
    <row r="1727" spans="1:18" s="197" customFormat="1" ht="12.75" x14ac:dyDescent="0.2">
      <c r="A1727" s="181"/>
      <c r="B1727" s="188" t="s">
        <v>3670</v>
      </c>
      <c r="C1727" s="189" t="s">
        <v>130</v>
      </c>
      <c r="D1727" s="189" t="s">
        <v>263</v>
      </c>
      <c r="E1727" s="190" t="s">
        <v>3671</v>
      </c>
      <c r="F1727" s="191">
        <f t="shared" si="28"/>
        <v>210.43333333333334</v>
      </c>
      <c r="G1727" s="185"/>
      <c r="H1727" s="181"/>
      <c r="I1727" s="74"/>
      <c r="J1727" s="74"/>
      <c r="M1727" s="185"/>
      <c r="N1727" s="185"/>
      <c r="O1727" s="185"/>
      <c r="P1727" s="185"/>
      <c r="Q1727" s="185"/>
      <c r="R1727" s="185"/>
    </row>
    <row r="1728" spans="1:18" s="197" customFormat="1" ht="12.75" x14ac:dyDescent="0.2">
      <c r="A1728" s="181"/>
      <c r="B1728" s="188" t="s">
        <v>3672</v>
      </c>
      <c r="C1728" s="189" t="s">
        <v>125</v>
      </c>
      <c r="D1728" s="189" t="s">
        <v>123</v>
      </c>
      <c r="E1728" s="190" t="s">
        <v>3673</v>
      </c>
      <c r="F1728" s="191">
        <f t="shared" si="28"/>
        <v>284.56666666666666</v>
      </c>
      <c r="G1728" s="185"/>
      <c r="H1728" s="181"/>
      <c r="I1728" s="74"/>
      <c r="J1728" s="74"/>
      <c r="M1728" s="185"/>
      <c r="N1728" s="185"/>
      <c r="O1728" s="185"/>
      <c r="P1728" s="185"/>
      <c r="Q1728" s="185"/>
      <c r="R1728" s="185"/>
    </row>
    <row r="1729" spans="1:18" s="197" customFormat="1" ht="12.75" x14ac:dyDescent="0.2">
      <c r="A1729" s="181"/>
      <c r="B1729" s="188" t="s">
        <v>363</v>
      </c>
      <c r="C1729" s="189" t="s">
        <v>125</v>
      </c>
      <c r="D1729" s="189" t="s">
        <v>139</v>
      </c>
      <c r="E1729" s="190" t="s">
        <v>3674</v>
      </c>
      <c r="F1729" s="191">
        <f t="shared" si="28"/>
        <v>239.15</v>
      </c>
      <c r="G1729" s="185"/>
      <c r="H1729" s="181"/>
      <c r="I1729" s="74"/>
      <c r="J1729" s="74"/>
      <c r="M1729" s="185"/>
      <c r="N1729" s="185"/>
      <c r="O1729" s="185"/>
      <c r="P1729" s="185"/>
      <c r="Q1729" s="185"/>
      <c r="R1729" s="185"/>
    </row>
    <row r="1730" spans="1:18" s="197" customFormat="1" ht="12.75" x14ac:dyDescent="0.2">
      <c r="A1730" s="181"/>
      <c r="B1730" s="188" t="s">
        <v>3675</v>
      </c>
      <c r="C1730" s="189" t="s">
        <v>136</v>
      </c>
      <c r="D1730" s="189" t="s">
        <v>123</v>
      </c>
      <c r="E1730" s="190" t="s">
        <v>3676</v>
      </c>
      <c r="F1730" s="191">
        <f t="shared" si="28"/>
        <v>299.28333333333336</v>
      </c>
      <c r="G1730" s="185"/>
      <c r="H1730" s="181"/>
      <c r="I1730" s="74"/>
      <c r="J1730" s="74"/>
      <c r="M1730" s="185"/>
      <c r="N1730" s="185"/>
      <c r="O1730" s="185"/>
      <c r="P1730" s="185"/>
      <c r="Q1730" s="185"/>
      <c r="R1730" s="185"/>
    </row>
    <row r="1731" spans="1:18" s="197" customFormat="1" ht="12.75" x14ac:dyDescent="0.2">
      <c r="A1731" s="181"/>
      <c r="B1731" s="188" t="s">
        <v>3677</v>
      </c>
      <c r="C1731" s="189" t="s">
        <v>142</v>
      </c>
      <c r="D1731" s="189" t="s">
        <v>132</v>
      </c>
      <c r="E1731" s="190" t="s">
        <v>2518</v>
      </c>
      <c r="F1731" s="191">
        <f t="shared" si="28"/>
        <v>214.23333333333332</v>
      </c>
      <c r="G1731" s="185"/>
      <c r="H1731" s="181"/>
      <c r="I1731" s="74"/>
      <c r="J1731" s="74"/>
      <c r="M1731" s="185"/>
      <c r="N1731" s="185"/>
      <c r="O1731" s="185"/>
      <c r="P1731" s="185"/>
      <c r="Q1731" s="185"/>
      <c r="R1731" s="185"/>
    </row>
    <row r="1732" spans="1:18" s="197" customFormat="1" ht="12.75" x14ac:dyDescent="0.2">
      <c r="A1732" s="181"/>
      <c r="B1732" s="188" t="s">
        <v>3678</v>
      </c>
      <c r="C1732" s="189" t="s">
        <v>142</v>
      </c>
      <c r="D1732" s="189" t="s">
        <v>123</v>
      </c>
      <c r="E1732" s="190" t="s">
        <v>3679</v>
      </c>
      <c r="F1732" s="191">
        <f t="shared" si="28"/>
        <v>241.08333333333334</v>
      </c>
      <c r="G1732" s="185"/>
      <c r="H1732" s="181"/>
      <c r="I1732" s="74"/>
      <c r="J1732" s="74"/>
      <c r="M1732" s="185"/>
      <c r="N1732" s="185"/>
      <c r="O1732" s="185"/>
      <c r="P1732" s="185"/>
      <c r="Q1732" s="185"/>
      <c r="R1732" s="185"/>
    </row>
    <row r="1733" spans="1:18" s="197" customFormat="1" ht="12.75" x14ac:dyDescent="0.2">
      <c r="A1733" s="181"/>
      <c r="B1733" s="188" t="s">
        <v>3680</v>
      </c>
      <c r="C1733" s="189" t="s">
        <v>134</v>
      </c>
      <c r="D1733" s="189" t="s">
        <v>123</v>
      </c>
      <c r="E1733" s="190" t="s">
        <v>3681</v>
      </c>
      <c r="F1733" s="191">
        <f t="shared" si="28"/>
        <v>269.61666666666667</v>
      </c>
      <c r="G1733" s="185"/>
      <c r="H1733" s="181"/>
      <c r="I1733" s="74"/>
      <c r="J1733" s="74"/>
      <c r="M1733" s="185"/>
      <c r="N1733" s="185"/>
      <c r="O1733" s="185"/>
      <c r="P1733" s="185"/>
      <c r="Q1733" s="185"/>
      <c r="R1733" s="185"/>
    </row>
    <row r="1734" spans="1:18" s="197" customFormat="1" ht="12.75" x14ac:dyDescent="0.2">
      <c r="A1734" s="181"/>
      <c r="B1734" s="188" t="s">
        <v>3682</v>
      </c>
      <c r="C1734" s="189" t="s">
        <v>136</v>
      </c>
      <c r="D1734" s="189" t="s">
        <v>263</v>
      </c>
      <c r="E1734" s="190" t="s">
        <v>3683</v>
      </c>
      <c r="F1734" s="191">
        <f t="shared" si="28"/>
        <v>235.51666666666668</v>
      </c>
      <c r="G1734" s="185"/>
      <c r="H1734" s="181"/>
      <c r="I1734" s="74"/>
      <c r="J1734" s="74"/>
      <c r="M1734" s="185"/>
      <c r="N1734" s="185"/>
      <c r="O1734" s="185"/>
      <c r="P1734" s="185"/>
      <c r="Q1734" s="185"/>
      <c r="R1734" s="185"/>
    </row>
    <row r="1735" spans="1:18" s="197" customFormat="1" ht="12.75" x14ac:dyDescent="0.2">
      <c r="A1735" s="181"/>
      <c r="B1735" s="188" t="s">
        <v>3684</v>
      </c>
      <c r="C1735" s="189" t="s">
        <v>134</v>
      </c>
      <c r="D1735" s="189" t="s">
        <v>123</v>
      </c>
      <c r="E1735" s="190" t="s">
        <v>3097</v>
      </c>
      <c r="F1735" s="191">
        <f t="shared" si="28"/>
        <v>237.56666666666666</v>
      </c>
      <c r="G1735" s="185"/>
      <c r="H1735" s="181"/>
      <c r="I1735" s="74"/>
      <c r="J1735" s="74"/>
      <c r="M1735" s="185"/>
      <c r="N1735" s="185"/>
      <c r="O1735" s="185"/>
      <c r="P1735" s="185"/>
      <c r="Q1735" s="185"/>
      <c r="R1735" s="185"/>
    </row>
    <row r="1736" spans="1:18" s="197" customFormat="1" ht="12.75" x14ac:dyDescent="0.2">
      <c r="A1736" s="181"/>
      <c r="B1736" s="188" t="s">
        <v>325</v>
      </c>
      <c r="C1736" s="189" t="s">
        <v>125</v>
      </c>
      <c r="D1736" s="189" t="s">
        <v>123</v>
      </c>
      <c r="E1736" s="190" t="s">
        <v>3685</v>
      </c>
      <c r="F1736" s="191">
        <f t="shared" si="28"/>
        <v>261.03333333333336</v>
      </c>
      <c r="G1736" s="185"/>
      <c r="H1736" s="181"/>
      <c r="I1736" s="74"/>
      <c r="J1736" s="74"/>
      <c r="M1736" s="185"/>
      <c r="N1736" s="185"/>
      <c r="O1736" s="185"/>
      <c r="P1736" s="185"/>
      <c r="Q1736" s="185"/>
      <c r="R1736" s="185"/>
    </row>
    <row r="1737" spans="1:18" s="197" customFormat="1" ht="12.75" x14ac:dyDescent="0.2">
      <c r="A1737" s="181"/>
      <c r="B1737" s="188" t="s">
        <v>501</v>
      </c>
      <c r="C1737" s="189" t="s">
        <v>124</v>
      </c>
      <c r="D1737" s="189" t="s">
        <v>123</v>
      </c>
      <c r="E1737" s="190" t="s">
        <v>3686</v>
      </c>
      <c r="F1737" s="191">
        <f t="shared" si="28"/>
        <v>233.36666666666667</v>
      </c>
      <c r="G1737" s="185"/>
      <c r="H1737" s="181"/>
      <c r="I1737" s="74"/>
      <c r="J1737" s="74"/>
      <c r="M1737" s="185"/>
      <c r="N1737" s="185"/>
      <c r="O1737" s="185"/>
      <c r="P1737" s="185"/>
      <c r="Q1737" s="185"/>
      <c r="R1737" s="185"/>
    </row>
    <row r="1738" spans="1:18" s="197" customFormat="1" ht="12.75" x14ac:dyDescent="0.2">
      <c r="A1738" s="181"/>
      <c r="B1738" s="188" t="s">
        <v>3687</v>
      </c>
      <c r="C1738" s="189" t="s">
        <v>142</v>
      </c>
      <c r="D1738" s="189" t="s">
        <v>148</v>
      </c>
      <c r="E1738" s="190" t="s">
        <v>1590</v>
      </c>
      <c r="F1738" s="191">
        <f t="shared" si="28"/>
        <v>215.05</v>
      </c>
      <c r="G1738" s="185"/>
      <c r="H1738" s="181"/>
      <c r="I1738" s="74"/>
      <c r="J1738" s="74"/>
      <c r="M1738" s="185"/>
      <c r="N1738" s="185"/>
      <c r="O1738" s="185"/>
      <c r="P1738" s="185"/>
      <c r="Q1738" s="185"/>
      <c r="R1738" s="185"/>
    </row>
    <row r="1739" spans="1:18" s="197" customFormat="1" ht="12.75" x14ac:dyDescent="0.2">
      <c r="A1739" s="181"/>
      <c r="B1739" s="188" t="s">
        <v>3017</v>
      </c>
      <c r="C1739" s="189" t="s">
        <v>249</v>
      </c>
      <c r="D1739" s="189" t="s">
        <v>149</v>
      </c>
      <c r="E1739" s="190" t="s">
        <v>2610</v>
      </c>
      <c r="F1739" s="191">
        <f t="shared" ref="F1739:F1802" si="29">HOUR(E1739)*60+MINUTE(E1739)+SECOND(E1739)/60</f>
        <v>266.11666666666667</v>
      </c>
      <c r="G1739" s="185"/>
      <c r="H1739" s="181"/>
      <c r="I1739" s="74"/>
      <c r="J1739" s="74"/>
      <c r="M1739" s="185"/>
      <c r="N1739" s="185"/>
      <c r="O1739" s="185"/>
      <c r="P1739" s="185"/>
      <c r="Q1739" s="185"/>
      <c r="R1739" s="185"/>
    </row>
    <row r="1740" spans="1:18" s="197" customFormat="1" ht="12.75" x14ac:dyDescent="0.2">
      <c r="A1740" s="181"/>
      <c r="B1740" s="188" t="s">
        <v>3688</v>
      </c>
      <c r="C1740" s="189" t="s">
        <v>134</v>
      </c>
      <c r="D1740" s="189" t="s">
        <v>123</v>
      </c>
      <c r="E1740" s="190" t="s">
        <v>3689</v>
      </c>
      <c r="F1740" s="191">
        <f t="shared" si="29"/>
        <v>264.60000000000002</v>
      </c>
      <c r="G1740" s="185"/>
      <c r="H1740" s="181"/>
      <c r="I1740" s="74"/>
      <c r="J1740" s="74"/>
      <c r="M1740" s="185"/>
      <c r="N1740" s="185"/>
      <c r="O1740" s="185"/>
      <c r="P1740" s="185"/>
      <c r="Q1740" s="185"/>
      <c r="R1740" s="185"/>
    </row>
    <row r="1741" spans="1:18" s="197" customFormat="1" ht="12.75" x14ac:dyDescent="0.2">
      <c r="A1741" s="181"/>
      <c r="B1741" s="188" t="s">
        <v>3690</v>
      </c>
      <c r="C1741" s="189" t="s">
        <v>124</v>
      </c>
      <c r="D1741" s="189" t="s">
        <v>123</v>
      </c>
      <c r="E1741" s="190" t="s">
        <v>3691</v>
      </c>
      <c r="F1741" s="191">
        <f t="shared" si="29"/>
        <v>208.68333333333334</v>
      </c>
      <c r="G1741" s="185"/>
      <c r="H1741" s="181"/>
      <c r="I1741" s="74"/>
      <c r="J1741" s="74"/>
      <c r="M1741" s="185"/>
      <c r="N1741" s="185"/>
      <c r="O1741" s="185"/>
      <c r="P1741" s="185"/>
      <c r="Q1741" s="185"/>
      <c r="R1741" s="185"/>
    </row>
    <row r="1742" spans="1:18" s="197" customFormat="1" ht="12.75" x14ac:dyDescent="0.2">
      <c r="A1742" s="181"/>
      <c r="B1742" s="188" t="s">
        <v>3692</v>
      </c>
      <c r="C1742" s="189" t="s">
        <v>125</v>
      </c>
      <c r="D1742" s="189" t="s">
        <v>123</v>
      </c>
      <c r="E1742" s="190" t="s">
        <v>3693</v>
      </c>
      <c r="F1742" s="191">
        <f t="shared" si="29"/>
        <v>256.89999999999998</v>
      </c>
      <c r="G1742" s="185"/>
      <c r="H1742" s="181"/>
      <c r="I1742" s="74"/>
      <c r="J1742" s="74"/>
      <c r="M1742" s="185"/>
      <c r="N1742" s="185"/>
      <c r="O1742" s="185"/>
      <c r="P1742" s="185"/>
      <c r="Q1742" s="185"/>
      <c r="R1742" s="185"/>
    </row>
    <row r="1743" spans="1:18" s="197" customFormat="1" ht="12.75" x14ac:dyDescent="0.2">
      <c r="A1743" s="181"/>
      <c r="B1743" s="188" t="s">
        <v>3694</v>
      </c>
      <c r="C1743" s="189" t="s">
        <v>128</v>
      </c>
      <c r="D1743" s="189" t="s">
        <v>123</v>
      </c>
      <c r="E1743" s="190" t="s">
        <v>1634</v>
      </c>
      <c r="F1743" s="191">
        <f t="shared" si="29"/>
        <v>285.61666666666667</v>
      </c>
      <c r="G1743" s="185"/>
      <c r="H1743" s="181"/>
      <c r="I1743" s="74"/>
      <c r="J1743" s="74"/>
      <c r="M1743" s="185"/>
      <c r="N1743" s="185"/>
      <c r="O1743" s="185"/>
      <c r="P1743" s="185"/>
      <c r="Q1743" s="185"/>
      <c r="R1743" s="185"/>
    </row>
    <row r="1744" spans="1:18" s="197" customFormat="1" ht="12.75" x14ac:dyDescent="0.2">
      <c r="A1744" s="181"/>
      <c r="B1744" s="188" t="s">
        <v>3695</v>
      </c>
      <c r="C1744" s="189" t="s">
        <v>126</v>
      </c>
      <c r="D1744" s="189" t="s">
        <v>148</v>
      </c>
      <c r="E1744" s="190" t="s">
        <v>2265</v>
      </c>
      <c r="F1744" s="191">
        <f t="shared" si="29"/>
        <v>240.25</v>
      </c>
      <c r="G1744" s="185"/>
      <c r="H1744" s="181"/>
      <c r="I1744" s="74"/>
      <c r="J1744" s="74"/>
      <c r="M1744" s="185"/>
      <c r="N1744" s="185"/>
      <c r="O1744" s="185"/>
      <c r="P1744" s="185"/>
      <c r="Q1744" s="185"/>
      <c r="R1744" s="185"/>
    </row>
    <row r="1745" spans="1:18" s="197" customFormat="1" ht="12.75" x14ac:dyDescent="0.2">
      <c r="A1745" s="181"/>
      <c r="B1745" s="188" t="s">
        <v>3696</v>
      </c>
      <c r="C1745" s="189" t="s">
        <v>126</v>
      </c>
      <c r="D1745" s="189" t="s">
        <v>123</v>
      </c>
      <c r="E1745" s="190" t="s">
        <v>3697</v>
      </c>
      <c r="F1745" s="191">
        <f t="shared" si="29"/>
        <v>205.48333333333332</v>
      </c>
      <c r="G1745" s="185"/>
      <c r="H1745" s="181"/>
      <c r="I1745" s="74"/>
      <c r="J1745" s="74"/>
      <c r="M1745" s="185"/>
      <c r="N1745" s="185"/>
      <c r="O1745" s="185"/>
      <c r="P1745" s="185"/>
      <c r="Q1745" s="185"/>
      <c r="R1745" s="185"/>
    </row>
    <row r="1746" spans="1:18" s="197" customFormat="1" ht="12.75" x14ac:dyDescent="0.2">
      <c r="A1746" s="181"/>
      <c r="B1746" s="188" t="s">
        <v>3698</v>
      </c>
      <c r="C1746" s="189" t="s">
        <v>126</v>
      </c>
      <c r="D1746" s="189" t="s">
        <v>263</v>
      </c>
      <c r="E1746" s="190" t="s">
        <v>3699</v>
      </c>
      <c r="F1746" s="191">
        <f t="shared" si="29"/>
        <v>243.16666666666666</v>
      </c>
      <c r="G1746" s="185"/>
      <c r="H1746" s="181"/>
      <c r="I1746" s="74"/>
      <c r="J1746" s="74"/>
      <c r="M1746" s="185"/>
      <c r="N1746" s="185"/>
      <c r="O1746" s="185"/>
      <c r="P1746" s="185"/>
      <c r="Q1746" s="185"/>
      <c r="R1746" s="185"/>
    </row>
    <row r="1747" spans="1:18" s="197" customFormat="1" ht="12.75" x14ac:dyDescent="0.2">
      <c r="A1747" s="181"/>
      <c r="B1747" s="188" t="s">
        <v>620</v>
      </c>
      <c r="C1747" s="189" t="s">
        <v>124</v>
      </c>
      <c r="D1747" s="189" t="s">
        <v>123</v>
      </c>
      <c r="E1747" s="190" t="s">
        <v>3700</v>
      </c>
      <c r="F1747" s="191">
        <f t="shared" si="29"/>
        <v>226.61666666666667</v>
      </c>
      <c r="G1747" s="185"/>
      <c r="H1747" s="181"/>
      <c r="I1747" s="74"/>
      <c r="J1747" s="74"/>
      <c r="M1747" s="185"/>
      <c r="N1747" s="185"/>
      <c r="O1747" s="185"/>
      <c r="P1747" s="185"/>
      <c r="Q1747" s="185"/>
      <c r="R1747" s="185"/>
    </row>
    <row r="1748" spans="1:18" s="197" customFormat="1" ht="12.75" x14ac:dyDescent="0.2">
      <c r="A1748" s="181"/>
      <c r="B1748" s="188" t="s">
        <v>3701</v>
      </c>
      <c r="C1748" s="189" t="s">
        <v>135</v>
      </c>
      <c r="D1748" s="189" t="s">
        <v>123</v>
      </c>
      <c r="E1748" s="190" t="s">
        <v>3702</v>
      </c>
      <c r="F1748" s="191">
        <f t="shared" si="29"/>
        <v>247.5</v>
      </c>
      <c r="G1748" s="185"/>
      <c r="H1748" s="181"/>
      <c r="I1748" s="74"/>
      <c r="J1748" s="74"/>
      <c r="M1748" s="185"/>
      <c r="N1748" s="185"/>
      <c r="O1748" s="185"/>
      <c r="P1748" s="185"/>
      <c r="Q1748" s="185"/>
      <c r="R1748" s="185"/>
    </row>
    <row r="1749" spans="1:18" s="197" customFormat="1" ht="12.75" x14ac:dyDescent="0.2">
      <c r="A1749" s="181"/>
      <c r="B1749" s="188" t="s">
        <v>414</v>
      </c>
      <c r="C1749" s="189" t="s">
        <v>136</v>
      </c>
      <c r="D1749" s="189" t="s">
        <v>223</v>
      </c>
      <c r="E1749" s="190" t="s">
        <v>3703</v>
      </c>
      <c r="F1749" s="191">
        <f t="shared" si="29"/>
        <v>224.06666666666666</v>
      </c>
      <c r="G1749" s="185"/>
      <c r="H1749" s="181"/>
      <c r="I1749" s="74"/>
      <c r="J1749" s="74"/>
      <c r="M1749" s="185"/>
      <c r="N1749" s="185"/>
      <c r="O1749" s="185"/>
      <c r="P1749" s="185"/>
      <c r="Q1749" s="185"/>
      <c r="R1749" s="185"/>
    </row>
    <row r="1750" spans="1:18" s="197" customFormat="1" ht="12.75" x14ac:dyDescent="0.2">
      <c r="A1750" s="181"/>
      <c r="B1750" s="188" t="s">
        <v>599</v>
      </c>
      <c r="C1750" s="189" t="s">
        <v>140</v>
      </c>
      <c r="D1750" s="189" t="s">
        <v>129</v>
      </c>
      <c r="E1750" s="190" t="s">
        <v>3649</v>
      </c>
      <c r="F1750" s="191">
        <f t="shared" si="29"/>
        <v>269.48333333333335</v>
      </c>
      <c r="G1750" s="185"/>
      <c r="H1750" s="181"/>
      <c r="I1750" s="74"/>
      <c r="J1750" s="74"/>
      <c r="M1750" s="185"/>
      <c r="N1750" s="185"/>
      <c r="O1750" s="185"/>
      <c r="P1750" s="185"/>
      <c r="Q1750" s="185"/>
      <c r="R1750" s="185"/>
    </row>
    <row r="1751" spans="1:18" s="197" customFormat="1" ht="12.75" x14ac:dyDescent="0.2">
      <c r="A1751" s="181"/>
      <c r="B1751" s="188" t="s">
        <v>546</v>
      </c>
      <c r="C1751" s="189" t="s">
        <v>125</v>
      </c>
      <c r="D1751" s="189" t="s">
        <v>144</v>
      </c>
      <c r="E1751" s="190" t="s">
        <v>844</v>
      </c>
      <c r="F1751" s="191">
        <f t="shared" si="29"/>
        <v>226.38333333333333</v>
      </c>
      <c r="G1751" s="185"/>
      <c r="H1751" s="181"/>
      <c r="I1751" s="74"/>
      <c r="J1751" s="74"/>
      <c r="M1751" s="185"/>
      <c r="N1751" s="185"/>
      <c r="O1751" s="185"/>
      <c r="P1751" s="185"/>
      <c r="Q1751" s="185"/>
      <c r="R1751" s="185"/>
    </row>
    <row r="1752" spans="1:18" s="197" customFormat="1" ht="12.75" x14ac:dyDescent="0.2">
      <c r="A1752" s="181"/>
      <c r="B1752" s="188" t="s">
        <v>3704</v>
      </c>
      <c r="C1752" s="189" t="s">
        <v>140</v>
      </c>
      <c r="D1752" s="189" t="s">
        <v>123</v>
      </c>
      <c r="E1752" s="190" t="s">
        <v>3705</v>
      </c>
      <c r="F1752" s="191">
        <f t="shared" si="29"/>
        <v>293.45</v>
      </c>
      <c r="G1752" s="185"/>
      <c r="H1752" s="181"/>
      <c r="I1752" s="74"/>
      <c r="J1752" s="74"/>
      <c r="M1752" s="185"/>
      <c r="N1752" s="185"/>
      <c r="O1752" s="185"/>
      <c r="P1752" s="185"/>
      <c r="Q1752" s="185"/>
      <c r="R1752" s="185"/>
    </row>
    <row r="1753" spans="1:18" s="197" customFormat="1" ht="12.75" x14ac:dyDescent="0.2">
      <c r="A1753" s="181"/>
      <c r="B1753" s="188" t="s">
        <v>2774</v>
      </c>
      <c r="C1753" s="189" t="s">
        <v>124</v>
      </c>
      <c r="D1753" s="189" t="s">
        <v>160</v>
      </c>
      <c r="E1753" s="190" t="s">
        <v>2775</v>
      </c>
      <c r="F1753" s="191">
        <f t="shared" si="29"/>
        <v>243.35</v>
      </c>
      <c r="G1753" s="185"/>
      <c r="H1753" s="181"/>
      <c r="I1753" s="74"/>
      <c r="J1753" s="74"/>
      <c r="M1753" s="185"/>
      <c r="N1753" s="185"/>
      <c r="O1753" s="185"/>
      <c r="P1753" s="185"/>
      <c r="Q1753" s="185"/>
      <c r="R1753" s="185"/>
    </row>
    <row r="1754" spans="1:18" s="197" customFormat="1" ht="12.75" x14ac:dyDescent="0.2">
      <c r="A1754" s="181"/>
      <c r="B1754" s="188" t="s">
        <v>375</v>
      </c>
      <c r="C1754" s="189" t="s">
        <v>130</v>
      </c>
      <c r="D1754" s="189" t="s">
        <v>123</v>
      </c>
      <c r="E1754" s="190" t="s">
        <v>2973</v>
      </c>
      <c r="F1754" s="191">
        <f t="shared" si="29"/>
        <v>250.35</v>
      </c>
      <c r="G1754" s="185"/>
      <c r="H1754" s="181"/>
      <c r="I1754" s="74"/>
      <c r="J1754" s="74"/>
      <c r="M1754" s="185"/>
      <c r="N1754" s="185"/>
      <c r="O1754" s="185"/>
      <c r="P1754" s="185"/>
      <c r="Q1754" s="185"/>
      <c r="R1754" s="185"/>
    </row>
    <row r="1755" spans="1:18" s="197" customFormat="1" ht="12.75" x14ac:dyDescent="0.2">
      <c r="A1755" s="181"/>
      <c r="B1755" s="188" t="s">
        <v>3706</v>
      </c>
      <c r="C1755" s="189" t="s">
        <v>130</v>
      </c>
      <c r="D1755" s="189" t="s">
        <v>123</v>
      </c>
      <c r="E1755" s="190" t="s">
        <v>3707</v>
      </c>
      <c r="F1755" s="191">
        <f t="shared" si="29"/>
        <v>298.60000000000002</v>
      </c>
      <c r="G1755" s="185"/>
      <c r="H1755" s="181"/>
      <c r="I1755" s="74"/>
      <c r="J1755" s="74"/>
      <c r="M1755" s="185"/>
      <c r="N1755" s="185"/>
      <c r="O1755" s="185"/>
      <c r="P1755" s="185"/>
      <c r="Q1755" s="185"/>
      <c r="R1755" s="185"/>
    </row>
    <row r="1756" spans="1:18" s="197" customFormat="1" ht="12.75" x14ac:dyDescent="0.2">
      <c r="A1756" s="181"/>
      <c r="B1756" s="188" t="s">
        <v>3708</v>
      </c>
      <c r="C1756" s="189" t="s">
        <v>125</v>
      </c>
      <c r="D1756" s="189" t="s">
        <v>123</v>
      </c>
      <c r="E1756" s="190" t="s">
        <v>3279</v>
      </c>
      <c r="F1756" s="191">
        <f t="shared" si="29"/>
        <v>237.55</v>
      </c>
      <c r="G1756" s="185"/>
      <c r="H1756" s="181"/>
      <c r="I1756" s="74"/>
      <c r="J1756" s="74"/>
      <c r="M1756" s="185"/>
      <c r="N1756" s="185"/>
      <c r="O1756" s="185"/>
      <c r="P1756" s="185"/>
      <c r="Q1756" s="185"/>
      <c r="R1756" s="185"/>
    </row>
    <row r="1757" spans="1:18" s="197" customFormat="1" ht="12.75" x14ac:dyDescent="0.2">
      <c r="A1757" s="181"/>
      <c r="B1757" s="188" t="s">
        <v>3709</v>
      </c>
      <c r="C1757" s="189" t="s">
        <v>126</v>
      </c>
      <c r="D1757" s="189" t="s">
        <v>123</v>
      </c>
      <c r="E1757" s="190" t="s">
        <v>3710</v>
      </c>
      <c r="F1757" s="191">
        <f t="shared" si="29"/>
        <v>285.88333333333333</v>
      </c>
      <c r="G1757" s="185"/>
      <c r="H1757" s="181"/>
      <c r="I1757" s="74"/>
      <c r="J1757" s="74"/>
      <c r="M1757" s="185"/>
      <c r="N1757" s="185"/>
      <c r="O1757" s="185"/>
      <c r="P1757" s="185"/>
      <c r="Q1757" s="185"/>
      <c r="R1757" s="185"/>
    </row>
    <row r="1758" spans="1:18" s="197" customFormat="1" ht="12.75" x14ac:dyDescent="0.2">
      <c r="A1758" s="181"/>
      <c r="B1758" s="188" t="s">
        <v>3711</v>
      </c>
      <c r="C1758" s="189" t="s">
        <v>128</v>
      </c>
      <c r="D1758" s="189" t="s">
        <v>131</v>
      </c>
      <c r="E1758" s="190" t="s">
        <v>3712</v>
      </c>
      <c r="F1758" s="191">
        <f t="shared" si="29"/>
        <v>282.5</v>
      </c>
      <c r="G1758" s="185"/>
      <c r="H1758" s="181"/>
      <c r="I1758" s="74"/>
      <c r="J1758" s="74"/>
      <c r="M1758" s="185"/>
      <c r="N1758" s="185"/>
      <c r="O1758" s="185"/>
      <c r="P1758" s="185"/>
      <c r="Q1758" s="185"/>
      <c r="R1758" s="185"/>
    </row>
    <row r="1759" spans="1:18" s="197" customFormat="1" ht="12.75" x14ac:dyDescent="0.2">
      <c r="A1759" s="181"/>
      <c r="B1759" s="188" t="s">
        <v>2940</v>
      </c>
      <c r="C1759" s="189" t="s">
        <v>124</v>
      </c>
      <c r="D1759" s="189" t="s">
        <v>123</v>
      </c>
      <c r="E1759" s="190" t="s">
        <v>2941</v>
      </c>
      <c r="F1759" s="191">
        <f t="shared" si="29"/>
        <v>221.48333333333332</v>
      </c>
      <c r="G1759" s="185"/>
      <c r="H1759" s="181"/>
      <c r="I1759" s="74"/>
      <c r="J1759" s="74"/>
      <c r="M1759" s="185"/>
      <c r="N1759" s="185"/>
      <c r="O1759" s="185"/>
      <c r="P1759" s="185"/>
      <c r="Q1759" s="185"/>
      <c r="R1759" s="185"/>
    </row>
    <row r="1760" spans="1:18" s="197" customFormat="1" ht="12.75" x14ac:dyDescent="0.2">
      <c r="A1760" s="181"/>
      <c r="B1760" s="188" t="s">
        <v>350</v>
      </c>
      <c r="C1760" s="189" t="s">
        <v>124</v>
      </c>
      <c r="D1760" s="189" t="s">
        <v>123</v>
      </c>
      <c r="E1760" s="190" t="s">
        <v>930</v>
      </c>
      <c r="F1760" s="191">
        <f t="shared" si="29"/>
        <v>189.58333333333334</v>
      </c>
      <c r="G1760" s="185"/>
      <c r="H1760" s="181"/>
      <c r="I1760" s="74"/>
      <c r="J1760" s="74"/>
      <c r="M1760" s="185"/>
      <c r="N1760" s="185"/>
      <c r="O1760" s="185"/>
      <c r="P1760" s="185"/>
      <c r="Q1760" s="185"/>
      <c r="R1760" s="185"/>
    </row>
    <row r="1761" spans="1:18" s="197" customFormat="1" ht="12.75" x14ac:dyDescent="0.2">
      <c r="A1761" s="181"/>
      <c r="B1761" s="188" t="s">
        <v>3713</v>
      </c>
      <c r="C1761" s="189" t="s">
        <v>124</v>
      </c>
      <c r="D1761" s="189" t="s">
        <v>123</v>
      </c>
      <c r="E1761" s="190" t="s">
        <v>1855</v>
      </c>
      <c r="F1761" s="191">
        <f t="shared" si="29"/>
        <v>205.21666666666667</v>
      </c>
      <c r="G1761" s="185"/>
      <c r="H1761" s="181"/>
      <c r="I1761" s="74"/>
      <c r="J1761" s="74"/>
      <c r="M1761" s="185"/>
      <c r="N1761" s="185"/>
      <c r="O1761" s="185"/>
      <c r="P1761" s="185"/>
      <c r="Q1761" s="185"/>
      <c r="R1761" s="185"/>
    </row>
    <row r="1762" spans="1:18" s="197" customFormat="1" ht="12.75" x14ac:dyDescent="0.2">
      <c r="A1762" s="181"/>
      <c r="B1762" s="188" t="s">
        <v>3714</v>
      </c>
      <c r="C1762" s="189" t="s">
        <v>124</v>
      </c>
      <c r="D1762" s="189" t="s">
        <v>123</v>
      </c>
      <c r="E1762" s="190" t="s">
        <v>3715</v>
      </c>
      <c r="F1762" s="191">
        <f t="shared" si="29"/>
        <v>331.73333333333335</v>
      </c>
      <c r="G1762" s="185"/>
      <c r="H1762" s="181"/>
      <c r="I1762" s="74"/>
      <c r="J1762" s="74"/>
      <c r="M1762" s="185"/>
      <c r="N1762" s="185"/>
      <c r="O1762" s="185"/>
      <c r="P1762" s="185"/>
      <c r="Q1762" s="185"/>
      <c r="R1762" s="185"/>
    </row>
    <row r="1763" spans="1:18" s="197" customFormat="1" ht="12.75" x14ac:dyDescent="0.2">
      <c r="A1763" s="181"/>
      <c r="B1763" s="188" t="s">
        <v>3716</v>
      </c>
      <c r="C1763" s="189" t="s">
        <v>124</v>
      </c>
      <c r="D1763" s="189" t="s">
        <v>123</v>
      </c>
      <c r="E1763" s="190" t="s">
        <v>3717</v>
      </c>
      <c r="F1763" s="191">
        <f t="shared" si="29"/>
        <v>218.63333333333333</v>
      </c>
      <c r="G1763" s="185"/>
      <c r="H1763" s="181"/>
      <c r="I1763" s="74"/>
      <c r="J1763" s="74"/>
      <c r="M1763" s="185"/>
      <c r="N1763" s="185"/>
      <c r="O1763" s="185"/>
      <c r="P1763" s="185"/>
      <c r="Q1763" s="185"/>
      <c r="R1763" s="185"/>
    </row>
    <row r="1764" spans="1:18" s="197" customFormat="1" ht="12.75" x14ac:dyDescent="0.2">
      <c r="A1764" s="181"/>
      <c r="B1764" s="188" t="s">
        <v>235</v>
      </c>
      <c r="C1764" s="189" t="s">
        <v>125</v>
      </c>
      <c r="D1764" s="189" t="s">
        <v>132</v>
      </c>
      <c r="E1764" s="190" t="s">
        <v>3718</v>
      </c>
      <c r="F1764" s="191">
        <f t="shared" si="29"/>
        <v>286.68333333333334</v>
      </c>
      <c r="G1764" s="185"/>
      <c r="H1764" s="181"/>
      <c r="I1764" s="74"/>
      <c r="J1764" s="74"/>
      <c r="M1764" s="185"/>
      <c r="N1764" s="185"/>
      <c r="O1764" s="185"/>
      <c r="P1764" s="185"/>
      <c r="Q1764" s="185"/>
      <c r="R1764" s="185"/>
    </row>
    <row r="1765" spans="1:18" s="197" customFormat="1" ht="12.75" x14ac:dyDescent="0.2">
      <c r="A1765" s="181"/>
      <c r="B1765" s="188" t="s">
        <v>3719</v>
      </c>
      <c r="C1765" s="189" t="s">
        <v>136</v>
      </c>
      <c r="D1765" s="189" t="s">
        <v>131</v>
      </c>
      <c r="E1765" s="190" t="s">
        <v>3720</v>
      </c>
      <c r="F1765" s="191">
        <f t="shared" si="29"/>
        <v>235.91666666666666</v>
      </c>
      <c r="G1765" s="185"/>
      <c r="H1765" s="181"/>
      <c r="I1765" s="74"/>
      <c r="J1765" s="74"/>
      <c r="M1765" s="185"/>
      <c r="N1765" s="185"/>
      <c r="O1765" s="185"/>
      <c r="P1765" s="185"/>
      <c r="Q1765" s="185"/>
      <c r="R1765" s="185"/>
    </row>
    <row r="1766" spans="1:18" s="197" customFormat="1" ht="12.75" x14ac:dyDescent="0.2">
      <c r="A1766" s="181"/>
      <c r="B1766" s="188" t="s">
        <v>3721</v>
      </c>
      <c r="C1766" s="189" t="s">
        <v>142</v>
      </c>
      <c r="D1766" s="189" t="s">
        <v>123</v>
      </c>
      <c r="E1766" s="190" t="s">
        <v>3722</v>
      </c>
      <c r="F1766" s="191">
        <f t="shared" si="29"/>
        <v>187.21666666666667</v>
      </c>
      <c r="G1766" s="185"/>
      <c r="H1766" s="181"/>
      <c r="I1766" s="74"/>
      <c r="J1766" s="74"/>
      <c r="M1766" s="185"/>
      <c r="N1766" s="185"/>
      <c r="O1766" s="185"/>
      <c r="P1766" s="185"/>
      <c r="Q1766" s="185"/>
      <c r="R1766" s="185"/>
    </row>
    <row r="1767" spans="1:18" s="197" customFormat="1" ht="12.75" x14ac:dyDescent="0.2">
      <c r="A1767" s="181"/>
      <c r="B1767" s="188" t="s">
        <v>3723</v>
      </c>
      <c r="C1767" s="189" t="s">
        <v>126</v>
      </c>
      <c r="D1767" s="189" t="s">
        <v>132</v>
      </c>
      <c r="E1767" s="190" t="s">
        <v>3724</v>
      </c>
      <c r="F1767" s="191">
        <f t="shared" si="29"/>
        <v>267.48333333333335</v>
      </c>
      <c r="G1767" s="185"/>
      <c r="H1767" s="181"/>
      <c r="I1767" s="74"/>
      <c r="J1767" s="74"/>
      <c r="M1767" s="185"/>
      <c r="N1767" s="185"/>
      <c r="O1767" s="185"/>
      <c r="P1767" s="185"/>
      <c r="Q1767" s="185"/>
      <c r="R1767" s="185"/>
    </row>
    <row r="1768" spans="1:18" s="197" customFormat="1" ht="12.75" x14ac:dyDescent="0.2">
      <c r="A1768" s="181"/>
      <c r="B1768" s="188" t="s">
        <v>189</v>
      </c>
      <c r="C1768" s="189" t="s">
        <v>124</v>
      </c>
      <c r="D1768" s="189" t="s">
        <v>131</v>
      </c>
      <c r="E1768" s="190" t="s">
        <v>3725</v>
      </c>
      <c r="F1768" s="191">
        <f t="shared" si="29"/>
        <v>210.2</v>
      </c>
      <c r="G1768" s="185"/>
      <c r="H1768" s="181"/>
      <c r="I1768" s="74"/>
      <c r="J1768" s="74"/>
      <c r="M1768" s="185"/>
      <c r="N1768" s="185"/>
      <c r="O1768" s="185"/>
      <c r="P1768" s="185"/>
      <c r="Q1768" s="185"/>
      <c r="R1768" s="185"/>
    </row>
    <row r="1769" spans="1:18" s="197" customFormat="1" ht="12.75" x14ac:dyDescent="0.2">
      <c r="A1769" s="181"/>
      <c r="B1769" s="188" t="s">
        <v>195</v>
      </c>
      <c r="C1769" s="189" t="s">
        <v>124</v>
      </c>
      <c r="D1769" s="189" t="s">
        <v>148</v>
      </c>
      <c r="E1769" s="190" t="s">
        <v>3726</v>
      </c>
      <c r="F1769" s="191">
        <f t="shared" si="29"/>
        <v>295.55</v>
      </c>
      <c r="G1769" s="185"/>
      <c r="H1769" s="181"/>
      <c r="I1769" s="74"/>
      <c r="J1769" s="74"/>
      <c r="M1769" s="185"/>
      <c r="N1769" s="185"/>
      <c r="O1769" s="185"/>
      <c r="P1769" s="185"/>
      <c r="Q1769" s="185"/>
      <c r="R1769" s="185"/>
    </row>
    <row r="1770" spans="1:18" s="197" customFormat="1" ht="12.75" x14ac:dyDescent="0.2">
      <c r="A1770" s="181"/>
      <c r="B1770" s="188" t="s">
        <v>322</v>
      </c>
      <c r="C1770" s="189" t="s">
        <v>124</v>
      </c>
      <c r="D1770" s="189" t="s">
        <v>144</v>
      </c>
      <c r="E1770" s="190" t="s">
        <v>955</v>
      </c>
      <c r="F1770" s="191">
        <f t="shared" si="29"/>
        <v>303.76666666666665</v>
      </c>
      <c r="G1770" s="185"/>
      <c r="H1770" s="181"/>
      <c r="I1770" s="74"/>
      <c r="J1770" s="74"/>
      <c r="M1770" s="185"/>
      <c r="N1770" s="185"/>
      <c r="O1770" s="185"/>
      <c r="P1770" s="185"/>
      <c r="Q1770" s="185"/>
      <c r="R1770" s="185"/>
    </row>
    <row r="1771" spans="1:18" s="197" customFormat="1" ht="12.75" x14ac:dyDescent="0.2">
      <c r="A1771" s="181"/>
      <c r="B1771" s="188" t="s">
        <v>3389</v>
      </c>
      <c r="C1771" s="189" t="s">
        <v>125</v>
      </c>
      <c r="D1771" s="189" t="s">
        <v>123</v>
      </c>
      <c r="E1771" s="190" t="s">
        <v>3390</v>
      </c>
      <c r="F1771" s="191">
        <f t="shared" si="29"/>
        <v>221.75</v>
      </c>
      <c r="G1771" s="185"/>
      <c r="H1771" s="181"/>
      <c r="I1771" s="74"/>
      <c r="J1771" s="74"/>
      <c r="M1771" s="185"/>
      <c r="N1771" s="185"/>
      <c r="O1771" s="185"/>
      <c r="P1771" s="185"/>
      <c r="Q1771" s="185"/>
      <c r="R1771" s="185"/>
    </row>
    <row r="1772" spans="1:18" s="197" customFormat="1" ht="12.75" x14ac:dyDescent="0.2">
      <c r="A1772" s="181"/>
      <c r="B1772" s="188" t="s">
        <v>2748</v>
      </c>
      <c r="C1772" s="189" t="s">
        <v>125</v>
      </c>
      <c r="D1772" s="189" t="s">
        <v>123</v>
      </c>
      <c r="E1772" s="190" t="s">
        <v>3727</v>
      </c>
      <c r="F1772" s="191">
        <f t="shared" si="29"/>
        <v>237.35</v>
      </c>
      <c r="G1772" s="185"/>
      <c r="H1772" s="181"/>
      <c r="I1772" s="74"/>
      <c r="J1772" s="74"/>
      <c r="M1772" s="185"/>
      <c r="N1772" s="185"/>
      <c r="O1772" s="185"/>
      <c r="P1772" s="185"/>
      <c r="Q1772" s="185"/>
      <c r="R1772" s="185"/>
    </row>
    <row r="1773" spans="1:18" s="197" customFormat="1" ht="12.75" x14ac:dyDescent="0.2">
      <c r="A1773" s="181"/>
      <c r="B1773" s="188" t="s">
        <v>3728</v>
      </c>
      <c r="C1773" s="189" t="s">
        <v>134</v>
      </c>
      <c r="D1773" s="189" t="s">
        <v>123</v>
      </c>
      <c r="E1773" s="190" t="s">
        <v>3729</v>
      </c>
      <c r="F1773" s="191">
        <f t="shared" si="29"/>
        <v>208.98333333333332</v>
      </c>
      <c r="G1773" s="185"/>
      <c r="H1773" s="181"/>
      <c r="I1773" s="74"/>
      <c r="J1773" s="74"/>
      <c r="M1773" s="185"/>
      <c r="N1773" s="185"/>
      <c r="O1773" s="185"/>
      <c r="P1773" s="185"/>
      <c r="Q1773" s="185"/>
      <c r="R1773" s="185"/>
    </row>
    <row r="1774" spans="1:18" s="197" customFormat="1" ht="12.75" x14ac:dyDescent="0.2">
      <c r="A1774" s="181"/>
      <c r="B1774" s="188" t="s">
        <v>3730</v>
      </c>
      <c r="C1774" s="189" t="s">
        <v>125</v>
      </c>
      <c r="D1774" s="189" t="s">
        <v>123</v>
      </c>
      <c r="E1774" s="190" t="s">
        <v>3266</v>
      </c>
      <c r="F1774" s="191">
        <f t="shared" si="29"/>
        <v>282.43333333333334</v>
      </c>
      <c r="G1774" s="185"/>
      <c r="H1774" s="181"/>
      <c r="I1774" s="74"/>
      <c r="J1774" s="74"/>
      <c r="M1774" s="185"/>
      <c r="N1774" s="185"/>
      <c r="O1774" s="185"/>
      <c r="P1774" s="185"/>
      <c r="Q1774" s="185"/>
      <c r="R1774" s="185"/>
    </row>
    <row r="1775" spans="1:18" s="197" customFormat="1" ht="12.75" x14ac:dyDescent="0.2">
      <c r="A1775" s="181"/>
      <c r="B1775" s="188" t="s">
        <v>3731</v>
      </c>
      <c r="C1775" s="189" t="s">
        <v>124</v>
      </c>
      <c r="D1775" s="189" t="s">
        <v>141</v>
      </c>
      <c r="E1775" s="190" t="s">
        <v>3732</v>
      </c>
      <c r="F1775" s="191">
        <f t="shared" si="29"/>
        <v>247.95</v>
      </c>
      <c r="G1775" s="185"/>
      <c r="H1775" s="181"/>
      <c r="I1775" s="74"/>
      <c r="J1775" s="74"/>
      <c r="M1775" s="185"/>
      <c r="N1775" s="185"/>
      <c r="O1775" s="185"/>
      <c r="P1775" s="185"/>
      <c r="Q1775" s="185"/>
      <c r="R1775" s="185"/>
    </row>
    <row r="1776" spans="1:18" s="197" customFormat="1" ht="12.75" x14ac:dyDescent="0.2">
      <c r="A1776" s="181"/>
      <c r="B1776" s="188" t="s">
        <v>3733</v>
      </c>
      <c r="C1776" s="189" t="s">
        <v>125</v>
      </c>
      <c r="D1776" s="189" t="s">
        <v>123</v>
      </c>
      <c r="E1776" s="190" t="s">
        <v>3734</v>
      </c>
      <c r="F1776" s="191">
        <f t="shared" si="29"/>
        <v>262.55</v>
      </c>
      <c r="G1776" s="185"/>
      <c r="H1776" s="181"/>
      <c r="I1776" s="74"/>
      <c r="J1776" s="74"/>
      <c r="M1776" s="185"/>
      <c r="N1776" s="185"/>
      <c r="O1776" s="185"/>
      <c r="P1776" s="185"/>
      <c r="Q1776" s="185"/>
      <c r="R1776" s="185"/>
    </row>
    <row r="1777" spans="1:18" s="197" customFormat="1" ht="12.75" x14ac:dyDescent="0.2">
      <c r="A1777" s="181"/>
      <c r="B1777" s="188" t="s">
        <v>3735</v>
      </c>
      <c r="C1777" s="189" t="s">
        <v>125</v>
      </c>
      <c r="D1777" s="189" t="s">
        <v>187</v>
      </c>
      <c r="E1777" s="190" t="s">
        <v>1154</v>
      </c>
      <c r="F1777" s="191">
        <f t="shared" si="29"/>
        <v>312.5</v>
      </c>
      <c r="G1777" s="185"/>
      <c r="H1777" s="181"/>
      <c r="I1777" s="74"/>
      <c r="J1777" s="74"/>
      <c r="M1777" s="185"/>
      <c r="N1777" s="185"/>
      <c r="O1777" s="185"/>
      <c r="P1777" s="185"/>
      <c r="Q1777" s="185"/>
      <c r="R1777" s="185"/>
    </row>
    <row r="1778" spans="1:18" s="197" customFormat="1" ht="12.75" x14ac:dyDescent="0.2">
      <c r="A1778" s="181"/>
      <c r="B1778" s="188" t="s">
        <v>252</v>
      </c>
      <c r="C1778" s="189" t="s">
        <v>130</v>
      </c>
      <c r="D1778" s="189" t="s">
        <v>123</v>
      </c>
      <c r="E1778" s="190" t="s">
        <v>1895</v>
      </c>
      <c r="F1778" s="191">
        <f t="shared" si="29"/>
        <v>231.76666666666668</v>
      </c>
      <c r="G1778" s="185"/>
      <c r="H1778" s="181"/>
      <c r="I1778" s="74"/>
      <c r="J1778" s="74"/>
      <c r="M1778" s="185"/>
      <c r="N1778" s="185"/>
      <c r="O1778" s="185"/>
      <c r="P1778" s="185"/>
      <c r="Q1778" s="185"/>
      <c r="R1778" s="185"/>
    </row>
    <row r="1779" spans="1:18" s="197" customFormat="1" ht="12.75" x14ac:dyDescent="0.2">
      <c r="A1779" s="181"/>
      <c r="B1779" s="188" t="s">
        <v>3736</v>
      </c>
      <c r="C1779" s="189" t="s">
        <v>124</v>
      </c>
      <c r="D1779" s="189" t="s">
        <v>123</v>
      </c>
      <c r="E1779" s="190" t="s">
        <v>3737</v>
      </c>
      <c r="F1779" s="191">
        <f t="shared" si="29"/>
        <v>278.89999999999998</v>
      </c>
      <c r="G1779" s="185"/>
      <c r="H1779" s="181"/>
      <c r="I1779" s="74"/>
      <c r="J1779" s="74"/>
      <c r="M1779" s="185"/>
      <c r="N1779" s="185"/>
      <c r="O1779" s="185"/>
      <c r="P1779" s="185"/>
      <c r="Q1779" s="185"/>
      <c r="R1779" s="185"/>
    </row>
    <row r="1780" spans="1:18" s="197" customFormat="1" ht="12.75" x14ac:dyDescent="0.2">
      <c r="A1780" s="181"/>
      <c r="B1780" s="188" t="s">
        <v>217</v>
      </c>
      <c r="C1780" s="189" t="s">
        <v>142</v>
      </c>
      <c r="D1780" s="189" t="s">
        <v>132</v>
      </c>
      <c r="E1780" s="190" t="s">
        <v>3738</v>
      </c>
      <c r="F1780" s="191">
        <f t="shared" si="29"/>
        <v>255.06666666666666</v>
      </c>
      <c r="G1780" s="185"/>
      <c r="H1780" s="181"/>
      <c r="I1780" s="74"/>
      <c r="J1780" s="74"/>
      <c r="M1780" s="185"/>
      <c r="N1780" s="185"/>
      <c r="O1780" s="185"/>
      <c r="P1780" s="185"/>
      <c r="Q1780" s="185"/>
      <c r="R1780" s="185"/>
    </row>
    <row r="1781" spans="1:18" s="197" customFormat="1" ht="12.75" x14ac:dyDescent="0.2">
      <c r="A1781" s="181"/>
      <c r="B1781" s="188" t="s">
        <v>159</v>
      </c>
      <c r="C1781" s="189" t="s">
        <v>142</v>
      </c>
      <c r="D1781" s="189" t="s">
        <v>123</v>
      </c>
      <c r="E1781" s="190" t="s">
        <v>3739</v>
      </c>
      <c r="F1781" s="191">
        <f t="shared" si="29"/>
        <v>205.25</v>
      </c>
      <c r="G1781" s="185"/>
      <c r="H1781" s="181"/>
      <c r="I1781" s="74"/>
      <c r="J1781" s="74"/>
      <c r="M1781" s="185"/>
      <c r="N1781" s="185"/>
      <c r="O1781" s="185"/>
      <c r="P1781" s="185"/>
      <c r="Q1781" s="185"/>
      <c r="R1781" s="185"/>
    </row>
    <row r="1782" spans="1:18" s="197" customFormat="1" ht="12.75" x14ac:dyDescent="0.2">
      <c r="A1782" s="181"/>
      <c r="B1782" s="188" t="s">
        <v>3740</v>
      </c>
      <c r="C1782" s="189" t="s">
        <v>130</v>
      </c>
      <c r="D1782" s="189" t="s">
        <v>132</v>
      </c>
      <c r="E1782" s="190" t="s">
        <v>3741</v>
      </c>
      <c r="F1782" s="191">
        <f t="shared" si="29"/>
        <v>237.4</v>
      </c>
      <c r="G1782" s="185"/>
      <c r="H1782" s="181"/>
      <c r="I1782" s="74"/>
      <c r="J1782" s="74"/>
      <c r="M1782" s="185"/>
      <c r="N1782" s="185"/>
      <c r="O1782" s="185"/>
      <c r="P1782" s="185"/>
      <c r="Q1782" s="185"/>
      <c r="R1782" s="185"/>
    </row>
    <row r="1783" spans="1:18" s="197" customFormat="1" ht="12.75" x14ac:dyDescent="0.2">
      <c r="A1783" s="181"/>
      <c r="B1783" s="188" t="s">
        <v>3742</v>
      </c>
      <c r="C1783" s="189" t="s">
        <v>136</v>
      </c>
      <c r="D1783" s="189" t="s">
        <v>123</v>
      </c>
      <c r="E1783" s="190" t="s">
        <v>3743</v>
      </c>
      <c r="F1783" s="191">
        <f t="shared" si="29"/>
        <v>322.83333333333331</v>
      </c>
      <c r="G1783" s="185"/>
      <c r="H1783" s="181"/>
      <c r="I1783" s="74"/>
      <c r="J1783" s="74"/>
      <c r="M1783" s="185"/>
      <c r="N1783" s="185"/>
      <c r="O1783" s="185"/>
      <c r="P1783" s="185"/>
      <c r="Q1783" s="185"/>
      <c r="R1783" s="185"/>
    </row>
    <row r="1784" spans="1:18" s="197" customFormat="1" ht="12.75" x14ac:dyDescent="0.2">
      <c r="A1784" s="181"/>
      <c r="B1784" s="188" t="s">
        <v>3744</v>
      </c>
      <c r="C1784" s="189" t="s">
        <v>135</v>
      </c>
      <c r="D1784" s="189" t="s">
        <v>123</v>
      </c>
      <c r="E1784" s="190" t="s">
        <v>3745</v>
      </c>
      <c r="F1784" s="191">
        <f t="shared" si="29"/>
        <v>202.88333333333333</v>
      </c>
      <c r="G1784" s="185"/>
      <c r="H1784" s="181"/>
      <c r="I1784" s="74"/>
      <c r="J1784" s="74"/>
      <c r="M1784" s="185"/>
      <c r="N1784" s="185"/>
      <c r="O1784" s="185"/>
      <c r="P1784" s="185"/>
      <c r="Q1784" s="185"/>
      <c r="R1784" s="185"/>
    </row>
    <row r="1785" spans="1:18" s="197" customFormat="1" ht="12.75" x14ac:dyDescent="0.2">
      <c r="A1785" s="181"/>
      <c r="B1785" s="188" t="s">
        <v>3746</v>
      </c>
      <c r="C1785" s="189" t="s">
        <v>134</v>
      </c>
      <c r="D1785" s="189" t="s">
        <v>157</v>
      </c>
      <c r="E1785" s="190" t="s">
        <v>1317</v>
      </c>
      <c r="F1785" s="191">
        <f t="shared" si="29"/>
        <v>254.9</v>
      </c>
      <c r="G1785" s="185"/>
      <c r="H1785" s="181"/>
      <c r="I1785" s="74"/>
      <c r="J1785" s="74"/>
      <c r="M1785" s="185"/>
      <c r="N1785" s="185"/>
      <c r="O1785" s="185"/>
      <c r="P1785" s="185"/>
      <c r="Q1785" s="185"/>
      <c r="R1785" s="185"/>
    </row>
    <row r="1786" spans="1:18" s="197" customFormat="1" ht="12.75" x14ac:dyDescent="0.2">
      <c r="A1786" s="181"/>
      <c r="B1786" s="188" t="s">
        <v>3747</v>
      </c>
      <c r="C1786" s="189" t="s">
        <v>126</v>
      </c>
      <c r="D1786" s="189" t="s">
        <v>131</v>
      </c>
      <c r="E1786" s="190" t="s">
        <v>3748</v>
      </c>
      <c r="F1786" s="191">
        <f t="shared" si="29"/>
        <v>223.15</v>
      </c>
      <c r="G1786" s="185"/>
      <c r="H1786" s="181"/>
      <c r="I1786" s="74"/>
      <c r="J1786" s="74"/>
      <c r="M1786" s="185"/>
      <c r="N1786" s="185"/>
      <c r="O1786" s="185"/>
      <c r="P1786" s="185"/>
      <c r="Q1786" s="185"/>
      <c r="R1786" s="185"/>
    </row>
    <row r="1787" spans="1:18" s="197" customFormat="1" ht="12.75" x14ac:dyDescent="0.2">
      <c r="A1787" s="181"/>
      <c r="B1787" s="188" t="s">
        <v>3749</v>
      </c>
      <c r="C1787" s="189" t="s">
        <v>124</v>
      </c>
      <c r="D1787" s="189" t="s">
        <v>155</v>
      </c>
      <c r="E1787" s="190" t="s">
        <v>3750</v>
      </c>
      <c r="F1787" s="191">
        <f t="shared" si="29"/>
        <v>217.95</v>
      </c>
      <c r="G1787" s="185"/>
      <c r="H1787" s="181"/>
      <c r="I1787" s="74"/>
      <c r="J1787" s="74"/>
      <c r="M1787" s="185"/>
      <c r="N1787" s="185"/>
      <c r="O1787" s="185"/>
      <c r="P1787" s="185"/>
      <c r="Q1787" s="185"/>
      <c r="R1787" s="185"/>
    </row>
    <row r="1788" spans="1:18" s="197" customFormat="1" ht="12.75" x14ac:dyDescent="0.2">
      <c r="A1788" s="181"/>
      <c r="B1788" s="188" t="s">
        <v>3751</v>
      </c>
      <c r="C1788" s="189" t="s">
        <v>142</v>
      </c>
      <c r="D1788" s="189" t="s">
        <v>129</v>
      </c>
      <c r="E1788" s="190" t="s">
        <v>1567</v>
      </c>
      <c r="F1788" s="191">
        <f t="shared" si="29"/>
        <v>208.05</v>
      </c>
      <c r="G1788" s="185"/>
      <c r="H1788" s="181"/>
      <c r="I1788" s="74"/>
      <c r="J1788" s="74"/>
      <c r="M1788" s="185"/>
      <c r="N1788" s="185"/>
      <c r="O1788" s="185"/>
      <c r="P1788" s="185"/>
      <c r="Q1788" s="185"/>
      <c r="R1788" s="185"/>
    </row>
    <row r="1789" spans="1:18" s="197" customFormat="1" ht="12.75" x14ac:dyDescent="0.2">
      <c r="A1789" s="181"/>
      <c r="B1789" s="188" t="s">
        <v>3752</v>
      </c>
      <c r="C1789" s="189" t="s">
        <v>134</v>
      </c>
      <c r="D1789" s="189" t="s">
        <v>133</v>
      </c>
      <c r="E1789" s="190" t="s">
        <v>1913</v>
      </c>
      <c r="F1789" s="191">
        <f t="shared" si="29"/>
        <v>261.66666666666669</v>
      </c>
      <c r="G1789" s="185"/>
      <c r="H1789" s="181"/>
      <c r="I1789" s="74"/>
      <c r="J1789" s="74"/>
      <c r="M1789" s="185"/>
      <c r="N1789" s="185"/>
      <c r="O1789" s="185"/>
      <c r="P1789" s="185"/>
      <c r="Q1789" s="185"/>
      <c r="R1789" s="185"/>
    </row>
    <row r="1790" spans="1:18" s="197" customFormat="1" ht="12.75" x14ac:dyDescent="0.2">
      <c r="A1790" s="181"/>
      <c r="B1790" s="188" t="s">
        <v>3753</v>
      </c>
      <c r="C1790" s="189" t="s">
        <v>135</v>
      </c>
      <c r="D1790" s="189" t="s">
        <v>123</v>
      </c>
      <c r="E1790" s="190" t="s">
        <v>2879</v>
      </c>
      <c r="F1790" s="191">
        <f t="shared" si="29"/>
        <v>203.05</v>
      </c>
      <c r="G1790" s="185"/>
      <c r="H1790" s="181"/>
      <c r="I1790" s="74"/>
      <c r="J1790" s="74"/>
      <c r="M1790" s="185"/>
      <c r="N1790" s="185"/>
      <c r="O1790" s="185"/>
      <c r="P1790" s="185"/>
      <c r="Q1790" s="185"/>
      <c r="R1790" s="185"/>
    </row>
    <row r="1791" spans="1:18" s="197" customFormat="1" ht="12.75" x14ac:dyDescent="0.2">
      <c r="A1791" s="181"/>
      <c r="B1791" s="188" t="s">
        <v>3754</v>
      </c>
      <c r="C1791" s="189" t="s">
        <v>126</v>
      </c>
      <c r="D1791" s="189" t="s">
        <v>123</v>
      </c>
      <c r="E1791" s="190" t="s">
        <v>3755</v>
      </c>
      <c r="F1791" s="191">
        <f t="shared" si="29"/>
        <v>243.06666666666666</v>
      </c>
      <c r="G1791" s="185"/>
      <c r="H1791" s="181"/>
      <c r="I1791" s="74"/>
      <c r="J1791" s="74"/>
      <c r="M1791" s="185"/>
      <c r="N1791" s="185"/>
      <c r="O1791" s="185"/>
      <c r="P1791" s="185"/>
      <c r="Q1791" s="185"/>
      <c r="R1791" s="185"/>
    </row>
    <row r="1792" spans="1:18" s="197" customFormat="1" ht="12.75" x14ac:dyDescent="0.2">
      <c r="A1792" s="181"/>
      <c r="B1792" s="188" t="s">
        <v>3756</v>
      </c>
      <c r="C1792" s="189" t="s">
        <v>126</v>
      </c>
      <c r="D1792" s="189" t="s">
        <v>123</v>
      </c>
      <c r="E1792" s="190" t="s">
        <v>3757</v>
      </c>
      <c r="F1792" s="191">
        <f t="shared" si="29"/>
        <v>252.48333333333332</v>
      </c>
      <c r="G1792" s="185"/>
      <c r="H1792" s="181"/>
      <c r="I1792" s="74"/>
      <c r="J1792" s="74"/>
      <c r="M1792" s="185"/>
      <c r="N1792" s="185"/>
      <c r="O1792" s="185"/>
      <c r="P1792" s="185"/>
      <c r="Q1792" s="185"/>
      <c r="R1792" s="185"/>
    </row>
    <row r="1793" spans="1:18" s="197" customFormat="1" ht="12.75" x14ac:dyDescent="0.2">
      <c r="A1793" s="181"/>
      <c r="B1793" s="188" t="s">
        <v>3758</v>
      </c>
      <c r="C1793" s="189" t="s">
        <v>126</v>
      </c>
      <c r="D1793" s="189" t="s">
        <v>123</v>
      </c>
      <c r="E1793" s="190" t="s">
        <v>3759</v>
      </c>
      <c r="F1793" s="191">
        <f t="shared" si="29"/>
        <v>287.10000000000002</v>
      </c>
      <c r="G1793" s="185"/>
      <c r="H1793" s="181"/>
      <c r="I1793" s="74"/>
      <c r="J1793" s="74"/>
      <c r="M1793" s="185"/>
      <c r="N1793" s="185"/>
      <c r="O1793" s="185"/>
      <c r="P1793" s="185"/>
      <c r="Q1793" s="185"/>
      <c r="R1793" s="185"/>
    </row>
    <row r="1794" spans="1:18" s="197" customFormat="1" ht="12.75" x14ac:dyDescent="0.2">
      <c r="A1794" s="181"/>
      <c r="B1794" s="188" t="s">
        <v>3760</v>
      </c>
      <c r="C1794" s="189" t="s">
        <v>125</v>
      </c>
      <c r="D1794" s="189" t="s">
        <v>129</v>
      </c>
      <c r="E1794" s="190" t="s">
        <v>3761</v>
      </c>
      <c r="F1794" s="191">
        <f t="shared" si="29"/>
        <v>271.2</v>
      </c>
      <c r="G1794" s="185"/>
      <c r="H1794" s="181"/>
      <c r="I1794" s="74"/>
      <c r="J1794" s="74"/>
      <c r="M1794" s="185"/>
      <c r="N1794" s="185"/>
      <c r="O1794" s="185"/>
      <c r="P1794" s="185"/>
      <c r="Q1794" s="185"/>
      <c r="R1794" s="185"/>
    </row>
    <row r="1795" spans="1:18" s="197" customFormat="1" ht="12.75" x14ac:dyDescent="0.2">
      <c r="A1795" s="181"/>
      <c r="B1795" s="188" t="s">
        <v>442</v>
      </c>
      <c r="C1795" s="189" t="s">
        <v>125</v>
      </c>
      <c r="D1795" s="189" t="s">
        <v>123</v>
      </c>
      <c r="E1795" s="190" t="s">
        <v>3591</v>
      </c>
      <c r="F1795" s="191">
        <f t="shared" si="29"/>
        <v>209.41666666666666</v>
      </c>
      <c r="G1795" s="185"/>
      <c r="H1795" s="181"/>
      <c r="I1795" s="74"/>
      <c r="J1795" s="74"/>
      <c r="M1795" s="185"/>
      <c r="N1795" s="185"/>
      <c r="O1795" s="185"/>
      <c r="P1795" s="185"/>
      <c r="Q1795" s="185"/>
      <c r="R1795" s="185"/>
    </row>
    <row r="1796" spans="1:18" s="197" customFormat="1" ht="12.75" x14ac:dyDescent="0.2">
      <c r="A1796" s="181"/>
      <c r="B1796" s="188" t="s">
        <v>3762</v>
      </c>
      <c r="C1796" s="189" t="s">
        <v>135</v>
      </c>
      <c r="D1796" s="189" t="s">
        <v>131</v>
      </c>
      <c r="E1796" s="190" t="s">
        <v>3763</v>
      </c>
      <c r="F1796" s="191">
        <f t="shared" si="29"/>
        <v>250.6</v>
      </c>
      <c r="G1796" s="185"/>
      <c r="H1796" s="181"/>
      <c r="I1796" s="74"/>
      <c r="J1796" s="74"/>
      <c r="M1796" s="185"/>
      <c r="N1796" s="185"/>
      <c r="O1796" s="185"/>
      <c r="P1796" s="185"/>
      <c r="Q1796" s="185"/>
      <c r="R1796" s="185"/>
    </row>
    <row r="1797" spans="1:18" s="197" customFormat="1" ht="12.75" x14ac:dyDescent="0.2">
      <c r="A1797" s="181"/>
      <c r="B1797" s="188" t="s">
        <v>3764</v>
      </c>
      <c r="C1797" s="189" t="s">
        <v>136</v>
      </c>
      <c r="D1797" s="189" t="s">
        <v>123</v>
      </c>
      <c r="E1797" s="190" t="s">
        <v>3765</v>
      </c>
      <c r="F1797" s="191">
        <f t="shared" si="29"/>
        <v>273.33333333333331</v>
      </c>
      <c r="G1797" s="185"/>
      <c r="H1797" s="181"/>
      <c r="I1797" s="74"/>
      <c r="J1797" s="74"/>
      <c r="M1797" s="185"/>
      <c r="N1797" s="185"/>
      <c r="O1797" s="185"/>
      <c r="P1797" s="185"/>
      <c r="Q1797" s="185"/>
      <c r="R1797" s="185"/>
    </row>
    <row r="1798" spans="1:18" s="197" customFormat="1" ht="12.75" x14ac:dyDescent="0.2">
      <c r="A1798" s="181"/>
      <c r="B1798" s="188" t="s">
        <v>3766</v>
      </c>
      <c r="C1798" s="189" t="s">
        <v>124</v>
      </c>
      <c r="D1798" s="189" t="s">
        <v>132</v>
      </c>
      <c r="E1798" s="190" t="s">
        <v>3767</v>
      </c>
      <c r="F1798" s="191">
        <f t="shared" si="29"/>
        <v>324.75</v>
      </c>
      <c r="G1798" s="185"/>
      <c r="H1798" s="181"/>
      <c r="I1798" s="74"/>
      <c r="J1798" s="74"/>
      <c r="M1798" s="185"/>
      <c r="N1798" s="185"/>
      <c r="O1798" s="185"/>
      <c r="P1798" s="185"/>
      <c r="Q1798" s="185"/>
      <c r="R1798" s="185"/>
    </row>
    <row r="1799" spans="1:18" s="197" customFormat="1" ht="12.75" x14ac:dyDescent="0.2">
      <c r="A1799" s="181"/>
      <c r="B1799" s="188" t="s">
        <v>3768</v>
      </c>
      <c r="C1799" s="189" t="s">
        <v>134</v>
      </c>
      <c r="D1799" s="189" t="s">
        <v>131</v>
      </c>
      <c r="E1799" s="190" t="s">
        <v>3769</v>
      </c>
      <c r="F1799" s="191">
        <f t="shared" si="29"/>
        <v>322.28333333333336</v>
      </c>
      <c r="G1799" s="185"/>
      <c r="H1799" s="181"/>
      <c r="I1799" s="74"/>
      <c r="J1799" s="74"/>
      <c r="M1799" s="185"/>
      <c r="N1799" s="185"/>
      <c r="O1799" s="185"/>
      <c r="P1799" s="185"/>
      <c r="Q1799" s="185"/>
      <c r="R1799" s="185"/>
    </row>
    <row r="1800" spans="1:18" s="197" customFormat="1" ht="12.75" x14ac:dyDescent="0.2">
      <c r="A1800" s="181"/>
      <c r="B1800" s="188" t="s">
        <v>236</v>
      </c>
      <c r="C1800" s="189" t="s">
        <v>142</v>
      </c>
      <c r="D1800" s="189" t="s">
        <v>123</v>
      </c>
      <c r="E1800" s="190" t="s">
        <v>3770</v>
      </c>
      <c r="F1800" s="191">
        <f t="shared" si="29"/>
        <v>326.26666666666665</v>
      </c>
      <c r="G1800" s="185"/>
      <c r="H1800" s="181"/>
      <c r="I1800" s="74"/>
      <c r="J1800" s="74"/>
      <c r="M1800" s="185"/>
      <c r="N1800" s="185"/>
      <c r="O1800" s="185"/>
      <c r="P1800" s="185"/>
      <c r="Q1800" s="185"/>
      <c r="R1800" s="185"/>
    </row>
    <row r="1801" spans="1:18" s="197" customFormat="1" ht="12.75" x14ac:dyDescent="0.2">
      <c r="A1801" s="181"/>
      <c r="B1801" s="188" t="s">
        <v>3771</v>
      </c>
      <c r="C1801" s="189" t="s">
        <v>128</v>
      </c>
      <c r="D1801" s="189" t="s">
        <v>123</v>
      </c>
      <c r="E1801" s="190" t="s">
        <v>3772</v>
      </c>
      <c r="F1801" s="191">
        <f t="shared" si="29"/>
        <v>205.35</v>
      </c>
      <c r="G1801" s="185"/>
      <c r="H1801" s="181"/>
      <c r="I1801" s="74"/>
      <c r="J1801" s="74"/>
      <c r="M1801" s="185"/>
      <c r="N1801" s="185"/>
      <c r="O1801" s="185"/>
      <c r="P1801" s="185"/>
      <c r="Q1801" s="185"/>
      <c r="R1801" s="185"/>
    </row>
    <row r="1802" spans="1:18" s="197" customFormat="1" ht="12.75" x14ac:dyDescent="0.2">
      <c r="A1802" s="181"/>
      <c r="B1802" s="188" t="s">
        <v>393</v>
      </c>
      <c r="C1802" s="189" t="s">
        <v>130</v>
      </c>
      <c r="D1802" s="189" t="s">
        <v>123</v>
      </c>
      <c r="E1802" s="190" t="s">
        <v>3773</v>
      </c>
      <c r="F1802" s="191">
        <f t="shared" si="29"/>
        <v>250.53333333333333</v>
      </c>
      <c r="G1802" s="185"/>
      <c r="H1802" s="181"/>
      <c r="I1802" s="74"/>
      <c r="J1802" s="74"/>
      <c r="M1802" s="185"/>
      <c r="N1802" s="185"/>
      <c r="O1802" s="185"/>
      <c r="P1802" s="185"/>
      <c r="Q1802" s="185"/>
      <c r="R1802" s="185"/>
    </row>
    <row r="1803" spans="1:18" s="197" customFormat="1" ht="12.75" x14ac:dyDescent="0.2">
      <c r="A1803" s="181"/>
      <c r="B1803" s="188" t="s">
        <v>3774</v>
      </c>
      <c r="C1803" s="189" t="s">
        <v>130</v>
      </c>
      <c r="D1803" s="189" t="s">
        <v>123</v>
      </c>
      <c r="E1803" s="190" t="s">
        <v>3775</v>
      </c>
      <c r="F1803" s="191">
        <f t="shared" ref="F1803:F1866" si="30">HOUR(E1803)*60+MINUTE(E1803)+SECOND(E1803)/60</f>
        <v>237.16666666666666</v>
      </c>
      <c r="G1803" s="185"/>
      <c r="H1803" s="181"/>
      <c r="I1803" s="74"/>
      <c r="J1803" s="74"/>
      <c r="M1803" s="185"/>
      <c r="N1803" s="185"/>
      <c r="O1803" s="185"/>
      <c r="P1803" s="185"/>
      <c r="Q1803" s="185"/>
      <c r="R1803" s="185"/>
    </row>
    <row r="1804" spans="1:18" s="197" customFormat="1" ht="12.75" x14ac:dyDescent="0.2">
      <c r="A1804" s="181"/>
      <c r="B1804" s="188" t="s">
        <v>368</v>
      </c>
      <c r="C1804" s="189" t="s">
        <v>142</v>
      </c>
      <c r="D1804" s="189" t="s">
        <v>147</v>
      </c>
      <c r="E1804" s="190" t="s">
        <v>2051</v>
      </c>
      <c r="F1804" s="191">
        <f t="shared" si="30"/>
        <v>247.08333333333334</v>
      </c>
      <c r="G1804" s="185"/>
      <c r="H1804" s="181"/>
      <c r="I1804" s="74"/>
      <c r="J1804" s="74"/>
      <c r="M1804" s="185"/>
      <c r="N1804" s="185"/>
      <c r="O1804" s="185"/>
      <c r="P1804" s="185"/>
      <c r="Q1804" s="185"/>
      <c r="R1804" s="185"/>
    </row>
    <row r="1805" spans="1:18" s="197" customFormat="1" ht="12.75" x14ac:dyDescent="0.2">
      <c r="A1805" s="181"/>
      <c r="B1805" s="188" t="s">
        <v>3776</v>
      </c>
      <c r="C1805" s="189" t="s">
        <v>130</v>
      </c>
      <c r="D1805" s="189" t="s">
        <v>123</v>
      </c>
      <c r="E1805" s="190" t="s">
        <v>3777</v>
      </c>
      <c r="F1805" s="191">
        <f t="shared" si="30"/>
        <v>167.05</v>
      </c>
      <c r="G1805" s="185"/>
      <c r="H1805" s="181"/>
      <c r="I1805" s="74"/>
      <c r="J1805" s="74"/>
      <c r="M1805" s="185"/>
      <c r="N1805" s="185"/>
      <c r="O1805" s="185"/>
      <c r="P1805" s="185"/>
      <c r="Q1805" s="185"/>
      <c r="R1805" s="185"/>
    </row>
    <row r="1806" spans="1:18" s="197" customFormat="1" ht="12.75" x14ac:dyDescent="0.2">
      <c r="A1806" s="181"/>
      <c r="B1806" s="188" t="s">
        <v>3778</v>
      </c>
      <c r="C1806" s="189" t="s">
        <v>125</v>
      </c>
      <c r="D1806" s="189" t="s">
        <v>123</v>
      </c>
      <c r="E1806" s="190" t="s">
        <v>3779</v>
      </c>
      <c r="F1806" s="191">
        <f t="shared" si="30"/>
        <v>253.61666666666667</v>
      </c>
      <c r="G1806" s="185"/>
      <c r="H1806" s="181"/>
      <c r="I1806" s="74"/>
      <c r="J1806" s="74"/>
      <c r="M1806" s="185"/>
      <c r="N1806" s="185"/>
      <c r="O1806" s="185"/>
      <c r="P1806" s="185"/>
      <c r="Q1806" s="185"/>
      <c r="R1806" s="185"/>
    </row>
    <row r="1807" spans="1:18" s="197" customFormat="1" ht="12.75" x14ac:dyDescent="0.2">
      <c r="A1807" s="181"/>
      <c r="B1807" s="188" t="s">
        <v>3780</v>
      </c>
      <c r="C1807" s="189" t="s">
        <v>124</v>
      </c>
      <c r="D1807" s="189" t="s">
        <v>155</v>
      </c>
      <c r="E1807" s="190" t="s">
        <v>3781</v>
      </c>
      <c r="F1807" s="191">
        <f t="shared" si="30"/>
        <v>263.35000000000002</v>
      </c>
      <c r="G1807" s="185"/>
      <c r="H1807" s="181"/>
      <c r="I1807" s="74"/>
      <c r="J1807" s="74"/>
      <c r="M1807" s="185"/>
      <c r="N1807" s="185"/>
      <c r="O1807" s="185"/>
      <c r="P1807" s="185"/>
      <c r="Q1807" s="185"/>
      <c r="R1807" s="185"/>
    </row>
    <row r="1808" spans="1:18" s="197" customFormat="1" ht="12.75" x14ac:dyDescent="0.2">
      <c r="A1808" s="181"/>
      <c r="B1808" s="188" t="s">
        <v>3782</v>
      </c>
      <c r="C1808" s="189" t="s">
        <v>130</v>
      </c>
      <c r="D1808" s="189" t="s">
        <v>132</v>
      </c>
      <c r="E1808" s="190" t="s">
        <v>3783</v>
      </c>
      <c r="F1808" s="191">
        <f t="shared" si="30"/>
        <v>220.1</v>
      </c>
      <c r="G1808" s="185"/>
      <c r="H1808" s="181"/>
      <c r="I1808" s="74"/>
      <c r="J1808" s="74"/>
      <c r="M1808" s="185"/>
      <c r="N1808" s="185"/>
      <c r="O1808" s="185"/>
      <c r="P1808" s="185"/>
      <c r="Q1808" s="185"/>
      <c r="R1808" s="185"/>
    </row>
    <row r="1809" spans="1:18" s="197" customFormat="1" ht="12.75" x14ac:dyDescent="0.2">
      <c r="A1809" s="181"/>
      <c r="B1809" s="188" t="s">
        <v>3784</v>
      </c>
      <c r="C1809" s="189" t="s">
        <v>128</v>
      </c>
      <c r="D1809" s="189" t="s">
        <v>129</v>
      </c>
      <c r="E1809" s="190" t="s">
        <v>3785</v>
      </c>
      <c r="F1809" s="191">
        <f t="shared" si="30"/>
        <v>234.51666666666668</v>
      </c>
      <c r="G1809" s="185"/>
      <c r="H1809" s="181"/>
      <c r="I1809" s="74"/>
      <c r="J1809" s="74"/>
      <c r="M1809" s="185"/>
      <c r="N1809" s="185"/>
      <c r="O1809" s="185"/>
      <c r="P1809" s="185"/>
      <c r="Q1809" s="185"/>
      <c r="R1809" s="185"/>
    </row>
    <row r="1810" spans="1:18" s="197" customFormat="1" ht="12.75" x14ac:dyDescent="0.2">
      <c r="A1810" s="181"/>
      <c r="B1810" s="188" t="s">
        <v>3786</v>
      </c>
      <c r="C1810" s="189" t="s">
        <v>135</v>
      </c>
      <c r="D1810" s="189" t="s">
        <v>123</v>
      </c>
      <c r="E1810" s="190" t="s">
        <v>2911</v>
      </c>
      <c r="F1810" s="191">
        <f t="shared" si="30"/>
        <v>261.31666666666666</v>
      </c>
      <c r="G1810" s="185"/>
      <c r="H1810" s="181"/>
      <c r="I1810" s="74"/>
      <c r="J1810" s="74"/>
      <c r="M1810" s="185"/>
      <c r="N1810" s="185"/>
      <c r="O1810" s="185"/>
      <c r="P1810" s="185"/>
      <c r="Q1810" s="185"/>
      <c r="R1810" s="185"/>
    </row>
    <row r="1811" spans="1:18" s="197" customFormat="1" ht="12.75" x14ac:dyDescent="0.2">
      <c r="A1811" s="181"/>
      <c r="B1811" s="188" t="s">
        <v>2609</v>
      </c>
      <c r="C1811" s="189" t="s">
        <v>124</v>
      </c>
      <c r="D1811" s="189" t="s">
        <v>123</v>
      </c>
      <c r="E1811" s="190" t="s">
        <v>2610</v>
      </c>
      <c r="F1811" s="191">
        <f t="shared" si="30"/>
        <v>266.11666666666667</v>
      </c>
      <c r="G1811" s="185"/>
      <c r="H1811" s="181"/>
      <c r="I1811" s="74"/>
      <c r="J1811" s="74"/>
      <c r="M1811" s="185"/>
      <c r="N1811" s="185"/>
      <c r="O1811" s="185"/>
      <c r="P1811" s="185"/>
      <c r="Q1811" s="185"/>
      <c r="R1811" s="185"/>
    </row>
    <row r="1812" spans="1:18" s="197" customFormat="1" ht="12.75" x14ac:dyDescent="0.2">
      <c r="A1812" s="181"/>
      <c r="B1812" s="188" t="s">
        <v>3787</v>
      </c>
      <c r="C1812" s="189" t="s">
        <v>125</v>
      </c>
      <c r="D1812" s="189" t="s">
        <v>123</v>
      </c>
      <c r="E1812" s="190" t="s">
        <v>3788</v>
      </c>
      <c r="F1812" s="191">
        <f t="shared" si="30"/>
        <v>225.38333333333333</v>
      </c>
      <c r="G1812" s="185"/>
      <c r="H1812" s="181"/>
      <c r="I1812" s="74"/>
      <c r="J1812" s="74"/>
      <c r="M1812" s="185"/>
      <c r="N1812" s="185"/>
      <c r="O1812" s="185"/>
      <c r="P1812" s="185"/>
      <c r="Q1812" s="185"/>
      <c r="R1812" s="185"/>
    </row>
    <row r="1813" spans="1:18" s="197" customFormat="1" ht="12.75" x14ac:dyDescent="0.2">
      <c r="A1813" s="181"/>
      <c r="B1813" s="188" t="s">
        <v>3789</v>
      </c>
      <c r="C1813" s="189" t="s">
        <v>142</v>
      </c>
      <c r="D1813" s="189" t="s">
        <v>123</v>
      </c>
      <c r="E1813" s="190" t="s">
        <v>2556</v>
      </c>
      <c r="F1813" s="191">
        <f t="shared" si="30"/>
        <v>233.88333333333333</v>
      </c>
      <c r="G1813" s="185"/>
      <c r="H1813" s="181"/>
      <c r="I1813" s="74"/>
      <c r="J1813" s="74"/>
      <c r="M1813" s="185"/>
      <c r="N1813" s="185"/>
      <c r="O1813" s="185"/>
      <c r="P1813" s="185"/>
      <c r="Q1813" s="185"/>
      <c r="R1813" s="185"/>
    </row>
    <row r="1814" spans="1:18" s="197" customFormat="1" ht="12.75" x14ac:dyDescent="0.2">
      <c r="A1814" s="181"/>
      <c r="B1814" s="188" t="s">
        <v>3790</v>
      </c>
      <c r="C1814" s="189" t="s">
        <v>124</v>
      </c>
      <c r="D1814" s="189" t="s">
        <v>131</v>
      </c>
      <c r="E1814" s="190" t="s">
        <v>1890</v>
      </c>
      <c r="F1814" s="191">
        <f t="shared" si="30"/>
        <v>235.05</v>
      </c>
      <c r="G1814" s="185"/>
      <c r="H1814" s="181"/>
      <c r="I1814" s="74"/>
      <c r="J1814" s="74"/>
      <c r="M1814" s="185"/>
      <c r="N1814" s="185"/>
      <c r="O1814" s="185"/>
      <c r="P1814" s="185"/>
      <c r="Q1814" s="185"/>
      <c r="R1814" s="185"/>
    </row>
    <row r="1815" spans="1:18" s="197" customFormat="1" ht="12.75" x14ac:dyDescent="0.2">
      <c r="A1815" s="181"/>
      <c r="B1815" s="188" t="s">
        <v>3791</v>
      </c>
      <c r="C1815" s="189" t="s">
        <v>130</v>
      </c>
      <c r="D1815" s="189" t="s">
        <v>123</v>
      </c>
      <c r="E1815" s="190" t="s">
        <v>3792</v>
      </c>
      <c r="F1815" s="191">
        <f t="shared" si="30"/>
        <v>249.25</v>
      </c>
      <c r="G1815" s="185"/>
      <c r="H1815" s="181"/>
      <c r="I1815" s="74"/>
      <c r="J1815" s="74"/>
      <c r="M1815" s="185"/>
      <c r="N1815" s="185"/>
      <c r="O1815" s="185"/>
      <c r="P1815" s="185"/>
      <c r="Q1815" s="185"/>
      <c r="R1815" s="185"/>
    </row>
    <row r="1816" spans="1:18" s="197" customFormat="1" ht="12.75" x14ac:dyDescent="0.2">
      <c r="A1816" s="181"/>
      <c r="B1816" s="188" t="s">
        <v>3793</v>
      </c>
      <c r="C1816" s="189" t="s">
        <v>128</v>
      </c>
      <c r="D1816" s="189" t="s">
        <v>131</v>
      </c>
      <c r="E1816" s="190" t="s">
        <v>1797</v>
      </c>
      <c r="F1816" s="191">
        <f t="shared" si="30"/>
        <v>262.56666666666666</v>
      </c>
      <c r="G1816" s="185"/>
      <c r="H1816" s="181"/>
      <c r="I1816" s="74"/>
      <c r="J1816" s="74"/>
      <c r="M1816" s="185"/>
      <c r="N1816" s="185"/>
      <c r="O1816" s="185"/>
      <c r="P1816" s="185"/>
      <c r="Q1816" s="185"/>
      <c r="R1816" s="185"/>
    </row>
    <row r="1817" spans="1:18" s="197" customFormat="1" ht="12.75" x14ac:dyDescent="0.2">
      <c r="A1817" s="181"/>
      <c r="B1817" s="188" t="s">
        <v>413</v>
      </c>
      <c r="C1817" s="189" t="s">
        <v>130</v>
      </c>
      <c r="D1817" s="189" t="s">
        <v>263</v>
      </c>
      <c r="E1817" s="190" t="s">
        <v>1172</v>
      </c>
      <c r="F1817" s="191">
        <f t="shared" si="30"/>
        <v>303.78333333333336</v>
      </c>
      <c r="G1817" s="185"/>
      <c r="H1817" s="181"/>
      <c r="I1817" s="74"/>
      <c r="J1817" s="74"/>
      <c r="M1817" s="185"/>
      <c r="N1817" s="185"/>
      <c r="O1817" s="185"/>
      <c r="P1817" s="185"/>
      <c r="Q1817" s="185"/>
      <c r="R1817" s="185"/>
    </row>
    <row r="1818" spans="1:18" s="197" customFormat="1" ht="12.75" x14ac:dyDescent="0.2">
      <c r="A1818" s="181"/>
      <c r="B1818" s="188" t="s">
        <v>3794</v>
      </c>
      <c r="C1818" s="189" t="s">
        <v>125</v>
      </c>
      <c r="D1818" s="189" t="s">
        <v>132</v>
      </c>
      <c r="E1818" s="190" t="s">
        <v>3795</v>
      </c>
      <c r="F1818" s="191">
        <f t="shared" si="30"/>
        <v>229.83333333333334</v>
      </c>
      <c r="G1818" s="185"/>
      <c r="H1818" s="181"/>
      <c r="I1818" s="74"/>
      <c r="J1818" s="74"/>
      <c r="M1818" s="185"/>
      <c r="N1818" s="185"/>
      <c r="O1818" s="185"/>
      <c r="P1818" s="185"/>
      <c r="Q1818" s="185"/>
      <c r="R1818" s="185"/>
    </row>
    <row r="1819" spans="1:18" s="197" customFormat="1" ht="12.75" x14ac:dyDescent="0.2">
      <c r="A1819" s="181"/>
      <c r="B1819" s="188" t="s">
        <v>3796</v>
      </c>
      <c r="C1819" s="189" t="s">
        <v>130</v>
      </c>
      <c r="D1819" s="189" t="s">
        <v>123</v>
      </c>
      <c r="E1819" s="190" t="s">
        <v>3797</v>
      </c>
      <c r="F1819" s="191">
        <f t="shared" si="30"/>
        <v>252.08333333333334</v>
      </c>
      <c r="G1819" s="185"/>
      <c r="H1819" s="181"/>
      <c r="I1819" s="74"/>
      <c r="J1819" s="74"/>
      <c r="M1819" s="185"/>
      <c r="N1819" s="185"/>
      <c r="O1819" s="185"/>
      <c r="P1819" s="185"/>
      <c r="Q1819" s="185"/>
      <c r="R1819" s="185"/>
    </row>
    <row r="1820" spans="1:18" s="197" customFormat="1" ht="12.75" x14ac:dyDescent="0.2">
      <c r="A1820" s="181"/>
      <c r="B1820" s="188" t="s">
        <v>3798</v>
      </c>
      <c r="C1820" s="189" t="s">
        <v>134</v>
      </c>
      <c r="D1820" s="189" t="s">
        <v>131</v>
      </c>
      <c r="E1820" s="190" t="s">
        <v>2804</v>
      </c>
      <c r="F1820" s="191">
        <f t="shared" si="30"/>
        <v>238.95</v>
      </c>
      <c r="G1820" s="185"/>
      <c r="H1820" s="181"/>
      <c r="I1820" s="74"/>
      <c r="J1820" s="74"/>
      <c r="M1820" s="185"/>
      <c r="N1820" s="185"/>
      <c r="O1820" s="185"/>
      <c r="P1820" s="185"/>
      <c r="Q1820" s="185"/>
      <c r="R1820" s="185"/>
    </row>
    <row r="1821" spans="1:18" s="197" customFormat="1" ht="12.75" x14ac:dyDescent="0.2">
      <c r="A1821" s="181"/>
      <c r="B1821" s="188" t="s">
        <v>2269</v>
      </c>
      <c r="C1821" s="189" t="s">
        <v>142</v>
      </c>
      <c r="D1821" s="189" t="s">
        <v>123</v>
      </c>
      <c r="E1821" s="190" t="s">
        <v>2270</v>
      </c>
      <c r="F1821" s="191">
        <f t="shared" si="30"/>
        <v>303.06666666666666</v>
      </c>
      <c r="G1821" s="185"/>
      <c r="H1821" s="181"/>
      <c r="I1821" s="74"/>
      <c r="J1821" s="74"/>
      <c r="M1821" s="185"/>
      <c r="N1821" s="185"/>
      <c r="O1821" s="185"/>
      <c r="P1821" s="185"/>
      <c r="Q1821" s="185"/>
      <c r="R1821" s="185"/>
    </row>
    <row r="1822" spans="1:18" s="197" customFormat="1" ht="12.75" x14ac:dyDescent="0.2">
      <c r="A1822" s="181"/>
      <c r="B1822" s="188" t="s">
        <v>3799</v>
      </c>
      <c r="C1822" s="189" t="s">
        <v>126</v>
      </c>
      <c r="D1822" s="189" t="s">
        <v>123</v>
      </c>
      <c r="E1822" s="190" t="s">
        <v>3800</v>
      </c>
      <c r="F1822" s="191">
        <f t="shared" si="30"/>
        <v>197.06666666666666</v>
      </c>
      <c r="G1822" s="185"/>
      <c r="H1822" s="181"/>
      <c r="I1822" s="74"/>
      <c r="J1822" s="74"/>
      <c r="M1822" s="185"/>
      <c r="N1822" s="185"/>
      <c r="O1822" s="185"/>
      <c r="P1822" s="185"/>
      <c r="Q1822" s="185"/>
      <c r="R1822" s="185"/>
    </row>
    <row r="1823" spans="1:18" s="197" customFormat="1" ht="12.75" x14ac:dyDescent="0.2">
      <c r="A1823" s="181"/>
      <c r="B1823" s="188" t="s">
        <v>3801</v>
      </c>
      <c r="C1823" s="189" t="s">
        <v>126</v>
      </c>
      <c r="D1823" s="189" t="s">
        <v>123</v>
      </c>
      <c r="E1823" s="190" t="s">
        <v>3802</v>
      </c>
      <c r="F1823" s="191">
        <f t="shared" si="30"/>
        <v>272.76666666666665</v>
      </c>
      <c r="G1823" s="185"/>
      <c r="H1823" s="181"/>
      <c r="I1823" s="74"/>
      <c r="J1823" s="74"/>
      <c r="M1823" s="185"/>
      <c r="N1823" s="185"/>
      <c r="O1823" s="185"/>
      <c r="P1823" s="185"/>
      <c r="Q1823" s="185"/>
      <c r="R1823" s="185"/>
    </row>
    <row r="1824" spans="1:18" s="197" customFormat="1" ht="12.75" x14ac:dyDescent="0.2">
      <c r="A1824" s="181"/>
      <c r="B1824" s="188" t="s">
        <v>3803</v>
      </c>
      <c r="C1824" s="189" t="s">
        <v>134</v>
      </c>
      <c r="D1824" s="189" t="s">
        <v>123</v>
      </c>
      <c r="E1824" s="190" t="s">
        <v>3804</v>
      </c>
      <c r="F1824" s="191">
        <f t="shared" si="30"/>
        <v>270.28333333333336</v>
      </c>
      <c r="G1824" s="185"/>
      <c r="H1824" s="181"/>
      <c r="I1824" s="74"/>
      <c r="J1824" s="74"/>
      <c r="M1824" s="185"/>
      <c r="N1824" s="185"/>
      <c r="O1824" s="185"/>
      <c r="P1824" s="185"/>
      <c r="Q1824" s="185"/>
      <c r="R1824" s="185"/>
    </row>
    <row r="1825" spans="1:18" s="197" customFormat="1" ht="12.75" x14ac:dyDescent="0.2">
      <c r="A1825" s="181"/>
      <c r="B1825" s="188" t="s">
        <v>3805</v>
      </c>
      <c r="C1825" s="189" t="s">
        <v>128</v>
      </c>
      <c r="D1825" s="189" t="s">
        <v>132</v>
      </c>
      <c r="E1825" s="190" t="s">
        <v>1466</v>
      </c>
      <c r="F1825" s="191">
        <f t="shared" si="30"/>
        <v>281.55</v>
      </c>
      <c r="G1825" s="185"/>
      <c r="H1825" s="181"/>
      <c r="I1825" s="74"/>
      <c r="J1825" s="74"/>
      <c r="M1825" s="185"/>
      <c r="N1825" s="185"/>
      <c r="O1825" s="185"/>
      <c r="P1825" s="185"/>
      <c r="Q1825" s="185"/>
      <c r="R1825" s="185"/>
    </row>
    <row r="1826" spans="1:18" s="197" customFormat="1" ht="12.75" x14ac:dyDescent="0.2">
      <c r="A1826" s="181"/>
      <c r="B1826" s="188" t="s">
        <v>318</v>
      </c>
      <c r="C1826" s="189" t="s">
        <v>126</v>
      </c>
      <c r="D1826" s="189" t="s">
        <v>123</v>
      </c>
      <c r="E1826" s="190" t="s">
        <v>3806</v>
      </c>
      <c r="F1826" s="191">
        <f t="shared" si="30"/>
        <v>273.36666666666667</v>
      </c>
      <c r="G1826" s="185"/>
      <c r="H1826" s="181"/>
      <c r="I1826" s="74"/>
      <c r="J1826" s="74"/>
      <c r="M1826" s="185"/>
      <c r="N1826" s="185"/>
      <c r="O1826" s="185"/>
      <c r="P1826" s="185"/>
      <c r="Q1826" s="185"/>
      <c r="R1826" s="185"/>
    </row>
    <row r="1827" spans="1:18" s="197" customFormat="1" ht="12.75" x14ac:dyDescent="0.2">
      <c r="A1827" s="181"/>
      <c r="B1827" s="188" t="s">
        <v>3807</v>
      </c>
      <c r="C1827" s="189" t="s">
        <v>128</v>
      </c>
      <c r="D1827" s="189" t="s">
        <v>171</v>
      </c>
      <c r="E1827" s="190" t="s">
        <v>3808</v>
      </c>
      <c r="F1827" s="191">
        <f t="shared" si="30"/>
        <v>307.53333333333336</v>
      </c>
      <c r="G1827" s="185"/>
      <c r="H1827" s="181"/>
      <c r="I1827" s="74"/>
      <c r="J1827" s="74"/>
      <c r="M1827" s="185"/>
      <c r="N1827" s="185"/>
      <c r="O1827" s="185"/>
      <c r="P1827" s="185"/>
      <c r="Q1827" s="185"/>
      <c r="R1827" s="185"/>
    </row>
    <row r="1828" spans="1:18" s="197" customFormat="1" ht="12.75" x14ac:dyDescent="0.2">
      <c r="A1828" s="181"/>
      <c r="B1828" s="188" t="s">
        <v>3809</v>
      </c>
      <c r="C1828" s="189" t="s">
        <v>142</v>
      </c>
      <c r="D1828" s="189" t="s">
        <v>123</v>
      </c>
      <c r="E1828" s="190" t="s">
        <v>3810</v>
      </c>
      <c r="F1828" s="191">
        <f t="shared" si="30"/>
        <v>324.68333333333334</v>
      </c>
      <c r="G1828" s="185"/>
      <c r="H1828" s="181"/>
      <c r="I1828" s="74"/>
      <c r="J1828" s="74"/>
      <c r="M1828" s="185"/>
      <c r="N1828" s="185"/>
      <c r="O1828" s="185"/>
      <c r="P1828" s="185"/>
      <c r="Q1828" s="185"/>
      <c r="R1828" s="185"/>
    </row>
    <row r="1829" spans="1:18" s="197" customFormat="1" ht="12.75" x14ac:dyDescent="0.2">
      <c r="A1829" s="181"/>
      <c r="B1829" s="188" t="s">
        <v>3811</v>
      </c>
      <c r="C1829" s="189" t="s">
        <v>125</v>
      </c>
      <c r="D1829" s="189" t="s">
        <v>123</v>
      </c>
      <c r="E1829" s="190" t="s">
        <v>3812</v>
      </c>
      <c r="F1829" s="191">
        <f t="shared" si="30"/>
        <v>236.25</v>
      </c>
      <c r="G1829" s="185"/>
      <c r="H1829" s="181"/>
      <c r="I1829" s="74"/>
      <c r="J1829" s="74"/>
      <c r="M1829" s="185"/>
      <c r="N1829" s="185"/>
      <c r="O1829" s="185"/>
      <c r="P1829" s="185"/>
      <c r="Q1829" s="185"/>
      <c r="R1829" s="185"/>
    </row>
    <row r="1830" spans="1:18" s="197" customFormat="1" ht="12.75" x14ac:dyDescent="0.2">
      <c r="A1830" s="181"/>
      <c r="B1830" s="188" t="s">
        <v>3813</v>
      </c>
      <c r="C1830" s="189" t="s">
        <v>124</v>
      </c>
      <c r="D1830" s="189" t="s">
        <v>123</v>
      </c>
      <c r="E1830" s="190" t="s">
        <v>3814</v>
      </c>
      <c r="F1830" s="191">
        <f t="shared" si="30"/>
        <v>252.26666666666668</v>
      </c>
      <c r="G1830" s="185"/>
      <c r="H1830" s="181"/>
      <c r="I1830" s="74"/>
      <c r="J1830" s="74"/>
      <c r="M1830" s="185"/>
      <c r="N1830" s="185"/>
      <c r="O1830" s="185"/>
      <c r="P1830" s="185"/>
      <c r="Q1830" s="185"/>
      <c r="R1830" s="185"/>
    </row>
    <row r="1831" spans="1:18" s="197" customFormat="1" ht="12.75" x14ac:dyDescent="0.2">
      <c r="A1831" s="181"/>
      <c r="B1831" s="188" t="s">
        <v>3815</v>
      </c>
      <c r="C1831" s="189" t="s">
        <v>125</v>
      </c>
      <c r="D1831" s="189" t="s">
        <v>123</v>
      </c>
      <c r="E1831" s="190" t="s">
        <v>3816</v>
      </c>
      <c r="F1831" s="191">
        <f t="shared" si="30"/>
        <v>198.23333333333332</v>
      </c>
      <c r="G1831" s="185"/>
      <c r="H1831" s="181"/>
      <c r="I1831" s="74"/>
      <c r="J1831" s="74"/>
      <c r="M1831" s="185"/>
      <c r="N1831" s="185"/>
      <c r="O1831" s="185"/>
      <c r="P1831" s="185"/>
      <c r="Q1831" s="185"/>
      <c r="R1831" s="185"/>
    </row>
    <row r="1832" spans="1:18" s="197" customFormat="1" ht="12.75" x14ac:dyDescent="0.2">
      <c r="A1832" s="181"/>
      <c r="B1832" s="188" t="s">
        <v>3817</v>
      </c>
      <c r="C1832" s="189" t="s">
        <v>124</v>
      </c>
      <c r="D1832" s="189" t="s">
        <v>123</v>
      </c>
      <c r="E1832" s="190" t="s">
        <v>2933</v>
      </c>
      <c r="F1832" s="191">
        <f t="shared" si="30"/>
        <v>206.36666666666667</v>
      </c>
      <c r="G1832" s="185"/>
      <c r="H1832" s="181"/>
      <c r="I1832" s="74"/>
      <c r="J1832" s="74"/>
      <c r="M1832" s="185"/>
      <c r="N1832" s="185"/>
      <c r="O1832" s="185"/>
      <c r="P1832" s="185"/>
      <c r="Q1832" s="185"/>
      <c r="R1832" s="185"/>
    </row>
    <row r="1833" spans="1:18" s="197" customFormat="1" ht="12.75" x14ac:dyDescent="0.2">
      <c r="A1833" s="181"/>
      <c r="B1833" s="188" t="s">
        <v>3818</v>
      </c>
      <c r="C1833" s="189" t="s">
        <v>125</v>
      </c>
      <c r="D1833" s="189" t="s">
        <v>131</v>
      </c>
      <c r="E1833" s="190" t="s">
        <v>3819</v>
      </c>
      <c r="F1833" s="191">
        <f t="shared" si="30"/>
        <v>284.3</v>
      </c>
      <c r="G1833" s="185"/>
      <c r="H1833" s="181"/>
      <c r="I1833" s="74"/>
      <c r="J1833" s="74"/>
      <c r="M1833" s="185"/>
      <c r="N1833" s="185"/>
      <c r="O1833" s="185"/>
      <c r="P1833" s="185"/>
      <c r="Q1833" s="185"/>
      <c r="R1833" s="185"/>
    </row>
    <row r="1834" spans="1:18" s="197" customFormat="1" ht="12.75" x14ac:dyDescent="0.2">
      <c r="A1834" s="181"/>
      <c r="B1834" s="188" t="s">
        <v>3820</v>
      </c>
      <c r="C1834" s="189" t="s">
        <v>135</v>
      </c>
      <c r="D1834" s="189" t="s">
        <v>123</v>
      </c>
      <c r="E1834" s="190" t="s">
        <v>1693</v>
      </c>
      <c r="F1834" s="191">
        <f t="shared" si="30"/>
        <v>271.7</v>
      </c>
      <c r="G1834" s="185"/>
      <c r="H1834" s="181"/>
      <c r="I1834" s="74"/>
      <c r="J1834" s="74"/>
      <c r="M1834" s="185"/>
      <c r="N1834" s="185"/>
      <c r="O1834" s="185"/>
      <c r="P1834" s="185"/>
      <c r="Q1834" s="185"/>
      <c r="R1834" s="185"/>
    </row>
    <row r="1835" spans="1:18" s="197" customFormat="1" ht="12.75" x14ac:dyDescent="0.2">
      <c r="A1835" s="181"/>
      <c r="B1835" s="188" t="s">
        <v>3821</v>
      </c>
      <c r="C1835" s="189" t="s">
        <v>130</v>
      </c>
      <c r="D1835" s="189" t="s">
        <v>133</v>
      </c>
      <c r="E1835" s="190" t="s">
        <v>3822</v>
      </c>
      <c r="F1835" s="191">
        <f t="shared" si="30"/>
        <v>242.16666666666666</v>
      </c>
      <c r="G1835" s="185"/>
      <c r="H1835" s="181"/>
      <c r="I1835" s="74"/>
      <c r="J1835" s="74"/>
      <c r="M1835" s="185"/>
      <c r="N1835" s="185"/>
      <c r="O1835" s="185"/>
      <c r="P1835" s="185"/>
      <c r="Q1835" s="185"/>
      <c r="R1835" s="185"/>
    </row>
    <row r="1836" spans="1:18" s="197" customFormat="1" ht="12.75" x14ac:dyDescent="0.2">
      <c r="A1836" s="181"/>
      <c r="B1836" s="188" t="s">
        <v>3823</v>
      </c>
      <c r="C1836" s="189" t="s">
        <v>124</v>
      </c>
      <c r="D1836" s="189" t="s">
        <v>123</v>
      </c>
      <c r="E1836" s="190" t="s">
        <v>3824</v>
      </c>
      <c r="F1836" s="191">
        <f t="shared" si="30"/>
        <v>254.41666666666666</v>
      </c>
      <c r="G1836" s="185"/>
      <c r="H1836" s="181"/>
      <c r="I1836" s="74"/>
      <c r="J1836" s="74"/>
      <c r="M1836" s="185"/>
      <c r="N1836" s="185"/>
      <c r="O1836" s="185"/>
      <c r="P1836" s="185"/>
      <c r="Q1836" s="185"/>
      <c r="R1836" s="185"/>
    </row>
    <row r="1837" spans="1:18" s="197" customFormat="1" ht="12.75" x14ac:dyDescent="0.2">
      <c r="A1837" s="181"/>
      <c r="B1837" s="188" t="s">
        <v>3825</v>
      </c>
      <c r="C1837" s="189" t="s">
        <v>142</v>
      </c>
      <c r="D1837" s="189" t="s">
        <v>132</v>
      </c>
      <c r="E1837" s="190" t="s">
        <v>1695</v>
      </c>
      <c r="F1837" s="191">
        <f t="shared" si="30"/>
        <v>260</v>
      </c>
      <c r="G1837" s="185"/>
      <c r="H1837" s="181"/>
      <c r="I1837" s="74"/>
      <c r="J1837" s="74"/>
      <c r="M1837" s="185"/>
      <c r="N1837" s="185"/>
      <c r="O1837" s="185"/>
      <c r="P1837" s="185"/>
      <c r="Q1837" s="185"/>
      <c r="R1837" s="185"/>
    </row>
    <row r="1838" spans="1:18" s="197" customFormat="1" ht="12.75" x14ac:dyDescent="0.2">
      <c r="A1838" s="181"/>
      <c r="B1838" s="188" t="s">
        <v>3826</v>
      </c>
      <c r="C1838" s="189" t="s">
        <v>135</v>
      </c>
      <c r="D1838" s="189" t="s">
        <v>123</v>
      </c>
      <c r="E1838" s="190" t="s">
        <v>3827</v>
      </c>
      <c r="F1838" s="191">
        <f t="shared" si="30"/>
        <v>243.68333333333334</v>
      </c>
      <c r="G1838" s="185"/>
      <c r="H1838" s="181"/>
      <c r="I1838" s="74"/>
      <c r="J1838" s="74"/>
      <c r="M1838" s="185"/>
      <c r="N1838" s="185"/>
      <c r="O1838" s="185"/>
      <c r="P1838" s="185"/>
      <c r="Q1838" s="185"/>
      <c r="R1838" s="185"/>
    </row>
    <row r="1839" spans="1:18" s="197" customFormat="1" ht="12.75" x14ac:dyDescent="0.2">
      <c r="A1839" s="181"/>
      <c r="B1839" s="188" t="s">
        <v>3828</v>
      </c>
      <c r="C1839" s="189" t="s">
        <v>125</v>
      </c>
      <c r="D1839" s="189" t="s">
        <v>123</v>
      </c>
      <c r="E1839" s="190" t="s">
        <v>1588</v>
      </c>
      <c r="F1839" s="191">
        <f t="shared" si="30"/>
        <v>265.86666666666667</v>
      </c>
      <c r="G1839" s="185"/>
      <c r="H1839" s="181"/>
      <c r="I1839" s="74"/>
      <c r="J1839" s="74"/>
      <c r="M1839" s="185"/>
      <c r="N1839" s="185"/>
      <c r="O1839" s="185"/>
      <c r="P1839" s="185"/>
      <c r="Q1839" s="185"/>
      <c r="R1839" s="185"/>
    </row>
    <row r="1840" spans="1:18" s="197" customFormat="1" ht="12.75" x14ac:dyDescent="0.2">
      <c r="A1840" s="181"/>
      <c r="B1840" s="188" t="s">
        <v>3829</v>
      </c>
      <c r="C1840" s="189" t="s">
        <v>134</v>
      </c>
      <c r="D1840" s="189" t="s">
        <v>123</v>
      </c>
      <c r="E1840" s="190" t="s">
        <v>3830</v>
      </c>
      <c r="F1840" s="191">
        <f t="shared" si="30"/>
        <v>270.48333333333335</v>
      </c>
      <c r="G1840" s="185"/>
      <c r="H1840" s="181"/>
      <c r="I1840" s="74"/>
      <c r="J1840" s="74"/>
      <c r="M1840" s="185"/>
      <c r="N1840" s="185"/>
      <c r="O1840" s="185"/>
      <c r="P1840" s="185"/>
      <c r="Q1840" s="185"/>
      <c r="R1840" s="185"/>
    </row>
    <row r="1841" spans="1:18" s="197" customFormat="1" ht="12.75" x14ac:dyDescent="0.2">
      <c r="A1841" s="181"/>
      <c r="B1841" s="188" t="s">
        <v>3831</v>
      </c>
      <c r="C1841" s="189" t="s">
        <v>125</v>
      </c>
      <c r="D1841" s="189" t="s">
        <v>123</v>
      </c>
      <c r="E1841" s="190" t="s">
        <v>3832</v>
      </c>
      <c r="F1841" s="191">
        <f t="shared" si="30"/>
        <v>249.75</v>
      </c>
      <c r="G1841" s="185"/>
      <c r="H1841" s="181"/>
      <c r="I1841" s="74"/>
      <c r="J1841" s="74"/>
      <c r="M1841" s="185"/>
      <c r="N1841" s="185"/>
      <c r="O1841" s="185"/>
      <c r="P1841" s="185"/>
      <c r="Q1841" s="185"/>
      <c r="R1841" s="185"/>
    </row>
    <row r="1842" spans="1:18" s="197" customFormat="1" ht="12.75" x14ac:dyDescent="0.2">
      <c r="A1842" s="181"/>
      <c r="B1842" s="188" t="s">
        <v>3833</v>
      </c>
      <c r="C1842" s="189" t="s">
        <v>136</v>
      </c>
      <c r="D1842" s="189" t="s">
        <v>123</v>
      </c>
      <c r="E1842" s="190" t="s">
        <v>3834</v>
      </c>
      <c r="F1842" s="191">
        <f t="shared" si="30"/>
        <v>213.9</v>
      </c>
      <c r="G1842" s="185"/>
      <c r="H1842" s="181"/>
      <c r="I1842" s="74"/>
      <c r="J1842" s="74"/>
      <c r="M1842" s="185"/>
      <c r="N1842" s="185"/>
      <c r="O1842" s="185"/>
      <c r="P1842" s="185"/>
      <c r="Q1842" s="185"/>
      <c r="R1842" s="185"/>
    </row>
    <row r="1843" spans="1:18" s="197" customFormat="1" ht="12.75" x14ac:dyDescent="0.2">
      <c r="A1843" s="181"/>
      <c r="B1843" s="188" t="s">
        <v>3835</v>
      </c>
      <c r="C1843" s="189" t="s">
        <v>128</v>
      </c>
      <c r="D1843" s="189" t="s">
        <v>123</v>
      </c>
      <c r="E1843" s="190" t="s">
        <v>3836</v>
      </c>
      <c r="F1843" s="191">
        <f t="shared" si="30"/>
        <v>221.36666666666667</v>
      </c>
      <c r="G1843" s="185"/>
      <c r="H1843" s="181"/>
      <c r="I1843" s="74"/>
      <c r="J1843" s="74"/>
      <c r="M1843" s="185"/>
      <c r="N1843" s="185"/>
      <c r="O1843" s="185"/>
      <c r="P1843" s="185"/>
      <c r="Q1843" s="185"/>
      <c r="R1843" s="185"/>
    </row>
    <row r="1844" spans="1:18" s="197" customFormat="1" ht="12.75" x14ac:dyDescent="0.2">
      <c r="A1844" s="181"/>
      <c r="B1844" s="188" t="s">
        <v>3837</v>
      </c>
      <c r="C1844" s="189" t="s">
        <v>134</v>
      </c>
      <c r="D1844" s="189" t="s">
        <v>152</v>
      </c>
      <c r="E1844" s="190" t="s">
        <v>3838</v>
      </c>
      <c r="F1844" s="191">
        <f t="shared" si="30"/>
        <v>314.06666666666666</v>
      </c>
      <c r="G1844" s="185"/>
      <c r="H1844" s="181"/>
      <c r="I1844" s="74"/>
      <c r="J1844" s="74"/>
      <c r="M1844" s="185"/>
      <c r="N1844" s="185"/>
      <c r="O1844" s="185"/>
      <c r="P1844" s="185"/>
      <c r="Q1844" s="185"/>
      <c r="R1844" s="185"/>
    </row>
    <row r="1845" spans="1:18" s="197" customFormat="1" ht="12.75" x14ac:dyDescent="0.2">
      <c r="A1845" s="181"/>
      <c r="B1845" s="188" t="s">
        <v>3839</v>
      </c>
      <c r="C1845" s="189" t="s">
        <v>125</v>
      </c>
      <c r="D1845" s="189" t="s">
        <v>155</v>
      </c>
      <c r="E1845" s="190" t="s">
        <v>3840</v>
      </c>
      <c r="F1845" s="191">
        <f t="shared" si="30"/>
        <v>243.03333333333333</v>
      </c>
      <c r="G1845" s="185"/>
      <c r="H1845" s="181"/>
      <c r="I1845" s="74"/>
      <c r="J1845" s="74"/>
      <c r="M1845" s="185"/>
      <c r="N1845" s="185"/>
      <c r="O1845" s="185"/>
      <c r="P1845" s="185"/>
      <c r="Q1845" s="185"/>
      <c r="R1845" s="185"/>
    </row>
    <row r="1846" spans="1:18" s="197" customFormat="1" ht="12.75" x14ac:dyDescent="0.2">
      <c r="A1846" s="181"/>
      <c r="B1846" s="188" t="s">
        <v>3841</v>
      </c>
      <c r="C1846" s="189" t="s">
        <v>142</v>
      </c>
      <c r="D1846" s="189" t="s">
        <v>123</v>
      </c>
      <c r="E1846" s="190" t="s">
        <v>3842</v>
      </c>
      <c r="F1846" s="191">
        <f t="shared" si="30"/>
        <v>267.89999999999998</v>
      </c>
      <c r="G1846" s="185"/>
      <c r="H1846" s="181"/>
      <c r="I1846" s="74"/>
      <c r="J1846" s="74"/>
      <c r="M1846" s="185"/>
      <c r="N1846" s="185"/>
      <c r="O1846" s="185"/>
      <c r="P1846" s="185"/>
      <c r="Q1846" s="185"/>
      <c r="R1846" s="185"/>
    </row>
    <row r="1847" spans="1:18" s="197" customFormat="1" ht="12.75" x14ac:dyDescent="0.2">
      <c r="A1847" s="181"/>
      <c r="B1847" s="188" t="s">
        <v>233</v>
      </c>
      <c r="C1847" s="189" t="s">
        <v>125</v>
      </c>
      <c r="D1847" s="189" t="s">
        <v>157</v>
      </c>
      <c r="E1847" s="190" t="s">
        <v>3843</v>
      </c>
      <c r="F1847" s="191">
        <f t="shared" si="30"/>
        <v>212.26666666666668</v>
      </c>
      <c r="G1847" s="185"/>
      <c r="H1847" s="181"/>
      <c r="I1847" s="74"/>
      <c r="J1847" s="74"/>
      <c r="M1847" s="185"/>
      <c r="N1847" s="185"/>
      <c r="O1847" s="185"/>
      <c r="P1847" s="185"/>
      <c r="Q1847" s="185"/>
      <c r="R1847" s="185"/>
    </row>
    <row r="1848" spans="1:18" s="197" customFormat="1" ht="12.75" x14ac:dyDescent="0.2">
      <c r="A1848" s="181"/>
      <c r="B1848" s="188" t="s">
        <v>482</v>
      </c>
      <c r="C1848" s="189" t="s">
        <v>125</v>
      </c>
      <c r="D1848" s="189" t="s">
        <v>165</v>
      </c>
      <c r="E1848" s="190" t="s">
        <v>3844</v>
      </c>
      <c r="F1848" s="191">
        <f t="shared" si="30"/>
        <v>253.11666666666667</v>
      </c>
      <c r="G1848" s="185"/>
      <c r="H1848" s="181"/>
      <c r="I1848" s="74"/>
      <c r="J1848" s="74"/>
      <c r="M1848" s="185"/>
      <c r="N1848" s="185"/>
      <c r="O1848" s="185"/>
      <c r="P1848" s="185"/>
      <c r="Q1848" s="185"/>
      <c r="R1848" s="185"/>
    </row>
    <row r="1849" spans="1:18" s="197" customFormat="1" ht="12.75" x14ac:dyDescent="0.2">
      <c r="A1849" s="181"/>
      <c r="B1849" s="188" t="s">
        <v>3845</v>
      </c>
      <c r="C1849" s="189" t="s">
        <v>134</v>
      </c>
      <c r="D1849" s="189" t="s">
        <v>123</v>
      </c>
      <c r="E1849" s="190" t="s">
        <v>3846</v>
      </c>
      <c r="F1849" s="191">
        <f t="shared" si="30"/>
        <v>228.43333333333334</v>
      </c>
      <c r="G1849" s="185"/>
      <c r="H1849" s="181"/>
      <c r="I1849" s="74"/>
      <c r="J1849" s="74"/>
      <c r="M1849" s="185"/>
      <c r="N1849" s="185"/>
      <c r="O1849" s="185"/>
      <c r="P1849" s="185"/>
      <c r="Q1849" s="185"/>
      <c r="R1849" s="185"/>
    </row>
    <row r="1850" spans="1:18" s="197" customFormat="1" ht="12.75" x14ac:dyDescent="0.2">
      <c r="A1850" s="181"/>
      <c r="B1850" s="188" t="s">
        <v>3847</v>
      </c>
      <c r="C1850" s="189" t="s">
        <v>124</v>
      </c>
      <c r="D1850" s="189" t="s">
        <v>400</v>
      </c>
      <c r="E1850" s="190" t="s">
        <v>3848</v>
      </c>
      <c r="F1850" s="191">
        <f t="shared" si="30"/>
        <v>256.56666666666666</v>
      </c>
      <c r="G1850" s="185"/>
      <c r="H1850" s="181"/>
      <c r="I1850" s="74"/>
      <c r="J1850" s="74"/>
      <c r="M1850" s="185"/>
      <c r="N1850" s="185"/>
      <c r="O1850" s="185"/>
      <c r="P1850" s="185"/>
      <c r="Q1850" s="185"/>
      <c r="R1850" s="185"/>
    </row>
    <row r="1851" spans="1:18" s="197" customFormat="1" ht="12.75" x14ac:dyDescent="0.2">
      <c r="A1851" s="181"/>
      <c r="B1851" s="188" t="s">
        <v>3849</v>
      </c>
      <c r="C1851" s="189" t="s">
        <v>142</v>
      </c>
      <c r="D1851" s="189" t="s">
        <v>123</v>
      </c>
      <c r="E1851" s="190" t="s">
        <v>3850</v>
      </c>
      <c r="F1851" s="191">
        <f t="shared" si="30"/>
        <v>256.35000000000002</v>
      </c>
      <c r="G1851" s="185"/>
      <c r="H1851" s="181"/>
      <c r="I1851" s="74"/>
      <c r="J1851" s="74"/>
      <c r="M1851" s="185"/>
      <c r="N1851" s="185"/>
      <c r="O1851" s="185"/>
      <c r="P1851" s="185"/>
      <c r="Q1851" s="185"/>
      <c r="R1851" s="185"/>
    </row>
    <row r="1852" spans="1:18" s="197" customFormat="1" ht="12.75" x14ac:dyDescent="0.2">
      <c r="A1852" s="181"/>
      <c r="B1852" s="188" t="s">
        <v>2470</v>
      </c>
      <c r="C1852" s="189" t="s">
        <v>124</v>
      </c>
      <c r="D1852" s="189" t="s">
        <v>123</v>
      </c>
      <c r="E1852" s="190" t="s">
        <v>2471</v>
      </c>
      <c r="F1852" s="191">
        <f t="shared" si="30"/>
        <v>266.26666666666665</v>
      </c>
      <c r="G1852" s="185"/>
      <c r="H1852" s="181"/>
      <c r="I1852" s="74"/>
      <c r="J1852" s="74"/>
      <c r="M1852" s="185"/>
      <c r="N1852" s="185"/>
      <c r="O1852" s="185"/>
      <c r="P1852" s="185"/>
      <c r="Q1852" s="185"/>
      <c r="R1852" s="185"/>
    </row>
    <row r="1853" spans="1:18" s="197" customFormat="1" ht="12.75" x14ac:dyDescent="0.2">
      <c r="A1853" s="181"/>
      <c r="B1853" s="188" t="s">
        <v>3851</v>
      </c>
      <c r="C1853" s="189" t="s">
        <v>125</v>
      </c>
      <c r="D1853" s="189" t="s">
        <v>123</v>
      </c>
      <c r="E1853" s="190" t="s">
        <v>3852</v>
      </c>
      <c r="F1853" s="191">
        <f t="shared" si="30"/>
        <v>199.2</v>
      </c>
      <c r="G1853" s="185"/>
      <c r="H1853" s="181"/>
      <c r="I1853" s="74"/>
      <c r="J1853" s="74"/>
      <c r="M1853" s="185"/>
      <c r="N1853" s="185"/>
      <c r="O1853" s="185"/>
      <c r="P1853" s="185"/>
      <c r="Q1853" s="185"/>
      <c r="R1853" s="185"/>
    </row>
    <row r="1854" spans="1:18" s="197" customFormat="1" ht="12.75" x14ac:dyDescent="0.2">
      <c r="A1854" s="181"/>
      <c r="B1854" s="188" t="s">
        <v>3853</v>
      </c>
      <c r="C1854" s="189" t="s">
        <v>134</v>
      </c>
      <c r="D1854" s="189" t="s">
        <v>123</v>
      </c>
      <c r="E1854" s="190" t="s">
        <v>3854</v>
      </c>
      <c r="F1854" s="191">
        <f t="shared" si="30"/>
        <v>231.81666666666666</v>
      </c>
      <c r="G1854" s="185"/>
      <c r="H1854" s="181"/>
      <c r="I1854" s="74"/>
      <c r="J1854" s="74"/>
      <c r="M1854" s="185"/>
      <c r="N1854" s="185"/>
      <c r="O1854" s="185"/>
      <c r="P1854" s="185"/>
      <c r="Q1854" s="185"/>
      <c r="R1854" s="185"/>
    </row>
    <row r="1855" spans="1:18" s="197" customFormat="1" ht="12.75" x14ac:dyDescent="0.2">
      <c r="A1855" s="181"/>
      <c r="B1855" s="188" t="s">
        <v>535</v>
      </c>
      <c r="C1855" s="189" t="s">
        <v>136</v>
      </c>
      <c r="D1855" s="189" t="s">
        <v>148</v>
      </c>
      <c r="E1855" s="190" t="s">
        <v>3855</v>
      </c>
      <c r="F1855" s="191">
        <f t="shared" si="30"/>
        <v>243.55</v>
      </c>
      <c r="G1855" s="185"/>
      <c r="H1855" s="181"/>
      <c r="I1855" s="74"/>
      <c r="J1855" s="74"/>
      <c r="M1855" s="185"/>
      <c r="N1855" s="185"/>
      <c r="O1855" s="185"/>
      <c r="P1855" s="185"/>
      <c r="Q1855" s="185"/>
      <c r="R1855" s="185"/>
    </row>
    <row r="1856" spans="1:18" s="197" customFormat="1" ht="12.75" x14ac:dyDescent="0.2">
      <c r="A1856" s="181"/>
      <c r="B1856" s="188" t="s">
        <v>3856</v>
      </c>
      <c r="C1856" s="189" t="s">
        <v>135</v>
      </c>
      <c r="D1856" s="189" t="s">
        <v>148</v>
      </c>
      <c r="E1856" s="190" t="s">
        <v>1123</v>
      </c>
      <c r="F1856" s="191">
        <f t="shared" si="30"/>
        <v>245.73333333333332</v>
      </c>
      <c r="G1856" s="185"/>
      <c r="H1856" s="181"/>
      <c r="I1856" s="74"/>
      <c r="J1856" s="74"/>
      <c r="M1856" s="185"/>
      <c r="N1856" s="185"/>
      <c r="O1856" s="185"/>
      <c r="P1856" s="185"/>
      <c r="Q1856" s="185"/>
      <c r="R1856" s="185"/>
    </row>
    <row r="1857" spans="1:18" s="197" customFormat="1" ht="12.75" x14ac:dyDescent="0.2">
      <c r="A1857" s="181"/>
      <c r="B1857" s="188" t="s">
        <v>3857</v>
      </c>
      <c r="C1857" s="189" t="s">
        <v>124</v>
      </c>
      <c r="D1857" s="189" t="s">
        <v>123</v>
      </c>
      <c r="E1857" s="190" t="s">
        <v>3858</v>
      </c>
      <c r="F1857" s="191">
        <f t="shared" si="30"/>
        <v>222.25</v>
      </c>
      <c r="G1857" s="185"/>
      <c r="H1857" s="181"/>
      <c r="I1857" s="74"/>
      <c r="J1857" s="74"/>
      <c r="M1857" s="185"/>
      <c r="N1857" s="185"/>
      <c r="O1857" s="185"/>
      <c r="P1857" s="185"/>
      <c r="Q1857" s="185"/>
      <c r="R1857" s="185"/>
    </row>
    <row r="1858" spans="1:18" s="197" customFormat="1" ht="12.75" x14ac:dyDescent="0.2">
      <c r="A1858" s="181"/>
      <c r="B1858" s="188" t="s">
        <v>3859</v>
      </c>
      <c r="C1858" s="189" t="s">
        <v>124</v>
      </c>
      <c r="D1858" s="189" t="s">
        <v>132</v>
      </c>
      <c r="E1858" s="190" t="s">
        <v>3388</v>
      </c>
      <c r="F1858" s="191">
        <f t="shared" si="30"/>
        <v>209.36666666666667</v>
      </c>
      <c r="G1858" s="185"/>
      <c r="H1858" s="181"/>
      <c r="I1858" s="74"/>
      <c r="J1858" s="74"/>
      <c r="M1858" s="185"/>
      <c r="N1858" s="185"/>
      <c r="O1858" s="185"/>
      <c r="P1858" s="185"/>
      <c r="Q1858" s="185"/>
      <c r="R1858" s="185"/>
    </row>
    <row r="1859" spans="1:18" s="197" customFormat="1" ht="12.75" x14ac:dyDescent="0.2">
      <c r="A1859" s="181"/>
      <c r="B1859" s="188" t="s">
        <v>3860</v>
      </c>
      <c r="C1859" s="189" t="s">
        <v>135</v>
      </c>
      <c r="D1859" s="189" t="s">
        <v>123</v>
      </c>
      <c r="E1859" s="190" t="s">
        <v>3861</v>
      </c>
      <c r="F1859" s="191">
        <f t="shared" si="30"/>
        <v>230.73333333333332</v>
      </c>
      <c r="G1859" s="185"/>
      <c r="H1859" s="181"/>
      <c r="I1859" s="74"/>
      <c r="J1859" s="74"/>
      <c r="M1859" s="185"/>
      <c r="N1859" s="185"/>
      <c r="O1859" s="185"/>
      <c r="P1859" s="185"/>
      <c r="Q1859" s="185"/>
      <c r="R1859" s="185"/>
    </row>
    <row r="1860" spans="1:18" s="197" customFormat="1" ht="12.75" x14ac:dyDescent="0.2">
      <c r="A1860" s="181"/>
      <c r="B1860" s="188" t="s">
        <v>3862</v>
      </c>
      <c r="C1860" s="189" t="s">
        <v>128</v>
      </c>
      <c r="D1860" s="189" t="s">
        <v>139</v>
      </c>
      <c r="E1860" s="190" t="s">
        <v>3863</v>
      </c>
      <c r="F1860" s="191">
        <f t="shared" si="30"/>
        <v>276.38333333333333</v>
      </c>
      <c r="G1860" s="185"/>
      <c r="H1860" s="181"/>
      <c r="I1860" s="74"/>
      <c r="J1860" s="74"/>
      <c r="M1860" s="185"/>
      <c r="N1860" s="185"/>
      <c r="O1860" s="185"/>
      <c r="P1860" s="185"/>
      <c r="Q1860" s="185"/>
      <c r="R1860" s="185"/>
    </row>
    <row r="1861" spans="1:18" s="197" customFormat="1" ht="12.75" x14ac:dyDescent="0.2">
      <c r="A1861" s="181"/>
      <c r="B1861" s="188" t="s">
        <v>3864</v>
      </c>
      <c r="C1861" s="189" t="s">
        <v>134</v>
      </c>
      <c r="D1861" s="189" t="s">
        <v>123</v>
      </c>
      <c r="E1861" s="190" t="s">
        <v>3865</v>
      </c>
      <c r="F1861" s="191">
        <f t="shared" si="30"/>
        <v>256.38333333333333</v>
      </c>
      <c r="G1861" s="185"/>
      <c r="H1861" s="181"/>
      <c r="I1861" s="74"/>
      <c r="J1861" s="74"/>
      <c r="M1861" s="185"/>
      <c r="N1861" s="185"/>
      <c r="O1861" s="185"/>
      <c r="P1861" s="185"/>
      <c r="Q1861" s="185"/>
      <c r="R1861" s="185"/>
    </row>
    <row r="1862" spans="1:18" s="197" customFormat="1" ht="12.75" x14ac:dyDescent="0.2">
      <c r="A1862" s="181"/>
      <c r="B1862" s="188" t="s">
        <v>3866</v>
      </c>
      <c r="C1862" s="189" t="s">
        <v>135</v>
      </c>
      <c r="D1862" s="189" t="s">
        <v>131</v>
      </c>
      <c r="E1862" s="190" t="s">
        <v>3867</v>
      </c>
      <c r="F1862" s="191">
        <f t="shared" si="30"/>
        <v>313.71666666666664</v>
      </c>
      <c r="G1862" s="185"/>
      <c r="H1862" s="181"/>
      <c r="I1862" s="74"/>
      <c r="J1862" s="74"/>
      <c r="M1862" s="185"/>
      <c r="N1862" s="185"/>
      <c r="O1862" s="185"/>
      <c r="P1862" s="185"/>
      <c r="Q1862" s="185"/>
      <c r="R1862" s="185"/>
    </row>
    <row r="1863" spans="1:18" s="197" customFormat="1" ht="12.75" x14ac:dyDescent="0.2">
      <c r="A1863" s="181"/>
      <c r="B1863" s="188" t="s">
        <v>3868</v>
      </c>
      <c r="C1863" s="189" t="s">
        <v>130</v>
      </c>
      <c r="D1863" s="189" t="s">
        <v>205</v>
      </c>
      <c r="E1863" s="190" t="s">
        <v>3869</v>
      </c>
      <c r="F1863" s="191">
        <f t="shared" si="30"/>
        <v>303.86666666666667</v>
      </c>
      <c r="G1863" s="185"/>
      <c r="H1863" s="181"/>
      <c r="I1863" s="74"/>
      <c r="J1863" s="74"/>
      <c r="M1863" s="185"/>
      <c r="N1863" s="185"/>
      <c r="O1863" s="185"/>
      <c r="P1863" s="185"/>
      <c r="Q1863" s="185"/>
      <c r="R1863" s="185"/>
    </row>
    <row r="1864" spans="1:18" s="197" customFormat="1" ht="12.75" x14ac:dyDescent="0.2">
      <c r="A1864" s="181"/>
      <c r="B1864" s="188" t="s">
        <v>3870</v>
      </c>
      <c r="C1864" s="189" t="s">
        <v>130</v>
      </c>
      <c r="D1864" s="189" t="s">
        <v>148</v>
      </c>
      <c r="E1864" s="190" t="s">
        <v>3871</v>
      </c>
      <c r="F1864" s="191">
        <f t="shared" si="30"/>
        <v>276.05</v>
      </c>
      <c r="G1864" s="185"/>
      <c r="H1864" s="181"/>
      <c r="I1864" s="74"/>
      <c r="J1864" s="74"/>
      <c r="M1864" s="185"/>
      <c r="N1864" s="185"/>
      <c r="O1864" s="185"/>
      <c r="P1864" s="185"/>
      <c r="Q1864" s="185"/>
      <c r="R1864" s="185"/>
    </row>
    <row r="1865" spans="1:18" s="197" customFormat="1" ht="12.75" x14ac:dyDescent="0.2">
      <c r="A1865" s="181"/>
      <c r="B1865" s="188" t="s">
        <v>3872</v>
      </c>
      <c r="C1865" s="189" t="s">
        <v>124</v>
      </c>
      <c r="D1865" s="189" t="s">
        <v>123</v>
      </c>
      <c r="E1865" s="190" t="s">
        <v>3873</v>
      </c>
      <c r="F1865" s="191">
        <f t="shared" si="30"/>
        <v>284.31666666666666</v>
      </c>
      <c r="G1865" s="185"/>
      <c r="H1865" s="181"/>
      <c r="I1865" s="74"/>
      <c r="J1865" s="74"/>
      <c r="M1865" s="185"/>
      <c r="N1865" s="185"/>
      <c r="O1865" s="185"/>
      <c r="P1865" s="185"/>
      <c r="Q1865" s="185"/>
      <c r="R1865" s="185"/>
    </row>
    <row r="1866" spans="1:18" s="197" customFormat="1" ht="12.75" x14ac:dyDescent="0.2">
      <c r="A1866" s="181"/>
      <c r="B1866" s="188" t="s">
        <v>3874</v>
      </c>
      <c r="C1866" s="189" t="s">
        <v>126</v>
      </c>
      <c r="D1866" s="189" t="s">
        <v>123</v>
      </c>
      <c r="E1866" s="190" t="s">
        <v>3875</v>
      </c>
      <c r="F1866" s="191">
        <f t="shared" si="30"/>
        <v>215.23333333333332</v>
      </c>
      <c r="G1866" s="185"/>
      <c r="H1866" s="181"/>
      <c r="I1866" s="74"/>
      <c r="J1866" s="74"/>
      <c r="M1866" s="185"/>
      <c r="N1866" s="185"/>
      <c r="O1866" s="185"/>
      <c r="P1866" s="185"/>
      <c r="Q1866" s="185"/>
      <c r="R1866" s="185"/>
    </row>
    <row r="1867" spans="1:18" s="197" customFormat="1" ht="12.75" x14ac:dyDescent="0.2">
      <c r="A1867" s="181"/>
      <c r="B1867" s="188" t="s">
        <v>3876</v>
      </c>
      <c r="C1867" s="189" t="s">
        <v>130</v>
      </c>
      <c r="D1867" s="189" t="s">
        <v>123</v>
      </c>
      <c r="E1867" s="190" t="s">
        <v>3877</v>
      </c>
      <c r="F1867" s="191">
        <f t="shared" ref="F1867:F1930" si="31">HOUR(E1867)*60+MINUTE(E1867)+SECOND(E1867)/60</f>
        <v>259.41666666666669</v>
      </c>
      <c r="G1867" s="185"/>
      <c r="H1867" s="181"/>
      <c r="I1867" s="74"/>
      <c r="J1867" s="74"/>
      <c r="M1867" s="185"/>
      <c r="N1867" s="185"/>
      <c r="O1867" s="185"/>
      <c r="P1867" s="185"/>
      <c r="Q1867" s="185"/>
      <c r="R1867" s="185"/>
    </row>
    <row r="1868" spans="1:18" s="197" customFormat="1" ht="12.75" x14ac:dyDescent="0.2">
      <c r="A1868" s="181"/>
      <c r="B1868" s="188" t="s">
        <v>372</v>
      </c>
      <c r="C1868" s="189" t="s">
        <v>124</v>
      </c>
      <c r="D1868" s="189" t="s">
        <v>123</v>
      </c>
      <c r="E1868" s="190" t="s">
        <v>3550</v>
      </c>
      <c r="F1868" s="191">
        <f t="shared" si="31"/>
        <v>189.03333333333333</v>
      </c>
      <c r="G1868" s="185"/>
      <c r="H1868" s="181"/>
      <c r="I1868" s="74"/>
      <c r="J1868" s="74"/>
      <c r="M1868" s="185"/>
      <c r="N1868" s="185"/>
      <c r="O1868" s="185"/>
      <c r="P1868" s="185"/>
      <c r="Q1868" s="185"/>
      <c r="R1868" s="185"/>
    </row>
    <row r="1869" spans="1:18" s="197" customFormat="1" ht="12.75" x14ac:dyDescent="0.2">
      <c r="A1869" s="181"/>
      <c r="B1869" s="188" t="s">
        <v>3878</v>
      </c>
      <c r="C1869" s="189" t="s">
        <v>130</v>
      </c>
      <c r="D1869" s="189" t="s">
        <v>139</v>
      </c>
      <c r="E1869" s="190" t="s">
        <v>3879</v>
      </c>
      <c r="F1869" s="191">
        <f t="shared" si="31"/>
        <v>208.56666666666666</v>
      </c>
      <c r="G1869" s="185"/>
      <c r="H1869" s="181"/>
      <c r="I1869" s="74"/>
      <c r="J1869" s="74"/>
      <c r="M1869" s="185"/>
      <c r="N1869" s="185"/>
      <c r="O1869" s="185"/>
      <c r="P1869" s="185"/>
      <c r="Q1869" s="185"/>
      <c r="R1869" s="185"/>
    </row>
    <row r="1870" spans="1:18" s="197" customFormat="1" ht="12.75" x14ac:dyDescent="0.2">
      <c r="A1870" s="181"/>
      <c r="B1870" s="188" t="s">
        <v>3880</v>
      </c>
      <c r="C1870" s="189" t="s">
        <v>126</v>
      </c>
      <c r="D1870" s="189" t="s">
        <v>263</v>
      </c>
      <c r="E1870" s="190" t="s">
        <v>3881</v>
      </c>
      <c r="F1870" s="191">
        <f t="shared" si="31"/>
        <v>299.11666666666667</v>
      </c>
      <c r="G1870" s="185"/>
      <c r="H1870" s="181"/>
      <c r="I1870" s="74"/>
      <c r="J1870" s="74"/>
      <c r="M1870" s="185"/>
      <c r="N1870" s="185"/>
      <c r="O1870" s="185"/>
      <c r="P1870" s="185"/>
      <c r="Q1870" s="185"/>
      <c r="R1870" s="185"/>
    </row>
    <row r="1871" spans="1:18" s="197" customFormat="1" ht="12.75" x14ac:dyDescent="0.2">
      <c r="A1871" s="181"/>
      <c r="B1871" s="188" t="s">
        <v>360</v>
      </c>
      <c r="C1871" s="189" t="s">
        <v>135</v>
      </c>
      <c r="D1871" s="189" t="s">
        <v>123</v>
      </c>
      <c r="E1871" s="190" t="s">
        <v>3882</v>
      </c>
      <c r="F1871" s="191">
        <f t="shared" si="31"/>
        <v>255.85</v>
      </c>
      <c r="G1871" s="185"/>
      <c r="H1871" s="181"/>
      <c r="I1871" s="74"/>
      <c r="J1871" s="74"/>
      <c r="M1871" s="185"/>
      <c r="N1871" s="185"/>
      <c r="O1871" s="185"/>
      <c r="P1871" s="185"/>
      <c r="Q1871" s="185"/>
      <c r="R1871" s="185"/>
    </row>
    <row r="1872" spans="1:18" s="197" customFormat="1" ht="12.75" x14ac:dyDescent="0.2">
      <c r="A1872" s="181"/>
      <c r="B1872" s="188" t="s">
        <v>3883</v>
      </c>
      <c r="C1872" s="189" t="s">
        <v>142</v>
      </c>
      <c r="D1872" s="189" t="s">
        <v>133</v>
      </c>
      <c r="E1872" s="190" t="s">
        <v>3884</v>
      </c>
      <c r="F1872" s="191">
        <f t="shared" si="31"/>
        <v>243.01666666666668</v>
      </c>
      <c r="G1872" s="185"/>
      <c r="H1872" s="181"/>
      <c r="I1872" s="74"/>
      <c r="J1872" s="74"/>
      <c r="M1872" s="185"/>
      <c r="N1872" s="185"/>
      <c r="O1872" s="185"/>
      <c r="P1872" s="185"/>
      <c r="Q1872" s="185"/>
      <c r="R1872" s="185"/>
    </row>
    <row r="1873" spans="1:18" s="197" customFormat="1" ht="12.75" x14ac:dyDescent="0.2">
      <c r="A1873" s="181"/>
      <c r="B1873" s="188" t="s">
        <v>3885</v>
      </c>
      <c r="C1873" s="189" t="s">
        <v>124</v>
      </c>
      <c r="D1873" s="189" t="s">
        <v>129</v>
      </c>
      <c r="E1873" s="190" t="s">
        <v>3886</v>
      </c>
      <c r="F1873" s="191">
        <f t="shared" si="31"/>
        <v>208</v>
      </c>
      <c r="G1873" s="185"/>
      <c r="H1873" s="181"/>
      <c r="I1873" s="74"/>
      <c r="J1873" s="74"/>
      <c r="M1873" s="185"/>
      <c r="N1873" s="185"/>
      <c r="O1873" s="185"/>
      <c r="P1873" s="185"/>
      <c r="Q1873" s="185"/>
      <c r="R1873" s="185"/>
    </row>
    <row r="1874" spans="1:18" s="197" customFormat="1" ht="12.75" x14ac:dyDescent="0.2">
      <c r="A1874" s="181"/>
      <c r="B1874" s="188" t="s">
        <v>3887</v>
      </c>
      <c r="C1874" s="189" t="s">
        <v>142</v>
      </c>
      <c r="D1874" s="189" t="s">
        <v>123</v>
      </c>
      <c r="E1874" s="190" t="s">
        <v>3416</v>
      </c>
      <c r="F1874" s="191">
        <f t="shared" si="31"/>
        <v>233.65</v>
      </c>
      <c r="G1874" s="185"/>
      <c r="H1874" s="181"/>
      <c r="I1874" s="74"/>
      <c r="J1874" s="74"/>
      <c r="M1874" s="185"/>
      <c r="N1874" s="185"/>
      <c r="O1874" s="185"/>
      <c r="P1874" s="185"/>
      <c r="Q1874" s="185"/>
      <c r="R1874" s="185"/>
    </row>
    <row r="1875" spans="1:18" s="197" customFormat="1" ht="12.75" x14ac:dyDescent="0.2">
      <c r="A1875" s="181"/>
      <c r="B1875" s="188" t="s">
        <v>3888</v>
      </c>
      <c r="C1875" s="189" t="s">
        <v>142</v>
      </c>
      <c r="D1875" s="189" t="s">
        <v>123</v>
      </c>
      <c r="E1875" s="190" t="s">
        <v>1087</v>
      </c>
      <c r="F1875" s="191">
        <f t="shared" si="31"/>
        <v>220.76666666666668</v>
      </c>
      <c r="G1875" s="185"/>
      <c r="H1875" s="181"/>
      <c r="I1875" s="74"/>
      <c r="J1875" s="74"/>
      <c r="M1875" s="185"/>
      <c r="N1875" s="185"/>
      <c r="O1875" s="185"/>
      <c r="P1875" s="185"/>
      <c r="Q1875" s="185"/>
      <c r="R1875" s="185"/>
    </row>
    <row r="1876" spans="1:18" s="197" customFormat="1" ht="12.75" x14ac:dyDescent="0.2">
      <c r="A1876" s="181"/>
      <c r="B1876" s="188" t="s">
        <v>3889</v>
      </c>
      <c r="C1876" s="189" t="s">
        <v>142</v>
      </c>
      <c r="D1876" s="189" t="s">
        <v>132</v>
      </c>
      <c r="E1876" s="190" t="s">
        <v>3890</v>
      </c>
      <c r="F1876" s="191">
        <f t="shared" si="31"/>
        <v>225.76666666666668</v>
      </c>
      <c r="G1876" s="185"/>
      <c r="H1876" s="181"/>
      <c r="I1876" s="74"/>
      <c r="J1876" s="74"/>
      <c r="M1876" s="185"/>
      <c r="N1876" s="185"/>
      <c r="O1876" s="185"/>
      <c r="P1876" s="185"/>
      <c r="Q1876" s="185"/>
      <c r="R1876" s="185"/>
    </row>
    <row r="1877" spans="1:18" s="197" customFormat="1" ht="12.75" x14ac:dyDescent="0.2">
      <c r="A1877" s="181"/>
      <c r="B1877" s="188" t="s">
        <v>591</v>
      </c>
      <c r="C1877" s="189" t="s">
        <v>124</v>
      </c>
      <c r="D1877" s="189" t="s">
        <v>123</v>
      </c>
      <c r="E1877" s="190" t="s">
        <v>3891</v>
      </c>
      <c r="F1877" s="191">
        <f t="shared" si="31"/>
        <v>197.95</v>
      </c>
      <c r="G1877" s="185"/>
      <c r="H1877" s="181"/>
      <c r="I1877" s="74"/>
      <c r="J1877" s="74"/>
      <c r="M1877" s="185"/>
      <c r="N1877" s="185"/>
      <c r="O1877" s="185"/>
      <c r="P1877" s="185"/>
      <c r="Q1877" s="185"/>
      <c r="R1877" s="185"/>
    </row>
    <row r="1878" spans="1:18" s="197" customFormat="1" ht="12.75" x14ac:dyDescent="0.2">
      <c r="A1878" s="181"/>
      <c r="B1878" s="188" t="s">
        <v>233</v>
      </c>
      <c r="C1878" s="189" t="s">
        <v>249</v>
      </c>
      <c r="D1878" s="189" t="s">
        <v>123</v>
      </c>
      <c r="E1878" s="190" t="s">
        <v>3892</v>
      </c>
      <c r="F1878" s="191">
        <f t="shared" si="31"/>
        <v>297.06666666666666</v>
      </c>
      <c r="G1878" s="185"/>
      <c r="H1878" s="181"/>
      <c r="I1878" s="74"/>
      <c r="J1878" s="74"/>
      <c r="M1878" s="185"/>
      <c r="N1878" s="185"/>
      <c r="O1878" s="185"/>
      <c r="P1878" s="185"/>
      <c r="Q1878" s="185"/>
      <c r="R1878" s="185"/>
    </row>
    <row r="1879" spans="1:18" s="197" customFormat="1" ht="12.75" x14ac:dyDescent="0.2">
      <c r="A1879" s="181"/>
      <c r="B1879" s="188" t="s">
        <v>238</v>
      </c>
      <c r="C1879" s="189" t="s">
        <v>136</v>
      </c>
      <c r="D1879" s="189" t="s">
        <v>123</v>
      </c>
      <c r="E1879" s="190" t="s">
        <v>1871</v>
      </c>
      <c r="F1879" s="191">
        <f t="shared" si="31"/>
        <v>255.2</v>
      </c>
      <c r="G1879" s="185"/>
      <c r="H1879" s="181"/>
      <c r="I1879" s="74"/>
      <c r="J1879" s="74"/>
      <c r="M1879" s="185"/>
      <c r="N1879" s="185"/>
      <c r="O1879" s="185"/>
      <c r="P1879" s="185"/>
      <c r="Q1879" s="185"/>
      <c r="R1879" s="185"/>
    </row>
    <row r="1880" spans="1:18" s="197" customFormat="1" ht="12.75" x14ac:dyDescent="0.2">
      <c r="A1880" s="181"/>
      <c r="B1880" s="188" t="s">
        <v>3893</v>
      </c>
      <c r="C1880" s="189" t="s">
        <v>126</v>
      </c>
      <c r="D1880" s="189" t="s">
        <v>123</v>
      </c>
      <c r="E1880" s="190" t="s">
        <v>775</v>
      </c>
      <c r="F1880" s="191">
        <f t="shared" si="31"/>
        <v>218.7</v>
      </c>
      <c r="G1880" s="185"/>
      <c r="H1880" s="181"/>
      <c r="I1880" s="74"/>
      <c r="J1880" s="74"/>
      <c r="M1880" s="185"/>
      <c r="N1880" s="185"/>
      <c r="O1880" s="185"/>
      <c r="P1880" s="185"/>
      <c r="Q1880" s="185"/>
      <c r="R1880" s="185"/>
    </row>
    <row r="1881" spans="1:18" s="197" customFormat="1" ht="12.75" x14ac:dyDescent="0.2">
      <c r="A1881" s="181"/>
      <c r="B1881" s="188" t="s">
        <v>3894</v>
      </c>
      <c r="C1881" s="189" t="s">
        <v>124</v>
      </c>
      <c r="D1881" s="189" t="s">
        <v>123</v>
      </c>
      <c r="E1881" s="190" t="s">
        <v>3895</v>
      </c>
      <c r="F1881" s="191">
        <f t="shared" si="31"/>
        <v>218.51666666666668</v>
      </c>
      <c r="G1881" s="185"/>
      <c r="H1881" s="181"/>
      <c r="I1881" s="74"/>
      <c r="J1881" s="74"/>
      <c r="M1881" s="185"/>
      <c r="N1881" s="185"/>
      <c r="O1881" s="185"/>
      <c r="P1881" s="185"/>
      <c r="Q1881" s="185"/>
      <c r="R1881" s="185"/>
    </row>
    <row r="1882" spans="1:18" s="197" customFormat="1" ht="12.75" x14ac:dyDescent="0.2">
      <c r="A1882" s="181"/>
      <c r="B1882" s="188" t="s">
        <v>3896</v>
      </c>
      <c r="C1882" s="189" t="s">
        <v>125</v>
      </c>
      <c r="D1882" s="189" t="s">
        <v>149</v>
      </c>
      <c r="E1882" s="190" t="s">
        <v>3599</v>
      </c>
      <c r="F1882" s="191">
        <f t="shared" si="31"/>
        <v>262.53333333333336</v>
      </c>
      <c r="G1882" s="185"/>
      <c r="H1882" s="181"/>
      <c r="I1882" s="74"/>
      <c r="J1882" s="74"/>
      <c r="M1882" s="185"/>
      <c r="N1882" s="185"/>
      <c r="O1882" s="185"/>
      <c r="P1882" s="185"/>
      <c r="Q1882" s="185"/>
      <c r="R1882" s="185"/>
    </row>
    <row r="1883" spans="1:18" s="197" customFormat="1" ht="12.75" x14ac:dyDescent="0.2">
      <c r="A1883" s="181"/>
      <c r="B1883" s="188" t="s">
        <v>3897</v>
      </c>
      <c r="C1883" s="189" t="s">
        <v>130</v>
      </c>
      <c r="D1883" s="189" t="s">
        <v>123</v>
      </c>
      <c r="E1883" s="190" t="s">
        <v>3898</v>
      </c>
      <c r="F1883" s="191">
        <f t="shared" si="31"/>
        <v>238.25</v>
      </c>
      <c r="G1883" s="185"/>
      <c r="H1883" s="181"/>
      <c r="I1883" s="74"/>
      <c r="J1883" s="74"/>
      <c r="M1883" s="185"/>
      <c r="N1883" s="185"/>
      <c r="O1883" s="185"/>
      <c r="P1883" s="185"/>
      <c r="Q1883" s="185"/>
      <c r="R1883" s="185"/>
    </row>
    <row r="1884" spans="1:18" s="197" customFormat="1" ht="12.75" x14ac:dyDescent="0.2">
      <c r="A1884" s="181"/>
      <c r="B1884" s="188" t="s">
        <v>3899</v>
      </c>
      <c r="C1884" s="189" t="s">
        <v>128</v>
      </c>
      <c r="D1884" s="189" t="s">
        <v>155</v>
      </c>
      <c r="E1884" s="190" t="s">
        <v>3900</v>
      </c>
      <c r="F1884" s="191">
        <f t="shared" si="31"/>
        <v>320.85000000000002</v>
      </c>
      <c r="G1884" s="185"/>
      <c r="H1884" s="181"/>
      <c r="I1884" s="74"/>
      <c r="J1884" s="74"/>
      <c r="M1884" s="185"/>
      <c r="N1884" s="185"/>
      <c r="O1884" s="185"/>
      <c r="P1884" s="185"/>
      <c r="Q1884" s="185"/>
      <c r="R1884" s="185"/>
    </row>
    <row r="1885" spans="1:18" s="197" customFormat="1" ht="12.75" x14ac:dyDescent="0.2">
      <c r="A1885" s="181"/>
      <c r="B1885" s="188" t="s">
        <v>3901</v>
      </c>
      <c r="C1885" s="189" t="s">
        <v>124</v>
      </c>
      <c r="D1885" s="189" t="s">
        <v>123</v>
      </c>
      <c r="E1885" s="190" t="s">
        <v>3902</v>
      </c>
      <c r="F1885" s="191">
        <f t="shared" si="31"/>
        <v>269.13333333333333</v>
      </c>
      <c r="G1885" s="185"/>
      <c r="H1885" s="181"/>
      <c r="I1885" s="74"/>
      <c r="J1885" s="74"/>
      <c r="M1885" s="185"/>
      <c r="N1885" s="185"/>
      <c r="O1885" s="185"/>
      <c r="P1885" s="185"/>
      <c r="Q1885" s="185"/>
      <c r="R1885" s="185"/>
    </row>
    <row r="1886" spans="1:18" s="197" customFormat="1" ht="12.75" x14ac:dyDescent="0.2">
      <c r="A1886" s="181"/>
      <c r="B1886" s="188" t="s">
        <v>3903</v>
      </c>
      <c r="C1886" s="189" t="s">
        <v>124</v>
      </c>
      <c r="D1886" s="189" t="s">
        <v>123</v>
      </c>
      <c r="E1886" s="190" t="s">
        <v>3904</v>
      </c>
      <c r="F1886" s="191">
        <f t="shared" si="31"/>
        <v>197.98333333333332</v>
      </c>
      <c r="G1886" s="185"/>
      <c r="H1886" s="181"/>
      <c r="I1886" s="74"/>
      <c r="J1886" s="74"/>
      <c r="M1886" s="185"/>
      <c r="N1886" s="185"/>
      <c r="O1886" s="185"/>
      <c r="P1886" s="185"/>
      <c r="Q1886" s="185"/>
      <c r="R1886" s="185"/>
    </row>
    <row r="1887" spans="1:18" s="197" customFormat="1" ht="12.75" x14ac:dyDescent="0.2">
      <c r="A1887" s="181"/>
      <c r="B1887" s="188" t="s">
        <v>3905</v>
      </c>
      <c r="C1887" s="189" t="s">
        <v>140</v>
      </c>
      <c r="D1887" s="189" t="s">
        <v>123</v>
      </c>
      <c r="E1887" s="190" t="s">
        <v>3906</v>
      </c>
      <c r="F1887" s="191">
        <f t="shared" si="31"/>
        <v>201.71666666666667</v>
      </c>
      <c r="G1887" s="185"/>
      <c r="H1887" s="181"/>
      <c r="I1887" s="74"/>
      <c r="J1887" s="74"/>
      <c r="M1887" s="185"/>
      <c r="N1887" s="185"/>
      <c r="O1887" s="185"/>
      <c r="P1887" s="185"/>
      <c r="Q1887" s="185"/>
      <c r="R1887" s="185"/>
    </row>
    <row r="1888" spans="1:18" s="197" customFormat="1" ht="12.75" x14ac:dyDescent="0.2">
      <c r="A1888" s="181"/>
      <c r="B1888" s="188" t="s">
        <v>3907</v>
      </c>
      <c r="C1888" s="189" t="s">
        <v>130</v>
      </c>
      <c r="D1888" s="189" t="s">
        <v>123</v>
      </c>
      <c r="E1888" s="190" t="s">
        <v>3908</v>
      </c>
      <c r="F1888" s="191">
        <f t="shared" si="31"/>
        <v>251.95</v>
      </c>
      <c r="G1888" s="185"/>
      <c r="H1888" s="181"/>
      <c r="I1888" s="74"/>
      <c r="J1888" s="74"/>
      <c r="M1888" s="185"/>
      <c r="N1888" s="185"/>
      <c r="O1888" s="185"/>
      <c r="P1888" s="185"/>
      <c r="Q1888" s="185"/>
      <c r="R1888" s="185"/>
    </row>
    <row r="1889" spans="1:18" s="197" customFormat="1" ht="12.75" x14ac:dyDescent="0.2">
      <c r="A1889" s="181"/>
      <c r="B1889" s="188" t="s">
        <v>3909</v>
      </c>
      <c r="C1889" s="189" t="s">
        <v>126</v>
      </c>
      <c r="D1889" s="189" t="s">
        <v>155</v>
      </c>
      <c r="E1889" s="190" t="s">
        <v>3910</v>
      </c>
      <c r="F1889" s="191">
        <f t="shared" si="31"/>
        <v>211.85</v>
      </c>
      <c r="G1889" s="185"/>
      <c r="H1889" s="181"/>
      <c r="I1889" s="74"/>
      <c r="J1889" s="74"/>
      <c r="M1889" s="185"/>
      <c r="N1889" s="185"/>
      <c r="O1889" s="185"/>
      <c r="P1889" s="185"/>
      <c r="Q1889" s="185"/>
      <c r="R1889" s="185"/>
    </row>
    <row r="1890" spans="1:18" s="197" customFormat="1" ht="12.75" x14ac:dyDescent="0.2">
      <c r="A1890" s="181"/>
      <c r="B1890" s="188" t="s">
        <v>3911</v>
      </c>
      <c r="C1890" s="189" t="s">
        <v>142</v>
      </c>
      <c r="D1890" s="189" t="s">
        <v>123</v>
      </c>
      <c r="E1890" s="190" t="s">
        <v>3912</v>
      </c>
      <c r="F1890" s="191">
        <f t="shared" si="31"/>
        <v>221.73333333333332</v>
      </c>
      <c r="G1890" s="185"/>
      <c r="H1890" s="181"/>
      <c r="I1890" s="74"/>
      <c r="J1890" s="74"/>
      <c r="M1890" s="185"/>
      <c r="N1890" s="185"/>
      <c r="O1890" s="185"/>
      <c r="P1890" s="185"/>
      <c r="Q1890" s="185"/>
      <c r="R1890" s="185"/>
    </row>
    <row r="1891" spans="1:18" s="197" customFormat="1" ht="12.75" x14ac:dyDescent="0.2">
      <c r="A1891" s="181"/>
      <c r="B1891" s="188" t="s">
        <v>3913</v>
      </c>
      <c r="C1891" s="189" t="s">
        <v>142</v>
      </c>
      <c r="D1891" s="189" t="s">
        <v>151</v>
      </c>
      <c r="E1891" s="190" t="s">
        <v>3914</v>
      </c>
      <c r="F1891" s="191">
        <f t="shared" si="31"/>
        <v>215.76666666666668</v>
      </c>
      <c r="G1891" s="185"/>
      <c r="H1891" s="181"/>
      <c r="I1891" s="74"/>
      <c r="J1891" s="74"/>
      <c r="M1891" s="185"/>
      <c r="N1891" s="185"/>
      <c r="O1891" s="185"/>
      <c r="P1891" s="185"/>
      <c r="Q1891" s="185"/>
      <c r="R1891" s="185"/>
    </row>
    <row r="1892" spans="1:18" s="197" customFormat="1" ht="12.75" x14ac:dyDescent="0.2">
      <c r="A1892" s="181"/>
      <c r="B1892" s="188" t="s">
        <v>3915</v>
      </c>
      <c r="C1892" s="189" t="s">
        <v>130</v>
      </c>
      <c r="D1892" s="189" t="s">
        <v>123</v>
      </c>
      <c r="E1892" s="190" t="s">
        <v>3916</v>
      </c>
      <c r="F1892" s="191">
        <f t="shared" si="31"/>
        <v>200.01666666666668</v>
      </c>
      <c r="G1892" s="185"/>
      <c r="H1892" s="181"/>
      <c r="I1892" s="74"/>
      <c r="J1892" s="74"/>
      <c r="M1892" s="185"/>
      <c r="N1892" s="185"/>
      <c r="O1892" s="185"/>
      <c r="P1892" s="185"/>
      <c r="Q1892" s="185"/>
      <c r="R1892" s="185"/>
    </row>
    <row r="1893" spans="1:18" s="197" customFormat="1" ht="12.75" x14ac:dyDescent="0.2">
      <c r="A1893" s="181"/>
      <c r="B1893" s="188" t="s">
        <v>3917</v>
      </c>
      <c r="C1893" s="189" t="s">
        <v>125</v>
      </c>
      <c r="D1893" s="189" t="s">
        <v>149</v>
      </c>
      <c r="E1893" s="190" t="s">
        <v>3918</v>
      </c>
      <c r="F1893" s="191">
        <f t="shared" si="31"/>
        <v>278.38333333333333</v>
      </c>
      <c r="G1893" s="185"/>
      <c r="H1893" s="181"/>
      <c r="I1893" s="74"/>
      <c r="J1893" s="74"/>
      <c r="M1893" s="185"/>
      <c r="N1893" s="185"/>
      <c r="O1893" s="185"/>
      <c r="P1893" s="185"/>
      <c r="Q1893" s="185"/>
      <c r="R1893" s="185"/>
    </row>
    <row r="1894" spans="1:18" s="197" customFormat="1" ht="12.75" x14ac:dyDescent="0.2">
      <c r="A1894" s="181"/>
      <c r="B1894" s="188" t="s">
        <v>3919</v>
      </c>
      <c r="C1894" s="189" t="s">
        <v>128</v>
      </c>
      <c r="D1894" s="189" t="s">
        <v>123</v>
      </c>
      <c r="E1894" s="190" t="s">
        <v>3920</v>
      </c>
      <c r="F1894" s="191">
        <f t="shared" si="31"/>
        <v>240.51666666666668</v>
      </c>
      <c r="G1894" s="185"/>
      <c r="H1894" s="181"/>
      <c r="I1894" s="74"/>
      <c r="J1894" s="74"/>
      <c r="M1894" s="185"/>
      <c r="N1894" s="185"/>
      <c r="O1894" s="185"/>
      <c r="P1894" s="185"/>
      <c r="Q1894" s="185"/>
      <c r="R1894" s="185"/>
    </row>
    <row r="1895" spans="1:18" s="197" customFormat="1" ht="12.75" x14ac:dyDescent="0.2">
      <c r="A1895" s="181"/>
      <c r="B1895" s="188" t="s">
        <v>3921</v>
      </c>
      <c r="C1895" s="189" t="s">
        <v>142</v>
      </c>
      <c r="D1895" s="189" t="s">
        <v>123</v>
      </c>
      <c r="E1895" s="190" t="s">
        <v>3922</v>
      </c>
      <c r="F1895" s="191">
        <f t="shared" si="31"/>
        <v>237.7</v>
      </c>
      <c r="G1895" s="185"/>
      <c r="H1895" s="181"/>
      <c r="I1895" s="74"/>
      <c r="J1895" s="74"/>
      <c r="M1895" s="185"/>
      <c r="N1895" s="185"/>
      <c r="O1895" s="185"/>
      <c r="P1895" s="185"/>
      <c r="Q1895" s="185"/>
      <c r="R1895" s="185"/>
    </row>
    <row r="1896" spans="1:18" s="197" customFormat="1" ht="12.75" x14ac:dyDescent="0.2">
      <c r="A1896" s="181"/>
      <c r="B1896" s="188" t="s">
        <v>579</v>
      </c>
      <c r="C1896" s="189" t="s">
        <v>136</v>
      </c>
      <c r="D1896" s="189" t="s">
        <v>123</v>
      </c>
      <c r="E1896" s="190" t="s">
        <v>3070</v>
      </c>
      <c r="F1896" s="191">
        <f t="shared" si="31"/>
        <v>239.56666666666666</v>
      </c>
      <c r="G1896" s="185"/>
      <c r="H1896" s="181"/>
      <c r="I1896" s="74"/>
      <c r="J1896" s="74"/>
      <c r="M1896" s="185"/>
      <c r="N1896" s="185"/>
      <c r="O1896" s="185"/>
      <c r="P1896" s="185"/>
      <c r="Q1896" s="185"/>
      <c r="R1896" s="185"/>
    </row>
    <row r="1897" spans="1:18" s="197" customFormat="1" ht="12.75" x14ac:dyDescent="0.2">
      <c r="A1897" s="181"/>
      <c r="B1897" s="188" t="s">
        <v>3923</v>
      </c>
      <c r="C1897" s="189" t="s">
        <v>136</v>
      </c>
      <c r="D1897" s="189" t="s">
        <v>148</v>
      </c>
      <c r="E1897" s="190" t="s">
        <v>3924</v>
      </c>
      <c r="F1897" s="191">
        <f t="shared" si="31"/>
        <v>188.2</v>
      </c>
      <c r="G1897" s="185"/>
      <c r="H1897" s="181"/>
      <c r="I1897" s="74"/>
      <c r="J1897" s="74"/>
      <c r="M1897" s="185"/>
      <c r="N1897" s="185"/>
      <c r="O1897" s="185"/>
      <c r="P1897" s="185"/>
      <c r="Q1897" s="185"/>
      <c r="R1897" s="185"/>
    </row>
    <row r="1898" spans="1:18" s="197" customFormat="1" ht="12.75" x14ac:dyDescent="0.2">
      <c r="A1898" s="181"/>
      <c r="B1898" s="188" t="s">
        <v>3925</v>
      </c>
      <c r="C1898" s="189" t="s">
        <v>126</v>
      </c>
      <c r="D1898" s="189" t="s">
        <v>160</v>
      </c>
      <c r="E1898" s="190" t="s">
        <v>3926</v>
      </c>
      <c r="F1898" s="191">
        <f t="shared" si="31"/>
        <v>175.16666666666666</v>
      </c>
      <c r="G1898" s="185"/>
      <c r="H1898" s="181"/>
      <c r="I1898" s="74"/>
      <c r="J1898" s="74"/>
      <c r="M1898" s="185"/>
      <c r="N1898" s="185"/>
      <c r="O1898" s="185"/>
      <c r="P1898" s="185"/>
      <c r="Q1898" s="185"/>
      <c r="R1898" s="185"/>
    </row>
    <row r="1899" spans="1:18" s="197" customFormat="1" ht="12.75" x14ac:dyDescent="0.2">
      <c r="A1899" s="181"/>
      <c r="B1899" s="188" t="s">
        <v>2398</v>
      </c>
      <c r="C1899" s="189" t="s">
        <v>134</v>
      </c>
      <c r="D1899" s="189" t="s">
        <v>176</v>
      </c>
      <c r="E1899" s="190" t="s">
        <v>2399</v>
      </c>
      <c r="F1899" s="191">
        <f t="shared" si="31"/>
        <v>303.53333333333336</v>
      </c>
      <c r="G1899" s="185"/>
      <c r="H1899" s="181"/>
      <c r="I1899" s="74"/>
      <c r="J1899" s="74"/>
      <c r="M1899" s="185"/>
      <c r="N1899" s="185"/>
      <c r="O1899" s="185"/>
      <c r="P1899" s="185"/>
      <c r="Q1899" s="185"/>
      <c r="R1899" s="185"/>
    </row>
    <row r="1900" spans="1:18" s="197" customFormat="1" ht="12.75" x14ac:dyDescent="0.2">
      <c r="A1900" s="181"/>
      <c r="B1900" s="188" t="s">
        <v>3927</v>
      </c>
      <c r="C1900" s="189" t="s">
        <v>124</v>
      </c>
      <c r="D1900" s="189" t="s">
        <v>155</v>
      </c>
      <c r="E1900" s="190" t="s">
        <v>3928</v>
      </c>
      <c r="F1900" s="191">
        <f t="shared" si="31"/>
        <v>200.95</v>
      </c>
      <c r="G1900" s="185"/>
      <c r="H1900" s="181"/>
      <c r="I1900" s="74"/>
      <c r="J1900" s="74"/>
      <c r="M1900" s="185"/>
      <c r="N1900" s="185"/>
      <c r="O1900" s="185"/>
      <c r="P1900" s="185"/>
      <c r="Q1900" s="185"/>
      <c r="R1900" s="185"/>
    </row>
    <row r="1901" spans="1:18" s="197" customFormat="1" ht="12.75" x14ac:dyDescent="0.2">
      <c r="A1901" s="181"/>
      <c r="B1901" s="188" t="s">
        <v>3929</v>
      </c>
      <c r="C1901" s="189" t="s">
        <v>134</v>
      </c>
      <c r="D1901" s="189" t="s">
        <v>123</v>
      </c>
      <c r="E1901" s="190" t="s">
        <v>1855</v>
      </c>
      <c r="F1901" s="191">
        <f t="shared" si="31"/>
        <v>205.21666666666667</v>
      </c>
      <c r="G1901" s="185"/>
      <c r="H1901" s="181"/>
      <c r="I1901" s="74"/>
      <c r="J1901" s="74"/>
      <c r="M1901" s="185"/>
      <c r="N1901" s="185"/>
      <c r="O1901" s="185"/>
      <c r="P1901" s="185"/>
      <c r="Q1901" s="185"/>
      <c r="R1901" s="185"/>
    </row>
    <row r="1902" spans="1:18" s="197" customFormat="1" ht="12.75" x14ac:dyDescent="0.2">
      <c r="A1902" s="181"/>
      <c r="B1902" s="188" t="s">
        <v>3930</v>
      </c>
      <c r="C1902" s="189" t="s">
        <v>126</v>
      </c>
      <c r="D1902" s="189" t="s">
        <v>123</v>
      </c>
      <c r="E1902" s="190" t="s">
        <v>3931</v>
      </c>
      <c r="F1902" s="191">
        <f t="shared" si="31"/>
        <v>231.73333333333332</v>
      </c>
      <c r="G1902" s="185"/>
      <c r="H1902" s="181"/>
      <c r="I1902" s="74"/>
      <c r="J1902" s="74"/>
      <c r="M1902" s="185"/>
      <c r="N1902" s="185"/>
      <c r="O1902" s="185"/>
      <c r="P1902" s="185"/>
      <c r="Q1902" s="185"/>
      <c r="R1902" s="185"/>
    </row>
    <row r="1903" spans="1:18" s="197" customFormat="1" ht="12.75" x14ac:dyDescent="0.2">
      <c r="A1903" s="181"/>
      <c r="B1903" s="188" t="s">
        <v>3932</v>
      </c>
      <c r="C1903" s="189" t="s">
        <v>128</v>
      </c>
      <c r="D1903" s="189" t="s">
        <v>131</v>
      </c>
      <c r="E1903" s="190" t="s">
        <v>3933</v>
      </c>
      <c r="F1903" s="191">
        <f t="shared" si="31"/>
        <v>257.64999999999998</v>
      </c>
      <c r="G1903" s="185"/>
      <c r="H1903" s="181"/>
      <c r="I1903" s="74"/>
      <c r="J1903" s="74"/>
      <c r="M1903" s="185"/>
      <c r="N1903" s="185"/>
      <c r="O1903" s="185"/>
      <c r="P1903" s="185"/>
      <c r="Q1903" s="185"/>
      <c r="R1903" s="185"/>
    </row>
    <row r="1904" spans="1:18" s="197" customFormat="1" ht="12.75" x14ac:dyDescent="0.2">
      <c r="A1904" s="181"/>
      <c r="B1904" s="188" t="s">
        <v>3934</v>
      </c>
      <c r="C1904" s="189" t="s">
        <v>134</v>
      </c>
      <c r="D1904" s="189" t="s">
        <v>123</v>
      </c>
      <c r="E1904" s="190" t="s">
        <v>2731</v>
      </c>
      <c r="F1904" s="191">
        <f t="shared" si="31"/>
        <v>227.36666666666667</v>
      </c>
      <c r="G1904" s="185"/>
      <c r="H1904" s="181"/>
      <c r="I1904" s="74"/>
      <c r="J1904" s="74"/>
      <c r="M1904" s="185"/>
      <c r="N1904" s="185"/>
      <c r="O1904" s="185"/>
      <c r="P1904" s="185"/>
      <c r="Q1904" s="185"/>
      <c r="R1904" s="185"/>
    </row>
    <row r="1905" spans="1:18" s="197" customFormat="1" ht="12.75" x14ac:dyDescent="0.2">
      <c r="A1905" s="181"/>
      <c r="B1905" s="188" t="s">
        <v>3935</v>
      </c>
      <c r="C1905" s="189" t="s">
        <v>128</v>
      </c>
      <c r="D1905" s="189" t="s">
        <v>123</v>
      </c>
      <c r="E1905" s="190" t="s">
        <v>3936</v>
      </c>
      <c r="F1905" s="191">
        <f t="shared" si="31"/>
        <v>250.98333333333332</v>
      </c>
      <c r="G1905" s="185"/>
      <c r="H1905" s="181"/>
      <c r="I1905" s="74"/>
      <c r="J1905" s="74"/>
      <c r="M1905" s="185"/>
      <c r="N1905" s="185"/>
      <c r="O1905" s="185"/>
      <c r="P1905" s="185"/>
      <c r="Q1905" s="185"/>
      <c r="R1905" s="185"/>
    </row>
    <row r="1906" spans="1:18" s="197" customFormat="1" ht="12.75" x14ac:dyDescent="0.2">
      <c r="A1906" s="181"/>
      <c r="B1906" s="188" t="s">
        <v>3937</v>
      </c>
      <c r="C1906" s="189" t="s">
        <v>134</v>
      </c>
      <c r="D1906" s="189" t="s">
        <v>123</v>
      </c>
      <c r="E1906" s="190" t="s">
        <v>3938</v>
      </c>
      <c r="F1906" s="191">
        <f t="shared" si="31"/>
        <v>209.08333333333334</v>
      </c>
      <c r="G1906" s="185"/>
      <c r="H1906" s="181"/>
      <c r="I1906" s="74"/>
      <c r="J1906" s="74"/>
      <c r="M1906" s="185"/>
      <c r="N1906" s="185"/>
      <c r="O1906" s="185"/>
      <c r="P1906" s="185"/>
      <c r="Q1906" s="185"/>
      <c r="R1906" s="185"/>
    </row>
    <row r="1907" spans="1:18" s="197" customFormat="1" ht="12.75" x14ac:dyDescent="0.2">
      <c r="A1907" s="181"/>
      <c r="B1907" s="188" t="s">
        <v>3939</v>
      </c>
      <c r="C1907" s="189" t="s">
        <v>142</v>
      </c>
      <c r="D1907" s="189" t="s">
        <v>123</v>
      </c>
      <c r="E1907" s="190" t="s">
        <v>3940</v>
      </c>
      <c r="F1907" s="191">
        <f t="shared" si="31"/>
        <v>301.55</v>
      </c>
      <c r="G1907" s="185"/>
      <c r="H1907" s="181"/>
      <c r="I1907" s="74"/>
      <c r="J1907" s="74"/>
      <c r="M1907" s="185"/>
      <c r="N1907" s="185"/>
      <c r="O1907" s="185"/>
      <c r="P1907" s="185"/>
      <c r="Q1907" s="185"/>
      <c r="R1907" s="185"/>
    </row>
    <row r="1908" spans="1:18" s="197" customFormat="1" ht="12.75" x14ac:dyDescent="0.2">
      <c r="A1908" s="181"/>
      <c r="B1908" s="188" t="s">
        <v>3941</v>
      </c>
      <c r="C1908" s="189" t="s">
        <v>128</v>
      </c>
      <c r="D1908" s="189" t="s">
        <v>123</v>
      </c>
      <c r="E1908" s="190" t="s">
        <v>1250</v>
      </c>
      <c r="F1908" s="191">
        <f t="shared" si="31"/>
        <v>262.41666666666669</v>
      </c>
      <c r="G1908" s="185"/>
      <c r="H1908" s="181"/>
      <c r="I1908" s="74"/>
      <c r="J1908" s="74"/>
      <c r="M1908" s="185"/>
      <c r="N1908" s="185"/>
      <c r="O1908" s="185"/>
      <c r="P1908" s="185"/>
      <c r="Q1908" s="185"/>
      <c r="R1908" s="185"/>
    </row>
    <row r="1909" spans="1:18" s="197" customFormat="1" ht="12.75" x14ac:dyDescent="0.2">
      <c r="A1909" s="181"/>
      <c r="B1909" s="188" t="s">
        <v>3942</v>
      </c>
      <c r="C1909" s="189" t="s">
        <v>125</v>
      </c>
      <c r="D1909" s="189" t="s">
        <v>131</v>
      </c>
      <c r="E1909" s="190" t="s">
        <v>3266</v>
      </c>
      <c r="F1909" s="191">
        <f t="shared" si="31"/>
        <v>282.43333333333334</v>
      </c>
      <c r="G1909" s="185"/>
      <c r="H1909" s="181"/>
      <c r="I1909" s="74"/>
      <c r="J1909" s="74"/>
      <c r="M1909" s="185"/>
      <c r="N1909" s="185"/>
      <c r="O1909" s="185"/>
      <c r="P1909" s="185"/>
      <c r="Q1909" s="185"/>
      <c r="R1909" s="185"/>
    </row>
    <row r="1910" spans="1:18" s="197" customFormat="1" ht="12.75" x14ac:dyDescent="0.2">
      <c r="A1910" s="181"/>
      <c r="B1910" s="188" t="s">
        <v>3943</v>
      </c>
      <c r="C1910" s="189" t="s">
        <v>130</v>
      </c>
      <c r="D1910" s="189" t="s">
        <v>123</v>
      </c>
      <c r="E1910" s="190" t="s">
        <v>2011</v>
      </c>
      <c r="F1910" s="191">
        <f t="shared" si="31"/>
        <v>196.35</v>
      </c>
      <c r="G1910" s="185"/>
      <c r="H1910" s="181"/>
      <c r="I1910" s="74"/>
      <c r="J1910" s="74"/>
      <c r="M1910" s="185"/>
      <c r="N1910" s="185"/>
      <c r="O1910" s="185"/>
      <c r="P1910" s="185"/>
      <c r="Q1910" s="185"/>
      <c r="R1910" s="185"/>
    </row>
    <row r="1911" spans="1:18" s="197" customFormat="1" ht="12.75" x14ac:dyDescent="0.2">
      <c r="A1911" s="181"/>
      <c r="B1911" s="188" t="s">
        <v>3944</v>
      </c>
      <c r="C1911" s="189" t="s">
        <v>128</v>
      </c>
      <c r="D1911" s="189" t="s">
        <v>123</v>
      </c>
      <c r="E1911" s="190" t="s">
        <v>3945</v>
      </c>
      <c r="F1911" s="191">
        <f t="shared" si="31"/>
        <v>235.83333333333334</v>
      </c>
      <c r="G1911" s="185"/>
      <c r="H1911" s="181"/>
      <c r="I1911" s="74"/>
      <c r="J1911" s="74"/>
      <c r="M1911" s="185"/>
      <c r="N1911" s="185"/>
      <c r="O1911" s="185"/>
      <c r="P1911" s="185"/>
      <c r="Q1911" s="185"/>
      <c r="R1911" s="185"/>
    </row>
    <row r="1912" spans="1:18" s="197" customFormat="1" ht="12.75" x14ac:dyDescent="0.2">
      <c r="A1912" s="181"/>
      <c r="B1912" s="188" t="s">
        <v>3946</v>
      </c>
      <c r="C1912" s="189" t="s">
        <v>126</v>
      </c>
      <c r="D1912" s="189" t="s">
        <v>123</v>
      </c>
      <c r="E1912" s="190" t="s">
        <v>2606</v>
      </c>
      <c r="F1912" s="191">
        <f t="shared" si="31"/>
        <v>268.95</v>
      </c>
      <c r="G1912" s="185"/>
      <c r="H1912" s="181"/>
      <c r="I1912" s="74"/>
      <c r="J1912" s="74"/>
      <c r="M1912" s="185"/>
      <c r="N1912" s="185"/>
      <c r="O1912" s="185"/>
      <c r="P1912" s="185"/>
      <c r="Q1912" s="185"/>
      <c r="R1912" s="185"/>
    </row>
    <row r="1913" spans="1:18" s="197" customFormat="1" ht="12.75" x14ac:dyDescent="0.2">
      <c r="A1913" s="181"/>
      <c r="B1913" s="188" t="s">
        <v>3947</v>
      </c>
      <c r="C1913" s="189" t="s">
        <v>125</v>
      </c>
      <c r="D1913" s="189" t="s">
        <v>148</v>
      </c>
      <c r="E1913" s="190" t="s">
        <v>3948</v>
      </c>
      <c r="F1913" s="191">
        <f t="shared" si="31"/>
        <v>301.68333333333334</v>
      </c>
      <c r="G1913" s="185"/>
      <c r="H1913" s="181"/>
      <c r="I1913" s="74"/>
      <c r="J1913" s="74"/>
      <c r="M1913" s="185"/>
      <c r="N1913" s="185"/>
      <c r="O1913" s="185"/>
      <c r="P1913" s="185"/>
      <c r="Q1913" s="185"/>
      <c r="R1913" s="185"/>
    </row>
    <row r="1914" spans="1:18" s="197" customFormat="1" ht="12.75" x14ac:dyDescent="0.2">
      <c r="A1914" s="181"/>
      <c r="B1914" s="188" t="s">
        <v>3949</v>
      </c>
      <c r="C1914" s="189" t="s">
        <v>128</v>
      </c>
      <c r="D1914" s="189" t="s">
        <v>174</v>
      </c>
      <c r="E1914" s="190" t="s">
        <v>3950</v>
      </c>
      <c r="F1914" s="191">
        <f t="shared" si="31"/>
        <v>194.41666666666666</v>
      </c>
      <c r="G1914" s="185"/>
      <c r="H1914" s="181"/>
      <c r="I1914" s="74"/>
      <c r="J1914" s="74"/>
      <c r="M1914" s="185"/>
      <c r="N1914" s="185"/>
      <c r="O1914" s="185"/>
      <c r="P1914" s="185"/>
      <c r="Q1914" s="185"/>
      <c r="R1914" s="185"/>
    </row>
    <row r="1915" spans="1:18" s="197" customFormat="1" ht="12.75" x14ac:dyDescent="0.2">
      <c r="A1915" s="181"/>
      <c r="B1915" s="188" t="s">
        <v>1251</v>
      </c>
      <c r="C1915" s="189" t="s">
        <v>128</v>
      </c>
      <c r="D1915" s="189" t="s">
        <v>123</v>
      </c>
      <c r="E1915" s="190" t="s">
        <v>1252</v>
      </c>
      <c r="F1915" s="191">
        <f t="shared" si="31"/>
        <v>243.23333333333332</v>
      </c>
      <c r="G1915" s="185"/>
      <c r="H1915" s="181"/>
      <c r="I1915" s="74"/>
      <c r="J1915" s="74"/>
      <c r="M1915" s="185"/>
      <c r="N1915" s="185"/>
      <c r="O1915" s="185"/>
      <c r="P1915" s="185"/>
      <c r="Q1915" s="185"/>
      <c r="R1915" s="185"/>
    </row>
    <row r="1916" spans="1:18" s="197" customFormat="1" ht="12.75" x14ac:dyDescent="0.2">
      <c r="A1916" s="181"/>
      <c r="B1916" s="188" t="s">
        <v>637</v>
      </c>
      <c r="C1916" s="189" t="s">
        <v>136</v>
      </c>
      <c r="D1916" s="189" t="s">
        <v>123</v>
      </c>
      <c r="E1916" s="190" t="s">
        <v>1848</v>
      </c>
      <c r="F1916" s="191">
        <f t="shared" si="31"/>
        <v>229</v>
      </c>
      <c r="G1916" s="185"/>
      <c r="H1916" s="181"/>
      <c r="I1916" s="74"/>
      <c r="J1916" s="74"/>
      <c r="M1916" s="185"/>
      <c r="N1916" s="185"/>
      <c r="O1916" s="185"/>
      <c r="P1916" s="185"/>
      <c r="Q1916" s="185"/>
      <c r="R1916" s="185"/>
    </row>
    <row r="1917" spans="1:18" s="197" customFormat="1" ht="12.75" x14ac:dyDescent="0.2">
      <c r="A1917" s="181"/>
      <c r="B1917" s="188" t="s">
        <v>3951</v>
      </c>
      <c r="C1917" s="189" t="s">
        <v>130</v>
      </c>
      <c r="D1917" s="189" t="s">
        <v>123</v>
      </c>
      <c r="E1917" s="190" t="s">
        <v>2011</v>
      </c>
      <c r="F1917" s="191">
        <f t="shared" si="31"/>
        <v>196.35</v>
      </c>
      <c r="G1917" s="185"/>
      <c r="H1917" s="181"/>
      <c r="I1917" s="74"/>
      <c r="J1917" s="74"/>
      <c r="M1917" s="185"/>
      <c r="N1917" s="185"/>
      <c r="O1917" s="185"/>
      <c r="P1917" s="185"/>
      <c r="Q1917" s="185"/>
      <c r="R1917" s="185"/>
    </row>
    <row r="1918" spans="1:18" s="197" customFormat="1" ht="12.75" x14ac:dyDescent="0.2">
      <c r="A1918" s="181"/>
      <c r="B1918" s="188" t="s">
        <v>3952</v>
      </c>
      <c r="C1918" s="189" t="s">
        <v>134</v>
      </c>
      <c r="D1918" s="189" t="s">
        <v>123</v>
      </c>
      <c r="E1918" s="190" t="s">
        <v>3953</v>
      </c>
      <c r="F1918" s="191">
        <f t="shared" si="31"/>
        <v>280.53333333333336</v>
      </c>
      <c r="G1918" s="185"/>
      <c r="H1918" s="181"/>
      <c r="I1918" s="74"/>
      <c r="J1918" s="74"/>
      <c r="M1918" s="185"/>
      <c r="N1918" s="185"/>
      <c r="O1918" s="185"/>
      <c r="P1918" s="185"/>
      <c r="Q1918" s="185"/>
      <c r="R1918" s="185"/>
    </row>
    <row r="1919" spans="1:18" s="197" customFormat="1" ht="12.75" x14ac:dyDescent="0.2">
      <c r="A1919" s="181"/>
      <c r="B1919" s="188" t="s">
        <v>3954</v>
      </c>
      <c r="C1919" s="189" t="s">
        <v>128</v>
      </c>
      <c r="D1919" s="189" t="s">
        <v>123</v>
      </c>
      <c r="E1919" s="190" t="s">
        <v>3955</v>
      </c>
      <c r="F1919" s="191">
        <f t="shared" si="31"/>
        <v>199.98333333333332</v>
      </c>
      <c r="G1919" s="185"/>
      <c r="H1919" s="181"/>
      <c r="I1919" s="74"/>
      <c r="J1919" s="74"/>
      <c r="M1919" s="185"/>
      <c r="N1919" s="185"/>
      <c r="O1919" s="185"/>
      <c r="P1919" s="185"/>
      <c r="Q1919" s="185"/>
      <c r="R1919" s="185"/>
    </row>
    <row r="1920" spans="1:18" s="197" customFormat="1" ht="12.75" x14ac:dyDescent="0.2">
      <c r="A1920" s="181"/>
      <c r="B1920" s="188" t="s">
        <v>3956</v>
      </c>
      <c r="C1920" s="189" t="s">
        <v>134</v>
      </c>
      <c r="D1920" s="189" t="s">
        <v>123</v>
      </c>
      <c r="E1920" s="190" t="s">
        <v>3957</v>
      </c>
      <c r="F1920" s="191">
        <f t="shared" si="31"/>
        <v>234.91666666666666</v>
      </c>
      <c r="G1920" s="185"/>
      <c r="H1920" s="181"/>
      <c r="I1920" s="74"/>
      <c r="J1920" s="74"/>
      <c r="M1920" s="185"/>
      <c r="N1920" s="185"/>
      <c r="O1920" s="185"/>
      <c r="P1920" s="185"/>
      <c r="Q1920" s="185"/>
      <c r="R1920" s="185"/>
    </row>
    <row r="1921" spans="1:18" s="197" customFormat="1" ht="12.75" x14ac:dyDescent="0.2">
      <c r="A1921" s="181"/>
      <c r="B1921" s="188" t="s">
        <v>3958</v>
      </c>
      <c r="C1921" s="189" t="s">
        <v>126</v>
      </c>
      <c r="D1921" s="189" t="s">
        <v>131</v>
      </c>
      <c r="E1921" s="190" t="s">
        <v>3959</v>
      </c>
      <c r="F1921" s="191">
        <f t="shared" si="31"/>
        <v>229.86666666666667</v>
      </c>
      <c r="G1921" s="185"/>
      <c r="H1921" s="181"/>
      <c r="I1921" s="74"/>
      <c r="J1921" s="74"/>
      <c r="M1921" s="185"/>
      <c r="N1921" s="185"/>
      <c r="O1921" s="185"/>
      <c r="P1921" s="185"/>
      <c r="Q1921" s="185"/>
      <c r="R1921" s="185"/>
    </row>
    <row r="1922" spans="1:18" s="197" customFormat="1" ht="12.75" x14ac:dyDescent="0.2">
      <c r="A1922" s="181"/>
      <c r="B1922" s="188" t="s">
        <v>430</v>
      </c>
      <c r="C1922" s="189" t="s">
        <v>130</v>
      </c>
      <c r="D1922" s="189" t="s">
        <v>123</v>
      </c>
      <c r="E1922" s="190" t="s">
        <v>3960</v>
      </c>
      <c r="F1922" s="191">
        <f t="shared" si="31"/>
        <v>216.2</v>
      </c>
      <c r="G1922" s="185"/>
      <c r="H1922" s="181"/>
      <c r="I1922" s="74"/>
      <c r="J1922" s="74"/>
      <c r="M1922" s="185"/>
      <c r="N1922" s="185"/>
      <c r="O1922" s="185"/>
      <c r="P1922" s="185"/>
      <c r="Q1922" s="185"/>
      <c r="R1922" s="185"/>
    </row>
    <row r="1923" spans="1:18" s="197" customFormat="1" ht="12.75" x14ac:dyDescent="0.2">
      <c r="A1923" s="181"/>
      <c r="B1923" s="188" t="s">
        <v>3961</v>
      </c>
      <c r="C1923" s="189" t="s">
        <v>124</v>
      </c>
      <c r="D1923" s="189" t="s">
        <v>123</v>
      </c>
      <c r="E1923" s="190" t="s">
        <v>3962</v>
      </c>
      <c r="F1923" s="191">
        <f t="shared" si="31"/>
        <v>216.18333333333334</v>
      </c>
      <c r="G1923" s="185"/>
      <c r="H1923" s="181"/>
      <c r="I1923" s="74"/>
      <c r="J1923" s="74"/>
      <c r="M1923" s="185"/>
      <c r="N1923" s="185"/>
      <c r="O1923" s="185"/>
      <c r="P1923" s="185"/>
      <c r="Q1923" s="185"/>
      <c r="R1923" s="185"/>
    </row>
    <row r="1924" spans="1:18" s="197" customFormat="1" ht="12.75" x14ac:dyDescent="0.2">
      <c r="A1924" s="181"/>
      <c r="B1924" s="188" t="s">
        <v>3963</v>
      </c>
      <c r="C1924" s="189" t="s">
        <v>136</v>
      </c>
      <c r="D1924" s="189" t="s">
        <v>131</v>
      </c>
      <c r="E1924" s="190" t="s">
        <v>3964</v>
      </c>
      <c r="F1924" s="191">
        <f t="shared" si="31"/>
        <v>275.98333333333335</v>
      </c>
      <c r="G1924" s="185"/>
      <c r="H1924" s="181"/>
      <c r="I1924" s="74"/>
      <c r="J1924" s="74"/>
      <c r="M1924" s="185"/>
      <c r="N1924" s="185"/>
      <c r="O1924" s="185"/>
      <c r="P1924" s="185"/>
      <c r="Q1924" s="185"/>
      <c r="R1924" s="185"/>
    </row>
    <row r="1925" spans="1:18" s="197" customFormat="1" ht="12.75" x14ac:dyDescent="0.2">
      <c r="A1925" s="181"/>
      <c r="B1925" s="188" t="s">
        <v>3965</v>
      </c>
      <c r="C1925" s="189" t="s">
        <v>130</v>
      </c>
      <c r="D1925" s="189" t="s">
        <v>123</v>
      </c>
      <c r="E1925" s="190" t="s">
        <v>3966</v>
      </c>
      <c r="F1925" s="191">
        <f t="shared" si="31"/>
        <v>153.38333333333333</v>
      </c>
      <c r="G1925" s="185"/>
      <c r="H1925" s="181"/>
      <c r="I1925" s="74"/>
      <c r="J1925" s="74"/>
      <c r="M1925" s="185"/>
      <c r="N1925" s="185"/>
      <c r="O1925" s="185"/>
      <c r="P1925" s="185"/>
      <c r="Q1925" s="185"/>
      <c r="R1925" s="185"/>
    </row>
    <row r="1926" spans="1:18" s="197" customFormat="1" ht="12.75" x14ac:dyDescent="0.2">
      <c r="A1926" s="181"/>
      <c r="B1926" s="188" t="s">
        <v>524</v>
      </c>
      <c r="C1926" s="189" t="s">
        <v>125</v>
      </c>
      <c r="D1926" s="189" t="s">
        <v>123</v>
      </c>
      <c r="E1926" s="190" t="s">
        <v>3967</v>
      </c>
      <c r="F1926" s="191">
        <f t="shared" si="31"/>
        <v>215.68333333333334</v>
      </c>
      <c r="G1926" s="185"/>
      <c r="H1926" s="181"/>
      <c r="I1926" s="74"/>
      <c r="J1926" s="74"/>
      <c r="M1926" s="185"/>
      <c r="N1926" s="185"/>
      <c r="O1926" s="185"/>
      <c r="P1926" s="185"/>
      <c r="Q1926" s="185"/>
      <c r="R1926" s="185"/>
    </row>
    <row r="1927" spans="1:18" s="197" customFormat="1" ht="12.75" x14ac:dyDescent="0.2">
      <c r="A1927" s="181"/>
      <c r="B1927" s="188" t="s">
        <v>422</v>
      </c>
      <c r="C1927" s="189" t="s">
        <v>135</v>
      </c>
      <c r="D1927" s="189" t="s">
        <v>152</v>
      </c>
      <c r="E1927" s="190" t="s">
        <v>3968</v>
      </c>
      <c r="F1927" s="191">
        <f t="shared" si="31"/>
        <v>274.93333333333334</v>
      </c>
      <c r="G1927" s="185"/>
      <c r="H1927" s="181"/>
      <c r="I1927" s="74"/>
      <c r="J1927" s="74"/>
      <c r="M1927" s="185"/>
      <c r="N1927" s="185"/>
      <c r="O1927" s="185"/>
      <c r="P1927" s="185"/>
      <c r="Q1927" s="185"/>
      <c r="R1927" s="185"/>
    </row>
    <row r="1928" spans="1:18" s="197" customFormat="1" ht="12.75" x14ac:dyDescent="0.2">
      <c r="A1928" s="181"/>
      <c r="B1928" s="188" t="s">
        <v>3969</v>
      </c>
      <c r="C1928" s="189" t="s">
        <v>136</v>
      </c>
      <c r="D1928" s="189" t="s">
        <v>205</v>
      </c>
      <c r="E1928" s="190" t="s">
        <v>3970</v>
      </c>
      <c r="F1928" s="191">
        <f t="shared" si="31"/>
        <v>257.23333333333335</v>
      </c>
      <c r="G1928" s="185"/>
      <c r="H1928" s="181"/>
      <c r="I1928" s="74"/>
      <c r="J1928" s="74"/>
      <c r="M1928" s="185"/>
      <c r="N1928" s="185"/>
      <c r="O1928" s="185"/>
      <c r="P1928" s="185"/>
      <c r="Q1928" s="185"/>
      <c r="R1928" s="185"/>
    </row>
    <row r="1929" spans="1:18" s="197" customFormat="1" ht="12.75" x14ac:dyDescent="0.2">
      <c r="A1929" s="181"/>
      <c r="B1929" s="188" t="s">
        <v>3971</v>
      </c>
      <c r="C1929" s="189" t="s">
        <v>124</v>
      </c>
      <c r="D1929" s="189" t="s">
        <v>123</v>
      </c>
      <c r="E1929" s="190" t="s">
        <v>3972</v>
      </c>
      <c r="F1929" s="191">
        <f t="shared" si="31"/>
        <v>169.83333333333334</v>
      </c>
      <c r="G1929" s="185"/>
      <c r="H1929" s="181"/>
      <c r="I1929" s="74"/>
      <c r="J1929" s="74"/>
      <c r="M1929" s="185"/>
      <c r="N1929" s="185"/>
      <c r="O1929" s="185"/>
      <c r="P1929" s="185"/>
      <c r="Q1929" s="185"/>
      <c r="R1929" s="185"/>
    </row>
    <row r="1930" spans="1:18" s="197" customFormat="1" ht="12.75" x14ac:dyDescent="0.2">
      <c r="A1930" s="181"/>
      <c r="B1930" s="188" t="s">
        <v>346</v>
      </c>
      <c r="C1930" s="189" t="s">
        <v>124</v>
      </c>
      <c r="D1930" s="189" t="s">
        <v>395</v>
      </c>
      <c r="E1930" s="190" t="s">
        <v>3973</v>
      </c>
      <c r="F1930" s="191">
        <f t="shared" si="31"/>
        <v>252.3</v>
      </c>
      <c r="G1930" s="185"/>
      <c r="H1930" s="181"/>
      <c r="I1930" s="74"/>
      <c r="J1930" s="74"/>
      <c r="M1930" s="185"/>
      <c r="N1930" s="185"/>
      <c r="O1930" s="185"/>
      <c r="P1930" s="185"/>
      <c r="Q1930" s="185"/>
      <c r="R1930" s="185"/>
    </row>
    <row r="1931" spans="1:18" s="197" customFormat="1" ht="12.75" x14ac:dyDescent="0.2">
      <c r="A1931" s="181"/>
      <c r="B1931" s="188" t="s">
        <v>3974</v>
      </c>
      <c r="C1931" s="189" t="s">
        <v>128</v>
      </c>
      <c r="D1931" s="189" t="s">
        <v>123</v>
      </c>
      <c r="E1931" s="190" t="s">
        <v>3975</v>
      </c>
      <c r="F1931" s="191">
        <f t="shared" ref="F1931:F1994" si="32">HOUR(E1931)*60+MINUTE(E1931)+SECOND(E1931)/60</f>
        <v>226.21666666666667</v>
      </c>
      <c r="G1931" s="185"/>
      <c r="H1931" s="181"/>
      <c r="I1931" s="74"/>
      <c r="J1931" s="74"/>
      <c r="M1931" s="185"/>
      <c r="N1931" s="185"/>
      <c r="O1931" s="185"/>
      <c r="P1931" s="185"/>
      <c r="Q1931" s="185"/>
      <c r="R1931" s="185"/>
    </row>
    <row r="1932" spans="1:18" s="197" customFormat="1" ht="12.75" x14ac:dyDescent="0.2">
      <c r="A1932" s="181"/>
      <c r="B1932" s="188" t="s">
        <v>3976</v>
      </c>
      <c r="C1932" s="189" t="s">
        <v>134</v>
      </c>
      <c r="D1932" s="189" t="s">
        <v>123</v>
      </c>
      <c r="E1932" s="190" t="s">
        <v>3977</v>
      </c>
      <c r="F1932" s="191">
        <f t="shared" si="32"/>
        <v>264.06666666666666</v>
      </c>
      <c r="G1932" s="185"/>
      <c r="H1932" s="181"/>
      <c r="I1932" s="74"/>
      <c r="J1932" s="74"/>
      <c r="M1932" s="185"/>
      <c r="N1932" s="185"/>
      <c r="O1932" s="185"/>
      <c r="P1932" s="185"/>
      <c r="Q1932" s="185"/>
      <c r="R1932" s="185"/>
    </row>
    <row r="1933" spans="1:18" s="197" customFormat="1" ht="12.75" x14ac:dyDescent="0.2">
      <c r="A1933" s="181"/>
      <c r="B1933" s="188" t="s">
        <v>3978</v>
      </c>
      <c r="C1933" s="189" t="s">
        <v>135</v>
      </c>
      <c r="D1933" s="189" t="s">
        <v>123</v>
      </c>
      <c r="E1933" s="190" t="s">
        <v>3979</v>
      </c>
      <c r="F1933" s="191">
        <f t="shared" si="32"/>
        <v>180.5</v>
      </c>
      <c r="G1933" s="185"/>
      <c r="H1933" s="181"/>
      <c r="I1933" s="74"/>
      <c r="J1933" s="74"/>
      <c r="M1933" s="185"/>
      <c r="N1933" s="185"/>
      <c r="O1933" s="185"/>
      <c r="P1933" s="185"/>
      <c r="Q1933" s="185"/>
      <c r="R1933" s="185"/>
    </row>
    <row r="1934" spans="1:18" s="197" customFormat="1" ht="12.75" x14ac:dyDescent="0.2">
      <c r="A1934" s="181"/>
      <c r="B1934" s="188" t="s">
        <v>3980</v>
      </c>
      <c r="C1934" s="189" t="s">
        <v>134</v>
      </c>
      <c r="D1934" s="189" t="s">
        <v>123</v>
      </c>
      <c r="E1934" s="190" t="s">
        <v>2913</v>
      </c>
      <c r="F1934" s="191">
        <f t="shared" si="32"/>
        <v>276.53333333333336</v>
      </c>
      <c r="G1934" s="185"/>
      <c r="H1934" s="181"/>
      <c r="I1934" s="74"/>
      <c r="J1934" s="74"/>
      <c r="M1934" s="185"/>
      <c r="N1934" s="185"/>
      <c r="O1934" s="185"/>
      <c r="P1934" s="185"/>
      <c r="Q1934" s="185"/>
      <c r="R1934" s="185"/>
    </row>
    <row r="1935" spans="1:18" s="197" customFormat="1" ht="12.75" x14ac:dyDescent="0.2">
      <c r="A1935" s="181"/>
      <c r="B1935" s="188" t="s">
        <v>3981</v>
      </c>
      <c r="C1935" s="189" t="s">
        <v>142</v>
      </c>
      <c r="D1935" s="189" t="s">
        <v>133</v>
      </c>
      <c r="E1935" s="190" t="s">
        <v>3982</v>
      </c>
      <c r="F1935" s="191">
        <f t="shared" si="32"/>
        <v>241.76666666666668</v>
      </c>
      <c r="G1935" s="185"/>
      <c r="H1935" s="181"/>
      <c r="I1935" s="74"/>
      <c r="J1935" s="74"/>
      <c r="M1935" s="185"/>
      <c r="N1935" s="185"/>
      <c r="O1935" s="185"/>
      <c r="P1935" s="185"/>
      <c r="Q1935" s="185"/>
      <c r="R1935" s="185"/>
    </row>
    <row r="1936" spans="1:18" s="197" customFormat="1" ht="12.75" x14ac:dyDescent="0.2">
      <c r="A1936" s="181"/>
      <c r="B1936" s="188" t="s">
        <v>3983</v>
      </c>
      <c r="C1936" s="189" t="s">
        <v>128</v>
      </c>
      <c r="D1936" s="189" t="s">
        <v>123</v>
      </c>
      <c r="E1936" s="190" t="s">
        <v>3984</v>
      </c>
      <c r="F1936" s="191">
        <f t="shared" si="32"/>
        <v>296.83333333333331</v>
      </c>
      <c r="G1936" s="185"/>
      <c r="H1936" s="181"/>
      <c r="I1936" s="74"/>
      <c r="J1936" s="74"/>
      <c r="M1936" s="185"/>
      <c r="N1936" s="185"/>
      <c r="O1936" s="185"/>
      <c r="P1936" s="185"/>
      <c r="Q1936" s="185"/>
      <c r="R1936" s="185"/>
    </row>
    <row r="1937" spans="1:18" s="197" customFormat="1" ht="12.75" x14ac:dyDescent="0.2">
      <c r="A1937" s="181"/>
      <c r="B1937" s="188" t="s">
        <v>3985</v>
      </c>
      <c r="C1937" s="189" t="s">
        <v>130</v>
      </c>
      <c r="D1937" s="189" t="s">
        <v>207</v>
      </c>
      <c r="E1937" s="190" t="s">
        <v>3986</v>
      </c>
      <c r="F1937" s="191">
        <f t="shared" si="32"/>
        <v>227.98333333333332</v>
      </c>
      <c r="G1937" s="185"/>
      <c r="H1937" s="181"/>
      <c r="I1937" s="74"/>
      <c r="J1937" s="74"/>
      <c r="M1937" s="185"/>
      <c r="N1937" s="185"/>
      <c r="O1937" s="185"/>
      <c r="P1937" s="185"/>
      <c r="Q1937" s="185"/>
      <c r="R1937" s="185"/>
    </row>
    <row r="1938" spans="1:18" s="197" customFormat="1" ht="12.75" x14ac:dyDescent="0.2">
      <c r="A1938" s="181"/>
      <c r="B1938" s="188" t="s">
        <v>3987</v>
      </c>
      <c r="C1938" s="189" t="s">
        <v>128</v>
      </c>
      <c r="D1938" s="189" t="s">
        <v>131</v>
      </c>
      <c r="E1938" s="190" t="s">
        <v>3988</v>
      </c>
      <c r="F1938" s="191">
        <f t="shared" si="32"/>
        <v>252.71666666666667</v>
      </c>
      <c r="G1938" s="185"/>
      <c r="H1938" s="181"/>
      <c r="I1938" s="74"/>
      <c r="J1938" s="74"/>
      <c r="M1938" s="185"/>
      <c r="N1938" s="185"/>
      <c r="O1938" s="185"/>
      <c r="P1938" s="185"/>
      <c r="Q1938" s="185"/>
      <c r="R1938" s="185"/>
    </row>
    <row r="1939" spans="1:18" s="197" customFormat="1" ht="12.75" x14ac:dyDescent="0.2">
      <c r="A1939" s="181"/>
      <c r="B1939" s="188" t="s">
        <v>3989</v>
      </c>
      <c r="C1939" s="189" t="s">
        <v>134</v>
      </c>
      <c r="D1939" s="189" t="s">
        <v>123</v>
      </c>
      <c r="E1939" s="190" t="s">
        <v>832</v>
      </c>
      <c r="F1939" s="191">
        <f t="shared" si="32"/>
        <v>203.53333333333333</v>
      </c>
      <c r="G1939" s="185"/>
      <c r="H1939" s="181"/>
      <c r="I1939" s="74"/>
      <c r="J1939" s="74"/>
      <c r="M1939" s="185"/>
      <c r="N1939" s="185"/>
      <c r="O1939" s="185"/>
      <c r="P1939" s="185"/>
      <c r="Q1939" s="185"/>
      <c r="R1939" s="185"/>
    </row>
    <row r="1940" spans="1:18" s="197" customFormat="1" ht="12.75" x14ac:dyDescent="0.2">
      <c r="A1940" s="181"/>
      <c r="B1940" s="188" t="s">
        <v>3990</v>
      </c>
      <c r="C1940" s="189" t="s">
        <v>135</v>
      </c>
      <c r="D1940" s="189" t="s">
        <v>123</v>
      </c>
      <c r="E1940" s="190" t="s">
        <v>3991</v>
      </c>
      <c r="F1940" s="191">
        <f t="shared" si="32"/>
        <v>230.1</v>
      </c>
      <c r="G1940" s="185"/>
      <c r="H1940" s="181"/>
      <c r="I1940" s="74"/>
      <c r="J1940" s="74"/>
      <c r="M1940" s="185"/>
      <c r="N1940" s="185"/>
      <c r="O1940" s="185"/>
      <c r="P1940" s="185"/>
      <c r="Q1940" s="185"/>
      <c r="R1940" s="185"/>
    </row>
    <row r="1941" spans="1:18" s="197" customFormat="1" ht="12.75" x14ac:dyDescent="0.2">
      <c r="A1941" s="181"/>
      <c r="B1941" s="188" t="s">
        <v>3992</v>
      </c>
      <c r="C1941" s="189" t="s">
        <v>124</v>
      </c>
      <c r="D1941" s="189" t="s">
        <v>123</v>
      </c>
      <c r="E1941" s="190" t="s">
        <v>3993</v>
      </c>
      <c r="F1941" s="191">
        <f t="shared" si="32"/>
        <v>241.6</v>
      </c>
      <c r="G1941" s="185"/>
      <c r="H1941" s="181"/>
      <c r="I1941" s="74"/>
      <c r="J1941" s="74"/>
      <c r="M1941" s="185"/>
      <c r="N1941" s="185"/>
      <c r="O1941" s="185"/>
      <c r="P1941" s="185"/>
      <c r="Q1941" s="185"/>
      <c r="R1941" s="185"/>
    </row>
    <row r="1942" spans="1:18" s="197" customFormat="1" ht="12.75" x14ac:dyDescent="0.2">
      <c r="A1942" s="181"/>
      <c r="B1942" s="188" t="s">
        <v>3994</v>
      </c>
      <c r="C1942" s="189" t="s">
        <v>249</v>
      </c>
      <c r="D1942" s="189" t="s">
        <v>123</v>
      </c>
      <c r="E1942" s="190" t="s">
        <v>3995</v>
      </c>
      <c r="F1942" s="191">
        <f t="shared" si="32"/>
        <v>277.53333333333336</v>
      </c>
      <c r="G1942" s="185"/>
      <c r="H1942" s="181"/>
      <c r="I1942" s="74"/>
      <c r="J1942" s="74"/>
      <c r="M1942" s="185"/>
      <c r="N1942" s="185"/>
      <c r="O1942" s="185"/>
      <c r="P1942" s="185"/>
      <c r="Q1942" s="185"/>
      <c r="R1942" s="185"/>
    </row>
    <row r="1943" spans="1:18" s="197" customFormat="1" ht="12.75" x14ac:dyDescent="0.2">
      <c r="A1943" s="181"/>
      <c r="B1943" s="188" t="s">
        <v>3996</v>
      </c>
      <c r="C1943" s="189" t="s">
        <v>134</v>
      </c>
      <c r="D1943" s="189" t="s">
        <v>123</v>
      </c>
      <c r="E1943" s="190" t="s">
        <v>3997</v>
      </c>
      <c r="F1943" s="191">
        <f t="shared" si="32"/>
        <v>268.33333333333331</v>
      </c>
      <c r="G1943" s="185"/>
      <c r="H1943" s="181"/>
      <c r="I1943" s="74"/>
      <c r="J1943" s="74"/>
      <c r="M1943" s="185"/>
      <c r="N1943" s="185"/>
      <c r="O1943" s="185"/>
      <c r="P1943" s="185"/>
      <c r="Q1943" s="185"/>
      <c r="R1943" s="185"/>
    </row>
    <row r="1944" spans="1:18" s="197" customFormat="1" ht="12.75" x14ac:dyDescent="0.2">
      <c r="A1944" s="181"/>
      <c r="B1944" s="188" t="s">
        <v>3998</v>
      </c>
      <c r="C1944" s="189" t="s">
        <v>124</v>
      </c>
      <c r="D1944" s="189" t="s">
        <v>123</v>
      </c>
      <c r="E1944" s="190" t="s">
        <v>3999</v>
      </c>
      <c r="F1944" s="191">
        <f t="shared" si="32"/>
        <v>187.85</v>
      </c>
      <c r="G1944" s="185"/>
      <c r="H1944" s="181"/>
      <c r="I1944" s="74"/>
      <c r="J1944" s="74"/>
      <c r="M1944" s="185"/>
      <c r="N1944" s="185"/>
      <c r="O1944" s="185"/>
      <c r="P1944" s="185"/>
      <c r="Q1944" s="185"/>
      <c r="R1944" s="185"/>
    </row>
    <row r="1945" spans="1:18" s="197" customFormat="1" ht="12.75" x14ac:dyDescent="0.2">
      <c r="A1945" s="181"/>
      <c r="B1945" s="188" t="s">
        <v>4000</v>
      </c>
      <c r="C1945" s="189" t="s">
        <v>130</v>
      </c>
      <c r="D1945" s="189" t="s">
        <v>123</v>
      </c>
      <c r="E1945" s="190" t="s">
        <v>1882</v>
      </c>
      <c r="F1945" s="191">
        <f t="shared" si="32"/>
        <v>212.35</v>
      </c>
      <c r="G1945" s="185"/>
      <c r="H1945" s="181"/>
      <c r="I1945" s="74"/>
      <c r="J1945" s="74"/>
      <c r="M1945" s="185"/>
      <c r="N1945" s="185"/>
      <c r="O1945" s="185"/>
      <c r="P1945" s="185"/>
      <c r="Q1945" s="185"/>
      <c r="R1945" s="185"/>
    </row>
    <row r="1946" spans="1:18" s="197" customFormat="1" ht="12.75" x14ac:dyDescent="0.2">
      <c r="A1946" s="181"/>
      <c r="B1946" s="188" t="s">
        <v>4001</v>
      </c>
      <c r="C1946" s="189" t="s">
        <v>134</v>
      </c>
      <c r="D1946" s="189" t="s">
        <v>376</v>
      </c>
      <c r="E1946" s="190" t="s">
        <v>4002</v>
      </c>
      <c r="F1946" s="191">
        <f t="shared" si="32"/>
        <v>264.53333333333336</v>
      </c>
      <c r="G1946" s="185"/>
      <c r="H1946" s="181"/>
      <c r="I1946" s="74"/>
      <c r="J1946" s="74"/>
      <c r="M1946" s="185"/>
      <c r="N1946" s="185"/>
      <c r="O1946" s="185"/>
      <c r="P1946" s="185"/>
      <c r="Q1946" s="185"/>
      <c r="R1946" s="185"/>
    </row>
    <row r="1947" spans="1:18" s="197" customFormat="1" ht="12.75" x14ac:dyDescent="0.2">
      <c r="A1947" s="181"/>
      <c r="B1947" s="188" t="s">
        <v>4003</v>
      </c>
      <c r="C1947" s="189" t="s">
        <v>130</v>
      </c>
      <c r="D1947" s="189" t="s">
        <v>123</v>
      </c>
      <c r="E1947" s="190" t="s">
        <v>4004</v>
      </c>
      <c r="F1947" s="191">
        <f t="shared" si="32"/>
        <v>234.38333333333333</v>
      </c>
      <c r="G1947" s="185"/>
      <c r="H1947" s="181"/>
      <c r="I1947" s="74"/>
      <c r="J1947" s="74"/>
      <c r="M1947" s="185"/>
      <c r="N1947" s="185"/>
      <c r="O1947" s="185"/>
      <c r="P1947" s="185"/>
      <c r="Q1947" s="185"/>
      <c r="R1947" s="185"/>
    </row>
    <row r="1948" spans="1:18" s="197" customFormat="1" ht="12.75" x14ac:dyDescent="0.2">
      <c r="A1948" s="181"/>
      <c r="B1948" s="188" t="s">
        <v>4005</v>
      </c>
      <c r="C1948" s="189" t="s">
        <v>134</v>
      </c>
      <c r="D1948" s="189" t="s">
        <v>123</v>
      </c>
      <c r="E1948" s="190" t="s">
        <v>4006</v>
      </c>
      <c r="F1948" s="191">
        <f t="shared" si="32"/>
        <v>291.98333333333335</v>
      </c>
      <c r="G1948" s="185"/>
      <c r="H1948" s="181"/>
      <c r="I1948" s="74"/>
      <c r="J1948" s="74"/>
      <c r="M1948" s="185"/>
      <c r="N1948" s="185"/>
      <c r="O1948" s="185"/>
      <c r="P1948" s="185"/>
      <c r="Q1948" s="185"/>
      <c r="R1948" s="185"/>
    </row>
    <row r="1949" spans="1:18" s="197" customFormat="1" ht="12.75" x14ac:dyDescent="0.2">
      <c r="A1949" s="181"/>
      <c r="B1949" s="188" t="s">
        <v>4007</v>
      </c>
      <c r="C1949" s="189" t="s">
        <v>134</v>
      </c>
      <c r="D1949" s="189" t="s">
        <v>123</v>
      </c>
      <c r="E1949" s="190" t="s">
        <v>4008</v>
      </c>
      <c r="F1949" s="191">
        <f t="shared" si="32"/>
        <v>217.98333333333332</v>
      </c>
      <c r="G1949" s="185"/>
      <c r="H1949" s="181"/>
      <c r="I1949" s="74"/>
      <c r="J1949" s="74"/>
      <c r="M1949" s="185"/>
      <c r="N1949" s="185"/>
      <c r="O1949" s="185"/>
      <c r="P1949" s="185"/>
      <c r="Q1949" s="185"/>
      <c r="R1949" s="185"/>
    </row>
    <row r="1950" spans="1:18" s="197" customFormat="1" ht="12.75" x14ac:dyDescent="0.2">
      <c r="A1950" s="181"/>
      <c r="B1950" s="188" t="s">
        <v>4009</v>
      </c>
      <c r="C1950" s="189" t="s">
        <v>135</v>
      </c>
      <c r="D1950" s="189" t="s">
        <v>148</v>
      </c>
      <c r="E1950" s="190" t="s">
        <v>4010</v>
      </c>
      <c r="F1950" s="191">
        <f t="shared" si="32"/>
        <v>303.21666666666664</v>
      </c>
      <c r="G1950" s="185"/>
      <c r="H1950" s="181"/>
      <c r="I1950" s="74"/>
      <c r="J1950" s="74"/>
      <c r="M1950" s="185"/>
      <c r="N1950" s="185"/>
      <c r="O1950" s="185"/>
      <c r="P1950" s="185"/>
      <c r="Q1950" s="185"/>
      <c r="R1950" s="185"/>
    </row>
    <row r="1951" spans="1:18" s="197" customFormat="1" ht="12.75" x14ac:dyDescent="0.2">
      <c r="A1951" s="181"/>
      <c r="B1951" s="188" t="s">
        <v>4011</v>
      </c>
      <c r="C1951" s="189" t="s">
        <v>125</v>
      </c>
      <c r="D1951" s="189" t="s">
        <v>123</v>
      </c>
      <c r="E1951" s="190" t="s">
        <v>2529</v>
      </c>
      <c r="F1951" s="191">
        <f t="shared" si="32"/>
        <v>203.35</v>
      </c>
      <c r="G1951" s="185"/>
      <c r="H1951" s="181"/>
      <c r="I1951" s="74"/>
      <c r="J1951" s="74"/>
      <c r="M1951" s="185"/>
      <c r="N1951" s="185"/>
      <c r="O1951" s="185"/>
      <c r="P1951" s="185"/>
      <c r="Q1951" s="185"/>
      <c r="R1951" s="185"/>
    </row>
    <row r="1952" spans="1:18" s="197" customFormat="1" ht="12.75" x14ac:dyDescent="0.2">
      <c r="A1952" s="181"/>
      <c r="B1952" s="188" t="s">
        <v>4012</v>
      </c>
      <c r="C1952" s="189" t="s">
        <v>128</v>
      </c>
      <c r="D1952" s="189" t="s">
        <v>129</v>
      </c>
      <c r="E1952" s="190" t="s">
        <v>4013</v>
      </c>
      <c r="F1952" s="191">
        <f t="shared" si="32"/>
        <v>312.55</v>
      </c>
      <c r="G1952" s="185"/>
      <c r="H1952" s="181"/>
      <c r="I1952" s="74"/>
      <c r="J1952" s="74"/>
      <c r="M1952" s="185"/>
      <c r="N1952" s="185"/>
      <c r="O1952" s="185"/>
      <c r="P1952" s="185"/>
      <c r="Q1952" s="185"/>
      <c r="R1952" s="185"/>
    </row>
    <row r="1953" spans="1:18" s="197" customFormat="1" ht="12.75" x14ac:dyDescent="0.2">
      <c r="A1953" s="181"/>
      <c r="B1953" s="188" t="s">
        <v>4014</v>
      </c>
      <c r="C1953" s="189" t="s">
        <v>142</v>
      </c>
      <c r="D1953" s="189" t="s">
        <v>123</v>
      </c>
      <c r="E1953" s="190" t="s">
        <v>4015</v>
      </c>
      <c r="F1953" s="191">
        <f t="shared" si="32"/>
        <v>203.4</v>
      </c>
      <c r="G1953" s="185"/>
      <c r="H1953" s="181"/>
      <c r="I1953" s="74"/>
      <c r="J1953" s="74"/>
      <c r="M1953" s="185"/>
      <c r="N1953" s="185"/>
      <c r="O1953" s="185"/>
      <c r="P1953" s="185"/>
      <c r="Q1953" s="185"/>
      <c r="R1953" s="185"/>
    </row>
    <row r="1954" spans="1:18" s="197" customFormat="1" ht="12.75" x14ac:dyDescent="0.2">
      <c r="A1954" s="181"/>
      <c r="B1954" s="188" t="s">
        <v>4016</v>
      </c>
      <c r="C1954" s="189" t="s">
        <v>130</v>
      </c>
      <c r="D1954" s="189" t="s">
        <v>127</v>
      </c>
      <c r="E1954" s="190" t="s">
        <v>4017</v>
      </c>
      <c r="F1954" s="191">
        <f t="shared" si="32"/>
        <v>212.65</v>
      </c>
      <c r="G1954" s="185"/>
      <c r="H1954" s="181"/>
      <c r="I1954" s="74"/>
      <c r="J1954" s="74"/>
      <c r="M1954" s="185"/>
      <c r="N1954" s="185"/>
      <c r="O1954" s="185"/>
      <c r="P1954" s="185"/>
      <c r="Q1954" s="185"/>
      <c r="R1954" s="185"/>
    </row>
    <row r="1955" spans="1:18" s="197" customFormat="1" ht="12.75" x14ac:dyDescent="0.2">
      <c r="A1955" s="181"/>
      <c r="B1955" s="188" t="s">
        <v>621</v>
      </c>
      <c r="C1955" s="189" t="s">
        <v>135</v>
      </c>
      <c r="D1955" s="189" t="s">
        <v>123</v>
      </c>
      <c r="E1955" s="190" t="s">
        <v>4018</v>
      </c>
      <c r="F1955" s="191">
        <f t="shared" si="32"/>
        <v>239.28333333333333</v>
      </c>
      <c r="G1955" s="185"/>
      <c r="H1955" s="181"/>
      <c r="I1955" s="74"/>
      <c r="J1955" s="74"/>
      <c r="M1955" s="185"/>
      <c r="N1955" s="185"/>
      <c r="O1955" s="185"/>
      <c r="P1955" s="185"/>
      <c r="Q1955" s="185"/>
      <c r="R1955" s="185"/>
    </row>
    <row r="1956" spans="1:18" s="197" customFormat="1" ht="12.75" x14ac:dyDescent="0.2">
      <c r="A1956" s="181"/>
      <c r="B1956" s="188" t="s">
        <v>4019</v>
      </c>
      <c r="C1956" s="189" t="s">
        <v>128</v>
      </c>
      <c r="D1956" s="189" t="s">
        <v>123</v>
      </c>
      <c r="E1956" s="190" t="s">
        <v>4020</v>
      </c>
      <c r="F1956" s="191">
        <f t="shared" si="32"/>
        <v>199</v>
      </c>
      <c r="G1956" s="185"/>
      <c r="H1956" s="181"/>
      <c r="I1956" s="74"/>
      <c r="J1956" s="74"/>
      <c r="M1956" s="185"/>
      <c r="N1956" s="185"/>
      <c r="O1956" s="185"/>
      <c r="P1956" s="185"/>
      <c r="Q1956" s="185"/>
      <c r="R1956" s="185"/>
    </row>
    <row r="1957" spans="1:18" s="197" customFormat="1" ht="12.75" x14ac:dyDescent="0.2">
      <c r="A1957" s="181"/>
      <c r="B1957" s="188" t="s">
        <v>4021</v>
      </c>
      <c r="C1957" s="189" t="s">
        <v>128</v>
      </c>
      <c r="D1957" s="189" t="s">
        <v>123</v>
      </c>
      <c r="E1957" s="190" t="s">
        <v>4022</v>
      </c>
      <c r="F1957" s="191">
        <f t="shared" si="32"/>
        <v>243.66666666666666</v>
      </c>
      <c r="G1957" s="185"/>
      <c r="H1957" s="181"/>
      <c r="I1957" s="74"/>
      <c r="J1957" s="74"/>
      <c r="M1957" s="185"/>
      <c r="N1957" s="185"/>
      <c r="O1957" s="185"/>
      <c r="P1957" s="185"/>
      <c r="Q1957" s="185"/>
      <c r="R1957" s="185"/>
    </row>
    <row r="1958" spans="1:18" s="197" customFormat="1" ht="12.75" x14ac:dyDescent="0.2">
      <c r="A1958" s="181"/>
      <c r="B1958" s="188" t="s">
        <v>4023</v>
      </c>
      <c r="C1958" s="189" t="s">
        <v>125</v>
      </c>
      <c r="D1958" s="189" t="s">
        <v>169</v>
      </c>
      <c r="E1958" s="190" t="s">
        <v>4024</v>
      </c>
      <c r="F1958" s="191">
        <f t="shared" si="32"/>
        <v>312.53333333333336</v>
      </c>
      <c r="G1958" s="185"/>
      <c r="H1958" s="181"/>
      <c r="I1958" s="74"/>
      <c r="J1958" s="74"/>
      <c r="M1958" s="185"/>
      <c r="N1958" s="185"/>
      <c r="O1958" s="185"/>
      <c r="P1958" s="185"/>
      <c r="Q1958" s="185"/>
      <c r="R1958" s="185"/>
    </row>
    <row r="1959" spans="1:18" s="197" customFormat="1" ht="12.75" x14ac:dyDescent="0.2">
      <c r="A1959" s="181"/>
      <c r="B1959" s="188" t="s">
        <v>4025</v>
      </c>
      <c r="C1959" s="189" t="s">
        <v>142</v>
      </c>
      <c r="D1959" s="189" t="s">
        <v>123</v>
      </c>
      <c r="E1959" s="190" t="s">
        <v>4026</v>
      </c>
      <c r="F1959" s="191">
        <f t="shared" si="32"/>
        <v>189.45</v>
      </c>
      <c r="G1959" s="185"/>
      <c r="H1959" s="181"/>
      <c r="I1959" s="74"/>
      <c r="J1959" s="74"/>
      <c r="M1959" s="185"/>
      <c r="N1959" s="185"/>
      <c r="O1959" s="185"/>
      <c r="P1959" s="185"/>
      <c r="Q1959" s="185"/>
      <c r="R1959" s="185"/>
    </row>
    <row r="1960" spans="1:18" s="197" customFormat="1" ht="12.75" x14ac:dyDescent="0.2">
      <c r="A1960" s="181"/>
      <c r="B1960" s="188" t="s">
        <v>4027</v>
      </c>
      <c r="C1960" s="189" t="s">
        <v>142</v>
      </c>
      <c r="D1960" s="189" t="s">
        <v>123</v>
      </c>
      <c r="E1960" s="190" t="s">
        <v>4028</v>
      </c>
      <c r="F1960" s="191">
        <f t="shared" si="32"/>
        <v>248.06666666666666</v>
      </c>
      <c r="G1960" s="185"/>
      <c r="H1960" s="181"/>
      <c r="I1960" s="74"/>
      <c r="J1960" s="74"/>
      <c r="M1960" s="185"/>
      <c r="N1960" s="185"/>
      <c r="O1960" s="185"/>
      <c r="P1960" s="185"/>
      <c r="Q1960" s="185"/>
      <c r="R1960" s="185"/>
    </row>
    <row r="1961" spans="1:18" s="197" customFormat="1" ht="12.75" x14ac:dyDescent="0.2">
      <c r="A1961" s="181"/>
      <c r="B1961" s="188" t="s">
        <v>1637</v>
      </c>
      <c r="C1961" s="189" t="s">
        <v>130</v>
      </c>
      <c r="D1961" s="189" t="s">
        <v>123</v>
      </c>
      <c r="E1961" s="190" t="s">
        <v>1638</v>
      </c>
      <c r="F1961" s="191">
        <f t="shared" si="32"/>
        <v>302.55</v>
      </c>
      <c r="G1961" s="185"/>
      <c r="H1961" s="181"/>
      <c r="I1961" s="74"/>
      <c r="J1961" s="74"/>
      <c r="M1961" s="185"/>
      <c r="N1961" s="185"/>
      <c r="O1961" s="185"/>
      <c r="P1961" s="185"/>
      <c r="Q1961" s="185"/>
      <c r="R1961" s="185"/>
    </row>
    <row r="1962" spans="1:18" s="197" customFormat="1" ht="12.75" x14ac:dyDescent="0.2">
      <c r="A1962" s="181"/>
      <c r="B1962" s="188" t="s">
        <v>4029</v>
      </c>
      <c r="C1962" s="189" t="s">
        <v>135</v>
      </c>
      <c r="D1962" s="189" t="s">
        <v>131</v>
      </c>
      <c r="E1962" s="190" t="s">
        <v>4030</v>
      </c>
      <c r="F1962" s="191">
        <f t="shared" si="32"/>
        <v>280.66666666666669</v>
      </c>
      <c r="G1962" s="185"/>
      <c r="H1962" s="181"/>
      <c r="I1962" s="74"/>
      <c r="J1962" s="74"/>
      <c r="M1962" s="185"/>
      <c r="N1962" s="185"/>
      <c r="O1962" s="185"/>
      <c r="P1962" s="185"/>
      <c r="Q1962" s="185"/>
      <c r="R1962" s="185"/>
    </row>
    <row r="1963" spans="1:18" s="197" customFormat="1" ht="12.75" x14ac:dyDescent="0.2">
      <c r="A1963" s="181"/>
      <c r="B1963" s="188" t="s">
        <v>4031</v>
      </c>
      <c r="C1963" s="189" t="s">
        <v>134</v>
      </c>
      <c r="D1963" s="189" t="s">
        <v>123</v>
      </c>
      <c r="E1963" s="190" t="s">
        <v>4032</v>
      </c>
      <c r="F1963" s="191">
        <f t="shared" si="32"/>
        <v>225.26666666666668</v>
      </c>
      <c r="G1963" s="185"/>
      <c r="H1963" s="181"/>
      <c r="I1963" s="74"/>
      <c r="J1963" s="74"/>
      <c r="M1963" s="185"/>
      <c r="N1963" s="185"/>
      <c r="O1963" s="185"/>
      <c r="P1963" s="185"/>
      <c r="Q1963" s="185"/>
      <c r="R1963" s="185"/>
    </row>
    <row r="1964" spans="1:18" s="197" customFormat="1" ht="12.75" x14ac:dyDescent="0.2">
      <c r="A1964" s="181"/>
      <c r="B1964" s="188" t="s">
        <v>462</v>
      </c>
      <c r="C1964" s="189" t="s">
        <v>125</v>
      </c>
      <c r="D1964" s="189" t="s">
        <v>123</v>
      </c>
      <c r="E1964" s="190" t="s">
        <v>2731</v>
      </c>
      <c r="F1964" s="191">
        <f t="shared" si="32"/>
        <v>227.36666666666667</v>
      </c>
      <c r="G1964" s="185"/>
      <c r="H1964" s="181"/>
      <c r="I1964" s="74"/>
      <c r="J1964" s="74"/>
      <c r="M1964" s="185"/>
      <c r="N1964" s="185"/>
      <c r="O1964" s="185"/>
      <c r="P1964" s="185"/>
      <c r="Q1964" s="185"/>
      <c r="R1964" s="185"/>
    </row>
    <row r="1965" spans="1:18" s="197" customFormat="1" ht="12.75" x14ac:dyDescent="0.2">
      <c r="A1965" s="181"/>
      <c r="B1965" s="188" t="s">
        <v>4033</v>
      </c>
      <c r="C1965" s="189" t="s">
        <v>124</v>
      </c>
      <c r="D1965" s="189" t="s">
        <v>123</v>
      </c>
      <c r="E1965" s="190" t="s">
        <v>4034</v>
      </c>
      <c r="F1965" s="191">
        <f t="shared" si="32"/>
        <v>233.58333333333334</v>
      </c>
      <c r="G1965" s="185"/>
      <c r="H1965" s="181"/>
      <c r="I1965" s="74"/>
      <c r="J1965" s="74"/>
      <c r="M1965" s="185"/>
      <c r="N1965" s="185"/>
      <c r="O1965" s="185"/>
      <c r="P1965" s="185"/>
      <c r="Q1965" s="185"/>
      <c r="R1965" s="185"/>
    </row>
    <row r="1966" spans="1:18" s="197" customFormat="1" ht="12.75" x14ac:dyDescent="0.2">
      <c r="A1966" s="181"/>
      <c r="B1966" s="188" t="s">
        <v>4035</v>
      </c>
      <c r="C1966" s="189" t="s">
        <v>134</v>
      </c>
      <c r="D1966" s="189" t="s">
        <v>131</v>
      </c>
      <c r="E1966" s="190" t="s">
        <v>4036</v>
      </c>
      <c r="F1966" s="191">
        <f t="shared" si="32"/>
        <v>247.35</v>
      </c>
      <c r="G1966" s="185"/>
      <c r="H1966" s="181"/>
      <c r="I1966" s="74"/>
      <c r="J1966" s="74"/>
      <c r="M1966" s="185"/>
      <c r="N1966" s="185"/>
      <c r="O1966" s="185"/>
      <c r="P1966" s="185"/>
      <c r="Q1966" s="185"/>
      <c r="R1966" s="185"/>
    </row>
    <row r="1967" spans="1:18" s="197" customFormat="1" ht="12.75" x14ac:dyDescent="0.2">
      <c r="A1967" s="181"/>
      <c r="B1967" s="188" t="s">
        <v>4037</v>
      </c>
      <c r="C1967" s="189" t="s">
        <v>125</v>
      </c>
      <c r="D1967" s="189" t="s">
        <v>123</v>
      </c>
      <c r="E1967" s="190" t="s">
        <v>4038</v>
      </c>
      <c r="F1967" s="191">
        <f t="shared" si="32"/>
        <v>259.88333333333333</v>
      </c>
      <c r="G1967" s="185"/>
      <c r="H1967" s="181"/>
      <c r="I1967" s="74"/>
      <c r="J1967" s="74"/>
      <c r="M1967" s="185"/>
      <c r="N1967" s="185"/>
      <c r="O1967" s="185"/>
      <c r="P1967" s="185"/>
      <c r="Q1967" s="185"/>
      <c r="R1967" s="185"/>
    </row>
    <row r="1968" spans="1:18" s="197" customFormat="1" ht="12.75" x14ac:dyDescent="0.2">
      <c r="A1968" s="181"/>
      <c r="B1968" s="188" t="s">
        <v>4039</v>
      </c>
      <c r="C1968" s="189" t="s">
        <v>124</v>
      </c>
      <c r="D1968" s="189" t="s">
        <v>123</v>
      </c>
      <c r="E1968" s="190" t="s">
        <v>1409</v>
      </c>
      <c r="F1968" s="191">
        <f t="shared" si="32"/>
        <v>219.61666666666667</v>
      </c>
      <c r="G1968" s="185"/>
      <c r="H1968" s="181"/>
      <c r="I1968" s="74"/>
      <c r="J1968" s="74"/>
      <c r="M1968" s="185"/>
      <c r="N1968" s="185"/>
      <c r="O1968" s="185"/>
      <c r="P1968" s="185"/>
      <c r="Q1968" s="185"/>
      <c r="R1968" s="185"/>
    </row>
    <row r="1969" spans="1:18" s="197" customFormat="1" ht="12.75" x14ac:dyDescent="0.2">
      <c r="A1969" s="181"/>
      <c r="B1969" s="188" t="s">
        <v>4040</v>
      </c>
      <c r="C1969" s="189" t="s">
        <v>126</v>
      </c>
      <c r="D1969" s="189" t="s">
        <v>123</v>
      </c>
      <c r="E1969" s="190" t="s">
        <v>2675</v>
      </c>
      <c r="F1969" s="191">
        <f t="shared" si="32"/>
        <v>303.2</v>
      </c>
      <c r="G1969" s="185"/>
      <c r="H1969" s="181"/>
      <c r="I1969" s="74"/>
      <c r="J1969" s="74"/>
      <c r="M1969" s="185"/>
      <c r="N1969" s="185"/>
      <c r="O1969" s="185"/>
      <c r="P1969" s="185"/>
      <c r="Q1969" s="185"/>
      <c r="R1969" s="185"/>
    </row>
    <row r="1970" spans="1:18" s="197" customFormat="1" ht="12.75" x14ac:dyDescent="0.2">
      <c r="A1970" s="181"/>
      <c r="B1970" s="188" t="s">
        <v>4041</v>
      </c>
      <c r="C1970" s="189" t="s">
        <v>124</v>
      </c>
      <c r="D1970" s="189" t="s">
        <v>123</v>
      </c>
      <c r="E1970" s="190" t="s">
        <v>4042</v>
      </c>
      <c r="F1970" s="191">
        <f t="shared" si="32"/>
        <v>265.55</v>
      </c>
      <c r="G1970" s="185"/>
      <c r="H1970" s="181"/>
      <c r="I1970" s="74"/>
      <c r="J1970" s="74"/>
      <c r="M1970" s="185"/>
      <c r="N1970" s="185"/>
      <c r="O1970" s="185"/>
      <c r="P1970" s="185"/>
      <c r="Q1970" s="185"/>
      <c r="R1970" s="185"/>
    </row>
    <row r="1971" spans="1:18" s="197" customFormat="1" ht="12.75" x14ac:dyDescent="0.2">
      <c r="A1971" s="181"/>
      <c r="B1971" s="188" t="s">
        <v>4043</v>
      </c>
      <c r="C1971" s="189" t="s">
        <v>130</v>
      </c>
      <c r="D1971" s="189" t="s">
        <v>123</v>
      </c>
      <c r="E1971" s="190" t="s">
        <v>4044</v>
      </c>
      <c r="F1971" s="191">
        <f t="shared" si="32"/>
        <v>178.8</v>
      </c>
      <c r="G1971" s="185"/>
      <c r="H1971" s="181"/>
      <c r="I1971" s="74"/>
      <c r="J1971" s="74"/>
      <c r="M1971" s="185"/>
      <c r="N1971" s="185"/>
      <c r="O1971" s="185"/>
      <c r="P1971" s="185"/>
      <c r="Q1971" s="185"/>
      <c r="R1971" s="185"/>
    </row>
    <row r="1972" spans="1:18" s="197" customFormat="1" ht="12.75" x14ac:dyDescent="0.2">
      <c r="A1972" s="181"/>
      <c r="B1972" s="188" t="s">
        <v>4045</v>
      </c>
      <c r="C1972" s="189" t="s">
        <v>125</v>
      </c>
      <c r="D1972" s="189" t="s">
        <v>123</v>
      </c>
      <c r="E1972" s="190" t="s">
        <v>4046</v>
      </c>
      <c r="F1972" s="191">
        <f t="shared" si="32"/>
        <v>198.08333333333334</v>
      </c>
      <c r="G1972" s="185"/>
      <c r="H1972" s="181"/>
      <c r="I1972" s="74"/>
      <c r="J1972" s="74"/>
      <c r="M1972" s="185"/>
      <c r="N1972" s="185"/>
      <c r="O1972" s="185"/>
      <c r="P1972" s="185"/>
      <c r="Q1972" s="185"/>
      <c r="R1972" s="185"/>
    </row>
    <row r="1973" spans="1:18" s="197" customFormat="1" ht="12.75" x14ac:dyDescent="0.2">
      <c r="A1973" s="181"/>
      <c r="B1973" s="188" t="s">
        <v>4040</v>
      </c>
      <c r="C1973" s="189" t="s">
        <v>126</v>
      </c>
      <c r="D1973" s="189" t="s">
        <v>123</v>
      </c>
      <c r="E1973" s="190" t="s">
        <v>2675</v>
      </c>
      <c r="F1973" s="191">
        <f t="shared" si="32"/>
        <v>303.2</v>
      </c>
      <c r="G1973" s="185"/>
      <c r="H1973" s="181"/>
      <c r="I1973" s="74"/>
      <c r="J1973" s="74"/>
      <c r="M1973" s="185"/>
      <c r="N1973" s="185"/>
      <c r="O1973" s="185"/>
      <c r="P1973" s="185"/>
      <c r="Q1973" s="185"/>
      <c r="R1973" s="185"/>
    </row>
    <row r="1974" spans="1:18" s="197" customFormat="1" ht="12.75" x14ac:dyDescent="0.2">
      <c r="A1974" s="181"/>
      <c r="B1974" s="188" t="s">
        <v>4047</v>
      </c>
      <c r="C1974" s="189" t="s">
        <v>135</v>
      </c>
      <c r="D1974" s="189" t="s">
        <v>123</v>
      </c>
      <c r="E1974" s="190" t="s">
        <v>1850</v>
      </c>
      <c r="F1974" s="191">
        <f t="shared" si="32"/>
        <v>198.58333333333334</v>
      </c>
      <c r="G1974" s="185"/>
      <c r="H1974" s="181"/>
      <c r="I1974" s="74"/>
      <c r="J1974" s="74"/>
      <c r="M1974" s="185"/>
      <c r="N1974" s="185"/>
      <c r="O1974" s="185"/>
      <c r="P1974" s="185"/>
      <c r="Q1974" s="185"/>
      <c r="R1974" s="185"/>
    </row>
    <row r="1975" spans="1:18" s="197" customFormat="1" ht="12.75" x14ac:dyDescent="0.2">
      <c r="A1975" s="181"/>
      <c r="B1975" s="188" t="s">
        <v>4048</v>
      </c>
      <c r="C1975" s="189" t="s">
        <v>126</v>
      </c>
      <c r="D1975" s="189" t="s">
        <v>123</v>
      </c>
      <c r="E1975" s="190" t="s">
        <v>4049</v>
      </c>
      <c r="F1975" s="191">
        <f t="shared" si="32"/>
        <v>279.3</v>
      </c>
      <c r="G1975" s="185"/>
      <c r="H1975" s="181"/>
      <c r="I1975" s="74"/>
      <c r="J1975" s="74"/>
      <c r="M1975" s="185"/>
      <c r="N1975" s="185"/>
      <c r="O1975" s="185"/>
      <c r="P1975" s="185"/>
      <c r="Q1975" s="185"/>
      <c r="R1975" s="185"/>
    </row>
    <row r="1976" spans="1:18" s="197" customFormat="1" ht="12.75" x14ac:dyDescent="0.2">
      <c r="A1976" s="181"/>
      <c r="B1976" s="188" t="s">
        <v>404</v>
      </c>
      <c r="C1976" s="189" t="s">
        <v>135</v>
      </c>
      <c r="D1976" s="189" t="s">
        <v>218</v>
      </c>
      <c r="E1976" s="190" t="s">
        <v>4050</v>
      </c>
      <c r="F1976" s="191">
        <f t="shared" si="32"/>
        <v>316.96666666666664</v>
      </c>
      <c r="G1976" s="185"/>
      <c r="H1976" s="181"/>
      <c r="I1976" s="74"/>
      <c r="J1976" s="74"/>
      <c r="M1976" s="185"/>
      <c r="N1976" s="185"/>
      <c r="O1976" s="185"/>
      <c r="P1976" s="185"/>
      <c r="Q1976" s="185"/>
      <c r="R1976" s="185"/>
    </row>
    <row r="1977" spans="1:18" s="197" customFormat="1" ht="12.75" x14ac:dyDescent="0.2">
      <c r="A1977" s="181"/>
      <c r="B1977" s="188" t="s">
        <v>4051</v>
      </c>
      <c r="C1977" s="189" t="s">
        <v>124</v>
      </c>
      <c r="D1977" s="189" t="s">
        <v>123</v>
      </c>
      <c r="E1977" s="190" t="s">
        <v>4052</v>
      </c>
      <c r="F1977" s="191">
        <f t="shared" si="32"/>
        <v>201.3</v>
      </c>
      <c r="G1977" s="185"/>
      <c r="H1977" s="181"/>
      <c r="I1977" s="74"/>
      <c r="J1977" s="74"/>
      <c r="M1977" s="185"/>
      <c r="N1977" s="185"/>
      <c r="O1977" s="185"/>
      <c r="P1977" s="185"/>
      <c r="Q1977" s="185"/>
      <c r="R1977" s="185"/>
    </row>
    <row r="1978" spans="1:18" s="197" customFormat="1" ht="12.75" x14ac:dyDescent="0.2">
      <c r="A1978" s="181"/>
      <c r="B1978" s="188" t="s">
        <v>4053</v>
      </c>
      <c r="C1978" s="189" t="s">
        <v>142</v>
      </c>
      <c r="D1978" s="189" t="s">
        <v>148</v>
      </c>
      <c r="E1978" s="190" t="s">
        <v>4054</v>
      </c>
      <c r="F1978" s="191">
        <f t="shared" si="32"/>
        <v>190.96666666666667</v>
      </c>
      <c r="G1978" s="185"/>
      <c r="H1978" s="181"/>
      <c r="I1978" s="74"/>
      <c r="J1978" s="74"/>
      <c r="M1978" s="185"/>
      <c r="N1978" s="185"/>
      <c r="O1978" s="185"/>
      <c r="P1978" s="185"/>
      <c r="Q1978" s="185"/>
      <c r="R1978" s="185"/>
    </row>
    <row r="1979" spans="1:18" s="197" customFormat="1" ht="12.75" x14ac:dyDescent="0.2">
      <c r="A1979" s="181"/>
      <c r="B1979" s="188" t="s">
        <v>4055</v>
      </c>
      <c r="C1979" s="189" t="s">
        <v>124</v>
      </c>
      <c r="D1979" s="189" t="s">
        <v>141</v>
      </c>
      <c r="E1979" s="190" t="s">
        <v>4056</v>
      </c>
      <c r="F1979" s="191">
        <f t="shared" si="32"/>
        <v>215.43333333333334</v>
      </c>
      <c r="G1979" s="185"/>
      <c r="H1979" s="181"/>
      <c r="I1979" s="74"/>
      <c r="J1979" s="74"/>
      <c r="M1979" s="185"/>
      <c r="N1979" s="185"/>
      <c r="O1979" s="185"/>
      <c r="P1979" s="185"/>
      <c r="Q1979" s="185"/>
      <c r="R1979" s="185"/>
    </row>
    <row r="1980" spans="1:18" s="197" customFormat="1" ht="12.75" x14ac:dyDescent="0.2">
      <c r="A1980" s="181"/>
      <c r="B1980" s="188" t="s">
        <v>4057</v>
      </c>
      <c r="C1980" s="189" t="s">
        <v>125</v>
      </c>
      <c r="D1980" s="189" t="s">
        <v>123</v>
      </c>
      <c r="E1980" s="190" t="s">
        <v>4058</v>
      </c>
      <c r="F1980" s="191">
        <f t="shared" si="32"/>
        <v>226.03333333333333</v>
      </c>
      <c r="G1980" s="185"/>
      <c r="H1980" s="181"/>
      <c r="I1980" s="74"/>
      <c r="J1980" s="74"/>
      <c r="M1980" s="185"/>
      <c r="N1980" s="185"/>
      <c r="O1980" s="185"/>
      <c r="P1980" s="185"/>
      <c r="Q1980" s="185"/>
      <c r="R1980" s="185"/>
    </row>
    <row r="1981" spans="1:18" s="197" customFormat="1" ht="12.75" x14ac:dyDescent="0.2">
      <c r="A1981" s="181"/>
      <c r="B1981" s="188" t="s">
        <v>4059</v>
      </c>
      <c r="C1981" s="189" t="s">
        <v>126</v>
      </c>
      <c r="D1981" s="189" t="s">
        <v>123</v>
      </c>
      <c r="E1981" s="190" t="s">
        <v>4060</v>
      </c>
      <c r="F1981" s="191">
        <f t="shared" si="32"/>
        <v>157.01666666666668</v>
      </c>
      <c r="G1981" s="185"/>
      <c r="H1981" s="181"/>
      <c r="I1981" s="74"/>
      <c r="J1981" s="74"/>
      <c r="M1981" s="185"/>
      <c r="N1981" s="185"/>
      <c r="O1981" s="185"/>
      <c r="P1981" s="185"/>
      <c r="Q1981" s="185"/>
      <c r="R1981" s="185"/>
    </row>
    <row r="1982" spans="1:18" s="197" customFormat="1" ht="12.75" x14ac:dyDescent="0.2">
      <c r="A1982" s="181"/>
      <c r="B1982" s="188" t="s">
        <v>4061</v>
      </c>
      <c r="C1982" s="189" t="s">
        <v>130</v>
      </c>
      <c r="D1982" s="189" t="s">
        <v>123</v>
      </c>
      <c r="E1982" s="190" t="s">
        <v>4062</v>
      </c>
      <c r="F1982" s="191">
        <f t="shared" si="32"/>
        <v>237.6</v>
      </c>
      <c r="G1982" s="185"/>
      <c r="H1982" s="181"/>
      <c r="I1982" s="74"/>
      <c r="J1982" s="74"/>
      <c r="M1982" s="185"/>
      <c r="N1982" s="185"/>
      <c r="O1982" s="185"/>
      <c r="P1982" s="185"/>
      <c r="Q1982" s="185"/>
      <c r="R1982" s="185"/>
    </row>
    <row r="1983" spans="1:18" s="197" customFormat="1" ht="12.75" x14ac:dyDescent="0.2">
      <c r="A1983" s="181"/>
      <c r="B1983" s="188" t="s">
        <v>4063</v>
      </c>
      <c r="C1983" s="189" t="s">
        <v>126</v>
      </c>
      <c r="D1983" s="189" t="s">
        <v>123</v>
      </c>
      <c r="E1983" s="190" t="s">
        <v>4064</v>
      </c>
      <c r="F1983" s="191">
        <f t="shared" si="32"/>
        <v>329.36666666666667</v>
      </c>
      <c r="G1983" s="185"/>
      <c r="H1983" s="181"/>
      <c r="I1983" s="74"/>
      <c r="J1983" s="74"/>
      <c r="M1983" s="185"/>
      <c r="N1983" s="185"/>
      <c r="O1983" s="185"/>
      <c r="P1983" s="185"/>
      <c r="Q1983" s="185"/>
      <c r="R1983" s="185"/>
    </row>
    <row r="1984" spans="1:18" s="197" customFormat="1" ht="12.75" x14ac:dyDescent="0.2">
      <c r="A1984" s="181"/>
      <c r="B1984" s="188" t="s">
        <v>4065</v>
      </c>
      <c r="C1984" s="189" t="s">
        <v>142</v>
      </c>
      <c r="D1984" s="189" t="s">
        <v>131</v>
      </c>
      <c r="E1984" s="190" t="s">
        <v>3588</v>
      </c>
      <c r="F1984" s="191">
        <f t="shared" si="32"/>
        <v>217.61666666666667</v>
      </c>
      <c r="G1984" s="185"/>
      <c r="H1984" s="181"/>
      <c r="I1984" s="74"/>
      <c r="J1984" s="74"/>
      <c r="M1984" s="185"/>
      <c r="N1984" s="185"/>
      <c r="O1984" s="185"/>
      <c r="P1984" s="185"/>
      <c r="Q1984" s="185"/>
      <c r="R1984" s="185"/>
    </row>
    <row r="1985" spans="1:18" s="197" customFormat="1" ht="12.75" x14ac:dyDescent="0.2">
      <c r="A1985" s="181"/>
      <c r="B1985" s="188" t="s">
        <v>4066</v>
      </c>
      <c r="C1985" s="189" t="s">
        <v>135</v>
      </c>
      <c r="D1985" s="189" t="s">
        <v>123</v>
      </c>
      <c r="E1985" s="190" t="s">
        <v>3222</v>
      </c>
      <c r="F1985" s="191">
        <f t="shared" si="32"/>
        <v>241.21666666666667</v>
      </c>
      <c r="G1985" s="185"/>
      <c r="H1985" s="181"/>
      <c r="I1985" s="74"/>
      <c r="J1985" s="74"/>
      <c r="M1985" s="185"/>
      <c r="N1985" s="185"/>
      <c r="O1985" s="185"/>
      <c r="P1985" s="185"/>
      <c r="Q1985" s="185"/>
      <c r="R1985" s="185"/>
    </row>
    <row r="1986" spans="1:18" s="197" customFormat="1" ht="12.75" x14ac:dyDescent="0.2">
      <c r="A1986" s="181"/>
      <c r="B1986" s="188" t="s">
        <v>4067</v>
      </c>
      <c r="C1986" s="189" t="s">
        <v>134</v>
      </c>
      <c r="D1986" s="189" t="s">
        <v>148</v>
      </c>
      <c r="E1986" s="190" t="s">
        <v>4068</v>
      </c>
      <c r="F1986" s="191">
        <f t="shared" si="32"/>
        <v>239.65</v>
      </c>
      <c r="G1986" s="185"/>
      <c r="H1986" s="181"/>
      <c r="I1986" s="74"/>
      <c r="J1986" s="74"/>
      <c r="M1986" s="185"/>
      <c r="N1986" s="185"/>
      <c r="O1986" s="185"/>
      <c r="P1986" s="185"/>
      <c r="Q1986" s="185"/>
      <c r="R1986" s="185"/>
    </row>
    <row r="1987" spans="1:18" s="197" customFormat="1" ht="12.75" x14ac:dyDescent="0.2">
      <c r="A1987" s="181"/>
      <c r="B1987" s="188" t="s">
        <v>4069</v>
      </c>
      <c r="C1987" s="189" t="s">
        <v>124</v>
      </c>
      <c r="D1987" s="189" t="s">
        <v>141</v>
      </c>
      <c r="E1987" s="190" t="s">
        <v>4070</v>
      </c>
      <c r="F1987" s="191">
        <f t="shared" si="32"/>
        <v>253.38333333333333</v>
      </c>
      <c r="G1987" s="185"/>
      <c r="H1987" s="181"/>
      <c r="I1987" s="74"/>
      <c r="J1987" s="74"/>
      <c r="M1987" s="185"/>
      <c r="N1987" s="185"/>
      <c r="O1987" s="185"/>
      <c r="P1987" s="185"/>
      <c r="Q1987" s="185"/>
      <c r="R1987" s="185"/>
    </row>
    <row r="1988" spans="1:18" s="197" customFormat="1" ht="12.75" x14ac:dyDescent="0.2">
      <c r="A1988" s="181"/>
      <c r="B1988" s="188" t="s">
        <v>468</v>
      </c>
      <c r="C1988" s="189" t="s">
        <v>136</v>
      </c>
      <c r="D1988" s="189" t="s">
        <v>123</v>
      </c>
      <c r="E1988" s="190" t="s">
        <v>4071</v>
      </c>
      <c r="F1988" s="191">
        <f t="shared" si="32"/>
        <v>242.9</v>
      </c>
      <c r="G1988" s="185"/>
      <c r="H1988" s="181"/>
      <c r="I1988" s="74"/>
      <c r="J1988" s="74"/>
      <c r="M1988" s="185"/>
      <c r="N1988" s="185"/>
      <c r="O1988" s="185"/>
      <c r="P1988" s="185"/>
      <c r="Q1988" s="185"/>
      <c r="R1988" s="185"/>
    </row>
    <row r="1989" spans="1:18" s="197" customFormat="1" ht="12.75" x14ac:dyDescent="0.2">
      <c r="A1989" s="181"/>
      <c r="B1989" s="188" t="s">
        <v>4072</v>
      </c>
      <c r="C1989" s="189" t="s">
        <v>124</v>
      </c>
      <c r="D1989" s="189" t="s">
        <v>123</v>
      </c>
      <c r="E1989" s="190" t="s">
        <v>4073</v>
      </c>
      <c r="F1989" s="191">
        <f t="shared" si="32"/>
        <v>266.23333333333335</v>
      </c>
      <c r="G1989" s="185"/>
      <c r="H1989" s="181"/>
      <c r="I1989" s="74"/>
      <c r="J1989" s="74"/>
      <c r="M1989" s="185"/>
      <c r="N1989" s="185"/>
      <c r="O1989" s="185"/>
      <c r="P1989" s="185"/>
      <c r="Q1989" s="185"/>
      <c r="R1989" s="185"/>
    </row>
    <row r="1990" spans="1:18" s="197" customFormat="1" ht="12.75" x14ac:dyDescent="0.2">
      <c r="A1990" s="181"/>
      <c r="B1990" s="188" t="s">
        <v>4074</v>
      </c>
      <c r="C1990" s="189" t="s">
        <v>142</v>
      </c>
      <c r="D1990" s="189" t="s">
        <v>123</v>
      </c>
      <c r="E1990" s="190" t="s">
        <v>4075</v>
      </c>
      <c r="F1990" s="191">
        <f t="shared" si="32"/>
        <v>211.76666666666668</v>
      </c>
      <c r="G1990" s="185"/>
      <c r="H1990" s="181"/>
      <c r="I1990" s="74"/>
      <c r="J1990" s="74"/>
      <c r="M1990" s="185"/>
      <c r="N1990" s="185"/>
      <c r="O1990" s="185"/>
      <c r="P1990" s="185"/>
      <c r="Q1990" s="185"/>
      <c r="R1990" s="185"/>
    </row>
    <row r="1991" spans="1:18" s="197" customFormat="1" ht="12.75" x14ac:dyDescent="0.2">
      <c r="A1991" s="181"/>
      <c r="B1991" s="188" t="s">
        <v>4076</v>
      </c>
      <c r="C1991" s="189" t="s">
        <v>128</v>
      </c>
      <c r="D1991" s="189" t="s">
        <v>123</v>
      </c>
      <c r="E1991" s="190" t="s">
        <v>1855</v>
      </c>
      <c r="F1991" s="191">
        <f t="shared" si="32"/>
        <v>205.21666666666667</v>
      </c>
      <c r="G1991" s="185"/>
      <c r="H1991" s="181"/>
      <c r="I1991" s="74"/>
      <c r="J1991" s="74"/>
      <c r="M1991" s="185"/>
      <c r="N1991" s="185"/>
      <c r="O1991" s="185"/>
      <c r="P1991" s="185"/>
      <c r="Q1991" s="185"/>
      <c r="R1991" s="185"/>
    </row>
    <row r="1992" spans="1:18" s="197" customFormat="1" ht="12.75" x14ac:dyDescent="0.2">
      <c r="A1992" s="181"/>
      <c r="B1992" s="188" t="s">
        <v>4077</v>
      </c>
      <c r="C1992" s="189" t="s">
        <v>126</v>
      </c>
      <c r="D1992" s="189" t="s">
        <v>123</v>
      </c>
      <c r="E1992" s="190" t="s">
        <v>2583</v>
      </c>
      <c r="F1992" s="191">
        <f t="shared" si="32"/>
        <v>248.58333333333334</v>
      </c>
      <c r="G1992" s="185"/>
      <c r="H1992" s="181"/>
      <c r="I1992" s="74"/>
      <c r="J1992" s="74"/>
      <c r="M1992" s="185"/>
      <c r="N1992" s="185"/>
      <c r="O1992" s="185"/>
      <c r="P1992" s="185"/>
      <c r="Q1992" s="185"/>
      <c r="R1992" s="185"/>
    </row>
    <row r="1993" spans="1:18" s="197" customFormat="1" ht="12.75" x14ac:dyDescent="0.2">
      <c r="A1993" s="181"/>
      <c r="B1993" s="188" t="s">
        <v>4078</v>
      </c>
      <c r="C1993" s="189" t="s">
        <v>124</v>
      </c>
      <c r="D1993" s="189" t="s">
        <v>123</v>
      </c>
      <c r="E1993" s="190" t="s">
        <v>4079</v>
      </c>
      <c r="F1993" s="191">
        <f t="shared" si="32"/>
        <v>291.13333333333333</v>
      </c>
      <c r="G1993" s="185"/>
      <c r="H1993" s="181"/>
      <c r="I1993" s="74"/>
      <c r="J1993" s="74"/>
      <c r="M1993" s="185"/>
      <c r="N1993" s="185"/>
      <c r="O1993" s="185"/>
      <c r="P1993" s="185"/>
      <c r="Q1993" s="185"/>
      <c r="R1993" s="185"/>
    </row>
    <row r="1994" spans="1:18" s="197" customFormat="1" ht="12.75" x14ac:dyDescent="0.2">
      <c r="A1994" s="181"/>
      <c r="B1994" s="188" t="s">
        <v>4080</v>
      </c>
      <c r="C1994" s="189" t="s">
        <v>134</v>
      </c>
      <c r="D1994" s="189" t="s">
        <v>148</v>
      </c>
      <c r="E1994" s="190" t="s">
        <v>4081</v>
      </c>
      <c r="F1994" s="191">
        <f t="shared" si="32"/>
        <v>274.60000000000002</v>
      </c>
      <c r="G1994" s="185"/>
      <c r="H1994" s="181"/>
      <c r="I1994" s="74"/>
      <c r="J1994" s="74"/>
      <c r="M1994" s="185"/>
      <c r="N1994" s="185"/>
      <c r="O1994" s="185"/>
      <c r="P1994" s="185"/>
      <c r="Q1994" s="185"/>
      <c r="R1994" s="185"/>
    </row>
    <row r="1995" spans="1:18" s="197" customFormat="1" ht="12.75" x14ac:dyDescent="0.2">
      <c r="A1995" s="181"/>
      <c r="B1995" s="188" t="s">
        <v>3522</v>
      </c>
      <c r="C1995" s="189" t="s">
        <v>134</v>
      </c>
      <c r="D1995" s="189" t="s">
        <v>149</v>
      </c>
      <c r="E1995" s="190" t="s">
        <v>3523</v>
      </c>
      <c r="F1995" s="191">
        <f t="shared" ref="F1995:F2058" si="33">HOUR(E1995)*60+MINUTE(E1995)+SECOND(E1995)/60</f>
        <v>190.46666666666667</v>
      </c>
      <c r="G1995" s="185"/>
      <c r="H1995" s="181"/>
      <c r="I1995" s="74"/>
      <c r="J1995" s="74"/>
      <c r="M1995" s="185"/>
      <c r="N1995" s="185"/>
      <c r="O1995" s="185"/>
      <c r="P1995" s="185"/>
      <c r="Q1995" s="185"/>
      <c r="R1995" s="185"/>
    </row>
    <row r="1996" spans="1:18" s="197" customFormat="1" ht="12.75" x14ac:dyDescent="0.2">
      <c r="A1996" s="181"/>
      <c r="B1996" s="188" t="s">
        <v>4082</v>
      </c>
      <c r="C1996" s="189" t="s">
        <v>126</v>
      </c>
      <c r="D1996" s="189" t="s">
        <v>123</v>
      </c>
      <c r="E1996" s="190" t="s">
        <v>4083</v>
      </c>
      <c r="F1996" s="191">
        <f t="shared" si="33"/>
        <v>202.3</v>
      </c>
      <c r="G1996" s="185"/>
      <c r="H1996" s="181"/>
      <c r="I1996" s="74"/>
      <c r="J1996" s="74"/>
      <c r="M1996" s="185"/>
      <c r="N1996" s="185"/>
      <c r="O1996" s="185"/>
      <c r="P1996" s="185"/>
      <c r="Q1996" s="185"/>
      <c r="R1996" s="185"/>
    </row>
    <row r="1997" spans="1:18" s="197" customFormat="1" ht="12.75" x14ac:dyDescent="0.2">
      <c r="A1997" s="181"/>
      <c r="B1997" s="188" t="s">
        <v>4084</v>
      </c>
      <c r="C1997" s="189" t="s">
        <v>128</v>
      </c>
      <c r="D1997" s="189" t="s">
        <v>123</v>
      </c>
      <c r="E1997" s="190" t="s">
        <v>4085</v>
      </c>
      <c r="F1997" s="191">
        <f t="shared" si="33"/>
        <v>285.06666666666666</v>
      </c>
      <c r="G1997" s="185"/>
      <c r="H1997" s="181"/>
      <c r="I1997" s="74"/>
      <c r="J1997" s="74"/>
      <c r="M1997" s="185"/>
      <c r="N1997" s="185"/>
      <c r="O1997" s="185"/>
      <c r="P1997" s="185"/>
      <c r="Q1997" s="185"/>
      <c r="R1997" s="185"/>
    </row>
    <row r="1998" spans="1:18" s="197" customFormat="1" ht="12.75" x14ac:dyDescent="0.2">
      <c r="A1998" s="181"/>
      <c r="B1998" s="188" t="s">
        <v>4086</v>
      </c>
      <c r="C1998" s="189" t="s">
        <v>124</v>
      </c>
      <c r="D1998" s="189" t="s">
        <v>173</v>
      </c>
      <c r="E1998" s="190" t="s">
        <v>4087</v>
      </c>
      <c r="F1998" s="191">
        <f t="shared" si="33"/>
        <v>199.53333333333333</v>
      </c>
      <c r="G1998" s="185"/>
      <c r="H1998" s="181"/>
      <c r="I1998" s="74"/>
      <c r="J1998" s="74"/>
      <c r="M1998" s="185"/>
      <c r="N1998" s="185"/>
      <c r="O1998" s="185"/>
      <c r="P1998" s="185"/>
      <c r="Q1998" s="185"/>
      <c r="R1998" s="185"/>
    </row>
    <row r="1999" spans="1:18" s="197" customFormat="1" ht="12.75" x14ac:dyDescent="0.2">
      <c r="A1999" s="181"/>
      <c r="B1999" s="188" t="s">
        <v>4088</v>
      </c>
      <c r="C1999" s="189" t="s">
        <v>128</v>
      </c>
      <c r="D1999" s="189" t="s">
        <v>131</v>
      </c>
      <c r="E1999" s="190" t="s">
        <v>4089</v>
      </c>
      <c r="F1999" s="191">
        <f t="shared" si="33"/>
        <v>230.3</v>
      </c>
      <c r="G1999" s="185"/>
      <c r="H1999" s="181"/>
      <c r="I1999" s="74"/>
      <c r="J1999" s="74"/>
      <c r="M1999" s="185"/>
      <c r="N1999" s="185"/>
      <c r="O1999" s="185"/>
      <c r="P1999" s="185"/>
      <c r="Q1999" s="185"/>
      <c r="R1999" s="185"/>
    </row>
    <row r="2000" spans="1:18" s="197" customFormat="1" ht="12.75" x14ac:dyDescent="0.2">
      <c r="A2000" s="181"/>
      <c r="B2000" s="188" t="s">
        <v>4090</v>
      </c>
      <c r="C2000" s="189" t="s">
        <v>140</v>
      </c>
      <c r="D2000" s="189" t="s">
        <v>123</v>
      </c>
      <c r="E2000" s="190" t="s">
        <v>3993</v>
      </c>
      <c r="F2000" s="191">
        <f t="shared" si="33"/>
        <v>241.6</v>
      </c>
      <c r="G2000" s="185"/>
      <c r="H2000" s="181"/>
      <c r="I2000" s="74"/>
      <c r="J2000" s="74"/>
      <c r="M2000" s="185"/>
      <c r="N2000" s="185"/>
      <c r="O2000" s="185"/>
      <c r="P2000" s="185"/>
      <c r="Q2000" s="185"/>
      <c r="R2000" s="185"/>
    </row>
    <row r="2001" spans="1:18" s="197" customFormat="1" ht="12.75" x14ac:dyDescent="0.2">
      <c r="A2001" s="181"/>
      <c r="B2001" s="188" t="s">
        <v>4091</v>
      </c>
      <c r="C2001" s="189" t="s">
        <v>126</v>
      </c>
      <c r="D2001" s="189" t="s">
        <v>123</v>
      </c>
      <c r="E2001" s="190" t="s">
        <v>4092</v>
      </c>
      <c r="F2001" s="191">
        <f t="shared" si="33"/>
        <v>209.11666666666667</v>
      </c>
      <c r="G2001" s="185"/>
      <c r="H2001" s="181"/>
      <c r="I2001" s="74"/>
      <c r="J2001" s="74"/>
      <c r="M2001" s="185"/>
      <c r="N2001" s="185"/>
      <c r="O2001" s="185"/>
      <c r="P2001" s="185"/>
      <c r="Q2001" s="185"/>
      <c r="R2001" s="185"/>
    </row>
    <row r="2002" spans="1:18" s="197" customFormat="1" ht="12.75" x14ac:dyDescent="0.2">
      <c r="A2002" s="181"/>
      <c r="B2002" s="188" t="s">
        <v>4093</v>
      </c>
      <c r="C2002" s="189" t="s">
        <v>124</v>
      </c>
      <c r="D2002" s="189" t="s">
        <v>129</v>
      </c>
      <c r="E2002" s="190" t="s">
        <v>4094</v>
      </c>
      <c r="F2002" s="191">
        <f t="shared" si="33"/>
        <v>196.4</v>
      </c>
      <c r="G2002" s="185"/>
      <c r="H2002" s="181"/>
      <c r="I2002" s="74"/>
      <c r="J2002" s="74"/>
      <c r="M2002" s="185"/>
      <c r="N2002" s="185"/>
      <c r="O2002" s="185"/>
      <c r="P2002" s="185"/>
      <c r="Q2002" s="185"/>
      <c r="R2002" s="185"/>
    </row>
    <row r="2003" spans="1:18" s="197" customFormat="1" ht="12.75" x14ac:dyDescent="0.2">
      <c r="A2003" s="181"/>
      <c r="B2003" s="188" t="s">
        <v>4095</v>
      </c>
      <c r="C2003" s="189" t="s">
        <v>142</v>
      </c>
      <c r="D2003" s="189" t="s">
        <v>123</v>
      </c>
      <c r="E2003" s="190" t="s">
        <v>4096</v>
      </c>
      <c r="F2003" s="191">
        <f t="shared" si="33"/>
        <v>206.9</v>
      </c>
      <c r="G2003" s="185"/>
      <c r="H2003" s="181"/>
      <c r="I2003" s="74"/>
      <c r="J2003" s="74"/>
      <c r="M2003" s="185"/>
      <c r="N2003" s="185"/>
      <c r="O2003" s="185"/>
      <c r="P2003" s="185"/>
      <c r="Q2003" s="185"/>
      <c r="R2003" s="185"/>
    </row>
    <row r="2004" spans="1:18" s="197" customFormat="1" ht="12.75" x14ac:dyDescent="0.2">
      <c r="A2004" s="181"/>
      <c r="B2004" s="188" t="s">
        <v>4097</v>
      </c>
      <c r="C2004" s="189" t="s">
        <v>126</v>
      </c>
      <c r="D2004" s="189" t="s">
        <v>157</v>
      </c>
      <c r="E2004" s="190" t="s">
        <v>3571</v>
      </c>
      <c r="F2004" s="191">
        <f t="shared" si="33"/>
        <v>239.45</v>
      </c>
      <c r="G2004" s="185"/>
      <c r="H2004" s="181"/>
      <c r="I2004" s="74"/>
      <c r="J2004" s="74"/>
      <c r="M2004" s="185"/>
      <c r="N2004" s="185"/>
      <c r="O2004" s="185"/>
      <c r="P2004" s="185"/>
      <c r="Q2004" s="185"/>
      <c r="R2004" s="185"/>
    </row>
    <row r="2005" spans="1:18" s="197" customFormat="1" ht="12.75" x14ac:dyDescent="0.2">
      <c r="A2005" s="181"/>
      <c r="B2005" s="188" t="s">
        <v>4098</v>
      </c>
      <c r="C2005" s="189" t="s">
        <v>134</v>
      </c>
      <c r="D2005" s="189" t="s">
        <v>132</v>
      </c>
      <c r="E2005" s="190" t="s">
        <v>4099</v>
      </c>
      <c r="F2005" s="191">
        <f t="shared" si="33"/>
        <v>282.13333333333333</v>
      </c>
      <c r="G2005" s="185"/>
      <c r="H2005" s="181"/>
      <c r="I2005" s="74"/>
      <c r="J2005" s="74"/>
      <c r="M2005" s="185"/>
      <c r="N2005" s="185"/>
      <c r="O2005" s="185"/>
      <c r="P2005" s="185"/>
      <c r="Q2005" s="185"/>
      <c r="R2005" s="185"/>
    </row>
    <row r="2006" spans="1:18" s="197" customFormat="1" ht="12.75" x14ac:dyDescent="0.2">
      <c r="A2006" s="181"/>
      <c r="B2006" s="188" t="s">
        <v>4100</v>
      </c>
      <c r="C2006" s="189" t="s">
        <v>126</v>
      </c>
      <c r="D2006" s="189" t="s">
        <v>123</v>
      </c>
      <c r="E2006" s="190" t="s">
        <v>4101</v>
      </c>
      <c r="F2006" s="191">
        <f t="shared" si="33"/>
        <v>222.96666666666667</v>
      </c>
      <c r="G2006" s="185"/>
      <c r="H2006" s="181"/>
      <c r="I2006" s="74"/>
      <c r="J2006" s="74"/>
      <c r="M2006" s="185"/>
      <c r="N2006" s="185"/>
      <c r="O2006" s="185"/>
      <c r="P2006" s="185"/>
      <c r="Q2006" s="185"/>
      <c r="R2006" s="185"/>
    </row>
    <row r="2007" spans="1:18" s="197" customFormat="1" ht="12.75" x14ac:dyDescent="0.2">
      <c r="A2007" s="181"/>
      <c r="B2007" s="188" t="s">
        <v>4102</v>
      </c>
      <c r="C2007" s="189" t="s">
        <v>124</v>
      </c>
      <c r="D2007" s="189" t="s">
        <v>123</v>
      </c>
      <c r="E2007" s="190" t="s">
        <v>4103</v>
      </c>
      <c r="F2007" s="191">
        <f t="shared" si="33"/>
        <v>228.45</v>
      </c>
      <c r="G2007" s="185"/>
      <c r="H2007" s="181"/>
      <c r="I2007" s="74"/>
      <c r="J2007" s="74"/>
      <c r="M2007" s="185"/>
      <c r="N2007" s="185"/>
      <c r="O2007" s="185"/>
      <c r="P2007" s="185"/>
      <c r="Q2007" s="185"/>
      <c r="R2007" s="185"/>
    </row>
    <row r="2008" spans="1:18" s="197" customFormat="1" ht="12.75" x14ac:dyDescent="0.2">
      <c r="A2008" s="181"/>
      <c r="B2008" s="188" t="s">
        <v>4104</v>
      </c>
      <c r="C2008" s="189" t="s">
        <v>126</v>
      </c>
      <c r="D2008" s="189" t="s">
        <v>123</v>
      </c>
      <c r="E2008" s="190" t="s">
        <v>3591</v>
      </c>
      <c r="F2008" s="191">
        <f t="shared" si="33"/>
        <v>209.41666666666666</v>
      </c>
      <c r="G2008" s="185"/>
      <c r="H2008" s="181"/>
      <c r="I2008" s="74"/>
      <c r="J2008" s="74"/>
      <c r="M2008" s="185"/>
      <c r="N2008" s="185"/>
      <c r="O2008" s="185"/>
      <c r="P2008" s="185"/>
      <c r="Q2008" s="185"/>
      <c r="R2008" s="185"/>
    </row>
    <row r="2009" spans="1:18" s="197" customFormat="1" ht="12.75" x14ac:dyDescent="0.2">
      <c r="A2009" s="181"/>
      <c r="B2009" s="188" t="s">
        <v>455</v>
      </c>
      <c r="C2009" s="189" t="s">
        <v>125</v>
      </c>
      <c r="D2009" s="189" t="s">
        <v>123</v>
      </c>
      <c r="E2009" s="190" t="s">
        <v>4105</v>
      </c>
      <c r="F2009" s="191">
        <f t="shared" si="33"/>
        <v>274.68333333333334</v>
      </c>
      <c r="G2009" s="185"/>
      <c r="H2009" s="181"/>
      <c r="I2009" s="74"/>
      <c r="J2009" s="74"/>
      <c r="M2009" s="185"/>
      <c r="N2009" s="185"/>
      <c r="O2009" s="185"/>
      <c r="P2009" s="185"/>
      <c r="Q2009" s="185"/>
      <c r="R2009" s="185"/>
    </row>
    <row r="2010" spans="1:18" s="197" customFormat="1" ht="12.75" x14ac:dyDescent="0.2">
      <c r="A2010" s="181"/>
      <c r="B2010" s="188" t="s">
        <v>4106</v>
      </c>
      <c r="C2010" s="189" t="s">
        <v>124</v>
      </c>
      <c r="D2010" s="189" t="s">
        <v>123</v>
      </c>
      <c r="E2010" s="190" t="s">
        <v>4107</v>
      </c>
      <c r="F2010" s="191">
        <f t="shared" si="33"/>
        <v>231.21666666666667</v>
      </c>
      <c r="G2010" s="185"/>
      <c r="H2010" s="181"/>
      <c r="I2010" s="74"/>
      <c r="J2010" s="74"/>
      <c r="M2010" s="185"/>
      <c r="N2010" s="185"/>
      <c r="O2010" s="185"/>
      <c r="P2010" s="185"/>
      <c r="Q2010" s="185"/>
      <c r="R2010" s="185"/>
    </row>
    <row r="2011" spans="1:18" s="197" customFormat="1" ht="12.75" x14ac:dyDescent="0.2">
      <c r="A2011" s="181"/>
      <c r="B2011" s="188" t="s">
        <v>4108</v>
      </c>
      <c r="C2011" s="189" t="s">
        <v>136</v>
      </c>
      <c r="D2011" s="189" t="s">
        <v>168</v>
      </c>
      <c r="E2011" s="190" t="s">
        <v>2417</v>
      </c>
      <c r="F2011" s="191">
        <f t="shared" si="33"/>
        <v>284.05</v>
      </c>
      <c r="G2011" s="185"/>
      <c r="H2011" s="181"/>
      <c r="I2011" s="74"/>
      <c r="J2011" s="74"/>
      <c r="M2011" s="185"/>
      <c r="N2011" s="185"/>
      <c r="O2011" s="185"/>
      <c r="P2011" s="185"/>
      <c r="Q2011" s="185"/>
      <c r="R2011" s="185"/>
    </row>
    <row r="2012" spans="1:18" s="197" customFormat="1" ht="12.75" x14ac:dyDescent="0.2">
      <c r="A2012" s="181"/>
      <c r="B2012" s="188" t="s">
        <v>4109</v>
      </c>
      <c r="C2012" s="189" t="s">
        <v>134</v>
      </c>
      <c r="D2012" s="189" t="s">
        <v>123</v>
      </c>
      <c r="E2012" s="190" t="s">
        <v>4110</v>
      </c>
      <c r="F2012" s="191">
        <f t="shared" si="33"/>
        <v>236.98333333333332</v>
      </c>
      <c r="G2012" s="185"/>
      <c r="H2012" s="181"/>
      <c r="I2012" s="74"/>
      <c r="J2012" s="74"/>
      <c r="M2012" s="185"/>
      <c r="N2012" s="185"/>
      <c r="O2012" s="185"/>
      <c r="P2012" s="185"/>
      <c r="Q2012" s="185"/>
      <c r="R2012" s="185"/>
    </row>
    <row r="2013" spans="1:18" s="197" customFormat="1" ht="12.75" x14ac:dyDescent="0.2">
      <c r="A2013" s="181"/>
      <c r="B2013" s="188" t="s">
        <v>4111</v>
      </c>
      <c r="C2013" s="189" t="s">
        <v>130</v>
      </c>
      <c r="D2013" s="189" t="s">
        <v>145</v>
      </c>
      <c r="E2013" s="190" t="s">
        <v>4112</v>
      </c>
      <c r="F2013" s="191">
        <f t="shared" si="33"/>
        <v>219.86666666666667</v>
      </c>
      <c r="G2013" s="185"/>
      <c r="H2013" s="181"/>
      <c r="I2013" s="74"/>
      <c r="J2013" s="74"/>
      <c r="M2013" s="185"/>
      <c r="N2013" s="185"/>
      <c r="O2013" s="185"/>
      <c r="P2013" s="185"/>
      <c r="Q2013" s="185"/>
      <c r="R2013" s="185"/>
    </row>
    <row r="2014" spans="1:18" s="197" customFormat="1" ht="12.75" x14ac:dyDescent="0.2">
      <c r="A2014" s="181"/>
      <c r="B2014" s="188" t="s">
        <v>4113</v>
      </c>
      <c r="C2014" s="189" t="s">
        <v>134</v>
      </c>
      <c r="D2014" s="189" t="s">
        <v>157</v>
      </c>
      <c r="E2014" s="190" t="s">
        <v>4114</v>
      </c>
      <c r="F2014" s="191">
        <f t="shared" si="33"/>
        <v>313.7</v>
      </c>
      <c r="G2014" s="185"/>
      <c r="H2014" s="181"/>
      <c r="I2014" s="74"/>
      <c r="J2014" s="74"/>
      <c r="M2014" s="185"/>
      <c r="N2014" s="185"/>
      <c r="O2014" s="185"/>
      <c r="P2014" s="185"/>
      <c r="Q2014" s="185"/>
      <c r="R2014" s="185"/>
    </row>
    <row r="2015" spans="1:18" s="197" customFormat="1" ht="12.75" x14ac:dyDescent="0.2">
      <c r="A2015" s="181"/>
      <c r="B2015" s="188" t="s">
        <v>4115</v>
      </c>
      <c r="C2015" s="189" t="s">
        <v>142</v>
      </c>
      <c r="D2015" s="189" t="s">
        <v>123</v>
      </c>
      <c r="E2015" s="190" t="s">
        <v>4116</v>
      </c>
      <c r="F2015" s="191">
        <f t="shared" si="33"/>
        <v>253.56666666666666</v>
      </c>
      <c r="G2015" s="185"/>
      <c r="H2015" s="181"/>
      <c r="I2015" s="74"/>
      <c r="J2015" s="74"/>
      <c r="M2015" s="185"/>
      <c r="N2015" s="185"/>
      <c r="O2015" s="185"/>
      <c r="P2015" s="185"/>
      <c r="Q2015" s="185"/>
      <c r="R2015" s="185"/>
    </row>
    <row r="2016" spans="1:18" s="197" customFormat="1" ht="12.75" x14ac:dyDescent="0.2">
      <c r="A2016" s="181"/>
      <c r="B2016" s="188" t="s">
        <v>4117</v>
      </c>
      <c r="C2016" s="189" t="s">
        <v>125</v>
      </c>
      <c r="D2016" s="189" t="s">
        <v>129</v>
      </c>
      <c r="E2016" s="190" t="s">
        <v>4118</v>
      </c>
      <c r="F2016" s="191">
        <f t="shared" si="33"/>
        <v>216.33333333333334</v>
      </c>
      <c r="G2016" s="185"/>
      <c r="H2016" s="181"/>
      <c r="I2016" s="74"/>
      <c r="J2016" s="74"/>
      <c r="M2016" s="185"/>
      <c r="N2016" s="185"/>
      <c r="O2016" s="185"/>
      <c r="P2016" s="185"/>
      <c r="Q2016" s="185"/>
      <c r="R2016" s="185"/>
    </row>
    <row r="2017" spans="1:18" s="197" customFormat="1" ht="12.75" x14ac:dyDescent="0.2">
      <c r="A2017" s="181"/>
      <c r="B2017" s="188" t="s">
        <v>3828</v>
      </c>
      <c r="C2017" s="189" t="s">
        <v>125</v>
      </c>
      <c r="D2017" s="189" t="s">
        <v>132</v>
      </c>
      <c r="E2017" s="190" t="s">
        <v>1588</v>
      </c>
      <c r="F2017" s="191">
        <f t="shared" si="33"/>
        <v>265.86666666666667</v>
      </c>
      <c r="G2017" s="185"/>
      <c r="H2017" s="181"/>
      <c r="I2017" s="74"/>
      <c r="J2017" s="74"/>
      <c r="M2017" s="185"/>
      <c r="N2017" s="185"/>
      <c r="O2017" s="185"/>
      <c r="P2017" s="185"/>
      <c r="Q2017" s="185"/>
      <c r="R2017" s="185"/>
    </row>
    <row r="2018" spans="1:18" s="197" customFormat="1" ht="12.75" x14ac:dyDescent="0.2">
      <c r="A2018" s="181"/>
      <c r="B2018" s="188" t="s">
        <v>4119</v>
      </c>
      <c r="C2018" s="189" t="s">
        <v>142</v>
      </c>
      <c r="D2018" s="189" t="s">
        <v>123</v>
      </c>
      <c r="E2018" s="190" t="s">
        <v>2546</v>
      </c>
      <c r="F2018" s="191">
        <f t="shared" si="33"/>
        <v>208.4</v>
      </c>
      <c r="G2018" s="185"/>
      <c r="H2018" s="181"/>
      <c r="I2018" s="74"/>
      <c r="J2018" s="74"/>
      <c r="M2018" s="185"/>
      <c r="N2018" s="185"/>
      <c r="O2018" s="185"/>
      <c r="P2018" s="185"/>
      <c r="Q2018" s="185"/>
      <c r="R2018" s="185"/>
    </row>
    <row r="2019" spans="1:18" s="197" customFormat="1" ht="12.75" x14ac:dyDescent="0.2">
      <c r="A2019" s="181"/>
      <c r="B2019" s="188" t="s">
        <v>4120</v>
      </c>
      <c r="C2019" s="189" t="s">
        <v>142</v>
      </c>
      <c r="D2019" s="189" t="s">
        <v>123</v>
      </c>
      <c r="E2019" s="190" t="s">
        <v>4121</v>
      </c>
      <c r="F2019" s="191">
        <f t="shared" si="33"/>
        <v>223.75</v>
      </c>
      <c r="G2019" s="185"/>
      <c r="H2019" s="181"/>
      <c r="I2019" s="74"/>
      <c r="J2019" s="74"/>
      <c r="M2019" s="185"/>
      <c r="N2019" s="185"/>
      <c r="O2019" s="185"/>
      <c r="P2019" s="185"/>
      <c r="Q2019" s="185"/>
      <c r="R2019" s="185"/>
    </row>
    <row r="2020" spans="1:18" s="197" customFormat="1" ht="12.75" x14ac:dyDescent="0.2">
      <c r="A2020" s="181"/>
      <c r="B2020" s="188" t="s">
        <v>4122</v>
      </c>
      <c r="C2020" s="189" t="s">
        <v>125</v>
      </c>
      <c r="D2020" s="189" t="s">
        <v>171</v>
      </c>
      <c r="E2020" s="190" t="s">
        <v>3211</v>
      </c>
      <c r="F2020" s="191">
        <f t="shared" si="33"/>
        <v>221.05</v>
      </c>
      <c r="G2020" s="185"/>
      <c r="H2020" s="181"/>
      <c r="I2020" s="74"/>
      <c r="J2020" s="74"/>
      <c r="M2020" s="185"/>
      <c r="N2020" s="185"/>
      <c r="O2020" s="185"/>
      <c r="P2020" s="185"/>
      <c r="Q2020" s="185"/>
      <c r="R2020" s="185"/>
    </row>
    <row r="2021" spans="1:18" s="197" customFormat="1" ht="12.75" x14ac:dyDescent="0.2">
      <c r="A2021" s="181"/>
      <c r="B2021" s="188" t="s">
        <v>4123</v>
      </c>
      <c r="C2021" s="189" t="s">
        <v>128</v>
      </c>
      <c r="D2021" s="189" t="s">
        <v>141</v>
      </c>
      <c r="E2021" s="190" t="s">
        <v>4124</v>
      </c>
      <c r="F2021" s="191">
        <f t="shared" si="33"/>
        <v>216.58333333333334</v>
      </c>
      <c r="G2021" s="185"/>
      <c r="H2021" s="181"/>
      <c r="I2021" s="74"/>
      <c r="J2021" s="74"/>
      <c r="M2021" s="185"/>
      <c r="N2021" s="185"/>
      <c r="O2021" s="185"/>
      <c r="P2021" s="185"/>
      <c r="Q2021" s="185"/>
      <c r="R2021" s="185"/>
    </row>
    <row r="2022" spans="1:18" s="197" customFormat="1" ht="12.75" x14ac:dyDescent="0.2">
      <c r="A2022" s="181"/>
      <c r="B2022" s="188" t="s">
        <v>4125</v>
      </c>
      <c r="C2022" s="189" t="s">
        <v>126</v>
      </c>
      <c r="D2022" s="189" t="s">
        <v>123</v>
      </c>
      <c r="E2022" s="190" t="s">
        <v>4126</v>
      </c>
      <c r="F2022" s="191">
        <f t="shared" si="33"/>
        <v>238.5</v>
      </c>
      <c r="G2022" s="185"/>
      <c r="H2022" s="181"/>
      <c r="I2022" s="74"/>
      <c r="J2022" s="74"/>
      <c r="M2022" s="185"/>
      <c r="N2022" s="185"/>
      <c r="O2022" s="185"/>
      <c r="P2022" s="185"/>
      <c r="Q2022" s="185"/>
      <c r="R2022" s="185"/>
    </row>
    <row r="2023" spans="1:18" s="197" customFormat="1" ht="12.75" x14ac:dyDescent="0.2">
      <c r="A2023" s="181"/>
      <c r="B2023" s="188" t="s">
        <v>1621</v>
      </c>
      <c r="C2023" s="189" t="s">
        <v>125</v>
      </c>
      <c r="D2023" s="189" t="s">
        <v>148</v>
      </c>
      <c r="E2023" s="190" t="s">
        <v>1622</v>
      </c>
      <c r="F2023" s="191">
        <f t="shared" si="33"/>
        <v>243.46666666666667</v>
      </c>
      <c r="G2023" s="185"/>
      <c r="H2023" s="181"/>
      <c r="I2023" s="74"/>
      <c r="J2023" s="74"/>
      <c r="M2023" s="185"/>
      <c r="N2023" s="185"/>
      <c r="O2023" s="185"/>
      <c r="P2023" s="185"/>
      <c r="Q2023" s="185"/>
      <c r="R2023" s="185"/>
    </row>
    <row r="2024" spans="1:18" s="197" customFormat="1" ht="12.75" x14ac:dyDescent="0.2">
      <c r="A2024" s="181"/>
      <c r="B2024" s="188" t="s">
        <v>3853</v>
      </c>
      <c r="C2024" s="189" t="s">
        <v>134</v>
      </c>
      <c r="D2024" s="189" t="s">
        <v>187</v>
      </c>
      <c r="E2024" s="190" t="s">
        <v>3854</v>
      </c>
      <c r="F2024" s="191">
        <f t="shared" si="33"/>
        <v>231.81666666666666</v>
      </c>
      <c r="G2024" s="185"/>
      <c r="H2024" s="181"/>
      <c r="I2024" s="74"/>
      <c r="J2024" s="74"/>
      <c r="M2024" s="185"/>
      <c r="N2024" s="185"/>
      <c r="O2024" s="185"/>
      <c r="P2024" s="185"/>
      <c r="Q2024" s="185"/>
      <c r="R2024" s="185"/>
    </row>
    <row r="2025" spans="1:18" s="197" customFormat="1" ht="12.75" x14ac:dyDescent="0.2">
      <c r="A2025" s="181"/>
      <c r="B2025" s="188" t="s">
        <v>4127</v>
      </c>
      <c r="C2025" s="189" t="s">
        <v>124</v>
      </c>
      <c r="D2025" s="189" t="s">
        <v>123</v>
      </c>
      <c r="E2025" s="190" t="s">
        <v>4128</v>
      </c>
      <c r="F2025" s="191">
        <f t="shared" si="33"/>
        <v>247.26666666666668</v>
      </c>
      <c r="G2025" s="185"/>
      <c r="H2025" s="181"/>
      <c r="I2025" s="74"/>
      <c r="J2025" s="74"/>
      <c r="M2025" s="185"/>
      <c r="N2025" s="185"/>
      <c r="O2025" s="185"/>
      <c r="P2025" s="185"/>
      <c r="Q2025" s="185"/>
      <c r="R2025" s="185"/>
    </row>
    <row r="2026" spans="1:18" s="197" customFormat="1" ht="12.75" x14ac:dyDescent="0.2">
      <c r="A2026" s="181"/>
      <c r="B2026" s="188" t="s">
        <v>4129</v>
      </c>
      <c r="C2026" s="189" t="s">
        <v>126</v>
      </c>
      <c r="D2026" s="189" t="s">
        <v>131</v>
      </c>
      <c r="E2026" s="190" t="s">
        <v>2399</v>
      </c>
      <c r="F2026" s="191">
        <f t="shared" si="33"/>
        <v>303.53333333333336</v>
      </c>
      <c r="G2026" s="185"/>
      <c r="H2026" s="181"/>
      <c r="I2026" s="74"/>
      <c r="J2026" s="74"/>
      <c r="M2026" s="185"/>
      <c r="N2026" s="185"/>
      <c r="O2026" s="185"/>
      <c r="P2026" s="185"/>
      <c r="Q2026" s="185"/>
      <c r="R2026" s="185"/>
    </row>
    <row r="2027" spans="1:18" s="197" customFormat="1" ht="12.75" x14ac:dyDescent="0.2">
      <c r="A2027" s="181"/>
      <c r="B2027" s="188" t="s">
        <v>625</v>
      </c>
      <c r="C2027" s="189" t="s">
        <v>126</v>
      </c>
      <c r="D2027" s="189" t="s">
        <v>132</v>
      </c>
      <c r="E2027" s="190" t="s">
        <v>930</v>
      </c>
      <c r="F2027" s="191">
        <f t="shared" si="33"/>
        <v>189.58333333333334</v>
      </c>
      <c r="G2027" s="185"/>
      <c r="H2027" s="181"/>
      <c r="I2027" s="74"/>
      <c r="J2027" s="74"/>
      <c r="M2027" s="185"/>
      <c r="N2027" s="185"/>
      <c r="O2027" s="185"/>
      <c r="P2027" s="185"/>
      <c r="Q2027" s="185"/>
      <c r="R2027" s="185"/>
    </row>
    <row r="2028" spans="1:18" s="197" customFormat="1" ht="12.75" x14ac:dyDescent="0.2">
      <c r="A2028" s="181"/>
      <c r="B2028" s="188" t="s">
        <v>319</v>
      </c>
      <c r="C2028" s="189" t="s">
        <v>130</v>
      </c>
      <c r="D2028" s="189" t="s">
        <v>123</v>
      </c>
      <c r="E2028" s="190" t="s">
        <v>4130</v>
      </c>
      <c r="F2028" s="191">
        <f t="shared" si="33"/>
        <v>247.41666666666666</v>
      </c>
      <c r="G2028" s="185"/>
      <c r="H2028" s="181"/>
      <c r="I2028" s="74"/>
      <c r="J2028" s="74"/>
      <c r="M2028" s="185"/>
      <c r="N2028" s="185"/>
      <c r="O2028" s="185"/>
      <c r="P2028" s="185"/>
      <c r="Q2028" s="185"/>
      <c r="R2028" s="185"/>
    </row>
    <row r="2029" spans="1:18" s="197" customFormat="1" ht="12.75" x14ac:dyDescent="0.2">
      <c r="A2029" s="181"/>
      <c r="B2029" s="188" t="s">
        <v>4131</v>
      </c>
      <c r="C2029" s="189" t="s">
        <v>124</v>
      </c>
      <c r="D2029" s="189" t="s">
        <v>123</v>
      </c>
      <c r="E2029" s="190" t="s">
        <v>4132</v>
      </c>
      <c r="F2029" s="191">
        <f t="shared" si="33"/>
        <v>216.4</v>
      </c>
      <c r="G2029" s="185"/>
      <c r="H2029" s="181"/>
      <c r="I2029" s="74"/>
      <c r="J2029" s="74"/>
      <c r="M2029" s="185"/>
      <c r="N2029" s="185"/>
      <c r="O2029" s="185"/>
      <c r="P2029" s="185"/>
      <c r="Q2029" s="185"/>
      <c r="R2029" s="185"/>
    </row>
    <row r="2030" spans="1:18" s="197" customFormat="1" ht="12.75" x14ac:dyDescent="0.2">
      <c r="A2030" s="181"/>
      <c r="B2030" s="188" t="s">
        <v>229</v>
      </c>
      <c r="C2030" s="189" t="s">
        <v>142</v>
      </c>
      <c r="D2030" s="189" t="s">
        <v>123</v>
      </c>
      <c r="E2030" s="190" t="s">
        <v>4133</v>
      </c>
      <c r="F2030" s="191">
        <f t="shared" si="33"/>
        <v>208.5</v>
      </c>
      <c r="G2030" s="185"/>
      <c r="H2030" s="181"/>
      <c r="I2030" s="74"/>
      <c r="J2030" s="74"/>
      <c r="M2030" s="185"/>
      <c r="N2030" s="185"/>
      <c r="O2030" s="185"/>
      <c r="P2030" s="185"/>
      <c r="Q2030" s="185"/>
      <c r="R2030" s="185"/>
    </row>
    <row r="2031" spans="1:18" s="197" customFormat="1" ht="12.75" x14ac:dyDescent="0.2">
      <c r="A2031" s="181"/>
      <c r="B2031" s="188" t="s">
        <v>4134</v>
      </c>
      <c r="C2031" s="189" t="s">
        <v>124</v>
      </c>
      <c r="D2031" s="189" t="s">
        <v>123</v>
      </c>
      <c r="E2031" s="190" t="s">
        <v>4135</v>
      </c>
      <c r="F2031" s="191">
        <f t="shared" si="33"/>
        <v>184.26666666666668</v>
      </c>
      <c r="G2031" s="185"/>
      <c r="H2031" s="181"/>
      <c r="I2031" s="74"/>
      <c r="J2031" s="74"/>
      <c r="M2031" s="185"/>
      <c r="N2031" s="185"/>
      <c r="O2031" s="185"/>
      <c r="P2031" s="185"/>
      <c r="Q2031" s="185"/>
      <c r="R2031" s="185"/>
    </row>
    <row r="2032" spans="1:18" s="197" customFormat="1" ht="12.75" x14ac:dyDescent="0.2">
      <c r="A2032" s="181"/>
      <c r="B2032" s="188" t="s">
        <v>4136</v>
      </c>
      <c r="C2032" s="189" t="s">
        <v>249</v>
      </c>
      <c r="D2032" s="189" t="s">
        <v>123</v>
      </c>
      <c r="E2032" s="190" t="s">
        <v>3317</v>
      </c>
      <c r="F2032" s="191">
        <f t="shared" si="33"/>
        <v>237.9</v>
      </c>
      <c r="G2032" s="185"/>
      <c r="H2032" s="181"/>
      <c r="I2032" s="74"/>
      <c r="J2032" s="74"/>
      <c r="M2032" s="185"/>
      <c r="N2032" s="185"/>
      <c r="O2032" s="185"/>
      <c r="P2032" s="185"/>
      <c r="Q2032" s="185"/>
      <c r="R2032" s="185"/>
    </row>
    <row r="2033" spans="1:18" s="197" customFormat="1" ht="12.75" x14ac:dyDescent="0.2">
      <c r="A2033" s="181"/>
      <c r="B2033" s="188" t="s">
        <v>4137</v>
      </c>
      <c r="C2033" s="189" t="s">
        <v>135</v>
      </c>
      <c r="D2033" s="189" t="s">
        <v>132</v>
      </c>
      <c r="E2033" s="190" t="s">
        <v>1466</v>
      </c>
      <c r="F2033" s="191">
        <f t="shared" si="33"/>
        <v>281.55</v>
      </c>
      <c r="G2033" s="185"/>
      <c r="H2033" s="181"/>
      <c r="I2033" s="74"/>
      <c r="J2033" s="74"/>
      <c r="M2033" s="185"/>
      <c r="N2033" s="185"/>
      <c r="O2033" s="185"/>
      <c r="P2033" s="185"/>
      <c r="Q2033" s="185"/>
      <c r="R2033" s="185"/>
    </row>
    <row r="2034" spans="1:18" s="197" customFormat="1" ht="12.75" x14ac:dyDescent="0.2">
      <c r="A2034" s="181"/>
      <c r="B2034" s="188" t="s">
        <v>2496</v>
      </c>
      <c r="C2034" s="189" t="s">
        <v>125</v>
      </c>
      <c r="D2034" s="189" t="s">
        <v>123</v>
      </c>
      <c r="E2034" s="190" t="s">
        <v>2497</v>
      </c>
      <c r="F2034" s="191">
        <f t="shared" si="33"/>
        <v>190.58333333333334</v>
      </c>
      <c r="G2034" s="185"/>
      <c r="H2034" s="181"/>
      <c r="I2034" s="74"/>
      <c r="J2034" s="74"/>
      <c r="M2034" s="185"/>
      <c r="N2034" s="185"/>
      <c r="O2034" s="185"/>
      <c r="P2034" s="185"/>
      <c r="Q2034" s="185"/>
      <c r="R2034" s="185"/>
    </row>
    <row r="2035" spans="1:18" s="197" customFormat="1" ht="12.75" x14ac:dyDescent="0.2">
      <c r="A2035" s="181"/>
      <c r="B2035" s="188" t="s">
        <v>4138</v>
      </c>
      <c r="C2035" s="189" t="s">
        <v>126</v>
      </c>
      <c r="D2035" s="189" t="s">
        <v>157</v>
      </c>
      <c r="E2035" s="190" t="s">
        <v>1464</v>
      </c>
      <c r="F2035" s="191">
        <f t="shared" si="33"/>
        <v>236.33333333333334</v>
      </c>
      <c r="G2035" s="185"/>
      <c r="H2035" s="181"/>
      <c r="I2035" s="74"/>
      <c r="J2035" s="74"/>
      <c r="M2035" s="185"/>
      <c r="N2035" s="185"/>
      <c r="O2035" s="185"/>
      <c r="P2035" s="185"/>
      <c r="Q2035" s="185"/>
      <c r="R2035" s="185"/>
    </row>
    <row r="2036" spans="1:18" s="197" customFormat="1" ht="12.75" x14ac:dyDescent="0.2">
      <c r="A2036" s="181"/>
      <c r="B2036" s="188" t="s">
        <v>4139</v>
      </c>
      <c r="C2036" s="189" t="s">
        <v>130</v>
      </c>
      <c r="D2036" s="189" t="s">
        <v>123</v>
      </c>
      <c r="E2036" s="190" t="s">
        <v>1853</v>
      </c>
      <c r="F2036" s="191">
        <f t="shared" si="33"/>
        <v>259.16666666666669</v>
      </c>
      <c r="G2036" s="185"/>
      <c r="H2036" s="181"/>
      <c r="I2036" s="74"/>
      <c r="J2036" s="74"/>
      <c r="M2036" s="185"/>
      <c r="N2036" s="185"/>
      <c r="O2036" s="185"/>
      <c r="P2036" s="185"/>
      <c r="Q2036" s="185"/>
      <c r="R2036" s="185"/>
    </row>
    <row r="2037" spans="1:18" s="197" customFormat="1" ht="12.75" x14ac:dyDescent="0.2">
      <c r="A2037" s="181"/>
      <c r="B2037" s="188" t="s">
        <v>4140</v>
      </c>
      <c r="C2037" s="189" t="s">
        <v>128</v>
      </c>
      <c r="D2037" s="189" t="s">
        <v>123</v>
      </c>
      <c r="E2037" s="190" t="s">
        <v>4141</v>
      </c>
      <c r="F2037" s="191">
        <f t="shared" si="33"/>
        <v>194.16666666666666</v>
      </c>
      <c r="G2037" s="185"/>
      <c r="H2037" s="181"/>
      <c r="I2037" s="74"/>
      <c r="J2037" s="74"/>
      <c r="M2037" s="185"/>
      <c r="N2037" s="185"/>
      <c r="O2037" s="185"/>
      <c r="P2037" s="185"/>
      <c r="Q2037" s="185"/>
      <c r="R2037" s="185"/>
    </row>
    <row r="2038" spans="1:18" s="197" customFormat="1" ht="12.75" x14ac:dyDescent="0.2">
      <c r="A2038" s="181"/>
      <c r="B2038" s="188" t="s">
        <v>4142</v>
      </c>
      <c r="C2038" s="189" t="s">
        <v>130</v>
      </c>
      <c r="D2038" s="189" t="s">
        <v>123</v>
      </c>
      <c r="E2038" s="190" t="s">
        <v>4143</v>
      </c>
      <c r="F2038" s="191">
        <f t="shared" si="33"/>
        <v>190.03333333333333</v>
      </c>
      <c r="G2038" s="185"/>
      <c r="H2038" s="181"/>
      <c r="I2038" s="74"/>
      <c r="J2038" s="74"/>
      <c r="M2038" s="185"/>
      <c r="N2038" s="185"/>
      <c r="O2038" s="185"/>
      <c r="P2038" s="185"/>
      <c r="Q2038" s="185"/>
      <c r="R2038" s="185"/>
    </row>
    <row r="2039" spans="1:18" s="197" customFormat="1" ht="12.75" x14ac:dyDescent="0.2">
      <c r="A2039" s="181"/>
      <c r="B2039" s="188" t="s">
        <v>3112</v>
      </c>
      <c r="C2039" s="189" t="s">
        <v>128</v>
      </c>
      <c r="D2039" s="189" t="s">
        <v>157</v>
      </c>
      <c r="E2039" s="190" t="s">
        <v>1803</v>
      </c>
      <c r="F2039" s="191">
        <f t="shared" si="33"/>
        <v>190.71666666666667</v>
      </c>
      <c r="G2039" s="185"/>
      <c r="H2039" s="181"/>
      <c r="I2039" s="74"/>
      <c r="J2039" s="74"/>
      <c r="M2039" s="185"/>
      <c r="N2039" s="185"/>
      <c r="O2039" s="185"/>
      <c r="P2039" s="185"/>
      <c r="Q2039" s="185"/>
      <c r="R2039" s="185"/>
    </row>
    <row r="2040" spans="1:18" s="197" customFormat="1" ht="12.75" x14ac:dyDescent="0.2">
      <c r="A2040" s="181"/>
      <c r="B2040" s="188" t="s">
        <v>4144</v>
      </c>
      <c r="C2040" s="189" t="s">
        <v>126</v>
      </c>
      <c r="D2040" s="189" t="s">
        <v>123</v>
      </c>
      <c r="E2040" s="190" t="s">
        <v>3388</v>
      </c>
      <c r="F2040" s="191">
        <f t="shared" si="33"/>
        <v>209.36666666666667</v>
      </c>
      <c r="G2040" s="185"/>
      <c r="H2040" s="181"/>
      <c r="I2040" s="74"/>
      <c r="J2040" s="74"/>
      <c r="M2040" s="185"/>
      <c r="N2040" s="185"/>
      <c r="O2040" s="185"/>
      <c r="P2040" s="185"/>
      <c r="Q2040" s="185"/>
      <c r="R2040" s="185"/>
    </row>
    <row r="2041" spans="1:18" s="197" customFormat="1" ht="12.75" x14ac:dyDescent="0.2">
      <c r="A2041" s="181"/>
      <c r="B2041" s="188" t="s">
        <v>4145</v>
      </c>
      <c r="C2041" s="189" t="s">
        <v>130</v>
      </c>
      <c r="D2041" s="189" t="s">
        <v>123</v>
      </c>
      <c r="E2041" s="190" t="s">
        <v>2907</v>
      </c>
      <c r="F2041" s="191">
        <f t="shared" si="33"/>
        <v>242.63333333333333</v>
      </c>
      <c r="G2041" s="185"/>
      <c r="H2041" s="181"/>
      <c r="I2041" s="74"/>
      <c r="J2041" s="74"/>
      <c r="M2041" s="185"/>
      <c r="N2041" s="185"/>
      <c r="O2041" s="185"/>
      <c r="P2041" s="185"/>
      <c r="Q2041" s="185"/>
      <c r="R2041" s="185"/>
    </row>
    <row r="2042" spans="1:18" s="197" customFormat="1" ht="12.75" x14ac:dyDescent="0.2">
      <c r="A2042" s="181"/>
      <c r="B2042" s="188" t="s">
        <v>4146</v>
      </c>
      <c r="C2042" s="189" t="s">
        <v>125</v>
      </c>
      <c r="D2042" s="189" t="s">
        <v>123</v>
      </c>
      <c r="E2042" s="190" t="s">
        <v>4147</v>
      </c>
      <c r="F2042" s="191">
        <f t="shared" si="33"/>
        <v>236</v>
      </c>
      <c r="G2042" s="185"/>
      <c r="H2042" s="181"/>
      <c r="I2042" s="74"/>
      <c r="J2042" s="74"/>
      <c r="M2042" s="185"/>
      <c r="N2042" s="185"/>
      <c r="O2042" s="185"/>
      <c r="P2042" s="185"/>
      <c r="Q2042" s="185"/>
      <c r="R2042" s="185"/>
    </row>
    <row r="2043" spans="1:18" s="197" customFormat="1" ht="12.75" x14ac:dyDescent="0.2">
      <c r="A2043" s="181"/>
      <c r="B2043" s="188" t="s">
        <v>4148</v>
      </c>
      <c r="C2043" s="189" t="s">
        <v>136</v>
      </c>
      <c r="D2043" s="189" t="s">
        <v>376</v>
      </c>
      <c r="E2043" s="190" t="s">
        <v>4149</v>
      </c>
      <c r="F2043" s="191">
        <f t="shared" si="33"/>
        <v>267.86666666666667</v>
      </c>
      <c r="G2043" s="185"/>
      <c r="H2043" s="181"/>
      <c r="I2043" s="74"/>
      <c r="J2043" s="74"/>
      <c r="M2043" s="185"/>
      <c r="N2043" s="185"/>
      <c r="O2043" s="185"/>
      <c r="P2043" s="185"/>
      <c r="Q2043" s="185"/>
      <c r="R2043" s="185"/>
    </row>
    <row r="2044" spans="1:18" s="197" customFormat="1" ht="12.75" x14ac:dyDescent="0.2">
      <c r="A2044" s="181"/>
      <c r="B2044" s="188" t="s">
        <v>4150</v>
      </c>
      <c r="C2044" s="189" t="s">
        <v>142</v>
      </c>
      <c r="D2044" s="189" t="s">
        <v>123</v>
      </c>
      <c r="E2044" s="190" t="s">
        <v>4151</v>
      </c>
      <c r="F2044" s="191">
        <f t="shared" si="33"/>
        <v>217.78333333333333</v>
      </c>
      <c r="G2044" s="185"/>
      <c r="H2044" s="181"/>
      <c r="I2044" s="74"/>
      <c r="J2044" s="74"/>
      <c r="M2044" s="185"/>
      <c r="N2044" s="185"/>
      <c r="O2044" s="185"/>
      <c r="P2044" s="185"/>
      <c r="Q2044" s="185"/>
      <c r="R2044" s="185"/>
    </row>
    <row r="2045" spans="1:18" s="197" customFormat="1" ht="12.75" x14ac:dyDescent="0.2">
      <c r="A2045" s="181"/>
      <c r="B2045" s="188" t="s">
        <v>4152</v>
      </c>
      <c r="C2045" s="189" t="s">
        <v>125</v>
      </c>
      <c r="D2045" s="189" t="s">
        <v>160</v>
      </c>
      <c r="E2045" s="190" t="s">
        <v>4153</v>
      </c>
      <c r="F2045" s="191">
        <f t="shared" si="33"/>
        <v>292.98333333333335</v>
      </c>
      <c r="G2045" s="185"/>
      <c r="H2045" s="181"/>
      <c r="I2045" s="74"/>
      <c r="J2045" s="74"/>
      <c r="M2045" s="185"/>
      <c r="N2045" s="185"/>
      <c r="O2045" s="185"/>
      <c r="P2045" s="185"/>
      <c r="Q2045" s="185"/>
      <c r="R2045" s="185"/>
    </row>
    <row r="2046" spans="1:18" s="197" customFormat="1" ht="12.75" x14ac:dyDescent="0.2">
      <c r="A2046" s="181"/>
      <c r="B2046" s="188" t="s">
        <v>4154</v>
      </c>
      <c r="C2046" s="189" t="s">
        <v>135</v>
      </c>
      <c r="D2046" s="189" t="s">
        <v>123</v>
      </c>
      <c r="E2046" s="190" t="s">
        <v>4155</v>
      </c>
      <c r="F2046" s="191">
        <f t="shared" si="33"/>
        <v>293.26666666666665</v>
      </c>
      <c r="G2046" s="185"/>
      <c r="H2046" s="181"/>
      <c r="I2046" s="74"/>
      <c r="J2046" s="74"/>
      <c r="M2046" s="185"/>
      <c r="N2046" s="185"/>
      <c r="O2046" s="185"/>
      <c r="P2046" s="185"/>
      <c r="Q2046" s="185"/>
      <c r="R2046" s="185"/>
    </row>
    <row r="2047" spans="1:18" s="197" customFormat="1" ht="12.75" x14ac:dyDescent="0.2">
      <c r="A2047" s="181"/>
      <c r="B2047" s="188" t="s">
        <v>4156</v>
      </c>
      <c r="C2047" s="189" t="s">
        <v>134</v>
      </c>
      <c r="D2047" s="189" t="s">
        <v>123</v>
      </c>
      <c r="E2047" s="190" t="s">
        <v>4157</v>
      </c>
      <c r="F2047" s="191">
        <f t="shared" si="33"/>
        <v>270.35000000000002</v>
      </c>
      <c r="G2047" s="185"/>
      <c r="H2047" s="181"/>
      <c r="I2047" s="74"/>
      <c r="J2047" s="74"/>
      <c r="M2047" s="185"/>
      <c r="N2047" s="185"/>
      <c r="O2047" s="185"/>
      <c r="P2047" s="185"/>
      <c r="Q2047" s="185"/>
      <c r="R2047" s="185"/>
    </row>
    <row r="2048" spans="1:18" s="197" customFormat="1" ht="12.75" x14ac:dyDescent="0.2">
      <c r="A2048" s="181"/>
      <c r="B2048" s="188" t="s">
        <v>592</v>
      </c>
      <c r="C2048" s="189" t="s">
        <v>142</v>
      </c>
      <c r="D2048" s="189" t="s">
        <v>123</v>
      </c>
      <c r="E2048" s="190" t="s">
        <v>4158</v>
      </c>
      <c r="F2048" s="191">
        <f t="shared" si="33"/>
        <v>256.8</v>
      </c>
      <c r="G2048" s="185"/>
      <c r="H2048" s="181"/>
      <c r="I2048" s="74"/>
      <c r="J2048" s="74"/>
      <c r="M2048" s="185"/>
      <c r="N2048" s="185"/>
      <c r="O2048" s="185"/>
      <c r="P2048" s="185"/>
      <c r="Q2048" s="185"/>
      <c r="R2048" s="185"/>
    </row>
    <row r="2049" spans="1:18" s="197" customFormat="1" ht="12.75" x14ac:dyDescent="0.2">
      <c r="A2049" s="181"/>
      <c r="B2049" s="188" t="s">
        <v>937</v>
      </c>
      <c r="C2049" s="189" t="s">
        <v>124</v>
      </c>
      <c r="D2049" s="189" t="s">
        <v>123</v>
      </c>
      <c r="E2049" s="190" t="s">
        <v>938</v>
      </c>
      <c r="F2049" s="191">
        <f t="shared" si="33"/>
        <v>221.53333333333333</v>
      </c>
      <c r="G2049" s="185"/>
      <c r="H2049" s="181"/>
      <c r="I2049" s="74"/>
      <c r="J2049" s="74"/>
      <c r="M2049" s="185"/>
      <c r="N2049" s="185"/>
      <c r="O2049" s="185"/>
      <c r="P2049" s="185"/>
      <c r="Q2049" s="185"/>
      <c r="R2049" s="185"/>
    </row>
    <row r="2050" spans="1:18" s="197" customFormat="1" ht="12.75" x14ac:dyDescent="0.2">
      <c r="A2050" s="181"/>
      <c r="B2050" s="188" t="s">
        <v>4159</v>
      </c>
      <c r="C2050" s="189" t="s">
        <v>125</v>
      </c>
      <c r="D2050" s="189" t="s">
        <v>123</v>
      </c>
      <c r="E2050" s="190" t="s">
        <v>4160</v>
      </c>
      <c r="F2050" s="191">
        <f t="shared" si="33"/>
        <v>293.13333333333333</v>
      </c>
      <c r="G2050" s="185"/>
      <c r="H2050" s="181"/>
      <c r="I2050" s="74"/>
      <c r="J2050" s="74"/>
      <c r="M2050" s="185"/>
      <c r="N2050" s="185"/>
      <c r="O2050" s="185"/>
      <c r="P2050" s="185"/>
      <c r="Q2050" s="185"/>
      <c r="R2050" s="185"/>
    </row>
    <row r="2051" spans="1:18" s="197" customFormat="1" ht="12.75" x14ac:dyDescent="0.2">
      <c r="A2051" s="181"/>
      <c r="B2051" s="188" t="s">
        <v>4161</v>
      </c>
      <c r="C2051" s="189" t="s">
        <v>124</v>
      </c>
      <c r="D2051" s="189" t="s">
        <v>123</v>
      </c>
      <c r="E2051" s="190" t="s">
        <v>3101</v>
      </c>
      <c r="F2051" s="191">
        <f t="shared" si="33"/>
        <v>224.25</v>
      </c>
      <c r="G2051" s="185"/>
      <c r="H2051" s="181"/>
      <c r="I2051" s="74"/>
      <c r="J2051" s="74"/>
      <c r="M2051" s="185"/>
      <c r="N2051" s="185"/>
      <c r="O2051" s="185"/>
      <c r="P2051" s="185"/>
      <c r="Q2051" s="185"/>
      <c r="R2051" s="185"/>
    </row>
    <row r="2052" spans="1:18" s="197" customFormat="1" ht="12.75" x14ac:dyDescent="0.2">
      <c r="A2052" s="181"/>
      <c r="B2052" s="188" t="s">
        <v>4162</v>
      </c>
      <c r="C2052" s="189" t="s">
        <v>124</v>
      </c>
      <c r="D2052" s="189" t="s">
        <v>123</v>
      </c>
      <c r="E2052" s="190" t="s">
        <v>4163</v>
      </c>
      <c r="F2052" s="191">
        <f t="shared" si="33"/>
        <v>267.81666666666666</v>
      </c>
      <c r="G2052" s="185"/>
      <c r="H2052" s="181"/>
      <c r="I2052" s="74"/>
      <c r="J2052" s="74"/>
      <c r="M2052" s="185"/>
      <c r="N2052" s="185"/>
      <c r="O2052" s="185"/>
      <c r="P2052" s="185"/>
      <c r="Q2052" s="185"/>
      <c r="R2052" s="185"/>
    </row>
    <row r="2053" spans="1:18" s="197" customFormat="1" ht="12.75" x14ac:dyDescent="0.2">
      <c r="A2053" s="181"/>
      <c r="B2053" s="188" t="s">
        <v>4164</v>
      </c>
      <c r="C2053" s="189" t="s">
        <v>125</v>
      </c>
      <c r="D2053" s="189" t="s">
        <v>123</v>
      </c>
      <c r="E2053" s="190" t="s">
        <v>4165</v>
      </c>
      <c r="F2053" s="191">
        <f t="shared" si="33"/>
        <v>233.6</v>
      </c>
      <c r="G2053" s="185"/>
      <c r="H2053" s="181"/>
      <c r="I2053" s="74"/>
      <c r="J2053" s="74"/>
      <c r="M2053" s="185"/>
      <c r="N2053" s="185"/>
      <c r="O2053" s="185"/>
      <c r="P2053" s="185"/>
      <c r="Q2053" s="185"/>
      <c r="R2053" s="185"/>
    </row>
    <row r="2054" spans="1:18" s="197" customFormat="1" ht="12.75" x14ac:dyDescent="0.2">
      <c r="A2054" s="181"/>
      <c r="B2054" s="188" t="s">
        <v>4166</v>
      </c>
      <c r="C2054" s="189" t="s">
        <v>130</v>
      </c>
      <c r="D2054" s="189" t="s">
        <v>123</v>
      </c>
      <c r="E2054" s="190" t="s">
        <v>4167</v>
      </c>
      <c r="F2054" s="191">
        <f t="shared" si="33"/>
        <v>207.91666666666666</v>
      </c>
      <c r="G2054" s="185"/>
      <c r="H2054" s="181"/>
      <c r="I2054" s="74"/>
      <c r="J2054" s="74"/>
      <c r="M2054" s="185"/>
      <c r="N2054" s="185"/>
      <c r="O2054" s="185"/>
      <c r="P2054" s="185"/>
      <c r="Q2054" s="185"/>
      <c r="R2054" s="185"/>
    </row>
    <row r="2055" spans="1:18" s="197" customFormat="1" ht="12.75" x14ac:dyDescent="0.2">
      <c r="A2055" s="181"/>
      <c r="B2055" s="188" t="s">
        <v>4168</v>
      </c>
      <c r="C2055" s="189" t="s">
        <v>134</v>
      </c>
      <c r="D2055" s="189" t="s">
        <v>123</v>
      </c>
      <c r="E2055" s="190" t="s">
        <v>4169</v>
      </c>
      <c r="F2055" s="191">
        <f t="shared" si="33"/>
        <v>256.36666666666667</v>
      </c>
      <c r="G2055" s="185"/>
      <c r="H2055" s="181"/>
      <c r="I2055" s="74"/>
      <c r="J2055" s="74"/>
      <c r="M2055" s="185"/>
      <c r="N2055" s="185"/>
      <c r="O2055" s="185"/>
      <c r="P2055" s="185"/>
      <c r="Q2055" s="185"/>
      <c r="R2055" s="185"/>
    </row>
    <row r="2056" spans="1:18" s="197" customFormat="1" ht="12.75" x14ac:dyDescent="0.2">
      <c r="A2056" s="181"/>
      <c r="B2056" s="188" t="s">
        <v>459</v>
      </c>
      <c r="C2056" s="189" t="s">
        <v>142</v>
      </c>
      <c r="D2056" s="189" t="s">
        <v>123</v>
      </c>
      <c r="E2056" s="190" t="s">
        <v>4170</v>
      </c>
      <c r="F2056" s="191">
        <f t="shared" si="33"/>
        <v>289.5</v>
      </c>
      <c r="G2056" s="185"/>
      <c r="H2056" s="181"/>
      <c r="I2056" s="74"/>
      <c r="J2056" s="74"/>
      <c r="M2056" s="185"/>
      <c r="N2056" s="185"/>
      <c r="O2056" s="185"/>
      <c r="P2056" s="185"/>
      <c r="Q2056" s="185"/>
      <c r="R2056" s="185"/>
    </row>
    <row r="2057" spans="1:18" s="197" customFormat="1" ht="12.75" x14ac:dyDescent="0.2">
      <c r="A2057" s="181"/>
      <c r="B2057" s="188" t="s">
        <v>4171</v>
      </c>
      <c r="C2057" s="189" t="s">
        <v>128</v>
      </c>
      <c r="D2057" s="189" t="s">
        <v>123</v>
      </c>
      <c r="E2057" s="190" t="s">
        <v>4172</v>
      </c>
      <c r="F2057" s="191">
        <f t="shared" si="33"/>
        <v>268.45</v>
      </c>
      <c r="G2057" s="185"/>
      <c r="H2057" s="181"/>
      <c r="I2057" s="74"/>
      <c r="J2057" s="74"/>
      <c r="M2057" s="185"/>
      <c r="N2057" s="185"/>
      <c r="O2057" s="185"/>
      <c r="P2057" s="185"/>
      <c r="Q2057" s="185"/>
      <c r="R2057" s="185"/>
    </row>
    <row r="2058" spans="1:18" s="197" customFormat="1" ht="12.75" x14ac:dyDescent="0.2">
      <c r="A2058" s="181"/>
      <c r="B2058" s="188" t="s">
        <v>569</v>
      </c>
      <c r="C2058" s="189" t="s">
        <v>125</v>
      </c>
      <c r="D2058" s="189" t="s">
        <v>123</v>
      </c>
      <c r="E2058" s="190" t="s">
        <v>4173</v>
      </c>
      <c r="F2058" s="191">
        <f t="shared" si="33"/>
        <v>202.68333333333334</v>
      </c>
      <c r="G2058" s="185"/>
      <c r="H2058" s="181"/>
      <c r="I2058" s="74"/>
      <c r="J2058" s="74"/>
      <c r="M2058" s="185"/>
      <c r="N2058" s="185"/>
      <c r="O2058" s="185"/>
      <c r="P2058" s="185"/>
      <c r="Q2058" s="185"/>
      <c r="R2058" s="185"/>
    </row>
    <row r="2059" spans="1:18" s="197" customFormat="1" ht="12.75" x14ac:dyDescent="0.2">
      <c r="A2059" s="181"/>
      <c r="B2059" s="188" t="s">
        <v>4174</v>
      </c>
      <c r="C2059" s="189" t="s">
        <v>135</v>
      </c>
      <c r="D2059" s="189" t="s">
        <v>123</v>
      </c>
      <c r="E2059" s="190" t="s">
        <v>1790</v>
      </c>
      <c r="F2059" s="191">
        <f t="shared" ref="F2059:F2122" si="34">HOUR(E2059)*60+MINUTE(E2059)+SECOND(E2059)/60</f>
        <v>257.93333333333334</v>
      </c>
      <c r="G2059" s="185"/>
      <c r="H2059" s="181"/>
      <c r="I2059" s="74"/>
      <c r="J2059" s="74"/>
      <c r="M2059" s="185"/>
      <c r="N2059" s="185"/>
      <c r="O2059" s="185"/>
      <c r="P2059" s="185"/>
      <c r="Q2059" s="185"/>
      <c r="R2059" s="185"/>
    </row>
    <row r="2060" spans="1:18" s="197" customFormat="1" ht="12.75" x14ac:dyDescent="0.2">
      <c r="A2060" s="181"/>
      <c r="B2060" s="188" t="s">
        <v>4175</v>
      </c>
      <c r="C2060" s="189" t="s">
        <v>124</v>
      </c>
      <c r="D2060" s="189" t="s">
        <v>133</v>
      </c>
      <c r="E2060" s="190" t="s">
        <v>1529</v>
      </c>
      <c r="F2060" s="191">
        <f t="shared" si="34"/>
        <v>272.7</v>
      </c>
      <c r="G2060" s="185"/>
      <c r="H2060" s="181"/>
      <c r="I2060" s="74"/>
      <c r="J2060" s="74"/>
      <c r="M2060" s="185"/>
      <c r="N2060" s="185"/>
      <c r="O2060" s="185"/>
      <c r="P2060" s="185"/>
      <c r="Q2060" s="185"/>
      <c r="R2060" s="185"/>
    </row>
    <row r="2061" spans="1:18" s="197" customFormat="1" ht="12.75" x14ac:dyDescent="0.2">
      <c r="A2061" s="181"/>
      <c r="B2061" s="188" t="s">
        <v>4176</v>
      </c>
      <c r="C2061" s="189" t="s">
        <v>136</v>
      </c>
      <c r="D2061" s="189" t="s">
        <v>131</v>
      </c>
      <c r="E2061" s="190" t="s">
        <v>1921</v>
      </c>
      <c r="F2061" s="191">
        <f t="shared" si="34"/>
        <v>211.93333333333334</v>
      </c>
      <c r="G2061" s="185"/>
      <c r="H2061" s="181"/>
      <c r="I2061" s="74"/>
      <c r="J2061" s="74"/>
      <c r="M2061" s="185"/>
      <c r="N2061" s="185"/>
      <c r="O2061" s="185"/>
      <c r="P2061" s="185"/>
      <c r="Q2061" s="185"/>
      <c r="R2061" s="185"/>
    </row>
    <row r="2062" spans="1:18" s="197" customFormat="1" ht="12.75" x14ac:dyDescent="0.2">
      <c r="A2062" s="181"/>
      <c r="B2062" s="188" t="s">
        <v>4177</v>
      </c>
      <c r="C2062" s="189" t="s">
        <v>130</v>
      </c>
      <c r="D2062" s="189" t="s">
        <v>132</v>
      </c>
      <c r="E2062" s="190" t="s">
        <v>4178</v>
      </c>
      <c r="F2062" s="191">
        <f t="shared" si="34"/>
        <v>226.55</v>
      </c>
      <c r="G2062" s="185"/>
      <c r="H2062" s="181"/>
      <c r="I2062" s="74"/>
      <c r="J2062" s="74"/>
      <c r="M2062" s="185"/>
      <c r="N2062" s="185"/>
      <c r="O2062" s="185"/>
      <c r="P2062" s="185"/>
      <c r="Q2062" s="185"/>
      <c r="R2062" s="185"/>
    </row>
    <row r="2063" spans="1:18" s="197" customFormat="1" ht="12.75" x14ac:dyDescent="0.2">
      <c r="A2063" s="181"/>
      <c r="B2063" s="188" t="s">
        <v>369</v>
      </c>
      <c r="C2063" s="189" t="s">
        <v>126</v>
      </c>
      <c r="D2063" s="189" t="s">
        <v>123</v>
      </c>
      <c r="E2063" s="190" t="s">
        <v>1052</v>
      </c>
      <c r="F2063" s="191">
        <f t="shared" si="34"/>
        <v>235.08333333333334</v>
      </c>
      <c r="G2063" s="185"/>
      <c r="H2063" s="181"/>
      <c r="I2063" s="74"/>
      <c r="J2063" s="74"/>
      <c r="M2063" s="185"/>
      <c r="N2063" s="185"/>
      <c r="O2063" s="185"/>
      <c r="P2063" s="185"/>
      <c r="Q2063" s="185"/>
      <c r="R2063" s="185"/>
    </row>
    <row r="2064" spans="1:18" s="197" customFormat="1" ht="12.75" x14ac:dyDescent="0.2">
      <c r="A2064" s="181"/>
      <c r="B2064" s="188" t="s">
        <v>4179</v>
      </c>
      <c r="C2064" s="189" t="s">
        <v>140</v>
      </c>
      <c r="D2064" s="189" t="s">
        <v>123</v>
      </c>
      <c r="E2064" s="190" t="s">
        <v>4180</v>
      </c>
      <c r="F2064" s="191">
        <f t="shared" si="34"/>
        <v>243.51666666666668</v>
      </c>
      <c r="G2064" s="185"/>
      <c r="H2064" s="181"/>
      <c r="I2064" s="74"/>
      <c r="J2064" s="74"/>
      <c r="M2064" s="185"/>
      <c r="N2064" s="185"/>
      <c r="O2064" s="185"/>
      <c r="P2064" s="185"/>
      <c r="Q2064" s="185"/>
      <c r="R2064" s="185"/>
    </row>
    <row r="2065" spans="1:18" s="197" customFormat="1" ht="12.75" x14ac:dyDescent="0.2">
      <c r="A2065" s="181"/>
      <c r="B2065" s="188" t="s">
        <v>4181</v>
      </c>
      <c r="C2065" s="189" t="s">
        <v>128</v>
      </c>
      <c r="D2065" s="189" t="s">
        <v>152</v>
      </c>
      <c r="E2065" s="190" t="s">
        <v>1617</v>
      </c>
      <c r="F2065" s="191">
        <f t="shared" si="34"/>
        <v>243.63333333333333</v>
      </c>
      <c r="G2065" s="185"/>
      <c r="H2065" s="181"/>
      <c r="I2065" s="74"/>
      <c r="J2065" s="74"/>
      <c r="M2065" s="185"/>
      <c r="N2065" s="185"/>
      <c r="O2065" s="185"/>
      <c r="P2065" s="185"/>
      <c r="Q2065" s="185"/>
      <c r="R2065" s="185"/>
    </row>
    <row r="2066" spans="1:18" s="197" customFormat="1" ht="12.75" x14ac:dyDescent="0.2">
      <c r="A2066" s="181"/>
      <c r="B2066" s="188" t="s">
        <v>4182</v>
      </c>
      <c r="C2066" s="189" t="s">
        <v>128</v>
      </c>
      <c r="D2066" s="189" t="s">
        <v>148</v>
      </c>
      <c r="E2066" s="190" t="s">
        <v>4183</v>
      </c>
      <c r="F2066" s="191">
        <f t="shared" si="34"/>
        <v>249.41666666666666</v>
      </c>
      <c r="G2066" s="185"/>
      <c r="H2066" s="181"/>
      <c r="I2066" s="74"/>
      <c r="J2066" s="74"/>
      <c r="M2066" s="185"/>
      <c r="N2066" s="185"/>
      <c r="O2066" s="185"/>
      <c r="P2066" s="185"/>
      <c r="Q2066" s="185"/>
      <c r="R2066" s="185"/>
    </row>
    <row r="2067" spans="1:18" s="197" customFormat="1" ht="12.75" x14ac:dyDescent="0.2">
      <c r="A2067" s="181"/>
      <c r="B2067" s="188" t="s">
        <v>4184</v>
      </c>
      <c r="C2067" s="189" t="s">
        <v>136</v>
      </c>
      <c r="D2067" s="189" t="s">
        <v>139</v>
      </c>
      <c r="E2067" s="190" t="s">
        <v>4185</v>
      </c>
      <c r="F2067" s="191">
        <f t="shared" si="34"/>
        <v>252</v>
      </c>
      <c r="G2067" s="185"/>
      <c r="H2067" s="181"/>
      <c r="I2067" s="74"/>
      <c r="J2067" s="74"/>
      <c r="M2067" s="185"/>
      <c r="N2067" s="185"/>
      <c r="O2067" s="185"/>
      <c r="P2067" s="185"/>
      <c r="Q2067" s="185"/>
      <c r="R2067" s="185"/>
    </row>
    <row r="2068" spans="1:18" s="197" customFormat="1" ht="12.75" x14ac:dyDescent="0.2">
      <c r="A2068" s="181"/>
      <c r="B2068" s="188" t="s">
        <v>4186</v>
      </c>
      <c r="C2068" s="189" t="s">
        <v>142</v>
      </c>
      <c r="D2068" s="189" t="s">
        <v>123</v>
      </c>
      <c r="E2068" s="190" t="s">
        <v>4187</v>
      </c>
      <c r="F2068" s="191">
        <f t="shared" si="34"/>
        <v>210.65</v>
      </c>
      <c r="G2068" s="185"/>
      <c r="H2068" s="181"/>
      <c r="I2068" s="74"/>
      <c r="J2068" s="74"/>
      <c r="M2068" s="185"/>
      <c r="N2068" s="185"/>
      <c r="O2068" s="185"/>
      <c r="P2068" s="185"/>
      <c r="Q2068" s="185"/>
      <c r="R2068" s="185"/>
    </row>
    <row r="2069" spans="1:18" s="197" customFormat="1" ht="12.75" x14ac:dyDescent="0.2">
      <c r="A2069" s="181"/>
      <c r="B2069" s="188" t="s">
        <v>4188</v>
      </c>
      <c r="C2069" s="189" t="s">
        <v>128</v>
      </c>
      <c r="D2069" s="189" t="s">
        <v>132</v>
      </c>
      <c r="E2069" s="190" t="s">
        <v>4189</v>
      </c>
      <c r="F2069" s="191">
        <f t="shared" si="34"/>
        <v>260.28333333333336</v>
      </c>
      <c r="G2069" s="185"/>
      <c r="H2069" s="181"/>
      <c r="I2069" s="74"/>
      <c r="J2069" s="74"/>
      <c r="M2069" s="185"/>
      <c r="N2069" s="185"/>
      <c r="O2069" s="185"/>
      <c r="P2069" s="185"/>
      <c r="Q2069" s="185"/>
      <c r="R2069" s="185"/>
    </row>
    <row r="2070" spans="1:18" s="197" customFormat="1" ht="12.75" x14ac:dyDescent="0.2">
      <c r="A2070" s="181"/>
      <c r="B2070" s="188" t="s">
        <v>4190</v>
      </c>
      <c r="C2070" s="189" t="s">
        <v>124</v>
      </c>
      <c r="D2070" s="189" t="s">
        <v>123</v>
      </c>
      <c r="E2070" s="190" t="s">
        <v>4191</v>
      </c>
      <c r="F2070" s="191">
        <f t="shared" si="34"/>
        <v>296.88333333333333</v>
      </c>
      <c r="G2070" s="185"/>
      <c r="H2070" s="181"/>
      <c r="I2070" s="74"/>
      <c r="J2070" s="74"/>
      <c r="M2070" s="185"/>
      <c r="N2070" s="185"/>
      <c r="O2070" s="185"/>
      <c r="P2070" s="185"/>
      <c r="Q2070" s="185"/>
      <c r="R2070" s="185"/>
    </row>
    <row r="2071" spans="1:18" s="197" customFormat="1" ht="12.75" x14ac:dyDescent="0.2">
      <c r="A2071" s="181"/>
      <c r="B2071" s="188" t="s">
        <v>3857</v>
      </c>
      <c r="C2071" s="189" t="s">
        <v>124</v>
      </c>
      <c r="D2071" s="189" t="s">
        <v>157</v>
      </c>
      <c r="E2071" s="190" t="s">
        <v>3858</v>
      </c>
      <c r="F2071" s="191">
        <f t="shared" si="34"/>
        <v>222.25</v>
      </c>
      <c r="G2071" s="185"/>
      <c r="H2071" s="181"/>
      <c r="I2071" s="74"/>
      <c r="J2071" s="74"/>
      <c r="M2071" s="185"/>
      <c r="N2071" s="185"/>
      <c r="O2071" s="185"/>
      <c r="P2071" s="185"/>
      <c r="Q2071" s="185"/>
      <c r="R2071" s="185"/>
    </row>
    <row r="2072" spans="1:18" s="197" customFormat="1" ht="12.75" x14ac:dyDescent="0.2">
      <c r="A2072" s="181"/>
      <c r="B2072" s="188" t="s">
        <v>4192</v>
      </c>
      <c r="C2072" s="189" t="s">
        <v>142</v>
      </c>
      <c r="D2072" s="189" t="s">
        <v>144</v>
      </c>
      <c r="E2072" s="190" t="s">
        <v>4193</v>
      </c>
      <c r="F2072" s="191">
        <f t="shared" si="34"/>
        <v>264.5</v>
      </c>
      <c r="G2072" s="185"/>
      <c r="H2072" s="181"/>
      <c r="I2072" s="74"/>
      <c r="J2072" s="74"/>
      <c r="M2072" s="185"/>
      <c r="N2072" s="185"/>
      <c r="O2072" s="185"/>
      <c r="P2072" s="185"/>
      <c r="Q2072" s="185"/>
      <c r="R2072" s="185"/>
    </row>
    <row r="2073" spans="1:18" s="197" customFormat="1" ht="12.75" x14ac:dyDescent="0.2">
      <c r="A2073" s="181"/>
      <c r="B2073" s="188" t="s">
        <v>4194</v>
      </c>
      <c r="C2073" s="189" t="s">
        <v>125</v>
      </c>
      <c r="D2073" s="189" t="s">
        <v>127</v>
      </c>
      <c r="E2073" s="190" t="s">
        <v>4195</v>
      </c>
      <c r="F2073" s="191">
        <f t="shared" si="34"/>
        <v>272.88333333333333</v>
      </c>
      <c r="G2073" s="185"/>
      <c r="H2073" s="181"/>
      <c r="I2073" s="74"/>
      <c r="J2073" s="74"/>
      <c r="M2073" s="185"/>
      <c r="N2073" s="185"/>
      <c r="O2073" s="185"/>
      <c r="P2073" s="185"/>
      <c r="Q2073" s="185"/>
      <c r="R2073" s="185"/>
    </row>
    <row r="2074" spans="1:18" s="197" customFormat="1" ht="12.75" x14ac:dyDescent="0.2">
      <c r="A2074" s="181"/>
      <c r="B2074" s="188" t="s">
        <v>4196</v>
      </c>
      <c r="C2074" s="189" t="s">
        <v>124</v>
      </c>
      <c r="D2074" s="189" t="s">
        <v>123</v>
      </c>
      <c r="E2074" s="190" t="s">
        <v>4197</v>
      </c>
      <c r="F2074" s="191">
        <f t="shared" si="34"/>
        <v>299.03333333333336</v>
      </c>
      <c r="G2074" s="185"/>
      <c r="H2074" s="181"/>
      <c r="I2074" s="74"/>
      <c r="J2074" s="74"/>
      <c r="M2074" s="185"/>
      <c r="N2074" s="185"/>
      <c r="O2074" s="185"/>
      <c r="P2074" s="185"/>
      <c r="Q2074" s="185"/>
      <c r="R2074" s="185"/>
    </row>
    <row r="2075" spans="1:18" s="197" customFormat="1" ht="12.75" x14ac:dyDescent="0.2">
      <c r="A2075" s="181"/>
      <c r="B2075" s="188" t="s">
        <v>4198</v>
      </c>
      <c r="C2075" s="189" t="s">
        <v>124</v>
      </c>
      <c r="D2075" s="189" t="s">
        <v>148</v>
      </c>
      <c r="E2075" s="190" t="s">
        <v>1271</v>
      </c>
      <c r="F2075" s="191">
        <f t="shared" si="34"/>
        <v>172.11666666666667</v>
      </c>
      <c r="G2075" s="185"/>
      <c r="H2075" s="181"/>
      <c r="I2075" s="74"/>
      <c r="J2075" s="74"/>
      <c r="M2075" s="185"/>
      <c r="N2075" s="185"/>
      <c r="O2075" s="185"/>
      <c r="P2075" s="185"/>
      <c r="Q2075" s="185"/>
      <c r="R2075" s="185"/>
    </row>
    <row r="2076" spans="1:18" s="197" customFormat="1" ht="12.75" x14ac:dyDescent="0.2">
      <c r="A2076" s="181"/>
      <c r="B2076" s="188" t="s">
        <v>4199</v>
      </c>
      <c r="C2076" s="189" t="s">
        <v>135</v>
      </c>
      <c r="D2076" s="189" t="s">
        <v>123</v>
      </c>
      <c r="E2076" s="190" t="s">
        <v>4200</v>
      </c>
      <c r="F2076" s="191">
        <f t="shared" si="34"/>
        <v>223.73333333333332</v>
      </c>
      <c r="G2076" s="185"/>
      <c r="H2076" s="181"/>
      <c r="I2076" s="74"/>
      <c r="J2076" s="74"/>
      <c r="M2076" s="185"/>
      <c r="N2076" s="185"/>
      <c r="O2076" s="185"/>
      <c r="P2076" s="185"/>
      <c r="Q2076" s="185"/>
      <c r="R2076" s="185"/>
    </row>
    <row r="2077" spans="1:18" s="197" customFormat="1" ht="12.75" x14ac:dyDescent="0.2">
      <c r="A2077" s="181"/>
      <c r="B2077" s="188" t="s">
        <v>4201</v>
      </c>
      <c r="C2077" s="189" t="s">
        <v>140</v>
      </c>
      <c r="D2077" s="189" t="s">
        <v>123</v>
      </c>
      <c r="E2077" s="190" t="s">
        <v>4202</v>
      </c>
      <c r="F2077" s="191">
        <f t="shared" si="34"/>
        <v>236.28333333333333</v>
      </c>
      <c r="G2077" s="185"/>
      <c r="H2077" s="181"/>
      <c r="I2077" s="74"/>
      <c r="J2077" s="74"/>
      <c r="M2077" s="185"/>
      <c r="N2077" s="185"/>
      <c r="O2077" s="185"/>
      <c r="P2077" s="185"/>
      <c r="Q2077" s="185"/>
      <c r="R2077" s="185"/>
    </row>
    <row r="2078" spans="1:18" s="197" customFormat="1" ht="12.75" x14ac:dyDescent="0.2">
      <c r="A2078" s="181"/>
      <c r="B2078" s="188" t="s">
        <v>4203</v>
      </c>
      <c r="C2078" s="189" t="s">
        <v>126</v>
      </c>
      <c r="D2078" s="189" t="s">
        <v>132</v>
      </c>
      <c r="E2078" s="190" t="s">
        <v>4204</v>
      </c>
      <c r="F2078" s="191">
        <f t="shared" si="34"/>
        <v>174.71666666666667</v>
      </c>
      <c r="G2078" s="185"/>
      <c r="H2078" s="181"/>
      <c r="I2078" s="74"/>
      <c r="J2078" s="74"/>
      <c r="M2078" s="185"/>
      <c r="N2078" s="185"/>
      <c r="O2078" s="185"/>
      <c r="P2078" s="185"/>
      <c r="Q2078" s="185"/>
      <c r="R2078" s="185"/>
    </row>
    <row r="2079" spans="1:18" s="197" customFormat="1" ht="12.75" x14ac:dyDescent="0.2">
      <c r="A2079" s="181"/>
      <c r="B2079" s="188" t="s">
        <v>4205</v>
      </c>
      <c r="C2079" s="189" t="s">
        <v>126</v>
      </c>
      <c r="D2079" s="189" t="s">
        <v>123</v>
      </c>
      <c r="E2079" s="190" t="s">
        <v>3392</v>
      </c>
      <c r="F2079" s="191">
        <f t="shared" si="34"/>
        <v>250.15</v>
      </c>
      <c r="G2079" s="185"/>
      <c r="H2079" s="181"/>
      <c r="I2079" s="74"/>
      <c r="J2079" s="74"/>
      <c r="M2079" s="185"/>
      <c r="N2079" s="185"/>
      <c r="O2079" s="185"/>
      <c r="P2079" s="185"/>
      <c r="Q2079" s="185"/>
      <c r="R2079" s="185"/>
    </row>
    <row r="2080" spans="1:18" s="197" customFormat="1" ht="12.75" x14ac:dyDescent="0.2">
      <c r="A2080" s="181"/>
      <c r="B2080" s="188" t="s">
        <v>4206</v>
      </c>
      <c r="C2080" s="189" t="s">
        <v>126</v>
      </c>
      <c r="D2080" s="189" t="s">
        <v>123</v>
      </c>
      <c r="E2080" s="190" t="s">
        <v>1905</v>
      </c>
      <c r="F2080" s="191">
        <f t="shared" si="34"/>
        <v>226.66666666666666</v>
      </c>
      <c r="G2080" s="185"/>
      <c r="H2080" s="181"/>
      <c r="I2080" s="74"/>
      <c r="J2080" s="74"/>
      <c r="M2080" s="185"/>
      <c r="N2080" s="185"/>
      <c r="O2080" s="185"/>
      <c r="P2080" s="185"/>
      <c r="Q2080" s="185"/>
      <c r="R2080" s="185"/>
    </row>
    <row r="2081" spans="1:18" s="197" customFormat="1" ht="12.75" x14ac:dyDescent="0.2">
      <c r="A2081" s="181"/>
      <c r="B2081" s="188" t="s">
        <v>341</v>
      </c>
      <c r="C2081" s="189" t="s">
        <v>125</v>
      </c>
      <c r="D2081" s="189" t="s">
        <v>123</v>
      </c>
      <c r="E2081" s="190" t="s">
        <v>2837</v>
      </c>
      <c r="F2081" s="191">
        <f t="shared" si="34"/>
        <v>298.06666666666666</v>
      </c>
      <c r="G2081" s="185"/>
      <c r="H2081" s="181"/>
      <c r="I2081" s="74"/>
      <c r="J2081" s="74"/>
      <c r="M2081" s="185"/>
      <c r="N2081" s="185"/>
      <c r="O2081" s="185"/>
      <c r="P2081" s="185"/>
      <c r="Q2081" s="185"/>
      <c r="R2081" s="185"/>
    </row>
    <row r="2082" spans="1:18" s="197" customFormat="1" ht="12.75" x14ac:dyDescent="0.2">
      <c r="A2082" s="181"/>
      <c r="B2082" s="188" t="s">
        <v>4207</v>
      </c>
      <c r="C2082" s="189" t="s">
        <v>126</v>
      </c>
      <c r="D2082" s="189" t="s">
        <v>155</v>
      </c>
      <c r="E2082" s="190" t="s">
        <v>4208</v>
      </c>
      <c r="F2082" s="191">
        <f t="shared" si="34"/>
        <v>241.35</v>
      </c>
      <c r="G2082" s="185"/>
      <c r="H2082" s="181"/>
      <c r="I2082" s="74"/>
      <c r="J2082" s="74"/>
      <c r="M2082" s="185"/>
      <c r="N2082" s="185"/>
      <c r="O2082" s="185"/>
      <c r="P2082" s="185"/>
      <c r="Q2082" s="185"/>
      <c r="R2082" s="185"/>
    </row>
    <row r="2083" spans="1:18" s="197" customFormat="1" ht="12.75" x14ac:dyDescent="0.2">
      <c r="A2083" s="181"/>
      <c r="B2083" s="188" t="s">
        <v>4209</v>
      </c>
      <c r="C2083" s="189" t="s">
        <v>130</v>
      </c>
      <c r="D2083" s="189" t="s">
        <v>123</v>
      </c>
      <c r="E2083" s="190" t="s">
        <v>4210</v>
      </c>
      <c r="F2083" s="191">
        <f t="shared" si="34"/>
        <v>289.96666666666664</v>
      </c>
      <c r="G2083" s="185"/>
      <c r="H2083" s="181"/>
      <c r="I2083" s="74"/>
      <c r="J2083" s="74"/>
      <c r="M2083" s="185"/>
      <c r="N2083" s="185"/>
      <c r="O2083" s="185"/>
      <c r="P2083" s="185"/>
      <c r="Q2083" s="185"/>
      <c r="R2083" s="185"/>
    </row>
    <row r="2084" spans="1:18" s="197" customFormat="1" ht="12.75" x14ac:dyDescent="0.2">
      <c r="A2084" s="181"/>
      <c r="B2084" s="188" t="s">
        <v>3911</v>
      </c>
      <c r="C2084" s="189" t="s">
        <v>142</v>
      </c>
      <c r="D2084" s="189" t="s">
        <v>123</v>
      </c>
      <c r="E2084" s="190" t="s">
        <v>3912</v>
      </c>
      <c r="F2084" s="191">
        <f t="shared" si="34"/>
        <v>221.73333333333332</v>
      </c>
      <c r="G2084" s="185"/>
      <c r="H2084" s="181"/>
      <c r="I2084" s="74"/>
      <c r="J2084" s="74"/>
      <c r="M2084" s="185"/>
      <c r="N2084" s="185"/>
      <c r="O2084" s="185"/>
      <c r="P2084" s="185"/>
      <c r="Q2084" s="185"/>
      <c r="R2084" s="185"/>
    </row>
    <row r="2085" spans="1:18" s="197" customFormat="1" ht="12.75" x14ac:dyDescent="0.2">
      <c r="A2085" s="181"/>
      <c r="B2085" s="188" t="s">
        <v>4211</v>
      </c>
      <c r="C2085" s="189" t="s">
        <v>130</v>
      </c>
      <c r="D2085" s="189" t="s">
        <v>123</v>
      </c>
      <c r="E2085" s="190" t="s">
        <v>4212</v>
      </c>
      <c r="F2085" s="191">
        <f t="shared" si="34"/>
        <v>282.64999999999998</v>
      </c>
      <c r="G2085" s="185"/>
      <c r="H2085" s="181"/>
      <c r="I2085" s="74"/>
      <c r="J2085" s="74"/>
      <c r="M2085" s="185"/>
      <c r="N2085" s="185"/>
      <c r="O2085" s="185"/>
      <c r="P2085" s="185"/>
      <c r="Q2085" s="185"/>
      <c r="R2085" s="185"/>
    </row>
    <row r="2086" spans="1:18" s="197" customFormat="1" ht="12.75" x14ac:dyDescent="0.2">
      <c r="A2086" s="181"/>
      <c r="B2086" s="188" t="s">
        <v>4213</v>
      </c>
      <c r="C2086" s="189" t="s">
        <v>126</v>
      </c>
      <c r="D2086" s="189" t="s">
        <v>123</v>
      </c>
      <c r="E2086" s="190" t="s">
        <v>4214</v>
      </c>
      <c r="F2086" s="191">
        <f t="shared" si="34"/>
        <v>290.36666666666667</v>
      </c>
      <c r="G2086" s="185"/>
      <c r="H2086" s="181"/>
      <c r="I2086" s="74"/>
      <c r="J2086" s="74"/>
      <c r="M2086" s="185"/>
      <c r="N2086" s="185"/>
      <c r="O2086" s="185"/>
      <c r="P2086" s="185"/>
      <c r="Q2086" s="185"/>
      <c r="R2086" s="185"/>
    </row>
    <row r="2087" spans="1:18" s="197" customFormat="1" ht="12.75" x14ac:dyDescent="0.2">
      <c r="A2087" s="181"/>
      <c r="B2087" s="188" t="s">
        <v>3081</v>
      </c>
      <c r="C2087" s="189" t="s">
        <v>128</v>
      </c>
      <c r="D2087" s="189" t="s">
        <v>149</v>
      </c>
      <c r="E2087" s="190" t="s">
        <v>3082</v>
      </c>
      <c r="F2087" s="191">
        <f t="shared" si="34"/>
        <v>303.16666666666669</v>
      </c>
      <c r="G2087" s="185"/>
      <c r="H2087" s="181"/>
      <c r="I2087" s="74"/>
      <c r="J2087" s="74"/>
      <c r="M2087" s="185"/>
      <c r="N2087" s="185"/>
      <c r="O2087" s="185"/>
      <c r="P2087" s="185"/>
      <c r="Q2087" s="185"/>
      <c r="R2087" s="185"/>
    </row>
    <row r="2088" spans="1:18" s="197" customFormat="1" ht="12.75" x14ac:dyDescent="0.2">
      <c r="A2088" s="181"/>
      <c r="B2088" s="188" t="s">
        <v>4215</v>
      </c>
      <c r="C2088" s="189" t="s">
        <v>134</v>
      </c>
      <c r="D2088" s="189" t="s">
        <v>123</v>
      </c>
      <c r="E2088" s="190" t="s">
        <v>4216</v>
      </c>
      <c r="F2088" s="191">
        <f t="shared" si="34"/>
        <v>311.8</v>
      </c>
      <c r="G2088" s="185"/>
      <c r="H2088" s="181"/>
      <c r="I2088" s="74"/>
      <c r="J2088" s="74"/>
      <c r="M2088" s="185"/>
      <c r="N2088" s="185"/>
      <c r="O2088" s="185"/>
      <c r="P2088" s="185"/>
      <c r="Q2088" s="185"/>
      <c r="R2088" s="185"/>
    </row>
    <row r="2089" spans="1:18" s="197" customFormat="1" ht="12.75" x14ac:dyDescent="0.2">
      <c r="A2089" s="181"/>
      <c r="B2089" s="188" t="s">
        <v>639</v>
      </c>
      <c r="C2089" s="189" t="s">
        <v>125</v>
      </c>
      <c r="D2089" s="189" t="s">
        <v>123</v>
      </c>
      <c r="E2089" s="190" t="s">
        <v>1093</v>
      </c>
      <c r="F2089" s="191">
        <f t="shared" si="34"/>
        <v>229.11666666666667</v>
      </c>
      <c r="G2089" s="185"/>
      <c r="H2089" s="181"/>
      <c r="I2089" s="74"/>
      <c r="J2089" s="74"/>
      <c r="M2089" s="185"/>
      <c r="N2089" s="185"/>
      <c r="O2089" s="185"/>
      <c r="P2089" s="185"/>
      <c r="Q2089" s="185"/>
      <c r="R2089" s="185"/>
    </row>
    <row r="2090" spans="1:18" s="197" customFormat="1" ht="12.75" x14ac:dyDescent="0.2">
      <c r="A2090" s="181"/>
      <c r="B2090" s="188" t="s">
        <v>4217</v>
      </c>
      <c r="C2090" s="189" t="s">
        <v>134</v>
      </c>
      <c r="D2090" s="189" t="s">
        <v>123</v>
      </c>
      <c r="E2090" s="190" t="s">
        <v>4218</v>
      </c>
      <c r="F2090" s="191">
        <f t="shared" si="34"/>
        <v>251.21666666666667</v>
      </c>
      <c r="G2090" s="185"/>
      <c r="H2090" s="181"/>
      <c r="I2090" s="74"/>
      <c r="J2090" s="74"/>
      <c r="M2090" s="185"/>
      <c r="N2090" s="185"/>
      <c r="O2090" s="185"/>
      <c r="P2090" s="185"/>
      <c r="Q2090" s="185"/>
      <c r="R2090" s="185"/>
    </row>
    <row r="2091" spans="1:18" s="197" customFormat="1" ht="12.75" x14ac:dyDescent="0.2">
      <c r="A2091" s="181"/>
      <c r="B2091" s="188" t="s">
        <v>4219</v>
      </c>
      <c r="C2091" s="189" t="s">
        <v>135</v>
      </c>
      <c r="D2091" s="189" t="s">
        <v>129</v>
      </c>
      <c r="E2091" s="190" t="s">
        <v>4220</v>
      </c>
      <c r="F2091" s="191">
        <f t="shared" si="34"/>
        <v>189.21666666666667</v>
      </c>
      <c r="G2091" s="185"/>
      <c r="H2091" s="181"/>
      <c r="I2091" s="74"/>
      <c r="J2091" s="74"/>
      <c r="M2091" s="185"/>
      <c r="N2091" s="185"/>
      <c r="O2091" s="185"/>
      <c r="P2091" s="185"/>
      <c r="Q2091" s="185"/>
      <c r="R2091" s="185"/>
    </row>
    <row r="2092" spans="1:18" s="197" customFormat="1" ht="12.75" x14ac:dyDescent="0.2">
      <c r="A2092" s="181"/>
      <c r="B2092" s="188" t="s">
        <v>4221</v>
      </c>
      <c r="C2092" s="189" t="s">
        <v>136</v>
      </c>
      <c r="D2092" s="189" t="s">
        <v>131</v>
      </c>
      <c r="E2092" s="190" t="s">
        <v>4222</v>
      </c>
      <c r="F2092" s="191">
        <f t="shared" si="34"/>
        <v>262.31666666666666</v>
      </c>
      <c r="G2092" s="185"/>
      <c r="H2092" s="181"/>
      <c r="I2092" s="74"/>
      <c r="J2092" s="74"/>
      <c r="M2092" s="185"/>
      <c r="N2092" s="185"/>
      <c r="O2092" s="185"/>
      <c r="P2092" s="185"/>
      <c r="Q2092" s="185"/>
      <c r="R2092" s="185"/>
    </row>
    <row r="2093" spans="1:18" s="197" customFormat="1" ht="12.75" x14ac:dyDescent="0.2">
      <c r="A2093" s="181"/>
      <c r="B2093" s="188" t="s">
        <v>4223</v>
      </c>
      <c r="C2093" s="189" t="s">
        <v>124</v>
      </c>
      <c r="D2093" s="189" t="s">
        <v>141</v>
      </c>
      <c r="E2093" s="190" t="s">
        <v>2000</v>
      </c>
      <c r="F2093" s="191">
        <f t="shared" si="34"/>
        <v>242.26666666666668</v>
      </c>
      <c r="G2093" s="185"/>
      <c r="H2093" s="181"/>
      <c r="I2093" s="74"/>
      <c r="J2093" s="74"/>
      <c r="M2093" s="185"/>
      <c r="N2093" s="185"/>
      <c r="O2093" s="185"/>
      <c r="P2093" s="185"/>
      <c r="Q2093" s="185"/>
      <c r="R2093" s="185"/>
    </row>
    <row r="2094" spans="1:18" s="197" customFormat="1" ht="12.75" x14ac:dyDescent="0.2">
      <c r="A2094" s="181"/>
      <c r="B2094" s="188" t="s">
        <v>4224</v>
      </c>
      <c r="C2094" s="189" t="s">
        <v>130</v>
      </c>
      <c r="D2094" s="189" t="s">
        <v>123</v>
      </c>
      <c r="E2094" s="190" t="s">
        <v>4225</v>
      </c>
      <c r="F2094" s="191">
        <f t="shared" si="34"/>
        <v>297.01666666666665</v>
      </c>
      <c r="G2094" s="185"/>
      <c r="H2094" s="181"/>
      <c r="I2094" s="74"/>
      <c r="J2094" s="74"/>
      <c r="M2094" s="185"/>
      <c r="N2094" s="185"/>
      <c r="O2094" s="185"/>
      <c r="P2094" s="185"/>
      <c r="Q2094" s="185"/>
      <c r="R2094" s="185"/>
    </row>
    <row r="2095" spans="1:18" s="197" customFormat="1" ht="12.75" x14ac:dyDescent="0.2">
      <c r="A2095" s="181"/>
      <c r="B2095" s="188" t="s">
        <v>4226</v>
      </c>
      <c r="C2095" s="189" t="s">
        <v>128</v>
      </c>
      <c r="D2095" s="189" t="s">
        <v>123</v>
      </c>
      <c r="E2095" s="190" t="s">
        <v>4227</v>
      </c>
      <c r="F2095" s="191">
        <f t="shared" si="34"/>
        <v>224.75</v>
      </c>
      <c r="G2095" s="185"/>
      <c r="H2095" s="181"/>
      <c r="I2095" s="74"/>
      <c r="J2095" s="74"/>
      <c r="M2095" s="185"/>
      <c r="N2095" s="185"/>
      <c r="O2095" s="185"/>
      <c r="P2095" s="185"/>
      <c r="Q2095" s="185"/>
      <c r="R2095" s="185"/>
    </row>
    <row r="2096" spans="1:18" s="197" customFormat="1" ht="12.75" x14ac:dyDescent="0.2">
      <c r="A2096" s="181"/>
      <c r="B2096" s="188" t="s">
        <v>4228</v>
      </c>
      <c r="C2096" s="189" t="s">
        <v>125</v>
      </c>
      <c r="D2096" s="189" t="s">
        <v>123</v>
      </c>
      <c r="E2096" s="190" t="s">
        <v>4229</v>
      </c>
      <c r="F2096" s="191">
        <f t="shared" si="34"/>
        <v>266.21666666666664</v>
      </c>
      <c r="G2096" s="185"/>
      <c r="H2096" s="181"/>
      <c r="I2096" s="74"/>
      <c r="J2096" s="74"/>
      <c r="M2096" s="185"/>
      <c r="N2096" s="185"/>
      <c r="O2096" s="185"/>
      <c r="P2096" s="185"/>
      <c r="Q2096" s="185"/>
      <c r="R2096" s="185"/>
    </row>
    <row r="2097" spans="1:18" s="197" customFormat="1" ht="12.75" x14ac:dyDescent="0.2">
      <c r="A2097" s="181"/>
      <c r="B2097" s="188" t="s">
        <v>4230</v>
      </c>
      <c r="C2097" s="189" t="s">
        <v>130</v>
      </c>
      <c r="D2097" s="189" t="s">
        <v>123</v>
      </c>
      <c r="E2097" s="190" t="s">
        <v>1337</v>
      </c>
      <c r="F2097" s="191">
        <f t="shared" si="34"/>
        <v>301.05</v>
      </c>
      <c r="G2097" s="185"/>
      <c r="H2097" s="181"/>
      <c r="I2097" s="74"/>
      <c r="J2097" s="74"/>
      <c r="M2097" s="185"/>
      <c r="N2097" s="185"/>
      <c r="O2097" s="185"/>
      <c r="P2097" s="185"/>
      <c r="Q2097" s="185"/>
      <c r="R2097" s="185"/>
    </row>
    <row r="2098" spans="1:18" s="197" customFormat="1" ht="12.75" x14ac:dyDescent="0.2">
      <c r="A2098" s="181"/>
      <c r="B2098" s="188" t="s">
        <v>4231</v>
      </c>
      <c r="C2098" s="189" t="s">
        <v>128</v>
      </c>
      <c r="D2098" s="189" t="s">
        <v>131</v>
      </c>
      <c r="E2098" s="190" t="s">
        <v>4232</v>
      </c>
      <c r="F2098" s="191">
        <f t="shared" si="34"/>
        <v>311.73333333333335</v>
      </c>
      <c r="G2098" s="185"/>
      <c r="H2098" s="181"/>
      <c r="I2098" s="74"/>
      <c r="J2098" s="74"/>
      <c r="M2098" s="185"/>
      <c r="N2098" s="185"/>
      <c r="O2098" s="185"/>
      <c r="P2098" s="185"/>
      <c r="Q2098" s="185"/>
      <c r="R2098" s="185"/>
    </row>
    <row r="2099" spans="1:18" s="197" customFormat="1" ht="12.75" x14ac:dyDescent="0.2">
      <c r="A2099" s="181"/>
      <c r="B2099" s="188" t="s">
        <v>4233</v>
      </c>
      <c r="C2099" s="189" t="s">
        <v>249</v>
      </c>
      <c r="D2099" s="189" t="s">
        <v>123</v>
      </c>
      <c r="E2099" s="190" t="s">
        <v>4234</v>
      </c>
      <c r="F2099" s="191">
        <f t="shared" si="34"/>
        <v>230.86666666666667</v>
      </c>
      <c r="G2099" s="185"/>
      <c r="H2099" s="181"/>
      <c r="I2099" s="74"/>
      <c r="J2099" s="74"/>
      <c r="M2099" s="185"/>
      <c r="N2099" s="185"/>
      <c r="O2099" s="185"/>
      <c r="P2099" s="185"/>
      <c r="Q2099" s="185"/>
      <c r="R2099" s="185"/>
    </row>
    <row r="2100" spans="1:18" s="197" customFormat="1" ht="12.75" x14ac:dyDescent="0.2">
      <c r="A2100" s="181"/>
      <c r="B2100" s="188" t="s">
        <v>4235</v>
      </c>
      <c r="C2100" s="189" t="s">
        <v>126</v>
      </c>
      <c r="D2100" s="189" t="s">
        <v>123</v>
      </c>
      <c r="E2100" s="190" t="s">
        <v>4236</v>
      </c>
      <c r="F2100" s="191">
        <f t="shared" si="34"/>
        <v>261.64999999999998</v>
      </c>
      <c r="G2100" s="185"/>
      <c r="H2100" s="181"/>
      <c r="I2100" s="74"/>
      <c r="J2100" s="74"/>
      <c r="M2100" s="185"/>
      <c r="N2100" s="185"/>
      <c r="O2100" s="185"/>
      <c r="P2100" s="185"/>
      <c r="Q2100" s="185"/>
      <c r="R2100" s="185"/>
    </row>
    <row r="2101" spans="1:18" s="197" customFormat="1" ht="12.75" x14ac:dyDescent="0.2">
      <c r="A2101" s="181"/>
      <c r="B2101" s="188" t="s">
        <v>4237</v>
      </c>
      <c r="C2101" s="189" t="s">
        <v>128</v>
      </c>
      <c r="D2101" s="189" t="s">
        <v>139</v>
      </c>
      <c r="E2101" s="190" t="s">
        <v>4238</v>
      </c>
      <c r="F2101" s="191">
        <f t="shared" si="34"/>
        <v>229.46666666666667</v>
      </c>
      <c r="G2101" s="185"/>
      <c r="H2101" s="181"/>
      <c r="I2101" s="74"/>
      <c r="J2101" s="74"/>
      <c r="M2101" s="185"/>
      <c r="N2101" s="185"/>
      <c r="O2101" s="185"/>
      <c r="P2101" s="185"/>
      <c r="Q2101" s="185"/>
      <c r="R2101" s="185"/>
    </row>
    <row r="2102" spans="1:18" s="197" customFormat="1" ht="12.75" x14ac:dyDescent="0.2">
      <c r="A2102" s="181"/>
      <c r="B2102" s="188" t="s">
        <v>4239</v>
      </c>
      <c r="C2102" s="189" t="s">
        <v>126</v>
      </c>
      <c r="D2102" s="189" t="s">
        <v>123</v>
      </c>
      <c r="E2102" s="190" t="s">
        <v>1990</v>
      </c>
      <c r="F2102" s="191">
        <f t="shared" si="34"/>
        <v>242.93333333333334</v>
      </c>
      <c r="G2102" s="185"/>
      <c r="H2102" s="181"/>
      <c r="I2102" s="74"/>
      <c r="J2102" s="74"/>
      <c r="M2102" s="185"/>
      <c r="N2102" s="185"/>
      <c r="O2102" s="185"/>
      <c r="P2102" s="185"/>
      <c r="Q2102" s="185"/>
      <c r="R2102" s="185"/>
    </row>
    <row r="2103" spans="1:18" s="197" customFormat="1" ht="12.75" x14ac:dyDescent="0.2">
      <c r="A2103" s="181"/>
      <c r="B2103" s="188" t="s">
        <v>590</v>
      </c>
      <c r="C2103" s="189" t="s">
        <v>125</v>
      </c>
      <c r="D2103" s="189" t="s">
        <v>123</v>
      </c>
      <c r="E2103" s="190" t="s">
        <v>4240</v>
      </c>
      <c r="F2103" s="191">
        <f t="shared" si="34"/>
        <v>250.06666666666666</v>
      </c>
      <c r="G2103" s="185"/>
      <c r="H2103" s="181"/>
      <c r="I2103" s="74"/>
      <c r="J2103" s="74"/>
      <c r="M2103" s="185"/>
      <c r="N2103" s="185"/>
      <c r="O2103" s="185"/>
      <c r="P2103" s="185"/>
      <c r="Q2103" s="185"/>
      <c r="R2103" s="185"/>
    </row>
    <row r="2104" spans="1:18" s="197" customFormat="1" ht="12.75" x14ac:dyDescent="0.2">
      <c r="A2104" s="181"/>
      <c r="B2104" s="188" t="s">
        <v>4241</v>
      </c>
      <c r="C2104" s="189" t="s">
        <v>134</v>
      </c>
      <c r="D2104" s="189" t="s">
        <v>127</v>
      </c>
      <c r="E2104" s="190" t="s">
        <v>3485</v>
      </c>
      <c r="F2104" s="191">
        <f t="shared" si="34"/>
        <v>234.33333333333334</v>
      </c>
      <c r="G2104" s="185"/>
      <c r="H2104" s="181"/>
      <c r="I2104" s="74"/>
      <c r="J2104" s="74"/>
      <c r="M2104" s="185"/>
      <c r="N2104" s="185"/>
      <c r="O2104" s="185"/>
      <c r="P2104" s="185"/>
      <c r="Q2104" s="185"/>
      <c r="R2104" s="185"/>
    </row>
    <row r="2105" spans="1:18" s="197" customFormat="1" ht="12.75" x14ac:dyDescent="0.2">
      <c r="A2105" s="181"/>
      <c r="B2105" s="188" t="s">
        <v>4242</v>
      </c>
      <c r="C2105" s="189" t="s">
        <v>142</v>
      </c>
      <c r="D2105" s="189" t="s">
        <v>132</v>
      </c>
      <c r="E2105" s="190" t="s">
        <v>4243</v>
      </c>
      <c r="F2105" s="191">
        <f t="shared" si="34"/>
        <v>284.78333333333336</v>
      </c>
      <c r="G2105" s="185"/>
      <c r="H2105" s="181"/>
      <c r="I2105" s="74"/>
      <c r="J2105" s="74"/>
      <c r="M2105" s="185"/>
      <c r="N2105" s="185"/>
      <c r="O2105" s="185"/>
      <c r="P2105" s="185"/>
      <c r="Q2105" s="185"/>
      <c r="R2105" s="185"/>
    </row>
    <row r="2106" spans="1:18" s="197" customFormat="1" ht="12.75" x14ac:dyDescent="0.2">
      <c r="A2106" s="181"/>
      <c r="B2106" s="188" t="s">
        <v>290</v>
      </c>
      <c r="C2106" s="189" t="s">
        <v>125</v>
      </c>
      <c r="D2106" s="189" t="s">
        <v>123</v>
      </c>
      <c r="E2106" s="190" t="s">
        <v>4244</v>
      </c>
      <c r="F2106" s="191">
        <f t="shared" si="34"/>
        <v>274.16666666666669</v>
      </c>
      <c r="G2106" s="185"/>
      <c r="H2106" s="181"/>
      <c r="I2106" s="74"/>
      <c r="J2106" s="74"/>
      <c r="M2106" s="185"/>
      <c r="N2106" s="185"/>
      <c r="O2106" s="185"/>
      <c r="P2106" s="185"/>
      <c r="Q2106" s="185"/>
      <c r="R2106" s="185"/>
    </row>
    <row r="2107" spans="1:18" s="197" customFormat="1" ht="12.75" x14ac:dyDescent="0.2">
      <c r="A2107" s="181"/>
      <c r="B2107" s="188" t="s">
        <v>4245</v>
      </c>
      <c r="C2107" s="189" t="s">
        <v>134</v>
      </c>
      <c r="D2107" s="189" t="s">
        <v>123</v>
      </c>
      <c r="E2107" s="190" t="s">
        <v>4246</v>
      </c>
      <c r="F2107" s="191">
        <f t="shared" si="34"/>
        <v>251.31666666666666</v>
      </c>
      <c r="G2107" s="185"/>
      <c r="H2107" s="181"/>
      <c r="I2107" s="74"/>
      <c r="J2107" s="74"/>
      <c r="M2107" s="185"/>
      <c r="N2107" s="185"/>
      <c r="O2107" s="185"/>
      <c r="P2107" s="185"/>
      <c r="Q2107" s="185"/>
      <c r="R2107" s="185"/>
    </row>
    <row r="2108" spans="1:18" s="197" customFormat="1" ht="12.75" x14ac:dyDescent="0.2">
      <c r="A2108" s="181"/>
      <c r="B2108" s="188" t="s">
        <v>4247</v>
      </c>
      <c r="C2108" s="189" t="s">
        <v>126</v>
      </c>
      <c r="D2108" s="189" t="s">
        <v>123</v>
      </c>
      <c r="E2108" s="190" t="s">
        <v>1133</v>
      </c>
      <c r="F2108" s="191">
        <f t="shared" si="34"/>
        <v>213.26666666666668</v>
      </c>
      <c r="G2108" s="185"/>
      <c r="H2108" s="181"/>
      <c r="I2108" s="74"/>
      <c r="J2108" s="74"/>
      <c r="M2108" s="185"/>
      <c r="N2108" s="185"/>
      <c r="O2108" s="185"/>
      <c r="P2108" s="185"/>
      <c r="Q2108" s="185"/>
      <c r="R2108" s="185"/>
    </row>
    <row r="2109" spans="1:18" s="197" customFormat="1" ht="12.75" x14ac:dyDescent="0.2">
      <c r="A2109" s="181"/>
      <c r="B2109" s="188" t="s">
        <v>4248</v>
      </c>
      <c r="C2109" s="189" t="s">
        <v>134</v>
      </c>
      <c r="D2109" s="189" t="s">
        <v>123</v>
      </c>
      <c r="E2109" s="190" t="s">
        <v>4249</v>
      </c>
      <c r="F2109" s="191">
        <f t="shared" si="34"/>
        <v>293.63333333333333</v>
      </c>
      <c r="G2109" s="185"/>
      <c r="H2109" s="181"/>
      <c r="I2109" s="74"/>
      <c r="J2109" s="74"/>
      <c r="M2109" s="185"/>
      <c r="N2109" s="185"/>
      <c r="O2109" s="185"/>
      <c r="P2109" s="185"/>
      <c r="Q2109" s="185"/>
      <c r="R2109" s="185"/>
    </row>
    <row r="2110" spans="1:18" s="197" customFormat="1" ht="12.75" x14ac:dyDescent="0.2">
      <c r="A2110" s="181"/>
      <c r="B2110" s="188" t="s">
        <v>4250</v>
      </c>
      <c r="C2110" s="189" t="s">
        <v>130</v>
      </c>
      <c r="D2110" s="189" t="s">
        <v>123</v>
      </c>
      <c r="E2110" s="190" t="s">
        <v>2999</v>
      </c>
      <c r="F2110" s="191">
        <f t="shared" si="34"/>
        <v>203.33333333333334</v>
      </c>
      <c r="G2110" s="185"/>
      <c r="H2110" s="181"/>
      <c r="I2110" s="74"/>
      <c r="J2110" s="74"/>
      <c r="M2110" s="185"/>
      <c r="N2110" s="185"/>
      <c r="O2110" s="185"/>
      <c r="P2110" s="185"/>
      <c r="Q2110" s="185"/>
      <c r="R2110" s="185"/>
    </row>
    <row r="2111" spans="1:18" s="197" customFormat="1" ht="12.75" x14ac:dyDescent="0.2">
      <c r="A2111" s="181"/>
      <c r="B2111" s="188" t="s">
        <v>4251</v>
      </c>
      <c r="C2111" s="189" t="s">
        <v>128</v>
      </c>
      <c r="D2111" s="189" t="s">
        <v>123</v>
      </c>
      <c r="E2111" s="190" t="s">
        <v>4252</v>
      </c>
      <c r="F2111" s="191">
        <f t="shared" si="34"/>
        <v>188.78333333333333</v>
      </c>
      <c r="G2111" s="185"/>
      <c r="H2111" s="181"/>
      <c r="I2111" s="74"/>
      <c r="J2111" s="74"/>
      <c r="M2111" s="185"/>
      <c r="N2111" s="185"/>
      <c r="O2111" s="185"/>
      <c r="P2111" s="185"/>
      <c r="Q2111" s="185"/>
      <c r="R2111" s="185"/>
    </row>
    <row r="2112" spans="1:18" s="197" customFormat="1" ht="12.75" x14ac:dyDescent="0.2">
      <c r="A2112" s="181"/>
      <c r="B2112" s="188" t="s">
        <v>4253</v>
      </c>
      <c r="C2112" s="189" t="s">
        <v>124</v>
      </c>
      <c r="D2112" s="189" t="s">
        <v>123</v>
      </c>
      <c r="E2112" s="190" t="s">
        <v>4254</v>
      </c>
      <c r="F2112" s="191">
        <f t="shared" si="34"/>
        <v>196.93333333333334</v>
      </c>
      <c r="G2112" s="185"/>
      <c r="H2112" s="181"/>
      <c r="I2112" s="74"/>
      <c r="J2112" s="74"/>
      <c r="M2112" s="185"/>
      <c r="N2112" s="185"/>
      <c r="O2112" s="185"/>
      <c r="P2112" s="185"/>
      <c r="Q2112" s="185"/>
      <c r="R2112" s="185"/>
    </row>
    <row r="2113" spans="1:18" s="197" customFormat="1" ht="12.75" x14ac:dyDescent="0.2">
      <c r="A2113" s="181"/>
      <c r="B2113" s="188" t="s">
        <v>371</v>
      </c>
      <c r="C2113" s="189" t="s">
        <v>125</v>
      </c>
      <c r="D2113" s="189" t="s">
        <v>123</v>
      </c>
      <c r="E2113" s="190" t="s">
        <v>4255</v>
      </c>
      <c r="F2113" s="191">
        <f t="shared" si="34"/>
        <v>284.26666666666665</v>
      </c>
      <c r="G2113" s="185"/>
      <c r="H2113" s="181"/>
      <c r="I2113" s="74"/>
      <c r="J2113" s="74"/>
      <c r="M2113" s="185"/>
      <c r="N2113" s="185"/>
      <c r="O2113" s="185"/>
      <c r="P2113" s="185"/>
      <c r="Q2113" s="185"/>
      <c r="R2113" s="185"/>
    </row>
    <row r="2114" spans="1:18" s="197" customFormat="1" ht="12.75" x14ac:dyDescent="0.2">
      <c r="A2114" s="181"/>
      <c r="B2114" s="188" t="s">
        <v>4256</v>
      </c>
      <c r="C2114" s="189" t="s">
        <v>130</v>
      </c>
      <c r="D2114" s="189" t="s">
        <v>132</v>
      </c>
      <c r="E2114" s="190" t="s">
        <v>4257</v>
      </c>
      <c r="F2114" s="191">
        <f t="shared" si="34"/>
        <v>286.28333333333336</v>
      </c>
      <c r="G2114" s="185"/>
      <c r="H2114" s="181"/>
      <c r="I2114" s="74"/>
      <c r="J2114" s="74"/>
      <c r="M2114" s="185"/>
      <c r="N2114" s="185"/>
      <c r="O2114" s="185"/>
      <c r="P2114" s="185"/>
      <c r="Q2114" s="185"/>
      <c r="R2114" s="185"/>
    </row>
    <row r="2115" spans="1:18" s="197" customFormat="1" ht="12.75" x14ac:dyDescent="0.2">
      <c r="A2115" s="181"/>
      <c r="B2115" s="188" t="s">
        <v>4082</v>
      </c>
      <c r="C2115" s="189" t="s">
        <v>126</v>
      </c>
      <c r="D2115" s="189" t="s">
        <v>123</v>
      </c>
      <c r="E2115" s="190" t="s">
        <v>4083</v>
      </c>
      <c r="F2115" s="191">
        <f t="shared" si="34"/>
        <v>202.3</v>
      </c>
      <c r="G2115" s="185"/>
      <c r="H2115" s="181"/>
      <c r="I2115" s="74"/>
      <c r="J2115" s="74"/>
      <c r="M2115" s="185"/>
      <c r="N2115" s="185"/>
      <c r="O2115" s="185"/>
      <c r="P2115" s="185"/>
      <c r="Q2115" s="185"/>
      <c r="R2115" s="185"/>
    </row>
    <row r="2116" spans="1:18" s="197" customFormat="1" ht="12.75" x14ac:dyDescent="0.2">
      <c r="A2116" s="181"/>
      <c r="B2116" s="188" t="s">
        <v>4258</v>
      </c>
      <c r="C2116" s="189" t="s">
        <v>126</v>
      </c>
      <c r="D2116" s="189" t="s">
        <v>154</v>
      </c>
      <c r="E2116" s="190" t="s">
        <v>4259</v>
      </c>
      <c r="F2116" s="191">
        <f t="shared" si="34"/>
        <v>253.23333333333332</v>
      </c>
      <c r="G2116" s="185"/>
      <c r="H2116" s="181"/>
      <c r="I2116" s="74"/>
      <c r="J2116" s="74"/>
      <c r="M2116" s="185"/>
      <c r="N2116" s="185"/>
      <c r="O2116" s="185"/>
      <c r="P2116" s="185"/>
      <c r="Q2116" s="185"/>
      <c r="R2116" s="185"/>
    </row>
    <row r="2117" spans="1:18" s="197" customFormat="1" ht="12.75" x14ac:dyDescent="0.2">
      <c r="A2117" s="181"/>
      <c r="B2117" s="188" t="s">
        <v>4260</v>
      </c>
      <c r="C2117" s="189" t="s">
        <v>126</v>
      </c>
      <c r="D2117" s="189" t="s">
        <v>148</v>
      </c>
      <c r="E2117" s="190" t="s">
        <v>4261</v>
      </c>
      <c r="F2117" s="191">
        <f t="shared" si="34"/>
        <v>255.3</v>
      </c>
      <c r="G2117" s="185"/>
      <c r="H2117" s="181"/>
      <c r="I2117" s="74"/>
      <c r="J2117" s="74"/>
      <c r="M2117" s="185"/>
      <c r="N2117" s="185"/>
      <c r="O2117" s="185"/>
      <c r="P2117" s="185"/>
      <c r="Q2117" s="185"/>
      <c r="R2117" s="185"/>
    </row>
    <row r="2118" spans="1:18" s="197" customFormat="1" ht="12.75" x14ac:dyDescent="0.2">
      <c r="A2118" s="181"/>
      <c r="B2118" s="188" t="s">
        <v>4262</v>
      </c>
      <c r="C2118" s="189" t="s">
        <v>134</v>
      </c>
      <c r="D2118" s="189" t="s">
        <v>139</v>
      </c>
      <c r="E2118" s="190" t="s">
        <v>4263</v>
      </c>
      <c r="F2118" s="191">
        <f t="shared" si="34"/>
        <v>179.1</v>
      </c>
      <c r="G2118" s="185"/>
      <c r="H2118" s="181"/>
      <c r="I2118" s="74"/>
      <c r="J2118" s="74"/>
      <c r="M2118" s="185"/>
      <c r="N2118" s="185"/>
      <c r="O2118" s="185"/>
      <c r="P2118" s="185"/>
      <c r="Q2118" s="185"/>
      <c r="R2118" s="185"/>
    </row>
    <row r="2119" spans="1:18" s="197" customFormat="1" ht="12.75" x14ac:dyDescent="0.2">
      <c r="A2119" s="181"/>
      <c r="B2119" s="188" t="s">
        <v>248</v>
      </c>
      <c r="C2119" s="189" t="s">
        <v>142</v>
      </c>
      <c r="D2119" s="189" t="s">
        <v>169</v>
      </c>
      <c r="E2119" s="190" t="s">
        <v>4264</v>
      </c>
      <c r="F2119" s="191">
        <f t="shared" si="34"/>
        <v>241.68333333333334</v>
      </c>
      <c r="G2119" s="185"/>
      <c r="H2119" s="181"/>
      <c r="I2119" s="74"/>
      <c r="J2119" s="74"/>
      <c r="M2119" s="185"/>
      <c r="N2119" s="185"/>
      <c r="O2119" s="185"/>
      <c r="P2119" s="185"/>
      <c r="Q2119" s="185"/>
      <c r="R2119" s="185"/>
    </row>
    <row r="2120" spans="1:18" s="197" customFormat="1" ht="12.75" x14ac:dyDescent="0.2">
      <c r="A2120" s="181"/>
      <c r="B2120" s="188" t="s">
        <v>4265</v>
      </c>
      <c r="C2120" s="189" t="s">
        <v>124</v>
      </c>
      <c r="D2120" s="189" t="s">
        <v>123</v>
      </c>
      <c r="E2120" s="190" t="s">
        <v>4266</v>
      </c>
      <c r="F2120" s="191">
        <f t="shared" si="34"/>
        <v>293.51666666666665</v>
      </c>
      <c r="G2120" s="185"/>
      <c r="H2120" s="181"/>
      <c r="I2120" s="74"/>
      <c r="J2120" s="74"/>
      <c r="M2120" s="185"/>
      <c r="N2120" s="185"/>
      <c r="O2120" s="185"/>
      <c r="P2120" s="185"/>
      <c r="Q2120" s="185"/>
      <c r="R2120" s="185"/>
    </row>
    <row r="2121" spans="1:18" s="197" customFormat="1" ht="12.75" x14ac:dyDescent="0.2">
      <c r="A2121" s="181"/>
      <c r="B2121" s="188" t="s">
        <v>4267</v>
      </c>
      <c r="C2121" s="189" t="s">
        <v>134</v>
      </c>
      <c r="D2121" s="189" t="s">
        <v>123</v>
      </c>
      <c r="E2121" s="190" t="s">
        <v>4147</v>
      </c>
      <c r="F2121" s="191">
        <f t="shared" si="34"/>
        <v>236</v>
      </c>
      <c r="G2121" s="185"/>
      <c r="H2121" s="181"/>
      <c r="I2121" s="74"/>
      <c r="J2121" s="74"/>
      <c r="M2121" s="185"/>
      <c r="N2121" s="185"/>
      <c r="O2121" s="185"/>
      <c r="P2121" s="185"/>
      <c r="Q2121" s="185"/>
      <c r="R2121" s="185"/>
    </row>
    <row r="2122" spans="1:18" s="197" customFormat="1" ht="12.75" x14ac:dyDescent="0.2">
      <c r="A2122" s="181"/>
      <c r="B2122" s="188" t="s">
        <v>4268</v>
      </c>
      <c r="C2122" s="189" t="s">
        <v>126</v>
      </c>
      <c r="D2122" s="189" t="s">
        <v>123</v>
      </c>
      <c r="E2122" s="190" t="s">
        <v>4269</v>
      </c>
      <c r="F2122" s="191">
        <f t="shared" si="34"/>
        <v>225.11666666666667</v>
      </c>
      <c r="G2122" s="185"/>
      <c r="H2122" s="181"/>
      <c r="I2122" s="74"/>
      <c r="J2122" s="74"/>
      <c r="M2122" s="185"/>
      <c r="N2122" s="185"/>
      <c r="O2122" s="185"/>
      <c r="P2122" s="185"/>
      <c r="Q2122" s="185"/>
      <c r="R2122" s="185"/>
    </row>
    <row r="2123" spans="1:18" s="197" customFormat="1" ht="12.75" x14ac:dyDescent="0.2">
      <c r="A2123" s="181"/>
      <c r="B2123" s="188" t="s">
        <v>4270</v>
      </c>
      <c r="C2123" s="189" t="s">
        <v>140</v>
      </c>
      <c r="D2123" s="189" t="s">
        <v>123</v>
      </c>
      <c r="E2123" s="190" t="s">
        <v>4271</v>
      </c>
      <c r="F2123" s="191">
        <f t="shared" ref="F2123:F2186" si="35">HOUR(E2123)*60+MINUTE(E2123)+SECOND(E2123)/60</f>
        <v>294.03333333333336</v>
      </c>
      <c r="G2123" s="185"/>
      <c r="H2123" s="181"/>
      <c r="I2123" s="74"/>
      <c r="J2123" s="74"/>
      <c r="M2123" s="185"/>
      <c r="N2123" s="185"/>
      <c r="O2123" s="185"/>
      <c r="P2123" s="185"/>
      <c r="Q2123" s="185"/>
      <c r="R2123" s="185"/>
    </row>
    <row r="2124" spans="1:18" s="197" customFormat="1" ht="12.75" x14ac:dyDescent="0.2">
      <c r="A2124" s="181"/>
      <c r="B2124" s="188" t="s">
        <v>4272</v>
      </c>
      <c r="C2124" s="189" t="s">
        <v>136</v>
      </c>
      <c r="D2124" s="189" t="s">
        <v>148</v>
      </c>
      <c r="E2124" s="190" t="s">
        <v>4273</v>
      </c>
      <c r="F2124" s="191">
        <f t="shared" si="35"/>
        <v>257.98333333333335</v>
      </c>
      <c r="G2124" s="185"/>
      <c r="H2124" s="181"/>
      <c r="I2124" s="74"/>
      <c r="J2124" s="74"/>
      <c r="M2124" s="185"/>
      <c r="N2124" s="185"/>
      <c r="O2124" s="185"/>
      <c r="P2124" s="185"/>
      <c r="Q2124" s="185"/>
      <c r="R2124" s="185"/>
    </row>
    <row r="2125" spans="1:18" s="197" customFormat="1" ht="12.75" x14ac:dyDescent="0.2">
      <c r="A2125" s="181"/>
      <c r="B2125" s="188" t="s">
        <v>4274</v>
      </c>
      <c r="C2125" s="189" t="s">
        <v>130</v>
      </c>
      <c r="D2125" s="189" t="s">
        <v>210</v>
      </c>
      <c r="E2125" s="190" t="s">
        <v>4275</v>
      </c>
      <c r="F2125" s="191">
        <f t="shared" si="35"/>
        <v>199.48333333333332</v>
      </c>
      <c r="G2125" s="185"/>
      <c r="H2125" s="181"/>
      <c r="I2125" s="74"/>
      <c r="J2125" s="74"/>
      <c r="M2125" s="185"/>
      <c r="N2125" s="185"/>
      <c r="O2125" s="185"/>
      <c r="P2125" s="185"/>
      <c r="Q2125" s="185"/>
      <c r="R2125" s="185"/>
    </row>
    <row r="2126" spans="1:18" s="197" customFormat="1" ht="12.75" x14ac:dyDescent="0.2">
      <c r="A2126" s="181"/>
      <c r="B2126" s="188" t="s">
        <v>4276</v>
      </c>
      <c r="C2126" s="189" t="s">
        <v>125</v>
      </c>
      <c r="D2126" s="189" t="s">
        <v>123</v>
      </c>
      <c r="E2126" s="190" t="s">
        <v>4277</v>
      </c>
      <c r="F2126" s="191">
        <f t="shared" si="35"/>
        <v>226.58333333333334</v>
      </c>
      <c r="G2126" s="185"/>
      <c r="H2126" s="181"/>
      <c r="I2126" s="74"/>
      <c r="J2126" s="74"/>
      <c r="M2126" s="185"/>
      <c r="N2126" s="185"/>
      <c r="O2126" s="185"/>
      <c r="P2126" s="185"/>
      <c r="Q2126" s="185"/>
      <c r="R2126" s="185"/>
    </row>
    <row r="2127" spans="1:18" s="197" customFormat="1" ht="12.75" x14ac:dyDescent="0.2">
      <c r="A2127" s="181"/>
      <c r="B2127" s="188" t="s">
        <v>2427</v>
      </c>
      <c r="C2127" s="189" t="s">
        <v>125</v>
      </c>
      <c r="D2127" s="189" t="s">
        <v>123</v>
      </c>
      <c r="E2127" s="190" t="s">
        <v>2428</v>
      </c>
      <c r="F2127" s="191">
        <f t="shared" si="35"/>
        <v>203.13333333333333</v>
      </c>
      <c r="G2127" s="185"/>
      <c r="H2127" s="181"/>
      <c r="I2127" s="74"/>
      <c r="J2127" s="74"/>
      <c r="M2127" s="185"/>
      <c r="N2127" s="185"/>
      <c r="O2127" s="185"/>
      <c r="P2127" s="185"/>
      <c r="Q2127" s="185"/>
      <c r="R2127" s="185"/>
    </row>
    <row r="2128" spans="1:18" s="197" customFormat="1" ht="12.75" x14ac:dyDescent="0.2">
      <c r="A2128" s="181"/>
      <c r="B2128" s="188" t="s">
        <v>4278</v>
      </c>
      <c r="C2128" s="189" t="s">
        <v>134</v>
      </c>
      <c r="D2128" s="189" t="s">
        <v>123</v>
      </c>
      <c r="E2128" s="190" t="s">
        <v>4279</v>
      </c>
      <c r="F2128" s="191">
        <f t="shared" si="35"/>
        <v>228.56666666666666</v>
      </c>
      <c r="G2128" s="185"/>
      <c r="H2128" s="181"/>
      <c r="I2128" s="74"/>
      <c r="J2128" s="74"/>
      <c r="M2128" s="185"/>
      <c r="N2128" s="185"/>
      <c r="O2128" s="185"/>
      <c r="P2128" s="185"/>
      <c r="Q2128" s="185"/>
      <c r="R2128" s="185"/>
    </row>
    <row r="2129" spans="1:18" s="197" customFormat="1" ht="12.75" x14ac:dyDescent="0.2">
      <c r="A2129" s="181"/>
      <c r="B2129" s="188" t="s">
        <v>4280</v>
      </c>
      <c r="C2129" s="189" t="s">
        <v>124</v>
      </c>
      <c r="D2129" s="189" t="s">
        <v>154</v>
      </c>
      <c r="E2129" s="190" t="s">
        <v>4281</v>
      </c>
      <c r="F2129" s="191">
        <f t="shared" si="35"/>
        <v>251.35</v>
      </c>
      <c r="G2129" s="185"/>
      <c r="H2129" s="181"/>
      <c r="I2129" s="74"/>
      <c r="J2129" s="74"/>
      <c r="M2129" s="185"/>
      <c r="N2129" s="185"/>
      <c r="O2129" s="185"/>
      <c r="P2129" s="185"/>
      <c r="Q2129" s="185"/>
      <c r="R2129" s="185"/>
    </row>
    <row r="2130" spans="1:18" s="197" customFormat="1" ht="12.75" x14ac:dyDescent="0.2">
      <c r="A2130" s="181"/>
      <c r="B2130" s="188" t="s">
        <v>4282</v>
      </c>
      <c r="C2130" s="189" t="s">
        <v>124</v>
      </c>
      <c r="D2130" s="189" t="s">
        <v>139</v>
      </c>
      <c r="E2130" s="190" t="s">
        <v>4283</v>
      </c>
      <c r="F2130" s="191">
        <f t="shared" si="35"/>
        <v>260.01666666666665</v>
      </c>
      <c r="G2130" s="185"/>
      <c r="H2130" s="181"/>
      <c r="I2130" s="74"/>
      <c r="J2130" s="74"/>
      <c r="M2130" s="185"/>
      <c r="N2130" s="185"/>
      <c r="O2130" s="185"/>
      <c r="P2130" s="185"/>
      <c r="Q2130" s="185"/>
      <c r="R2130" s="185"/>
    </row>
    <row r="2131" spans="1:18" s="197" customFormat="1" ht="12.75" x14ac:dyDescent="0.2">
      <c r="A2131" s="181"/>
      <c r="B2131" s="188" t="s">
        <v>4284</v>
      </c>
      <c r="C2131" s="189" t="s">
        <v>125</v>
      </c>
      <c r="D2131" s="189" t="s">
        <v>132</v>
      </c>
      <c r="E2131" s="190" t="s">
        <v>3538</v>
      </c>
      <c r="F2131" s="191">
        <f t="shared" si="35"/>
        <v>232.08333333333334</v>
      </c>
      <c r="G2131" s="185"/>
      <c r="H2131" s="181"/>
      <c r="I2131" s="74"/>
      <c r="J2131" s="74"/>
      <c r="M2131" s="185"/>
      <c r="N2131" s="185"/>
      <c r="O2131" s="185"/>
      <c r="P2131" s="185"/>
      <c r="Q2131" s="185"/>
      <c r="R2131" s="185"/>
    </row>
    <row r="2132" spans="1:18" s="197" customFormat="1" ht="12.75" x14ac:dyDescent="0.2">
      <c r="A2132" s="181"/>
      <c r="B2132" s="188" t="s">
        <v>4285</v>
      </c>
      <c r="C2132" s="189" t="s">
        <v>125</v>
      </c>
      <c r="D2132" s="189" t="s">
        <v>123</v>
      </c>
      <c r="E2132" s="190" t="s">
        <v>3635</v>
      </c>
      <c r="F2132" s="191">
        <f t="shared" si="35"/>
        <v>196.55</v>
      </c>
      <c r="G2132" s="185"/>
      <c r="H2132" s="181"/>
      <c r="I2132" s="74"/>
      <c r="J2132" s="74"/>
      <c r="M2132" s="185"/>
      <c r="N2132" s="185"/>
      <c r="O2132" s="185"/>
      <c r="P2132" s="185"/>
      <c r="Q2132" s="185"/>
      <c r="R2132" s="185"/>
    </row>
    <row r="2133" spans="1:18" s="197" customFormat="1" ht="12.75" x14ac:dyDescent="0.2">
      <c r="A2133" s="181"/>
      <c r="B2133" s="188" t="s">
        <v>4286</v>
      </c>
      <c r="C2133" s="189" t="s">
        <v>135</v>
      </c>
      <c r="D2133" s="189" t="s">
        <v>131</v>
      </c>
      <c r="E2133" s="190" t="s">
        <v>4287</v>
      </c>
      <c r="F2133" s="191">
        <f t="shared" si="35"/>
        <v>279.83333333333331</v>
      </c>
      <c r="G2133" s="185"/>
      <c r="H2133" s="181"/>
      <c r="I2133" s="74"/>
      <c r="J2133" s="74"/>
      <c r="M2133" s="185"/>
      <c r="N2133" s="185"/>
      <c r="O2133" s="185"/>
      <c r="P2133" s="185"/>
      <c r="Q2133" s="185"/>
      <c r="R2133" s="185"/>
    </row>
    <row r="2134" spans="1:18" s="197" customFormat="1" ht="12.75" x14ac:dyDescent="0.2">
      <c r="A2134" s="181"/>
      <c r="B2134" s="188" t="s">
        <v>4288</v>
      </c>
      <c r="C2134" s="189" t="s">
        <v>125</v>
      </c>
      <c r="D2134" s="189" t="s">
        <v>123</v>
      </c>
      <c r="E2134" s="190" t="s">
        <v>4289</v>
      </c>
      <c r="F2134" s="191">
        <f t="shared" si="35"/>
        <v>206.98333333333332</v>
      </c>
      <c r="G2134" s="185"/>
      <c r="H2134" s="181"/>
      <c r="I2134" s="74"/>
      <c r="J2134" s="74"/>
      <c r="M2134" s="185"/>
      <c r="N2134" s="185"/>
      <c r="O2134" s="185"/>
      <c r="P2134" s="185"/>
      <c r="Q2134" s="185"/>
      <c r="R2134" s="185"/>
    </row>
    <row r="2135" spans="1:18" s="197" customFormat="1" ht="12.75" x14ac:dyDescent="0.2">
      <c r="A2135" s="181"/>
      <c r="B2135" s="188" t="s">
        <v>4290</v>
      </c>
      <c r="C2135" s="189" t="s">
        <v>124</v>
      </c>
      <c r="D2135" s="189" t="s">
        <v>123</v>
      </c>
      <c r="E2135" s="190" t="s">
        <v>4291</v>
      </c>
      <c r="F2135" s="191">
        <f t="shared" si="35"/>
        <v>246.18333333333334</v>
      </c>
      <c r="G2135" s="185"/>
      <c r="H2135" s="181"/>
      <c r="I2135" s="74"/>
      <c r="J2135" s="74"/>
      <c r="M2135" s="185"/>
      <c r="N2135" s="185"/>
      <c r="O2135" s="185"/>
      <c r="P2135" s="185"/>
      <c r="Q2135" s="185"/>
      <c r="R2135" s="185"/>
    </row>
    <row r="2136" spans="1:18" s="197" customFormat="1" ht="12.75" x14ac:dyDescent="0.2">
      <c r="A2136" s="181"/>
      <c r="B2136" s="188" t="s">
        <v>4292</v>
      </c>
      <c r="C2136" s="189" t="s">
        <v>124</v>
      </c>
      <c r="D2136" s="189" t="s">
        <v>132</v>
      </c>
      <c r="E2136" s="190" t="s">
        <v>2053</v>
      </c>
      <c r="F2136" s="191">
        <f t="shared" si="35"/>
        <v>278.13333333333333</v>
      </c>
      <c r="G2136" s="185"/>
      <c r="H2136" s="181"/>
      <c r="I2136" s="74"/>
      <c r="J2136" s="74"/>
      <c r="M2136" s="185"/>
      <c r="N2136" s="185"/>
      <c r="O2136" s="185"/>
      <c r="P2136" s="185"/>
      <c r="Q2136" s="185"/>
      <c r="R2136" s="185"/>
    </row>
    <row r="2137" spans="1:18" s="197" customFormat="1" ht="12.75" x14ac:dyDescent="0.2">
      <c r="A2137" s="181"/>
      <c r="B2137" s="188" t="s">
        <v>4293</v>
      </c>
      <c r="C2137" s="189" t="s">
        <v>128</v>
      </c>
      <c r="D2137" s="189" t="s">
        <v>123</v>
      </c>
      <c r="E2137" s="190" t="s">
        <v>4294</v>
      </c>
      <c r="F2137" s="191">
        <f t="shared" si="35"/>
        <v>222.1</v>
      </c>
      <c r="G2137" s="185"/>
      <c r="H2137" s="181"/>
      <c r="I2137" s="74"/>
      <c r="J2137" s="74"/>
      <c r="M2137" s="185"/>
      <c r="N2137" s="185"/>
      <c r="O2137" s="185"/>
      <c r="P2137" s="185"/>
      <c r="Q2137" s="185"/>
      <c r="R2137" s="185"/>
    </row>
    <row r="2138" spans="1:18" s="197" customFormat="1" ht="12.75" x14ac:dyDescent="0.2">
      <c r="A2138" s="181"/>
      <c r="B2138" s="188" t="s">
        <v>4295</v>
      </c>
      <c r="C2138" s="189" t="s">
        <v>125</v>
      </c>
      <c r="D2138" s="189" t="s">
        <v>123</v>
      </c>
      <c r="E2138" s="190" t="s">
        <v>4296</v>
      </c>
      <c r="F2138" s="191">
        <f t="shared" si="35"/>
        <v>226.26666666666668</v>
      </c>
      <c r="G2138" s="185"/>
      <c r="H2138" s="181"/>
      <c r="I2138" s="74"/>
      <c r="J2138" s="74"/>
      <c r="M2138" s="185"/>
      <c r="N2138" s="185"/>
      <c r="O2138" s="185"/>
      <c r="P2138" s="185"/>
      <c r="Q2138" s="185"/>
      <c r="R2138" s="185"/>
    </row>
    <row r="2139" spans="1:18" s="197" customFormat="1" ht="12.75" x14ac:dyDescent="0.2">
      <c r="A2139" s="181"/>
      <c r="B2139" s="188" t="s">
        <v>1053</v>
      </c>
      <c r="C2139" s="189" t="s">
        <v>140</v>
      </c>
      <c r="D2139" s="189" t="s">
        <v>263</v>
      </c>
      <c r="E2139" s="190" t="s">
        <v>1054</v>
      </c>
      <c r="F2139" s="191">
        <f t="shared" si="35"/>
        <v>244.06666666666666</v>
      </c>
      <c r="G2139" s="185"/>
      <c r="H2139" s="181"/>
      <c r="I2139" s="74"/>
      <c r="J2139" s="74"/>
      <c r="M2139" s="185"/>
      <c r="N2139" s="185"/>
      <c r="O2139" s="185"/>
      <c r="P2139" s="185"/>
      <c r="Q2139" s="185"/>
      <c r="R2139" s="185"/>
    </row>
    <row r="2140" spans="1:18" s="197" customFormat="1" ht="12.75" x14ac:dyDescent="0.2">
      <c r="A2140" s="181"/>
      <c r="B2140" s="188" t="s">
        <v>4297</v>
      </c>
      <c r="C2140" s="189" t="s">
        <v>125</v>
      </c>
      <c r="D2140" s="189" t="s">
        <v>152</v>
      </c>
      <c r="E2140" s="190" t="s">
        <v>4298</v>
      </c>
      <c r="F2140" s="191">
        <f t="shared" si="35"/>
        <v>292.16666666666669</v>
      </c>
      <c r="G2140" s="185"/>
      <c r="H2140" s="181"/>
      <c r="I2140" s="74"/>
      <c r="J2140" s="74"/>
      <c r="M2140" s="185"/>
      <c r="N2140" s="185"/>
      <c r="O2140" s="185"/>
      <c r="P2140" s="185"/>
      <c r="Q2140" s="185"/>
      <c r="R2140" s="185"/>
    </row>
    <row r="2141" spans="1:18" s="197" customFormat="1" ht="12.75" x14ac:dyDescent="0.2">
      <c r="A2141" s="181"/>
      <c r="B2141" s="188" t="s">
        <v>4299</v>
      </c>
      <c r="C2141" s="189" t="s">
        <v>134</v>
      </c>
      <c r="D2141" s="189" t="s">
        <v>123</v>
      </c>
      <c r="E2141" s="190" t="s">
        <v>4300</v>
      </c>
      <c r="F2141" s="191">
        <f t="shared" si="35"/>
        <v>298.64999999999998</v>
      </c>
      <c r="G2141" s="185"/>
      <c r="H2141" s="181"/>
      <c r="I2141" s="74"/>
      <c r="J2141" s="74"/>
      <c r="M2141" s="185"/>
      <c r="N2141" s="185"/>
      <c r="O2141" s="185"/>
      <c r="P2141" s="185"/>
      <c r="Q2141" s="185"/>
      <c r="R2141" s="185"/>
    </row>
    <row r="2142" spans="1:18" s="197" customFormat="1" ht="12.75" x14ac:dyDescent="0.2">
      <c r="A2142" s="181"/>
      <c r="B2142" s="188" t="s">
        <v>4301</v>
      </c>
      <c r="C2142" s="189" t="s">
        <v>130</v>
      </c>
      <c r="D2142" s="189" t="s">
        <v>123</v>
      </c>
      <c r="E2142" s="190" t="s">
        <v>4302</v>
      </c>
      <c r="F2142" s="191">
        <f t="shared" si="35"/>
        <v>230.5</v>
      </c>
      <c r="G2142" s="185"/>
      <c r="H2142" s="181"/>
      <c r="I2142" s="74"/>
      <c r="J2142" s="74"/>
      <c r="M2142" s="185"/>
      <c r="N2142" s="185"/>
      <c r="O2142" s="185"/>
      <c r="P2142" s="185"/>
      <c r="Q2142" s="185"/>
      <c r="R2142" s="185"/>
    </row>
    <row r="2143" spans="1:18" s="197" customFormat="1" ht="12.75" x14ac:dyDescent="0.2">
      <c r="A2143" s="181"/>
      <c r="B2143" s="188" t="s">
        <v>2222</v>
      </c>
      <c r="C2143" s="189" t="s">
        <v>128</v>
      </c>
      <c r="D2143" s="189" t="s">
        <v>123</v>
      </c>
      <c r="E2143" s="190" t="s">
        <v>2223</v>
      </c>
      <c r="F2143" s="191">
        <f t="shared" si="35"/>
        <v>266.33333333333331</v>
      </c>
      <c r="G2143" s="185"/>
      <c r="H2143" s="181"/>
      <c r="I2143" s="74"/>
      <c r="J2143" s="74"/>
      <c r="M2143" s="185"/>
      <c r="N2143" s="185"/>
      <c r="O2143" s="185"/>
      <c r="P2143" s="185"/>
      <c r="Q2143" s="185"/>
      <c r="R2143" s="185"/>
    </row>
    <row r="2144" spans="1:18" s="197" customFormat="1" ht="12.75" x14ac:dyDescent="0.2">
      <c r="A2144" s="181"/>
      <c r="B2144" s="188" t="s">
        <v>4303</v>
      </c>
      <c r="C2144" s="189" t="s">
        <v>126</v>
      </c>
      <c r="D2144" s="189" t="s">
        <v>132</v>
      </c>
      <c r="E2144" s="190" t="s">
        <v>4304</v>
      </c>
      <c r="F2144" s="191">
        <f t="shared" si="35"/>
        <v>260.36666666666667</v>
      </c>
      <c r="G2144" s="185"/>
      <c r="H2144" s="181"/>
      <c r="I2144" s="74"/>
      <c r="J2144" s="74"/>
      <c r="M2144" s="185"/>
      <c r="N2144" s="185"/>
      <c r="O2144" s="185"/>
      <c r="P2144" s="185"/>
      <c r="Q2144" s="185"/>
      <c r="R2144" s="185"/>
    </row>
    <row r="2145" spans="1:18" s="197" customFormat="1" ht="12.75" x14ac:dyDescent="0.2">
      <c r="A2145" s="181"/>
      <c r="B2145" s="188" t="s">
        <v>3056</v>
      </c>
      <c r="C2145" s="189" t="s">
        <v>142</v>
      </c>
      <c r="D2145" s="189" t="s">
        <v>123</v>
      </c>
      <c r="E2145" s="190" t="s">
        <v>2349</v>
      </c>
      <c r="F2145" s="191">
        <f t="shared" si="35"/>
        <v>221.93333333333334</v>
      </c>
      <c r="G2145" s="185"/>
      <c r="H2145" s="181"/>
      <c r="I2145" s="74"/>
      <c r="J2145" s="74"/>
      <c r="M2145" s="185"/>
      <c r="N2145" s="185"/>
      <c r="O2145" s="185"/>
      <c r="P2145" s="185"/>
      <c r="Q2145" s="185"/>
      <c r="R2145" s="185"/>
    </row>
    <row r="2146" spans="1:18" s="197" customFormat="1" ht="12.75" x14ac:dyDescent="0.2">
      <c r="A2146" s="181"/>
      <c r="B2146" s="188" t="s">
        <v>4305</v>
      </c>
      <c r="C2146" s="189" t="s">
        <v>124</v>
      </c>
      <c r="D2146" s="189" t="s">
        <v>314</v>
      </c>
      <c r="E2146" s="190" t="s">
        <v>4306</v>
      </c>
      <c r="F2146" s="191">
        <f t="shared" si="35"/>
        <v>263.88333333333333</v>
      </c>
      <c r="G2146" s="185"/>
      <c r="H2146" s="181"/>
      <c r="I2146" s="74"/>
      <c r="J2146" s="74"/>
      <c r="M2146" s="185"/>
      <c r="N2146" s="185"/>
      <c r="O2146" s="185"/>
      <c r="P2146" s="185"/>
      <c r="Q2146" s="185"/>
      <c r="R2146" s="185"/>
    </row>
    <row r="2147" spans="1:18" s="197" customFormat="1" ht="12.75" x14ac:dyDescent="0.2">
      <c r="A2147" s="181"/>
      <c r="B2147" s="188" t="s">
        <v>361</v>
      </c>
      <c r="C2147" s="189" t="s">
        <v>125</v>
      </c>
      <c r="D2147" s="189" t="s">
        <v>123</v>
      </c>
      <c r="E2147" s="190" t="s">
        <v>4307</v>
      </c>
      <c r="F2147" s="191">
        <f t="shared" si="35"/>
        <v>284.2</v>
      </c>
      <c r="G2147" s="185"/>
      <c r="H2147" s="181"/>
      <c r="I2147" s="74"/>
      <c r="J2147" s="74"/>
      <c r="M2147" s="185"/>
      <c r="N2147" s="185"/>
      <c r="O2147" s="185"/>
      <c r="P2147" s="185"/>
      <c r="Q2147" s="185"/>
      <c r="R2147" s="185"/>
    </row>
    <row r="2148" spans="1:18" s="197" customFormat="1" ht="12.75" x14ac:dyDescent="0.2">
      <c r="A2148" s="181"/>
      <c r="B2148" s="188" t="s">
        <v>4308</v>
      </c>
      <c r="C2148" s="189" t="s">
        <v>128</v>
      </c>
      <c r="D2148" s="189" t="s">
        <v>148</v>
      </c>
      <c r="E2148" s="190" t="s">
        <v>4309</v>
      </c>
      <c r="F2148" s="191">
        <f t="shared" si="35"/>
        <v>211.46666666666667</v>
      </c>
      <c r="G2148" s="185"/>
      <c r="H2148" s="181"/>
      <c r="I2148" s="74"/>
      <c r="J2148" s="74"/>
      <c r="M2148" s="185"/>
      <c r="N2148" s="185"/>
      <c r="O2148" s="185"/>
      <c r="P2148" s="185"/>
      <c r="Q2148" s="185"/>
      <c r="R2148" s="185"/>
    </row>
    <row r="2149" spans="1:18" s="197" customFormat="1" ht="12.75" x14ac:dyDescent="0.2">
      <c r="A2149" s="181"/>
      <c r="B2149" s="188" t="s">
        <v>4310</v>
      </c>
      <c r="C2149" s="189" t="s">
        <v>124</v>
      </c>
      <c r="D2149" s="189" t="s">
        <v>123</v>
      </c>
      <c r="E2149" s="190" t="s">
        <v>2658</v>
      </c>
      <c r="F2149" s="191">
        <f t="shared" si="35"/>
        <v>283.85000000000002</v>
      </c>
      <c r="G2149" s="185"/>
      <c r="H2149" s="181"/>
      <c r="I2149" s="74"/>
      <c r="J2149" s="74"/>
      <c r="M2149" s="185"/>
      <c r="N2149" s="185"/>
      <c r="O2149" s="185"/>
      <c r="P2149" s="185"/>
      <c r="Q2149" s="185"/>
      <c r="R2149" s="185"/>
    </row>
    <row r="2150" spans="1:18" s="197" customFormat="1" ht="12.75" x14ac:dyDescent="0.2">
      <c r="A2150" s="181"/>
      <c r="B2150" s="188" t="s">
        <v>4311</v>
      </c>
      <c r="C2150" s="189" t="s">
        <v>130</v>
      </c>
      <c r="D2150" s="189" t="s">
        <v>263</v>
      </c>
      <c r="E2150" s="190" t="s">
        <v>2568</v>
      </c>
      <c r="F2150" s="191">
        <f t="shared" si="35"/>
        <v>250.73333333333332</v>
      </c>
      <c r="G2150" s="185"/>
      <c r="H2150" s="181"/>
      <c r="I2150" s="74"/>
      <c r="J2150" s="74"/>
      <c r="M2150" s="185"/>
      <c r="N2150" s="185"/>
      <c r="O2150" s="185"/>
      <c r="P2150" s="185"/>
      <c r="Q2150" s="185"/>
      <c r="R2150" s="185"/>
    </row>
    <row r="2151" spans="1:18" s="197" customFormat="1" ht="12.75" x14ac:dyDescent="0.2">
      <c r="A2151" s="181"/>
      <c r="B2151" s="188" t="s">
        <v>4312</v>
      </c>
      <c r="C2151" s="189" t="s">
        <v>135</v>
      </c>
      <c r="D2151" s="189" t="s">
        <v>123</v>
      </c>
      <c r="E2151" s="190" t="s">
        <v>4313</v>
      </c>
      <c r="F2151" s="191">
        <f t="shared" si="35"/>
        <v>210.18333333333334</v>
      </c>
      <c r="G2151" s="185"/>
      <c r="H2151" s="181"/>
      <c r="I2151" s="74"/>
      <c r="J2151" s="74"/>
      <c r="M2151" s="185"/>
      <c r="N2151" s="185"/>
      <c r="O2151" s="185"/>
      <c r="P2151" s="185"/>
      <c r="Q2151" s="185"/>
      <c r="R2151" s="185"/>
    </row>
    <row r="2152" spans="1:18" s="197" customFormat="1" ht="12.75" x14ac:dyDescent="0.2">
      <c r="A2152" s="181"/>
      <c r="B2152" s="188" t="s">
        <v>4314</v>
      </c>
      <c r="C2152" s="189" t="s">
        <v>126</v>
      </c>
      <c r="D2152" s="189" t="s">
        <v>123</v>
      </c>
      <c r="E2152" s="190" t="s">
        <v>4315</v>
      </c>
      <c r="F2152" s="191">
        <f t="shared" si="35"/>
        <v>223.93333333333334</v>
      </c>
      <c r="G2152" s="185"/>
      <c r="H2152" s="181"/>
      <c r="I2152" s="74"/>
      <c r="J2152" s="74"/>
      <c r="M2152" s="185"/>
      <c r="N2152" s="185"/>
      <c r="O2152" s="185"/>
      <c r="P2152" s="185"/>
      <c r="Q2152" s="185"/>
      <c r="R2152" s="185"/>
    </row>
    <row r="2153" spans="1:18" s="197" customFormat="1" ht="12.75" x14ac:dyDescent="0.2">
      <c r="A2153" s="181"/>
      <c r="B2153" s="188" t="s">
        <v>1616</v>
      </c>
      <c r="C2153" s="189" t="s">
        <v>134</v>
      </c>
      <c r="D2153" s="189" t="s">
        <v>123</v>
      </c>
      <c r="E2153" s="190" t="s">
        <v>1617</v>
      </c>
      <c r="F2153" s="191">
        <f t="shared" si="35"/>
        <v>243.63333333333333</v>
      </c>
      <c r="G2153" s="185"/>
      <c r="H2153" s="181"/>
      <c r="I2153" s="74"/>
      <c r="J2153" s="74"/>
      <c r="M2153" s="185"/>
      <c r="N2153" s="185"/>
      <c r="O2153" s="185"/>
      <c r="P2153" s="185"/>
      <c r="Q2153" s="185"/>
      <c r="R2153" s="185"/>
    </row>
    <row r="2154" spans="1:18" s="197" customFormat="1" ht="12.75" x14ac:dyDescent="0.2">
      <c r="A2154" s="181"/>
      <c r="B2154" s="188" t="s">
        <v>209</v>
      </c>
      <c r="C2154" s="189" t="s">
        <v>125</v>
      </c>
      <c r="D2154" s="189" t="s">
        <v>131</v>
      </c>
      <c r="E2154" s="190" t="s">
        <v>4316</v>
      </c>
      <c r="F2154" s="191">
        <f t="shared" si="35"/>
        <v>274.73333333333335</v>
      </c>
      <c r="G2154" s="185"/>
      <c r="H2154" s="181"/>
      <c r="I2154" s="74"/>
      <c r="J2154" s="74"/>
      <c r="M2154" s="185"/>
      <c r="N2154" s="185"/>
      <c r="O2154" s="185"/>
      <c r="P2154" s="185"/>
      <c r="Q2154" s="185"/>
      <c r="R2154" s="185"/>
    </row>
    <row r="2155" spans="1:18" s="197" customFormat="1" ht="12.75" x14ac:dyDescent="0.2">
      <c r="A2155" s="181"/>
      <c r="B2155" s="188" t="s">
        <v>4317</v>
      </c>
      <c r="C2155" s="189" t="s">
        <v>128</v>
      </c>
      <c r="D2155" s="189" t="s">
        <v>123</v>
      </c>
      <c r="E2155" s="190" t="s">
        <v>871</v>
      </c>
      <c r="F2155" s="191">
        <f t="shared" si="35"/>
        <v>284.06666666666666</v>
      </c>
      <c r="G2155" s="185"/>
      <c r="H2155" s="181"/>
      <c r="I2155" s="74"/>
      <c r="J2155" s="74"/>
      <c r="M2155" s="185"/>
      <c r="N2155" s="185"/>
      <c r="O2155" s="185"/>
      <c r="P2155" s="185"/>
      <c r="Q2155" s="185"/>
      <c r="R2155" s="185"/>
    </row>
    <row r="2156" spans="1:18" s="197" customFormat="1" ht="12.75" x14ac:dyDescent="0.2">
      <c r="A2156" s="181"/>
      <c r="B2156" s="188" t="s">
        <v>4318</v>
      </c>
      <c r="C2156" s="189" t="s">
        <v>134</v>
      </c>
      <c r="D2156" s="189" t="s">
        <v>129</v>
      </c>
      <c r="E2156" s="190" t="s">
        <v>4319</v>
      </c>
      <c r="F2156" s="191">
        <f t="shared" si="35"/>
        <v>184.73333333333332</v>
      </c>
      <c r="G2156" s="185"/>
      <c r="H2156" s="181"/>
      <c r="I2156" s="74"/>
      <c r="J2156" s="74"/>
      <c r="M2156" s="185"/>
      <c r="N2156" s="185"/>
      <c r="O2156" s="185"/>
      <c r="P2156" s="185"/>
      <c r="Q2156" s="185"/>
      <c r="R2156" s="185"/>
    </row>
    <row r="2157" spans="1:18" s="197" customFormat="1" ht="12.75" x14ac:dyDescent="0.2">
      <c r="A2157" s="181"/>
      <c r="B2157" s="188" t="s">
        <v>4320</v>
      </c>
      <c r="C2157" s="189" t="s">
        <v>142</v>
      </c>
      <c r="D2157" s="189" t="s">
        <v>148</v>
      </c>
      <c r="E2157" s="190" t="s">
        <v>4321</v>
      </c>
      <c r="F2157" s="191">
        <f t="shared" si="35"/>
        <v>256.63333333333333</v>
      </c>
      <c r="G2157" s="185"/>
      <c r="H2157" s="181"/>
      <c r="I2157" s="74"/>
      <c r="J2157" s="74"/>
      <c r="M2157" s="185"/>
      <c r="N2157" s="185"/>
      <c r="O2157" s="185"/>
      <c r="P2157" s="185"/>
      <c r="Q2157" s="185"/>
      <c r="R2157" s="185"/>
    </row>
    <row r="2158" spans="1:18" s="197" customFormat="1" ht="12.75" x14ac:dyDescent="0.2">
      <c r="A2158" s="181"/>
      <c r="B2158" s="188" t="s">
        <v>4322</v>
      </c>
      <c r="C2158" s="189" t="s">
        <v>125</v>
      </c>
      <c r="D2158" s="189" t="s">
        <v>160</v>
      </c>
      <c r="E2158" s="190" t="s">
        <v>4323</v>
      </c>
      <c r="F2158" s="191">
        <f t="shared" si="35"/>
        <v>213.5</v>
      </c>
      <c r="G2158" s="185"/>
      <c r="H2158" s="181"/>
      <c r="I2158" s="74"/>
      <c r="J2158" s="74"/>
      <c r="M2158" s="185"/>
      <c r="N2158" s="185"/>
      <c r="O2158" s="185"/>
      <c r="P2158" s="185"/>
      <c r="Q2158" s="185"/>
      <c r="R2158" s="185"/>
    </row>
    <row r="2159" spans="1:18" s="197" customFormat="1" ht="12.75" x14ac:dyDescent="0.2">
      <c r="A2159" s="181"/>
      <c r="B2159" s="188" t="s">
        <v>259</v>
      </c>
      <c r="C2159" s="189" t="s">
        <v>124</v>
      </c>
      <c r="D2159" s="189" t="s">
        <v>263</v>
      </c>
      <c r="E2159" s="190" t="s">
        <v>4324</v>
      </c>
      <c r="F2159" s="191">
        <f t="shared" si="35"/>
        <v>221.41666666666666</v>
      </c>
      <c r="G2159" s="185"/>
      <c r="H2159" s="181"/>
      <c r="I2159" s="74"/>
      <c r="J2159" s="74"/>
      <c r="M2159" s="185"/>
      <c r="N2159" s="185"/>
      <c r="O2159" s="185"/>
      <c r="P2159" s="185"/>
      <c r="Q2159" s="185"/>
      <c r="R2159" s="185"/>
    </row>
    <row r="2160" spans="1:18" s="197" customFormat="1" ht="12.75" x14ac:dyDescent="0.2">
      <c r="A2160" s="181"/>
      <c r="B2160" s="188" t="s">
        <v>373</v>
      </c>
      <c r="C2160" s="189" t="s">
        <v>125</v>
      </c>
      <c r="D2160" s="189" t="s">
        <v>263</v>
      </c>
      <c r="E2160" s="190" t="s">
        <v>2057</v>
      </c>
      <c r="F2160" s="191">
        <f t="shared" si="35"/>
        <v>196.78333333333333</v>
      </c>
      <c r="G2160" s="185"/>
      <c r="H2160" s="181"/>
      <c r="I2160" s="74"/>
      <c r="J2160" s="74"/>
      <c r="M2160" s="185"/>
      <c r="N2160" s="185"/>
      <c r="O2160" s="185"/>
      <c r="P2160" s="185"/>
      <c r="Q2160" s="185"/>
      <c r="R2160" s="185"/>
    </row>
    <row r="2161" spans="1:18" s="197" customFormat="1" ht="12.75" x14ac:dyDescent="0.2">
      <c r="A2161" s="181"/>
      <c r="B2161" s="188" t="s">
        <v>4325</v>
      </c>
      <c r="C2161" s="189" t="s">
        <v>124</v>
      </c>
      <c r="D2161" s="189" t="s">
        <v>123</v>
      </c>
      <c r="E2161" s="190" t="s">
        <v>4326</v>
      </c>
      <c r="F2161" s="191">
        <f t="shared" si="35"/>
        <v>202.23333333333332</v>
      </c>
      <c r="G2161" s="185"/>
      <c r="H2161" s="181"/>
      <c r="I2161" s="74"/>
      <c r="J2161" s="74"/>
      <c r="M2161" s="185"/>
      <c r="N2161" s="185"/>
      <c r="O2161" s="185"/>
      <c r="P2161" s="185"/>
      <c r="Q2161" s="185"/>
      <c r="R2161" s="185"/>
    </row>
    <row r="2162" spans="1:18" s="197" customFormat="1" ht="12.75" x14ac:dyDescent="0.2">
      <c r="A2162" s="181"/>
      <c r="B2162" s="188" t="s">
        <v>4327</v>
      </c>
      <c r="C2162" s="189" t="s">
        <v>128</v>
      </c>
      <c r="D2162" s="189" t="s">
        <v>152</v>
      </c>
      <c r="E2162" s="190" t="s">
        <v>3659</v>
      </c>
      <c r="F2162" s="191">
        <f t="shared" si="35"/>
        <v>226.45</v>
      </c>
      <c r="G2162" s="185"/>
      <c r="H2162" s="181"/>
      <c r="I2162" s="74"/>
      <c r="J2162" s="74"/>
      <c r="M2162" s="185"/>
      <c r="N2162" s="185"/>
      <c r="O2162" s="185"/>
      <c r="P2162" s="185"/>
      <c r="Q2162" s="185"/>
      <c r="R2162" s="185"/>
    </row>
    <row r="2163" spans="1:18" s="197" customFormat="1" ht="12.75" x14ac:dyDescent="0.2">
      <c r="A2163" s="181"/>
      <c r="B2163" s="188" t="s">
        <v>4328</v>
      </c>
      <c r="C2163" s="189" t="s">
        <v>130</v>
      </c>
      <c r="D2163" s="189" t="s">
        <v>123</v>
      </c>
      <c r="E2163" s="190" t="s">
        <v>2066</v>
      </c>
      <c r="F2163" s="191">
        <f t="shared" si="35"/>
        <v>256.43333333333334</v>
      </c>
      <c r="G2163" s="185"/>
      <c r="H2163" s="181"/>
      <c r="I2163" s="74"/>
      <c r="J2163" s="74"/>
      <c r="M2163" s="185"/>
      <c r="N2163" s="185"/>
      <c r="O2163" s="185"/>
      <c r="P2163" s="185"/>
      <c r="Q2163" s="185"/>
      <c r="R2163" s="185"/>
    </row>
    <row r="2164" spans="1:18" s="197" customFormat="1" ht="12.75" x14ac:dyDescent="0.2">
      <c r="A2164" s="181"/>
      <c r="B2164" s="188" t="s">
        <v>561</v>
      </c>
      <c r="C2164" s="189" t="s">
        <v>142</v>
      </c>
      <c r="D2164" s="189" t="s">
        <v>139</v>
      </c>
      <c r="E2164" s="190" t="s">
        <v>4329</v>
      </c>
      <c r="F2164" s="191">
        <f t="shared" si="35"/>
        <v>317.96666666666664</v>
      </c>
      <c r="G2164" s="185"/>
      <c r="H2164" s="181"/>
      <c r="I2164" s="74"/>
      <c r="J2164" s="74"/>
      <c r="M2164" s="185"/>
      <c r="N2164" s="185"/>
      <c r="O2164" s="185"/>
      <c r="P2164" s="185"/>
      <c r="Q2164" s="185"/>
      <c r="R2164" s="185"/>
    </row>
    <row r="2165" spans="1:18" s="197" customFormat="1" ht="12.75" x14ac:dyDescent="0.2">
      <c r="A2165" s="181"/>
      <c r="B2165" s="188" t="s">
        <v>2706</v>
      </c>
      <c r="C2165" s="189" t="s">
        <v>125</v>
      </c>
      <c r="D2165" s="189" t="s">
        <v>123</v>
      </c>
      <c r="E2165" s="190" t="s">
        <v>2707</v>
      </c>
      <c r="F2165" s="191">
        <f t="shared" si="35"/>
        <v>203.3</v>
      </c>
      <c r="G2165" s="185"/>
      <c r="H2165" s="181"/>
      <c r="I2165" s="74"/>
      <c r="J2165" s="74"/>
      <c r="M2165" s="185"/>
      <c r="N2165" s="185"/>
      <c r="O2165" s="185"/>
      <c r="P2165" s="185"/>
      <c r="Q2165" s="185"/>
      <c r="R2165" s="185"/>
    </row>
    <row r="2166" spans="1:18" s="197" customFormat="1" ht="12.75" x14ac:dyDescent="0.2">
      <c r="A2166" s="181"/>
      <c r="B2166" s="188" t="s">
        <v>150</v>
      </c>
      <c r="C2166" s="189" t="s">
        <v>125</v>
      </c>
      <c r="D2166" s="189" t="s">
        <v>123</v>
      </c>
      <c r="E2166" s="190" t="s">
        <v>4330</v>
      </c>
      <c r="F2166" s="191">
        <f t="shared" si="35"/>
        <v>225.31666666666666</v>
      </c>
      <c r="G2166" s="185"/>
      <c r="H2166" s="181"/>
      <c r="I2166" s="74"/>
      <c r="J2166" s="74"/>
      <c r="M2166" s="185"/>
      <c r="N2166" s="185"/>
      <c r="O2166" s="185"/>
      <c r="P2166" s="185"/>
      <c r="Q2166" s="185"/>
      <c r="R2166" s="185"/>
    </row>
    <row r="2167" spans="1:18" s="197" customFormat="1" ht="12.75" x14ac:dyDescent="0.2">
      <c r="A2167" s="181"/>
      <c r="B2167" s="188" t="s">
        <v>4331</v>
      </c>
      <c r="C2167" s="189" t="s">
        <v>134</v>
      </c>
      <c r="D2167" s="189" t="s">
        <v>123</v>
      </c>
      <c r="E2167" s="190" t="s">
        <v>4332</v>
      </c>
      <c r="F2167" s="191">
        <f t="shared" si="35"/>
        <v>233.95</v>
      </c>
      <c r="G2167" s="185"/>
      <c r="H2167" s="181"/>
      <c r="I2167" s="74"/>
      <c r="J2167" s="74"/>
      <c r="M2167" s="185"/>
      <c r="N2167" s="185"/>
      <c r="O2167" s="185"/>
      <c r="P2167" s="185"/>
      <c r="Q2167" s="185"/>
      <c r="R2167" s="185"/>
    </row>
    <row r="2168" spans="1:18" s="197" customFormat="1" ht="12.75" x14ac:dyDescent="0.2">
      <c r="A2168" s="181"/>
      <c r="B2168" s="188" t="s">
        <v>4333</v>
      </c>
      <c r="C2168" s="189" t="s">
        <v>142</v>
      </c>
      <c r="D2168" s="189" t="s">
        <v>157</v>
      </c>
      <c r="E2168" s="190" t="s">
        <v>4334</v>
      </c>
      <c r="F2168" s="191">
        <f t="shared" si="35"/>
        <v>300</v>
      </c>
      <c r="G2168" s="185"/>
      <c r="H2168" s="181"/>
      <c r="I2168" s="74"/>
      <c r="J2168" s="74"/>
      <c r="M2168" s="185"/>
      <c r="N2168" s="185"/>
      <c r="O2168" s="185"/>
      <c r="P2168" s="185"/>
      <c r="Q2168" s="185"/>
      <c r="R2168" s="185"/>
    </row>
    <row r="2169" spans="1:18" s="197" customFormat="1" ht="12.75" x14ac:dyDescent="0.2">
      <c r="A2169" s="181"/>
      <c r="B2169" s="188" t="s">
        <v>419</v>
      </c>
      <c r="C2169" s="189" t="s">
        <v>136</v>
      </c>
      <c r="D2169" s="189" t="s">
        <v>123</v>
      </c>
      <c r="E2169" s="190" t="s">
        <v>4335</v>
      </c>
      <c r="F2169" s="191">
        <f t="shared" si="35"/>
        <v>239.58333333333334</v>
      </c>
      <c r="G2169" s="185"/>
      <c r="H2169" s="181"/>
      <c r="I2169" s="74"/>
      <c r="J2169" s="74"/>
      <c r="M2169" s="185"/>
      <c r="N2169" s="185"/>
      <c r="O2169" s="185"/>
      <c r="P2169" s="185"/>
      <c r="Q2169" s="185"/>
      <c r="R2169" s="185"/>
    </row>
    <row r="2170" spans="1:18" s="197" customFormat="1" ht="12.75" x14ac:dyDescent="0.2">
      <c r="A2170" s="181"/>
      <c r="B2170" s="188" t="s">
        <v>4336</v>
      </c>
      <c r="C2170" s="189" t="s">
        <v>142</v>
      </c>
      <c r="D2170" s="189" t="s">
        <v>123</v>
      </c>
      <c r="E2170" s="190" t="s">
        <v>4337</v>
      </c>
      <c r="F2170" s="191">
        <f t="shared" si="35"/>
        <v>188.33333333333334</v>
      </c>
      <c r="G2170" s="185"/>
      <c r="H2170" s="181"/>
      <c r="I2170" s="74"/>
      <c r="J2170" s="74"/>
      <c r="M2170" s="185"/>
      <c r="N2170" s="185"/>
      <c r="O2170" s="185"/>
      <c r="P2170" s="185"/>
      <c r="Q2170" s="185"/>
      <c r="R2170" s="185"/>
    </row>
    <row r="2171" spans="1:18" s="197" customFormat="1" ht="12.75" x14ac:dyDescent="0.2">
      <c r="A2171" s="181"/>
      <c r="B2171" s="188" t="s">
        <v>2732</v>
      </c>
      <c r="C2171" s="189" t="s">
        <v>124</v>
      </c>
      <c r="D2171" s="189" t="s">
        <v>210</v>
      </c>
      <c r="E2171" s="190" t="s">
        <v>1191</v>
      </c>
      <c r="F2171" s="191">
        <f t="shared" si="35"/>
        <v>203.2</v>
      </c>
      <c r="G2171" s="185"/>
      <c r="H2171" s="181"/>
      <c r="I2171" s="74"/>
      <c r="J2171" s="74"/>
      <c r="M2171" s="185"/>
      <c r="N2171" s="185"/>
      <c r="O2171" s="185"/>
      <c r="P2171" s="185"/>
      <c r="Q2171" s="185"/>
      <c r="R2171" s="185"/>
    </row>
    <row r="2172" spans="1:18" s="197" customFormat="1" ht="12.75" x14ac:dyDescent="0.2">
      <c r="A2172" s="181"/>
      <c r="B2172" s="188" t="s">
        <v>4338</v>
      </c>
      <c r="C2172" s="189" t="s">
        <v>124</v>
      </c>
      <c r="D2172" s="189" t="s">
        <v>123</v>
      </c>
      <c r="E2172" s="190" t="s">
        <v>4339</v>
      </c>
      <c r="F2172" s="191">
        <f t="shared" si="35"/>
        <v>223.86666666666667</v>
      </c>
      <c r="G2172" s="185"/>
      <c r="H2172" s="181"/>
      <c r="I2172" s="74"/>
      <c r="J2172" s="74"/>
      <c r="M2172" s="185"/>
      <c r="N2172" s="185"/>
      <c r="O2172" s="185"/>
      <c r="P2172" s="185"/>
      <c r="Q2172" s="185"/>
      <c r="R2172" s="185"/>
    </row>
    <row r="2173" spans="1:18" s="197" customFormat="1" ht="12.75" x14ac:dyDescent="0.2">
      <c r="A2173" s="181"/>
      <c r="B2173" s="188" t="s">
        <v>4340</v>
      </c>
      <c r="C2173" s="189" t="s">
        <v>126</v>
      </c>
      <c r="D2173" s="189" t="s">
        <v>123</v>
      </c>
      <c r="E2173" s="190" t="s">
        <v>4341</v>
      </c>
      <c r="F2173" s="191">
        <f t="shared" si="35"/>
        <v>215.48333333333332</v>
      </c>
      <c r="G2173" s="185"/>
      <c r="H2173" s="181"/>
      <c r="I2173" s="74"/>
      <c r="J2173" s="74"/>
      <c r="M2173" s="185"/>
      <c r="N2173" s="185"/>
      <c r="O2173" s="185"/>
      <c r="P2173" s="185"/>
      <c r="Q2173" s="185"/>
      <c r="R2173" s="185"/>
    </row>
    <row r="2174" spans="1:18" s="197" customFormat="1" ht="12.75" x14ac:dyDescent="0.2">
      <c r="A2174" s="181"/>
      <c r="B2174" s="188" t="s">
        <v>4342</v>
      </c>
      <c r="C2174" s="189" t="s">
        <v>124</v>
      </c>
      <c r="D2174" s="189" t="s">
        <v>123</v>
      </c>
      <c r="E2174" s="190" t="s">
        <v>4343</v>
      </c>
      <c r="F2174" s="191">
        <f t="shared" si="35"/>
        <v>233.15</v>
      </c>
      <c r="G2174" s="185"/>
      <c r="H2174" s="181"/>
      <c r="I2174" s="74"/>
      <c r="J2174" s="74"/>
      <c r="M2174" s="185"/>
      <c r="N2174" s="185"/>
      <c r="O2174" s="185"/>
      <c r="P2174" s="185"/>
      <c r="Q2174" s="185"/>
      <c r="R2174" s="185"/>
    </row>
    <row r="2175" spans="1:18" s="197" customFormat="1" ht="12.75" x14ac:dyDescent="0.2">
      <c r="A2175" s="181"/>
      <c r="B2175" s="188" t="s">
        <v>4344</v>
      </c>
      <c r="C2175" s="189" t="s">
        <v>130</v>
      </c>
      <c r="D2175" s="189" t="s">
        <v>123</v>
      </c>
      <c r="E2175" s="190" t="s">
        <v>4345</v>
      </c>
      <c r="F2175" s="191">
        <f t="shared" si="35"/>
        <v>251.86666666666667</v>
      </c>
      <c r="G2175" s="185"/>
      <c r="H2175" s="181"/>
      <c r="I2175" s="74"/>
      <c r="J2175" s="74"/>
      <c r="M2175" s="185"/>
      <c r="N2175" s="185"/>
      <c r="O2175" s="185"/>
      <c r="P2175" s="185"/>
      <c r="Q2175" s="185"/>
      <c r="R2175" s="185"/>
    </row>
    <row r="2176" spans="1:18" s="197" customFormat="1" ht="12.75" x14ac:dyDescent="0.2">
      <c r="A2176" s="181"/>
      <c r="B2176" s="188" t="s">
        <v>4346</v>
      </c>
      <c r="C2176" s="189" t="s">
        <v>125</v>
      </c>
      <c r="D2176" s="189" t="s">
        <v>165</v>
      </c>
      <c r="E2176" s="190" t="s">
        <v>4347</v>
      </c>
      <c r="F2176" s="191">
        <f t="shared" si="35"/>
        <v>276.2</v>
      </c>
      <c r="G2176" s="185"/>
      <c r="H2176" s="181"/>
      <c r="I2176" s="74"/>
      <c r="J2176" s="74"/>
      <c r="M2176" s="185"/>
      <c r="N2176" s="185"/>
      <c r="O2176" s="185"/>
      <c r="P2176" s="185"/>
      <c r="Q2176" s="185"/>
      <c r="R2176" s="185"/>
    </row>
    <row r="2177" spans="1:18" s="197" customFormat="1" ht="12.75" x14ac:dyDescent="0.2">
      <c r="A2177" s="181"/>
      <c r="B2177" s="188" t="s">
        <v>4348</v>
      </c>
      <c r="C2177" s="189" t="s">
        <v>134</v>
      </c>
      <c r="D2177" s="189" t="s">
        <v>171</v>
      </c>
      <c r="E2177" s="190" t="s">
        <v>4349</v>
      </c>
      <c r="F2177" s="191">
        <f t="shared" si="35"/>
        <v>218.21666666666667</v>
      </c>
      <c r="G2177" s="185"/>
      <c r="H2177" s="181"/>
      <c r="I2177" s="74"/>
      <c r="J2177" s="74"/>
      <c r="M2177" s="185"/>
      <c r="N2177" s="185"/>
      <c r="O2177" s="185"/>
      <c r="P2177" s="185"/>
      <c r="Q2177" s="185"/>
      <c r="R2177" s="185"/>
    </row>
    <row r="2178" spans="1:18" s="197" customFormat="1" ht="12.75" x14ac:dyDescent="0.2">
      <c r="A2178" s="181"/>
      <c r="B2178" s="188" t="s">
        <v>4219</v>
      </c>
      <c r="C2178" s="189" t="s">
        <v>135</v>
      </c>
      <c r="D2178" s="189" t="s">
        <v>123</v>
      </c>
      <c r="E2178" s="190" t="s">
        <v>4220</v>
      </c>
      <c r="F2178" s="191">
        <f t="shared" si="35"/>
        <v>189.21666666666667</v>
      </c>
      <c r="G2178" s="185"/>
      <c r="H2178" s="181"/>
      <c r="I2178" s="74"/>
      <c r="J2178" s="74"/>
      <c r="M2178" s="185"/>
      <c r="N2178" s="185"/>
      <c r="O2178" s="185"/>
      <c r="P2178" s="185"/>
      <c r="Q2178" s="185"/>
      <c r="R2178" s="185"/>
    </row>
    <row r="2179" spans="1:18" s="197" customFormat="1" ht="12.75" x14ac:dyDescent="0.2">
      <c r="A2179" s="181"/>
      <c r="B2179" s="188" t="s">
        <v>4350</v>
      </c>
      <c r="C2179" s="189" t="s">
        <v>128</v>
      </c>
      <c r="D2179" s="189" t="s">
        <v>139</v>
      </c>
      <c r="E2179" s="190" t="s">
        <v>4351</v>
      </c>
      <c r="F2179" s="191">
        <f t="shared" si="35"/>
        <v>217.7</v>
      </c>
      <c r="G2179" s="185"/>
      <c r="H2179" s="181"/>
      <c r="I2179" s="74"/>
      <c r="J2179" s="74"/>
      <c r="M2179" s="185"/>
      <c r="N2179" s="185"/>
      <c r="O2179" s="185"/>
      <c r="P2179" s="185"/>
      <c r="Q2179" s="185"/>
      <c r="R2179" s="185"/>
    </row>
    <row r="2180" spans="1:18" s="197" customFormat="1" ht="12.75" x14ac:dyDescent="0.2">
      <c r="A2180" s="181"/>
      <c r="B2180" s="188" t="s">
        <v>451</v>
      </c>
      <c r="C2180" s="189" t="s">
        <v>142</v>
      </c>
      <c r="D2180" s="189" t="s">
        <v>123</v>
      </c>
      <c r="E2180" s="190" t="s">
        <v>4352</v>
      </c>
      <c r="F2180" s="191">
        <f t="shared" si="35"/>
        <v>255.16666666666666</v>
      </c>
      <c r="G2180" s="185"/>
      <c r="H2180" s="181"/>
      <c r="I2180" s="74"/>
      <c r="J2180" s="74"/>
      <c r="M2180" s="185"/>
      <c r="N2180" s="185"/>
      <c r="O2180" s="185"/>
      <c r="P2180" s="185"/>
      <c r="Q2180" s="185"/>
      <c r="R2180" s="185"/>
    </row>
    <row r="2181" spans="1:18" s="197" customFormat="1" ht="12.75" x14ac:dyDescent="0.2">
      <c r="A2181" s="181"/>
      <c r="B2181" s="188" t="s">
        <v>4353</v>
      </c>
      <c r="C2181" s="189" t="s">
        <v>128</v>
      </c>
      <c r="D2181" s="189" t="s">
        <v>123</v>
      </c>
      <c r="E2181" s="190" t="s">
        <v>4354</v>
      </c>
      <c r="F2181" s="191">
        <f t="shared" si="35"/>
        <v>272.38333333333333</v>
      </c>
      <c r="G2181" s="185"/>
      <c r="H2181" s="181"/>
      <c r="I2181" s="74"/>
      <c r="J2181" s="74"/>
      <c r="M2181" s="185"/>
      <c r="N2181" s="185"/>
      <c r="O2181" s="185"/>
      <c r="P2181" s="185"/>
      <c r="Q2181" s="185"/>
      <c r="R2181" s="185"/>
    </row>
    <row r="2182" spans="1:18" s="197" customFormat="1" ht="12.75" x14ac:dyDescent="0.2">
      <c r="A2182" s="181"/>
      <c r="B2182" s="188" t="s">
        <v>605</v>
      </c>
      <c r="C2182" s="189" t="s">
        <v>142</v>
      </c>
      <c r="D2182" s="189" t="s">
        <v>123</v>
      </c>
      <c r="E2182" s="190" t="s">
        <v>4355</v>
      </c>
      <c r="F2182" s="191">
        <f t="shared" si="35"/>
        <v>283.58333333333331</v>
      </c>
      <c r="G2182" s="185"/>
      <c r="H2182" s="181"/>
      <c r="I2182" s="74"/>
      <c r="J2182" s="74"/>
      <c r="M2182" s="185"/>
      <c r="N2182" s="185"/>
      <c r="O2182" s="185"/>
      <c r="P2182" s="185"/>
      <c r="Q2182" s="185"/>
      <c r="R2182" s="185"/>
    </row>
    <row r="2183" spans="1:18" s="197" customFormat="1" ht="12.75" x14ac:dyDescent="0.2">
      <c r="A2183" s="181"/>
      <c r="B2183" s="188" t="s">
        <v>4356</v>
      </c>
      <c r="C2183" s="189" t="s">
        <v>142</v>
      </c>
      <c r="D2183" s="189" t="s">
        <v>123</v>
      </c>
      <c r="E2183" s="190" t="s">
        <v>4357</v>
      </c>
      <c r="F2183" s="191">
        <f t="shared" si="35"/>
        <v>229.1</v>
      </c>
      <c r="G2183" s="185"/>
      <c r="H2183" s="181"/>
      <c r="I2183" s="74"/>
      <c r="J2183" s="74"/>
      <c r="M2183" s="185"/>
      <c r="N2183" s="185"/>
      <c r="O2183" s="185"/>
      <c r="P2183" s="185"/>
      <c r="Q2183" s="185"/>
      <c r="R2183" s="185"/>
    </row>
    <row r="2184" spans="1:18" s="197" customFormat="1" ht="12.75" x14ac:dyDescent="0.2">
      <c r="A2184" s="181"/>
      <c r="B2184" s="188" t="s">
        <v>4358</v>
      </c>
      <c r="C2184" s="189" t="s">
        <v>134</v>
      </c>
      <c r="D2184" s="189" t="s">
        <v>131</v>
      </c>
      <c r="E2184" s="190" t="s">
        <v>4359</v>
      </c>
      <c r="F2184" s="191">
        <f t="shared" si="35"/>
        <v>162.30000000000001</v>
      </c>
      <c r="G2184" s="185"/>
      <c r="H2184" s="181"/>
      <c r="I2184" s="74"/>
      <c r="J2184" s="74"/>
      <c r="M2184" s="185"/>
      <c r="N2184" s="185"/>
      <c r="O2184" s="185"/>
      <c r="P2184" s="185"/>
      <c r="Q2184" s="185"/>
      <c r="R2184" s="185"/>
    </row>
    <row r="2185" spans="1:18" s="197" customFormat="1" ht="12.75" x14ac:dyDescent="0.2">
      <c r="A2185" s="181"/>
      <c r="B2185" s="188" t="s">
        <v>4360</v>
      </c>
      <c r="C2185" s="189" t="s">
        <v>124</v>
      </c>
      <c r="D2185" s="189" t="s">
        <v>123</v>
      </c>
      <c r="E2185" s="190" t="s">
        <v>4361</v>
      </c>
      <c r="F2185" s="191">
        <f t="shared" si="35"/>
        <v>291.41666666666669</v>
      </c>
      <c r="G2185" s="185"/>
      <c r="H2185" s="181"/>
      <c r="I2185" s="74"/>
      <c r="J2185" s="74"/>
      <c r="M2185" s="185"/>
      <c r="N2185" s="185"/>
      <c r="O2185" s="185"/>
      <c r="P2185" s="185"/>
      <c r="Q2185" s="185"/>
      <c r="R2185" s="185"/>
    </row>
    <row r="2186" spans="1:18" s="197" customFormat="1" ht="12.75" x14ac:dyDescent="0.2">
      <c r="A2186" s="181"/>
      <c r="B2186" s="188" t="s">
        <v>4362</v>
      </c>
      <c r="C2186" s="189" t="s">
        <v>128</v>
      </c>
      <c r="D2186" s="189" t="s">
        <v>155</v>
      </c>
      <c r="E2186" s="190" t="s">
        <v>4363</v>
      </c>
      <c r="F2186" s="191">
        <f t="shared" si="35"/>
        <v>196.98333333333332</v>
      </c>
      <c r="G2186" s="185"/>
      <c r="H2186" s="181"/>
      <c r="I2186" s="74"/>
      <c r="J2186" s="74"/>
      <c r="M2186" s="185"/>
      <c r="N2186" s="185"/>
      <c r="O2186" s="185"/>
      <c r="P2186" s="185"/>
      <c r="Q2186" s="185"/>
      <c r="R2186" s="185"/>
    </row>
    <row r="2187" spans="1:18" s="197" customFormat="1" ht="12.75" x14ac:dyDescent="0.2">
      <c r="A2187" s="181"/>
      <c r="B2187" s="188" t="s">
        <v>4364</v>
      </c>
      <c r="C2187" s="189" t="s">
        <v>142</v>
      </c>
      <c r="D2187" s="189" t="s">
        <v>139</v>
      </c>
      <c r="E2187" s="190" t="s">
        <v>4365</v>
      </c>
      <c r="F2187" s="191">
        <f t="shared" ref="F2187:F2250" si="36">HOUR(E2187)*60+MINUTE(E2187)+SECOND(E2187)/60</f>
        <v>237.11666666666667</v>
      </c>
      <c r="G2187" s="185"/>
      <c r="H2187" s="181"/>
      <c r="I2187" s="74"/>
      <c r="J2187" s="74"/>
      <c r="M2187" s="185"/>
      <c r="N2187" s="185"/>
      <c r="O2187" s="185"/>
      <c r="P2187" s="185"/>
      <c r="Q2187" s="185"/>
      <c r="R2187" s="185"/>
    </row>
    <row r="2188" spans="1:18" s="197" customFormat="1" ht="12.75" x14ac:dyDescent="0.2">
      <c r="A2188" s="181"/>
      <c r="B2188" s="188" t="s">
        <v>2689</v>
      </c>
      <c r="C2188" s="189" t="s">
        <v>125</v>
      </c>
      <c r="D2188" s="189" t="s">
        <v>123</v>
      </c>
      <c r="E2188" s="190" t="s">
        <v>2690</v>
      </c>
      <c r="F2188" s="191">
        <f t="shared" si="36"/>
        <v>302.64999999999998</v>
      </c>
      <c r="G2188" s="185"/>
      <c r="H2188" s="181"/>
      <c r="I2188" s="74"/>
      <c r="J2188" s="74"/>
      <c r="M2188" s="185"/>
      <c r="N2188" s="185"/>
      <c r="O2188" s="185"/>
      <c r="P2188" s="185"/>
      <c r="Q2188" s="185"/>
      <c r="R2188" s="185"/>
    </row>
    <row r="2189" spans="1:18" s="197" customFormat="1" ht="12.75" x14ac:dyDescent="0.2">
      <c r="A2189" s="181"/>
      <c r="B2189" s="188" t="s">
        <v>549</v>
      </c>
      <c r="C2189" s="189" t="s">
        <v>124</v>
      </c>
      <c r="D2189" s="189" t="s">
        <v>123</v>
      </c>
      <c r="E2189" s="190" t="s">
        <v>4366</v>
      </c>
      <c r="F2189" s="191">
        <f t="shared" si="36"/>
        <v>235.65</v>
      </c>
      <c r="G2189" s="185"/>
      <c r="H2189" s="181"/>
      <c r="I2189" s="74"/>
      <c r="J2189" s="74"/>
      <c r="M2189" s="185"/>
      <c r="N2189" s="185"/>
      <c r="O2189" s="185"/>
      <c r="P2189" s="185"/>
      <c r="Q2189" s="185"/>
      <c r="R2189" s="185"/>
    </row>
    <row r="2190" spans="1:18" s="197" customFormat="1" ht="12.75" x14ac:dyDescent="0.2">
      <c r="A2190" s="181"/>
      <c r="B2190" s="188" t="s">
        <v>4367</v>
      </c>
      <c r="C2190" s="189" t="s">
        <v>134</v>
      </c>
      <c r="D2190" s="189" t="s">
        <v>123</v>
      </c>
      <c r="E2190" s="190" t="s">
        <v>3472</v>
      </c>
      <c r="F2190" s="191">
        <f t="shared" si="36"/>
        <v>269.7</v>
      </c>
      <c r="G2190" s="185"/>
      <c r="H2190" s="181"/>
      <c r="I2190" s="74"/>
      <c r="J2190" s="74"/>
      <c r="M2190" s="185"/>
      <c r="N2190" s="185"/>
      <c r="O2190" s="185"/>
      <c r="P2190" s="185"/>
      <c r="Q2190" s="185"/>
      <c r="R2190" s="185"/>
    </row>
    <row r="2191" spans="1:18" s="197" customFormat="1" ht="12.75" x14ac:dyDescent="0.2">
      <c r="A2191" s="181"/>
      <c r="B2191" s="188" t="s">
        <v>4368</v>
      </c>
      <c r="C2191" s="189" t="s">
        <v>142</v>
      </c>
      <c r="D2191" s="189" t="s">
        <v>123</v>
      </c>
      <c r="E2191" s="190" t="s">
        <v>1972</v>
      </c>
      <c r="F2191" s="191">
        <f t="shared" si="36"/>
        <v>260.58333333333331</v>
      </c>
      <c r="G2191" s="185"/>
      <c r="H2191" s="181"/>
      <c r="I2191" s="74"/>
      <c r="J2191" s="74"/>
      <c r="M2191" s="185"/>
      <c r="N2191" s="185"/>
      <c r="O2191" s="185"/>
      <c r="P2191" s="185"/>
      <c r="Q2191" s="185"/>
      <c r="R2191" s="185"/>
    </row>
    <row r="2192" spans="1:18" s="197" customFormat="1" ht="12.75" x14ac:dyDescent="0.2">
      <c r="A2192" s="181"/>
      <c r="B2192" s="188" t="s">
        <v>4369</v>
      </c>
      <c r="C2192" s="189" t="s">
        <v>126</v>
      </c>
      <c r="D2192" s="189" t="s">
        <v>144</v>
      </c>
      <c r="E2192" s="190" t="s">
        <v>4370</v>
      </c>
      <c r="F2192" s="191">
        <f t="shared" si="36"/>
        <v>185.26666666666668</v>
      </c>
      <c r="G2192" s="185"/>
      <c r="H2192" s="181"/>
      <c r="I2192" s="74"/>
      <c r="J2192" s="74"/>
      <c r="M2192" s="185"/>
      <c r="N2192" s="185"/>
      <c r="O2192" s="185"/>
      <c r="P2192" s="185"/>
      <c r="Q2192" s="185"/>
      <c r="R2192" s="185"/>
    </row>
    <row r="2193" spans="1:18" s="197" customFormat="1" ht="12.75" x14ac:dyDescent="0.2">
      <c r="A2193" s="181"/>
      <c r="B2193" s="188" t="s">
        <v>232</v>
      </c>
      <c r="C2193" s="189" t="s">
        <v>125</v>
      </c>
      <c r="D2193" s="189" t="s">
        <v>123</v>
      </c>
      <c r="E2193" s="190" t="s">
        <v>1639</v>
      </c>
      <c r="F2193" s="191">
        <f t="shared" si="36"/>
        <v>244.2</v>
      </c>
      <c r="G2193" s="185"/>
      <c r="H2193" s="181"/>
      <c r="I2193" s="74"/>
      <c r="J2193" s="74"/>
      <c r="M2193" s="185"/>
      <c r="N2193" s="185"/>
      <c r="O2193" s="185"/>
      <c r="P2193" s="185"/>
      <c r="Q2193" s="185"/>
      <c r="R2193" s="185"/>
    </row>
    <row r="2194" spans="1:18" s="197" customFormat="1" ht="12.75" x14ac:dyDescent="0.2">
      <c r="A2194" s="181"/>
      <c r="B2194" s="188" t="s">
        <v>4371</v>
      </c>
      <c r="C2194" s="189" t="s">
        <v>126</v>
      </c>
      <c r="D2194" s="189" t="s">
        <v>132</v>
      </c>
      <c r="E2194" s="190" t="s">
        <v>4372</v>
      </c>
      <c r="F2194" s="191">
        <f t="shared" si="36"/>
        <v>255.38333333333333</v>
      </c>
      <c r="G2194" s="185"/>
      <c r="H2194" s="181"/>
      <c r="I2194" s="74"/>
      <c r="J2194" s="74"/>
      <c r="M2194" s="185"/>
      <c r="N2194" s="185"/>
      <c r="O2194" s="185"/>
      <c r="P2194" s="185"/>
      <c r="Q2194" s="185"/>
      <c r="R2194" s="185"/>
    </row>
    <row r="2195" spans="1:18" s="197" customFormat="1" ht="12.75" x14ac:dyDescent="0.2">
      <c r="A2195" s="181"/>
      <c r="B2195" s="188" t="s">
        <v>4373</v>
      </c>
      <c r="C2195" s="189" t="s">
        <v>125</v>
      </c>
      <c r="D2195" s="189" t="s">
        <v>169</v>
      </c>
      <c r="E2195" s="190" t="s">
        <v>4374</v>
      </c>
      <c r="F2195" s="191">
        <f t="shared" si="36"/>
        <v>268.53333333333336</v>
      </c>
      <c r="G2195" s="185"/>
      <c r="H2195" s="181"/>
      <c r="I2195" s="74"/>
      <c r="J2195" s="74"/>
      <c r="M2195" s="185"/>
      <c r="N2195" s="185"/>
      <c r="O2195" s="185"/>
      <c r="P2195" s="185"/>
      <c r="Q2195" s="185"/>
      <c r="R2195" s="185"/>
    </row>
    <row r="2196" spans="1:18" s="197" customFormat="1" ht="12.75" x14ac:dyDescent="0.2">
      <c r="A2196" s="181"/>
      <c r="B2196" s="188" t="s">
        <v>4375</v>
      </c>
      <c r="C2196" s="189" t="s">
        <v>128</v>
      </c>
      <c r="D2196" s="189" t="s">
        <v>123</v>
      </c>
      <c r="E2196" s="190" t="s">
        <v>4376</v>
      </c>
      <c r="F2196" s="191">
        <f t="shared" si="36"/>
        <v>232.28333333333333</v>
      </c>
      <c r="G2196" s="185"/>
      <c r="H2196" s="181"/>
      <c r="I2196" s="74"/>
      <c r="J2196" s="74"/>
      <c r="M2196" s="185"/>
      <c r="N2196" s="185"/>
      <c r="O2196" s="185"/>
      <c r="P2196" s="185"/>
      <c r="Q2196" s="185"/>
      <c r="R2196" s="185"/>
    </row>
    <row r="2197" spans="1:18" s="197" customFormat="1" ht="12.75" x14ac:dyDescent="0.2">
      <c r="A2197" s="181"/>
      <c r="B2197" s="188" t="s">
        <v>4377</v>
      </c>
      <c r="C2197" s="189" t="s">
        <v>128</v>
      </c>
      <c r="D2197" s="189" t="s">
        <v>131</v>
      </c>
      <c r="E2197" s="190" t="s">
        <v>4378</v>
      </c>
      <c r="F2197" s="191">
        <f t="shared" si="36"/>
        <v>272.36666666666667</v>
      </c>
      <c r="G2197" s="185"/>
      <c r="H2197" s="181"/>
      <c r="I2197" s="74"/>
      <c r="J2197" s="74"/>
      <c r="M2197" s="185"/>
      <c r="N2197" s="185"/>
      <c r="O2197" s="185"/>
      <c r="P2197" s="185"/>
      <c r="Q2197" s="185"/>
      <c r="R2197" s="185"/>
    </row>
    <row r="2198" spans="1:18" s="197" customFormat="1" ht="12.75" x14ac:dyDescent="0.2">
      <c r="A2198" s="181"/>
      <c r="B2198" s="188" t="s">
        <v>4379</v>
      </c>
      <c r="C2198" s="189" t="s">
        <v>130</v>
      </c>
      <c r="D2198" s="189" t="s">
        <v>123</v>
      </c>
      <c r="E2198" s="190" t="s">
        <v>4380</v>
      </c>
      <c r="F2198" s="191">
        <f t="shared" si="36"/>
        <v>281.56666666666666</v>
      </c>
      <c r="G2198" s="185"/>
      <c r="H2198" s="181"/>
      <c r="I2198" s="74"/>
      <c r="J2198" s="74"/>
      <c r="M2198" s="185"/>
      <c r="N2198" s="185"/>
      <c r="O2198" s="185"/>
      <c r="P2198" s="185"/>
      <c r="Q2198" s="185"/>
      <c r="R2198" s="185"/>
    </row>
    <row r="2199" spans="1:18" s="197" customFormat="1" ht="12.75" x14ac:dyDescent="0.2">
      <c r="A2199" s="181"/>
      <c r="B2199" s="188" t="s">
        <v>4381</v>
      </c>
      <c r="C2199" s="189" t="s">
        <v>126</v>
      </c>
      <c r="D2199" s="189" t="s">
        <v>145</v>
      </c>
      <c r="E2199" s="190" t="s">
        <v>4382</v>
      </c>
      <c r="F2199" s="191">
        <f t="shared" si="36"/>
        <v>205.88333333333333</v>
      </c>
      <c r="G2199" s="185"/>
      <c r="H2199" s="181"/>
      <c r="I2199" s="74"/>
      <c r="J2199" s="74"/>
      <c r="M2199" s="185"/>
      <c r="N2199" s="185"/>
      <c r="O2199" s="185"/>
      <c r="P2199" s="185"/>
      <c r="Q2199" s="185"/>
      <c r="R2199" s="185"/>
    </row>
    <row r="2200" spans="1:18" s="197" customFormat="1" ht="12.75" x14ac:dyDescent="0.2">
      <c r="A2200" s="181"/>
      <c r="B2200" s="188" t="s">
        <v>4383</v>
      </c>
      <c r="C2200" s="189" t="s">
        <v>128</v>
      </c>
      <c r="D2200" s="189" t="s">
        <v>123</v>
      </c>
      <c r="E2200" s="190" t="s">
        <v>4384</v>
      </c>
      <c r="F2200" s="191">
        <f t="shared" si="36"/>
        <v>274</v>
      </c>
      <c r="G2200" s="185"/>
      <c r="H2200" s="181"/>
      <c r="I2200" s="74"/>
      <c r="J2200" s="74"/>
      <c r="M2200" s="185"/>
      <c r="N2200" s="185"/>
      <c r="O2200" s="185"/>
      <c r="P2200" s="185"/>
      <c r="Q2200" s="185"/>
      <c r="R2200" s="185"/>
    </row>
    <row r="2201" spans="1:18" s="197" customFormat="1" ht="12.75" x14ac:dyDescent="0.2">
      <c r="A2201" s="181"/>
      <c r="B2201" s="188" t="s">
        <v>4385</v>
      </c>
      <c r="C2201" s="189" t="s">
        <v>134</v>
      </c>
      <c r="D2201" s="189" t="s">
        <v>123</v>
      </c>
      <c r="E2201" s="190" t="s">
        <v>3863</v>
      </c>
      <c r="F2201" s="191">
        <f t="shared" si="36"/>
        <v>276.38333333333333</v>
      </c>
      <c r="G2201" s="185"/>
      <c r="H2201" s="181"/>
      <c r="I2201" s="74"/>
      <c r="J2201" s="74"/>
      <c r="M2201" s="185"/>
      <c r="N2201" s="185"/>
      <c r="O2201" s="185"/>
      <c r="P2201" s="185"/>
      <c r="Q2201" s="185"/>
      <c r="R2201" s="185"/>
    </row>
    <row r="2202" spans="1:18" s="197" customFormat="1" ht="12.75" x14ac:dyDescent="0.2">
      <c r="A2202" s="181"/>
      <c r="B2202" s="188" t="s">
        <v>4386</v>
      </c>
      <c r="C2202" s="189" t="s">
        <v>125</v>
      </c>
      <c r="D2202" s="189" t="s">
        <v>123</v>
      </c>
      <c r="E2202" s="190" t="s">
        <v>4387</v>
      </c>
      <c r="F2202" s="191">
        <f t="shared" si="36"/>
        <v>296.68333333333334</v>
      </c>
      <c r="G2202" s="185"/>
      <c r="H2202" s="181"/>
      <c r="I2202" s="74"/>
      <c r="J2202" s="74"/>
      <c r="M2202" s="185"/>
      <c r="N2202" s="185"/>
      <c r="O2202" s="185"/>
      <c r="P2202" s="185"/>
      <c r="Q2202" s="185"/>
      <c r="R2202" s="185"/>
    </row>
    <row r="2203" spans="1:18" s="197" customFormat="1" ht="12.75" x14ac:dyDescent="0.2">
      <c r="A2203" s="181"/>
      <c r="B2203" s="188" t="s">
        <v>4388</v>
      </c>
      <c r="C2203" s="189" t="s">
        <v>130</v>
      </c>
      <c r="D2203" s="189" t="s">
        <v>123</v>
      </c>
      <c r="E2203" s="190" t="s">
        <v>4389</v>
      </c>
      <c r="F2203" s="191">
        <f t="shared" si="36"/>
        <v>249.35</v>
      </c>
      <c r="G2203" s="185"/>
      <c r="H2203" s="181"/>
      <c r="I2203" s="74"/>
      <c r="J2203" s="74"/>
      <c r="M2203" s="185"/>
      <c r="N2203" s="185"/>
      <c r="O2203" s="185"/>
      <c r="P2203" s="185"/>
      <c r="Q2203" s="185"/>
      <c r="R2203" s="185"/>
    </row>
    <row r="2204" spans="1:18" s="197" customFormat="1" ht="12.75" x14ac:dyDescent="0.2">
      <c r="A2204" s="181"/>
      <c r="B2204" s="188" t="s">
        <v>4390</v>
      </c>
      <c r="C2204" s="189" t="s">
        <v>134</v>
      </c>
      <c r="D2204" s="189" t="s">
        <v>123</v>
      </c>
      <c r="E2204" s="190" t="s">
        <v>4391</v>
      </c>
      <c r="F2204" s="191">
        <f t="shared" si="36"/>
        <v>252.01666666666668</v>
      </c>
      <c r="G2204" s="185"/>
      <c r="H2204" s="181"/>
      <c r="I2204" s="74"/>
      <c r="J2204" s="74"/>
      <c r="M2204" s="185"/>
      <c r="N2204" s="185"/>
      <c r="O2204" s="185"/>
      <c r="P2204" s="185"/>
      <c r="Q2204" s="185"/>
      <c r="R2204" s="185"/>
    </row>
    <row r="2205" spans="1:18" s="197" customFormat="1" ht="12.75" x14ac:dyDescent="0.2">
      <c r="A2205" s="181"/>
      <c r="B2205" s="188" t="s">
        <v>4392</v>
      </c>
      <c r="C2205" s="189" t="s">
        <v>128</v>
      </c>
      <c r="D2205" s="189" t="s">
        <v>132</v>
      </c>
      <c r="E2205" s="190" t="s">
        <v>4393</v>
      </c>
      <c r="F2205" s="191">
        <f t="shared" si="36"/>
        <v>307.56666666666666</v>
      </c>
      <c r="G2205" s="185"/>
      <c r="H2205" s="181"/>
      <c r="I2205" s="74"/>
      <c r="J2205" s="74"/>
      <c r="M2205" s="185"/>
      <c r="N2205" s="185"/>
      <c r="O2205" s="185"/>
      <c r="P2205" s="185"/>
      <c r="Q2205" s="185"/>
      <c r="R2205" s="185"/>
    </row>
    <row r="2206" spans="1:18" s="197" customFormat="1" ht="12.75" x14ac:dyDescent="0.2">
      <c r="A2206" s="181"/>
      <c r="B2206" s="188" t="s">
        <v>4394</v>
      </c>
      <c r="C2206" s="189" t="s">
        <v>125</v>
      </c>
      <c r="D2206" s="189" t="s">
        <v>129</v>
      </c>
      <c r="E2206" s="190" t="s">
        <v>4395</v>
      </c>
      <c r="F2206" s="191">
        <f t="shared" si="36"/>
        <v>256.08333333333331</v>
      </c>
      <c r="G2206" s="185"/>
      <c r="H2206" s="181"/>
      <c r="I2206" s="74"/>
      <c r="J2206" s="74"/>
      <c r="M2206" s="185"/>
      <c r="N2206" s="185"/>
      <c r="O2206" s="185"/>
      <c r="P2206" s="185"/>
      <c r="Q2206" s="185"/>
      <c r="R2206" s="185"/>
    </row>
    <row r="2207" spans="1:18" s="197" customFormat="1" ht="12.75" x14ac:dyDescent="0.2">
      <c r="A2207" s="181"/>
      <c r="B2207" s="188" t="s">
        <v>4396</v>
      </c>
      <c r="C2207" s="189" t="s">
        <v>128</v>
      </c>
      <c r="D2207" s="189" t="s">
        <v>131</v>
      </c>
      <c r="E2207" s="190" t="s">
        <v>4397</v>
      </c>
      <c r="F2207" s="191">
        <f t="shared" si="36"/>
        <v>276.28333333333336</v>
      </c>
      <c r="G2207" s="185"/>
      <c r="H2207" s="181"/>
      <c r="I2207" s="74"/>
      <c r="J2207" s="74"/>
      <c r="M2207" s="185"/>
      <c r="N2207" s="185"/>
      <c r="O2207" s="185"/>
      <c r="P2207" s="185"/>
      <c r="Q2207" s="185"/>
      <c r="R2207" s="185"/>
    </row>
    <row r="2208" spans="1:18" s="197" customFormat="1" ht="12.75" x14ac:dyDescent="0.2">
      <c r="A2208" s="181"/>
      <c r="B2208" s="188" t="s">
        <v>4398</v>
      </c>
      <c r="C2208" s="189" t="s">
        <v>142</v>
      </c>
      <c r="D2208" s="189" t="s">
        <v>123</v>
      </c>
      <c r="E2208" s="190" t="s">
        <v>4399</v>
      </c>
      <c r="F2208" s="191">
        <f t="shared" si="36"/>
        <v>194.61666666666667</v>
      </c>
      <c r="G2208" s="185"/>
      <c r="H2208" s="181"/>
      <c r="I2208" s="74"/>
      <c r="J2208" s="74"/>
      <c r="M2208" s="185"/>
      <c r="N2208" s="185"/>
      <c r="O2208" s="185"/>
      <c r="P2208" s="185"/>
      <c r="Q2208" s="185"/>
      <c r="R2208" s="185"/>
    </row>
    <row r="2209" spans="1:18" s="197" customFormat="1" ht="12.75" x14ac:dyDescent="0.2">
      <c r="A2209" s="181"/>
      <c r="B2209" s="188" t="s">
        <v>513</v>
      </c>
      <c r="C2209" s="189" t="s">
        <v>125</v>
      </c>
      <c r="D2209" s="189" t="s">
        <v>123</v>
      </c>
      <c r="E2209" s="190" t="s">
        <v>919</v>
      </c>
      <c r="F2209" s="191">
        <f t="shared" si="36"/>
        <v>203.23333333333332</v>
      </c>
      <c r="G2209" s="185"/>
      <c r="H2209" s="181"/>
      <c r="I2209" s="74"/>
      <c r="J2209" s="74"/>
      <c r="M2209" s="185"/>
      <c r="N2209" s="185"/>
      <c r="O2209" s="185"/>
      <c r="P2209" s="185"/>
      <c r="Q2209" s="185"/>
      <c r="R2209" s="185"/>
    </row>
    <row r="2210" spans="1:18" s="197" customFormat="1" ht="12.75" x14ac:dyDescent="0.2">
      <c r="A2210" s="181"/>
      <c r="B2210" s="188" t="s">
        <v>4400</v>
      </c>
      <c r="C2210" s="189" t="s">
        <v>125</v>
      </c>
      <c r="D2210" s="189" t="s">
        <v>210</v>
      </c>
      <c r="E2210" s="190" t="s">
        <v>4401</v>
      </c>
      <c r="F2210" s="191">
        <f t="shared" si="36"/>
        <v>291.71666666666664</v>
      </c>
      <c r="G2210" s="185"/>
      <c r="H2210" s="181"/>
      <c r="I2210" s="74"/>
      <c r="J2210" s="74"/>
      <c r="M2210" s="185"/>
      <c r="N2210" s="185"/>
      <c r="O2210" s="185"/>
      <c r="P2210" s="185"/>
      <c r="Q2210" s="185"/>
      <c r="R2210" s="185"/>
    </row>
    <row r="2211" spans="1:18" s="197" customFormat="1" ht="12.75" x14ac:dyDescent="0.2">
      <c r="A2211" s="181"/>
      <c r="B2211" s="188" t="s">
        <v>4402</v>
      </c>
      <c r="C2211" s="189" t="s">
        <v>142</v>
      </c>
      <c r="D2211" s="189" t="s">
        <v>132</v>
      </c>
      <c r="E2211" s="190" t="s">
        <v>2681</v>
      </c>
      <c r="F2211" s="191">
        <f t="shared" si="36"/>
        <v>241.41666666666666</v>
      </c>
      <c r="G2211" s="185"/>
      <c r="H2211" s="181"/>
      <c r="I2211" s="74"/>
      <c r="J2211" s="74"/>
      <c r="M2211" s="185"/>
      <c r="N2211" s="185"/>
      <c r="O2211" s="185"/>
      <c r="P2211" s="185"/>
      <c r="Q2211" s="185"/>
      <c r="R2211" s="185"/>
    </row>
    <row r="2212" spans="1:18" s="197" customFormat="1" ht="12.75" x14ac:dyDescent="0.2">
      <c r="A2212" s="181"/>
      <c r="B2212" s="188" t="s">
        <v>4403</v>
      </c>
      <c r="C2212" s="189" t="s">
        <v>124</v>
      </c>
      <c r="D2212" s="189" t="s">
        <v>123</v>
      </c>
      <c r="E2212" s="190" t="s">
        <v>2548</v>
      </c>
      <c r="F2212" s="191">
        <f t="shared" si="36"/>
        <v>203.63333333333333</v>
      </c>
      <c r="G2212" s="185"/>
      <c r="H2212" s="181"/>
      <c r="I2212" s="74"/>
      <c r="J2212" s="74"/>
      <c r="M2212" s="185"/>
      <c r="N2212" s="185"/>
      <c r="O2212" s="185"/>
      <c r="P2212" s="185"/>
      <c r="Q2212" s="185"/>
      <c r="R2212" s="185"/>
    </row>
    <row r="2213" spans="1:18" s="197" customFormat="1" ht="12.75" x14ac:dyDescent="0.2">
      <c r="A2213" s="181"/>
      <c r="B2213" s="188" t="s">
        <v>4404</v>
      </c>
      <c r="C2213" s="189" t="s">
        <v>134</v>
      </c>
      <c r="D2213" s="189" t="s">
        <v>152</v>
      </c>
      <c r="E2213" s="190" t="s">
        <v>4405</v>
      </c>
      <c r="F2213" s="191">
        <f t="shared" si="36"/>
        <v>208.65</v>
      </c>
      <c r="G2213" s="185"/>
      <c r="H2213" s="181"/>
      <c r="I2213" s="74"/>
      <c r="J2213" s="74"/>
      <c r="M2213" s="185"/>
      <c r="N2213" s="185"/>
      <c r="O2213" s="185"/>
      <c r="P2213" s="185"/>
      <c r="Q2213" s="185"/>
      <c r="R2213" s="185"/>
    </row>
    <row r="2214" spans="1:18" s="197" customFormat="1" ht="12.75" x14ac:dyDescent="0.2">
      <c r="A2214" s="181"/>
      <c r="B2214" s="188" t="s">
        <v>4406</v>
      </c>
      <c r="C2214" s="189" t="s">
        <v>124</v>
      </c>
      <c r="D2214" s="189" t="s">
        <v>152</v>
      </c>
      <c r="E2214" s="190" t="s">
        <v>4407</v>
      </c>
      <c r="F2214" s="191">
        <f t="shared" si="36"/>
        <v>323.2</v>
      </c>
      <c r="G2214" s="185"/>
      <c r="H2214" s="181"/>
      <c r="I2214" s="74"/>
      <c r="J2214" s="74"/>
      <c r="M2214" s="185"/>
      <c r="N2214" s="185"/>
      <c r="O2214" s="185"/>
      <c r="P2214" s="185"/>
      <c r="Q2214" s="185"/>
      <c r="R2214" s="185"/>
    </row>
    <row r="2215" spans="1:18" s="197" customFormat="1" ht="12.75" x14ac:dyDescent="0.2">
      <c r="A2215" s="181"/>
      <c r="B2215" s="188" t="s">
        <v>4408</v>
      </c>
      <c r="C2215" s="189" t="s">
        <v>124</v>
      </c>
      <c r="D2215" s="189" t="s">
        <v>123</v>
      </c>
      <c r="E2215" s="190" t="s">
        <v>4409</v>
      </c>
      <c r="F2215" s="191">
        <f t="shared" si="36"/>
        <v>289.41666666666669</v>
      </c>
      <c r="G2215" s="185"/>
      <c r="H2215" s="181"/>
      <c r="I2215" s="74"/>
      <c r="J2215" s="74"/>
      <c r="M2215" s="185"/>
      <c r="N2215" s="185"/>
      <c r="O2215" s="185"/>
      <c r="P2215" s="185"/>
      <c r="Q2215" s="185"/>
      <c r="R2215" s="185"/>
    </row>
    <row r="2216" spans="1:18" s="197" customFormat="1" ht="12.75" x14ac:dyDescent="0.2">
      <c r="A2216" s="181"/>
      <c r="B2216" s="188" t="s">
        <v>4410</v>
      </c>
      <c r="C2216" s="189" t="s">
        <v>128</v>
      </c>
      <c r="D2216" s="189" t="s">
        <v>174</v>
      </c>
      <c r="E2216" s="190" t="s">
        <v>4411</v>
      </c>
      <c r="F2216" s="191">
        <f t="shared" si="36"/>
        <v>330.36666666666667</v>
      </c>
      <c r="G2216" s="185"/>
      <c r="H2216" s="181"/>
      <c r="I2216" s="74"/>
      <c r="J2216" s="74"/>
      <c r="M2216" s="185"/>
      <c r="N2216" s="185"/>
      <c r="O2216" s="185"/>
      <c r="P2216" s="185"/>
      <c r="Q2216" s="185"/>
      <c r="R2216" s="185"/>
    </row>
    <row r="2217" spans="1:18" s="197" customFormat="1" ht="12.75" x14ac:dyDescent="0.2">
      <c r="A2217" s="181"/>
      <c r="B2217" s="188" t="s">
        <v>4412</v>
      </c>
      <c r="C2217" s="189" t="s">
        <v>124</v>
      </c>
      <c r="D2217" s="189" t="s">
        <v>127</v>
      </c>
      <c r="E2217" s="190" t="s">
        <v>4413</v>
      </c>
      <c r="F2217" s="191">
        <f t="shared" si="36"/>
        <v>262.35000000000002</v>
      </c>
      <c r="G2217" s="185"/>
      <c r="H2217" s="181"/>
      <c r="I2217" s="74"/>
      <c r="J2217" s="74"/>
      <c r="M2217" s="185"/>
      <c r="N2217" s="185"/>
      <c r="O2217" s="185"/>
      <c r="P2217" s="185"/>
      <c r="Q2217" s="185"/>
      <c r="R2217" s="185"/>
    </row>
    <row r="2218" spans="1:18" s="197" customFormat="1" ht="12.75" x14ac:dyDescent="0.2">
      <c r="A2218" s="181"/>
      <c r="B2218" s="188" t="s">
        <v>4414</v>
      </c>
      <c r="C2218" s="189" t="s">
        <v>130</v>
      </c>
      <c r="D2218" s="189" t="s">
        <v>155</v>
      </c>
      <c r="E2218" s="190" t="s">
        <v>2549</v>
      </c>
      <c r="F2218" s="191">
        <f t="shared" si="36"/>
        <v>234.41666666666666</v>
      </c>
      <c r="G2218" s="185"/>
      <c r="H2218" s="181"/>
      <c r="I2218" s="74"/>
      <c r="J2218" s="74"/>
      <c r="M2218" s="185"/>
      <c r="N2218" s="185"/>
      <c r="O2218" s="185"/>
      <c r="P2218" s="185"/>
      <c r="Q2218" s="185"/>
      <c r="R2218" s="185"/>
    </row>
    <row r="2219" spans="1:18" s="197" customFormat="1" ht="12.75" x14ac:dyDescent="0.2">
      <c r="A2219" s="181"/>
      <c r="B2219" s="188" t="s">
        <v>4415</v>
      </c>
      <c r="C2219" s="189" t="s">
        <v>142</v>
      </c>
      <c r="D2219" s="189" t="s">
        <v>123</v>
      </c>
      <c r="E2219" s="190" t="s">
        <v>3296</v>
      </c>
      <c r="F2219" s="191">
        <f t="shared" si="36"/>
        <v>247.1</v>
      </c>
      <c r="G2219" s="185"/>
      <c r="H2219" s="181"/>
      <c r="I2219" s="74"/>
      <c r="J2219" s="74"/>
      <c r="M2219" s="185"/>
      <c r="N2219" s="185"/>
      <c r="O2219" s="185"/>
      <c r="P2219" s="185"/>
      <c r="Q2219" s="185"/>
      <c r="R2219" s="185"/>
    </row>
    <row r="2220" spans="1:18" s="197" customFormat="1" ht="12.75" x14ac:dyDescent="0.2">
      <c r="A2220" s="181"/>
      <c r="B2220" s="188" t="s">
        <v>4416</v>
      </c>
      <c r="C2220" s="189" t="s">
        <v>126</v>
      </c>
      <c r="D2220" s="189" t="s">
        <v>131</v>
      </c>
      <c r="E2220" s="190" t="s">
        <v>4417</v>
      </c>
      <c r="F2220" s="191">
        <f t="shared" si="36"/>
        <v>213.45</v>
      </c>
      <c r="G2220" s="185"/>
      <c r="H2220" s="181"/>
      <c r="I2220" s="74"/>
      <c r="J2220" s="74"/>
      <c r="M2220" s="185"/>
      <c r="N2220" s="185"/>
      <c r="O2220" s="185"/>
      <c r="P2220" s="185"/>
      <c r="Q2220" s="185"/>
      <c r="R2220" s="185"/>
    </row>
    <row r="2221" spans="1:18" s="197" customFormat="1" ht="12.75" x14ac:dyDescent="0.2">
      <c r="A2221" s="181"/>
      <c r="B2221" s="188" t="s">
        <v>4418</v>
      </c>
      <c r="C2221" s="189" t="s">
        <v>130</v>
      </c>
      <c r="D2221" s="189" t="s">
        <v>123</v>
      </c>
      <c r="E2221" s="190" t="s">
        <v>4419</v>
      </c>
      <c r="F2221" s="191">
        <f t="shared" si="36"/>
        <v>284.81666666666666</v>
      </c>
      <c r="G2221" s="185"/>
      <c r="H2221" s="181"/>
      <c r="I2221" s="74"/>
      <c r="J2221" s="74"/>
      <c r="M2221" s="185"/>
      <c r="N2221" s="185"/>
      <c r="O2221" s="185"/>
      <c r="P2221" s="185"/>
      <c r="Q2221" s="185"/>
      <c r="R2221" s="185"/>
    </row>
    <row r="2222" spans="1:18" s="197" customFormat="1" ht="12.75" x14ac:dyDescent="0.2">
      <c r="A2222" s="181"/>
      <c r="B2222" s="188" t="s">
        <v>603</v>
      </c>
      <c r="C2222" s="189" t="s">
        <v>125</v>
      </c>
      <c r="D2222" s="189" t="s">
        <v>123</v>
      </c>
      <c r="E2222" s="190" t="s">
        <v>4420</v>
      </c>
      <c r="F2222" s="191">
        <f t="shared" si="36"/>
        <v>268.61666666666667</v>
      </c>
      <c r="G2222" s="185"/>
      <c r="H2222" s="181"/>
      <c r="I2222" s="74"/>
      <c r="J2222" s="74"/>
      <c r="M2222" s="185"/>
      <c r="N2222" s="185"/>
      <c r="O2222" s="185"/>
      <c r="P2222" s="185"/>
      <c r="Q2222" s="185"/>
      <c r="R2222" s="185"/>
    </row>
    <row r="2223" spans="1:18" s="197" customFormat="1" ht="12.75" x14ac:dyDescent="0.2">
      <c r="A2223" s="181"/>
      <c r="B2223" s="188" t="s">
        <v>4421</v>
      </c>
      <c r="C2223" s="189" t="s">
        <v>125</v>
      </c>
      <c r="D2223" s="189" t="s">
        <v>123</v>
      </c>
      <c r="E2223" s="190" t="s">
        <v>4422</v>
      </c>
      <c r="F2223" s="191">
        <f t="shared" si="36"/>
        <v>181.31666666666666</v>
      </c>
      <c r="G2223" s="185"/>
      <c r="H2223" s="181"/>
      <c r="I2223" s="74"/>
      <c r="J2223" s="74"/>
      <c r="M2223" s="185"/>
      <c r="N2223" s="185"/>
      <c r="O2223" s="185"/>
      <c r="P2223" s="185"/>
      <c r="Q2223" s="185"/>
      <c r="R2223" s="185"/>
    </row>
    <row r="2224" spans="1:18" s="197" customFormat="1" ht="12.75" x14ac:dyDescent="0.2">
      <c r="A2224" s="181"/>
      <c r="B2224" s="188" t="s">
        <v>4423</v>
      </c>
      <c r="C2224" s="189" t="s">
        <v>125</v>
      </c>
      <c r="D2224" s="189" t="s">
        <v>123</v>
      </c>
      <c r="E2224" s="190" t="s">
        <v>4424</v>
      </c>
      <c r="F2224" s="191">
        <f t="shared" si="36"/>
        <v>213.01666666666668</v>
      </c>
      <c r="G2224" s="185"/>
      <c r="H2224" s="181"/>
      <c r="I2224" s="74"/>
      <c r="J2224" s="74"/>
      <c r="M2224" s="185"/>
      <c r="N2224" s="185"/>
      <c r="O2224" s="185"/>
      <c r="P2224" s="185"/>
      <c r="Q2224" s="185"/>
      <c r="R2224" s="185"/>
    </row>
    <row r="2225" spans="1:18" s="197" customFormat="1" ht="12.75" x14ac:dyDescent="0.2">
      <c r="A2225" s="181"/>
      <c r="B2225" s="188" t="s">
        <v>662</v>
      </c>
      <c r="C2225" s="189" t="s">
        <v>126</v>
      </c>
      <c r="D2225" s="189" t="s">
        <v>123</v>
      </c>
      <c r="E2225" s="190" t="s">
        <v>4425</v>
      </c>
      <c r="F2225" s="191">
        <f t="shared" si="36"/>
        <v>275.45</v>
      </c>
      <c r="G2225" s="185"/>
      <c r="H2225" s="181"/>
      <c r="I2225" s="74"/>
      <c r="J2225" s="74"/>
      <c r="M2225" s="185"/>
      <c r="N2225" s="185"/>
      <c r="O2225" s="185"/>
      <c r="P2225" s="185"/>
      <c r="Q2225" s="185"/>
      <c r="R2225" s="185"/>
    </row>
    <row r="2226" spans="1:18" s="197" customFormat="1" ht="12.75" x14ac:dyDescent="0.2">
      <c r="A2226" s="181"/>
      <c r="B2226" s="188" t="s">
        <v>4426</v>
      </c>
      <c r="C2226" s="189" t="s">
        <v>134</v>
      </c>
      <c r="D2226" s="189" t="s">
        <v>260</v>
      </c>
      <c r="E2226" s="190" t="s">
        <v>4427</v>
      </c>
      <c r="F2226" s="191">
        <f t="shared" si="36"/>
        <v>302.28333333333336</v>
      </c>
      <c r="G2226" s="185"/>
      <c r="H2226" s="181"/>
      <c r="I2226" s="74"/>
      <c r="J2226" s="74"/>
      <c r="M2226" s="185"/>
      <c r="N2226" s="185"/>
      <c r="O2226" s="185"/>
      <c r="P2226" s="185"/>
      <c r="Q2226" s="185"/>
      <c r="R2226" s="185"/>
    </row>
    <row r="2227" spans="1:18" s="197" customFormat="1" ht="12.75" x14ac:dyDescent="0.2">
      <c r="A2227" s="181"/>
      <c r="B2227" s="188" t="s">
        <v>4428</v>
      </c>
      <c r="C2227" s="189" t="s">
        <v>134</v>
      </c>
      <c r="D2227" s="189" t="s">
        <v>123</v>
      </c>
      <c r="E2227" s="190" t="s">
        <v>4429</v>
      </c>
      <c r="F2227" s="191">
        <f t="shared" si="36"/>
        <v>211.4</v>
      </c>
      <c r="G2227" s="185"/>
      <c r="H2227" s="181"/>
      <c r="I2227" s="74"/>
      <c r="J2227" s="74"/>
      <c r="M2227" s="185"/>
      <c r="N2227" s="185"/>
      <c r="O2227" s="185"/>
      <c r="P2227" s="185"/>
      <c r="Q2227" s="185"/>
      <c r="R2227" s="185"/>
    </row>
    <row r="2228" spans="1:18" s="197" customFormat="1" ht="12.75" x14ac:dyDescent="0.2">
      <c r="A2228" s="181"/>
      <c r="B2228" s="188" t="s">
        <v>164</v>
      </c>
      <c r="C2228" s="189" t="s">
        <v>125</v>
      </c>
      <c r="D2228" s="189" t="s">
        <v>129</v>
      </c>
      <c r="E2228" s="190" t="s">
        <v>2049</v>
      </c>
      <c r="F2228" s="191">
        <f t="shared" si="36"/>
        <v>224.5</v>
      </c>
      <c r="G2228" s="185"/>
      <c r="H2228" s="181"/>
      <c r="I2228" s="74"/>
      <c r="J2228" s="74"/>
      <c r="M2228" s="185"/>
      <c r="N2228" s="185"/>
      <c r="O2228" s="185"/>
      <c r="P2228" s="185"/>
      <c r="Q2228" s="185"/>
      <c r="R2228" s="185"/>
    </row>
    <row r="2229" spans="1:18" s="197" customFormat="1" ht="12.75" x14ac:dyDescent="0.2">
      <c r="A2229" s="181"/>
      <c r="B2229" s="188" t="s">
        <v>4430</v>
      </c>
      <c r="C2229" s="189" t="s">
        <v>126</v>
      </c>
      <c r="D2229" s="189" t="s">
        <v>131</v>
      </c>
      <c r="E2229" s="190" t="s">
        <v>4431</v>
      </c>
      <c r="F2229" s="191">
        <f t="shared" si="36"/>
        <v>233.83333333333334</v>
      </c>
      <c r="G2229" s="185"/>
      <c r="H2229" s="181"/>
      <c r="I2229" s="74"/>
      <c r="J2229" s="74"/>
      <c r="M2229" s="185"/>
      <c r="N2229" s="185"/>
      <c r="O2229" s="185"/>
      <c r="P2229" s="185"/>
      <c r="Q2229" s="185"/>
      <c r="R2229" s="185"/>
    </row>
    <row r="2230" spans="1:18" s="197" customFormat="1" ht="12.75" x14ac:dyDescent="0.2">
      <c r="A2230" s="181"/>
      <c r="B2230" s="188" t="s">
        <v>4432</v>
      </c>
      <c r="C2230" s="189" t="s">
        <v>134</v>
      </c>
      <c r="D2230" s="189" t="s">
        <v>123</v>
      </c>
      <c r="E2230" s="190" t="s">
        <v>4004</v>
      </c>
      <c r="F2230" s="191">
        <f t="shared" si="36"/>
        <v>234.38333333333333</v>
      </c>
      <c r="G2230" s="185"/>
      <c r="H2230" s="181"/>
      <c r="I2230" s="74"/>
      <c r="J2230" s="74"/>
      <c r="M2230" s="185"/>
      <c r="N2230" s="185"/>
      <c r="O2230" s="185"/>
      <c r="P2230" s="185"/>
      <c r="Q2230" s="185"/>
      <c r="R2230" s="185"/>
    </row>
    <row r="2231" spans="1:18" s="197" customFormat="1" ht="12.75" x14ac:dyDescent="0.2">
      <c r="A2231" s="181"/>
      <c r="B2231" s="188" t="s">
        <v>4433</v>
      </c>
      <c r="C2231" s="189" t="s">
        <v>126</v>
      </c>
      <c r="D2231" s="189" t="s">
        <v>123</v>
      </c>
      <c r="E2231" s="190" t="s">
        <v>4434</v>
      </c>
      <c r="F2231" s="191">
        <f t="shared" si="36"/>
        <v>214.43333333333334</v>
      </c>
      <c r="G2231" s="185"/>
      <c r="H2231" s="181"/>
      <c r="I2231" s="74"/>
      <c r="J2231" s="74"/>
      <c r="M2231" s="185"/>
      <c r="N2231" s="185"/>
      <c r="O2231" s="185"/>
      <c r="P2231" s="185"/>
      <c r="Q2231" s="185"/>
      <c r="R2231" s="185"/>
    </row>
    <row r="2232" spans="1:18" s="197" customFormat="1" ht="12.75" x14ac:dyDescent="0.2">
      <c r="A2232" s="181"/>
      <c r="B2232" s="188" t="s">
        <v>4435</v>
      </c>
      <c r="C2232" s="189" t="s">
        <v>134</v>
      </c>
      <c r="D2232" s="189" t="s">
        <v>123</v>
      </c>
      <c r="E2232" s="190" t="s">
        <v>1440</v>
      </c>
      <c r="F2232" s="191">
        <f t="shared" si="36"/>
        <v>194.96666666666667</v>
      </c>
      <c r="G2232" s="185"/>
      <c r="H2232" s="181"/>
      <c r="I2232" s="74"/>
      <c r="J2232" s="74"/>
      <c r="M2232" s="185"/>
      <c r="N2232" s="185"/>
      <c r="O2232" s="185"/>
      <c r="P2232" s="185"/>
      <c r="Q2232" s="185"/>
      <c r="R2232" s="185"/>
    </row>
    <row r="2233" spans="1:18" s="197" customFormat="1" ht="12.75" x14ac:dyDescent="0.2">
      <c r="A2233" s="181"/>
      <c r="B2233" s="188" t="s">
        <v>4436</v>
      </c>
      <c r="C2233" s="189" t="s">
        <v>136</v>
      </c>
      <c r="D2233" s="189" t="s">
        <v>132</v>
      </c>
      <c r="E2233" s="190" t="s">
        <v>4437</v>
      </c>
      <c r="F2233" s="191">
        <f t="shared" si="36"/>
        <v>248.13333333333333</v>
      </c>
      <c r="G2233" s="185"/>
      <c r="H2233" s="181"/>
      <c r="I2233" s="74"/>
      <c r="J2233" s="74"/>
      <c r="M2233" s="185"/>
      <c r="N2233" s="185"/>
      <c r="O2233" s="185"/>
      <c r="P2233" s="185"/>
      <c r="Q2233" s="185"/>
      <c r="R2233" s="185"/>
    </row>
    <row r="2234" spans="1:18" s="197" customFormat="1" ht="12.75" x14ac:dyDescent="0.2">
      <c r="A2234" s="181"/>
      <c r="B2234" s="188" t="s">
        <v>203</v>
      </c>
      <c r="C2234" s="189" t="s">
        <v>126</v>
      </c>
      <c r="D2234" s="189" t="s">
        <v>123</v>
      </c>
      <c r="E2234" s="190" t="s">
        <v>4202</v>
      </c>
      <c r="F2234" s="191">
        <f t="shared" si="36"/>
        <v>236.28333333333333</v>
      </c>
      <c r="G2234" s="185"/>
      <c r="H2234" s="181"/>
      <c r="I2234" s="74"/>
      <c r="J2234" s="74"/>
      <c r="M2234" s="185"/>
      <c r="N2234" s="185"/>
      <c r="O2234" s="185"/>
      <c r="P2234" s="185"/>
      <c r="Q2234" s="185"/>
      <c r="R2234" s="185"/>
    </row>
    <row r="2235" spans="1:18" s="197" customFormat="1" ht="12.75" x14ac:dyDescent="0.2">
      <c r="A2235" s="181"/>
      <c r="B2235" s="188" t="s">
        <v>411</v>
      </c>
      <c r="C2235" s="189" t="s">
        <v>124</v>
      </c>
      <c r="D2235" s="189" t="s">
        <v>123</v>
      </c>
      <c r="E2235" s="190" t="s">
        <v>4438</v>
      </c>
      <c r="F2235" s="191">
        <f t="shared" si="36"/>
        <v>199.96666666666667</v>
      </c>
      <c r="G2235" s="185"/>
      <c r="H2235" s="181"/>
      <c r="I2235" s="74"/>
      <c r="J2235" s="74"/>
      <c r="M2235" s="185"/>
      <c r="N2235" s="185"/>
      <c r="O2235" s="185"/>
      <c r="P2235" s="185"/>
      <c r="Q2235" s="185"/>
      <c r="R2235" s="185"/>
    </row>
    <row r="2236" spans="1:18" s="197" customFormat="1" ht="12.75" x14ac:dyDescent="0.2">
      <c r="A2236" s="181"/>
      <c r="B2236" s="188" t="s">
        <v>282</v>
      </c>
      <c r="C2236" s="189" t="s">
        <v>125</v>
      </c>
      <c r="D2236" s="189" t="s">
        <v>132</v>
      </c>
      <c r="E2236" s="190" t="s">
        <v>4439</v>
      </c>
      <c r="F2236" s="191">
        <f t="shared" si="36"/>
        <v>298.11666666666667</v>
      </c>
      <c r="G2236" s="185"/>
      <c r="H2236" s="181"/>
      <c r="I2236" s="74"/>
      <c r="J2236" s="74"/>
      <c r="M2236" s="185"/>
      <c r="N2236" s="185"/>
      <c r="O2236" s="185"/>
      <c r="P2236" s="185"/>
      <c r="Q2236" s="185"/>
      <c r="R2236" s="185"/>
    </row>
    <row r="2237" spans="1:18" s="197" customFormat="1" ht="12.75" x14ac:dyDescent="0.2">
      <c r="A2237" s="181"/>
      <c r="B2237" s="188" t="s">
        <v>4440</v>
      </c>
      <c r="C2237" s="189" t="s">
        <v>249</v>
      </c>
      <c r="D2237" s="189" t="s">
        <v>176</v>
      </c>
      <c r="E2237" s="190" t="s">
        <v>1433</v>
      </c>
      <c r="F2237" s="191">
        <f t="shared" si="36"/>
        <v>314.95</v>
      </c>
      <c r="G2237" s="185"/>
      <c r="H2237" s="181"/>
      <c r="I2237" s="74"/>
      <c r="J2237" s="74"/>
      <c r="M2237" s="185"/>
      <c r="N2237" s="185"/>
      <c r="O2237" s="185"/>
      <c r="P2237" s="185"/>
      <c r="Q2237" s="185"/>
      <c r="R2237" s="185"/>
    </row>
    <row r="2238" spans="1:18" s="197" customFormat="1" ht="12.75" x14ac:dyDescent="0.2">
      <c r="A2238" s="181"/>
      <c r="B2238" s="188" t="s">
        <v>186</v>
      </c>
      <c r="C2238" s="189" t="s">
        <v>126</v>
      </c>
      <c r="D2238" s="189" t="s">
        <v>165</v>
      </c>
      <c r="E2238" s="190" t="s">
        <v>1431</v>
      </c>
      <c r="F2238" s="191">
        <f t="shared" si="36"/>
        <v>229.05</v>
      </c>
      <c r="G2238" s="185"/>
      <c r="H2238" s="181"/>
      <c r="I2238" s="74"/>
      <c r="J2238" s="74"/>
      <c r="M2238" s="185"/>
      <c r="N2238" s="185"/>
      <c r="O2238" s="185"/>
      <c r="P2238" s="185"/>
      <c r="Q2238" s="185"/>
      <c r="R2238" s="185"/>
    </row>
    <row r="2239" spans="1:18" s="197" customFormat="1" ht="12.75" x14ac:dyDescent="0.2">
      <c r="A2239" s="181"/>
      <c r="B2239" s="188" t="s">
        <v>4441</v>
      </c>
      <c r="C2239" s="189" t="s">
        <v>135</v>
      </c>
      <c r="D2239" s="189" t="s">
        <v>123</v>
      </c>
      <c r="E2239" s="190" t="s">
        <v>4442</v>
      </c>
      <c r="F2239" s="191">
        <f t="shared" si="36"/>
        <v>278.78333333333336</v>
      </c>
      <c r="G2239" s="185"/>
      <c r="H2239" s="181"/>
      <c r="I2239" s="74"/>
      <c r="J2239" s="74"/>
      <c r="M2239" s="185"/>
      <c r="N2239" s="185"/>
      <c r="O2239" s="185"/>
      <c r="P2239" s="185"/>
      <c r="Q2239" s="185"/>
      <c r="R2239" s="185"/>
    </row>
    <row r="2240" spans="1:18" s="197" customFormat="1" ht="12.75" x14ac:dyDescent="0.2">
      <c r="A2240" s="181"/>
      <c r="B2240" s="188" t="s">
        <v>4443</v>
      </c>
      <c r="C2240" s="189" t="s">
        <v>128</v>
      </c>
      <c r="D2240" s="189" t="s">
        <v>123</v>
      </c>
      <c r="E2240" s="190" t="s">
        <v>1634</v>
      </c>
      <c r="F2240" s="191">
        <f t="shared" si="36"/>
        <v>285.61666666666667</v>
      </c>
      <c r="G2240" s="185"/>
      <c r="H2240" s="181"/>
      <c r="I2240" s="74"/>
      <c r="J2240" s="74"/>
      <c r="M2240" s="185"/>
      <c r="N2240" s="185"/>
      <c r="O2240" s="185"/>
      <c r="P2240" s="185"/>
      <c r="Q2240" s="185"/>
      <c r="R2240" s="185"/>
    </row>
    <row r="2241" spans="1:18" s="197" customFormat="1" ht="12.75" x14ac:dyDescent="0.2">
      <c r="A2241" s="181"/>
      <c r="B2241" s="188" t="s">
        <v>4444</v>
      </c>
      <c r="C2241" s="189" t="s">
        <v>134</v>
      </c>
      <c r="D2241" s="189" t="s">
        <v>131</v>
      </c>
      <c r="E2241" s="190" t="s">
        <v>3220</v>
      </c>
      <c r="F2241" s="191">
        <f t="shared" si="36"/>
        <v>236.35</v>
      </c>
      <c r="G2241" s="185"/>
      <c r="H2241" s="181"/>
      <c r="I2241" s="74"/>
      <c r="J2241" s="74"/>
      <c r="M2241" s="185"/>
      <c r="N2241" s="185"/>
      <c r="O2241" s="185"/>
      <c r="P2241" s="185"/>
      <c r="Q2241" s="185"/>
      <c r="R2241" s="185"/>
    </row>
    <row r="2242" spans="1:18" s="197" customFormat="1" ht="12.75" x14ac:dyDescent="0.2">
      <c r="A2242" s="181"/>
      <c r="B2242" s="188" t="s">
        <v>4445</v>
      </c>
      <c r="C2242" s="189" t="s">
        <v>142</v>
      </c>
      <c r="D2242" s="189" t="s">
        <v>123</v>
      </c>
      <c r="E2242" s="190" t="s">
        <v>1376</v>
      </c>
      <c r="F2242" s="191">
        <f t="shared" si="36"/>
        <v>236.65</v>
      </c>
      <c r="G2242" s="185"/>
      <c r="H2242" s="181"/>
      <c r="I2242" s="74"/>
      <c r="J2242" s="74"/>
      <c r="M2242" s="185"/>
      <c r="N2242" s="185"/>
      <c r="O2242" s="185"/>
      <c r="P2242" s="185"/>
      <c r="Q2242" s="185"/>
      <c r="R2242" s="185"/>
    </row>
    <row r="2243" spans="1:18" s="197" customFormat="1" ht="12.75" x14ac:dyDescent="0.2">
      <c r="A2243" s="181"/>
      <c r="B2243" s="188" t="s">
        <v>4446</v>
      </c>
      <c r="C2243" s="189" t="s">
        <v>124</v>
      </c>
      <c r="D2243" s="189" t="s">
        <v>123</v>
      </c>
      <c r="E2243" s="190" t="s">
        <v>4447</v>
      </c>
      <c r="F2243" s="191">
        <f t="shared" si="36"/>
        <v>259.18333333333334</v>
      </c>
      <c r="G2243" s="185"/>
      <c r="H2243" s="181"/>
      <c r="I2243" s="74"/>
      <c r="J2243" s="74"/>
      <c r="M2243" s="185"/>
      <c r="N2243" s="185"/>
      <c r="O2243" s="185"/>
      <c r="P2243" s="185"/>
      <c r="Q2243" s="185"/>
      <c r="R2243" s="185"/>
    </row>
    <row r="2244" spans="1:18" s="197" customFormat="1" ht="12.75" x14ac:dyDescent="0.2">
      <c r="A2244" s="181"/>
      <c r="B2244" s="188" t="s">
        <v>4448</v>
      </c>
      <c r="C2244" s="189" t="s">
        <v>142</v>
      </c>
      <c r="D2244" s="189" t="s">
        <v>123</v>
      </c>
      <c r="E2244" s="190" t="s">
        <v>4449</v>
      </c>
      <c r="F2244" s="191">
        <f t="shared" si="36"/>
        <v>312.51666666666665</v>
      </c>
      <c r="G2244" s="185"/>
      <c r="H2244" s="181"/>
      <c r="I2244" s="74"/>
      <c r="J2244" s="74"/>
      <c r="M2244" s="185"/>
      <c r="N2244" s="185"/>
      <c r="O2244" s="185"/>
      <c r="P2244" s="185"/>
      <c r="Q2244" s="185"/>
      <c r="R2244" s="185"/>
    </row>
    <row r="2245" spans="1:18" s="197" customFormat="1" ht="12.75" x14ac:dyDescent="0.2">
      <c r="A2245" s="181"/>
      <c r="B2245" s="188" t="s">
        <v>1251</v>
      </c>
      <c r="C2245" s="189" t="s">
        <v>125</v>
      </c>
      <c r="D2245" s="189" t="s">
        <v>139</v>
      </c>
      <c r="E2245" s="190" t="s">
        <v>1252</v>
      </c>
      <c r="F2245" s="191">
        <f t="shared" si="36"/>
        <v>243.23333333333332</v>
      </c>
      <c r="G2245" s="185"/>
      <c r="H2245" s="181"/>
      <c r="I2245" s="74"/>
      <c r="J2245" s="74"/>
      <c r="M2245" s="185"/>
      <c r="N2245" s="185"/>
      <c r="O2245" s="185"/>
      <c r="P2245" s="185"/>
      <c r="Q2245" s="185"/>
      <c r="R2245" s="185"/>
    </row>
    <row r="2246" spans="1:18" s="197" customFormat="1" ht="12.75" x14ac:dyDescent="0.2">
      <c r="A2246" s="181"/>
      <c r="B2246" s="188" t="s">
        <v>397</v>
      </c>
      <c r="C2246" s="189" t="s">
        <v>124</v>
      </c>
      <c r="D2246" s="189" t="s">
        <v>123</v>
      </c>
      <c r="E2246" s="190" t="s">
        <v>2553</v>
      </c>
      <c r="F2246" s="191">
        <f t="shared" si="36"/>
        <v>259.63333333333333</v>
      </c>
      <c r="G2246" s="185"/>
      <c r="H2246" s="181"/>
      <c r="I2246" s="74"/>
      <c r="J2246" s="74"/>
      <c r="M2246" s="185"/>
      <c r="N2246" s="185"/>
      <c r="O2246" s="185"/>
      <c r="P2246" s="185"/>
      <c r="Q2246" s="185"/>
      <c r="R2246" s="185"/>
    </row>
    <row r="2247" spans="1:18" s="197" customFormat="1" ht="12.75" x14ac:dyDescent="0.2">
      <c r="A2247" s="181"/>
      <c r="B2247" s="188" t="s">
        <v>4450</v>
      </c>
      <c r="C2247" s="189" t="s">
        <v>125</v>
      </c>
      <c r="D2247" s="189" t="s">
        <v>123</v>
      </c>
      <c r="E2247" s="190" t="s">
        <v>4451</v>
      </c>
      <c r="F2247" s="191">
        <f t="shared" si="36"/>
        <v>310.25</v>
      </c>
      <c r="G2247" s="185"/>
      <c r="H2247" s="181"/>
      <c r="I2247" s="74"/>
      <c r="J2247" s="74"/>
      <c r="M2247" s="185"/>
      <c r="N2247" s="185"/>
      <c r="O2247" s="185"/>
      <c r="P2247" s="185"/>
      <c r="Q2247" s="185"/>
      <c r="R2247" s="185"/>
    </row>
    <row r="2248" spans="1:18" s="197" customFormat="1" ht="12.75" x14ac:dyDescent="0.2">
      <c r="A2248" s="181"/>
      <c r="B2248" s="188" t="s">
        <v>4452</v>
      </c>
      <c r="C2248" s="189" t="s">
        <v>134</v>
      </c>
      <c r="D2248" s="189" t="s">
        <v>123</v>
      </c>
      <c r="E2248" s="190" t="s">
        <v>4453</v>
      </c>
      <c r="F2248" s="191">
        <f t="shared" si="36"/>
        <v>253.03333333333333</v>
      </c>
      <c r="G2248" s="185"/>
      <c r="H2248" s="181"/>
      <c r="I2248" s="74"/>
      <c r="J2248" s="74"/>
      <c r="M2248" s="185"/>
      <c r="N2248" s="185"/>
      <c r="O2248" s="185"/>
      <c r="P2248" s="185"/>
      <c r="Q2248" s="185"/>
      <c r="R2248" s="185"/>
    </row>
    <row r="2249" spans="1:18" s="197" customFormat="1" ht="12.75" x14ac:dyDescent="0.2">
      <c r="A2249" s="181"/>
      <c r="B2249" s="188" t="s">
        <v>4454</v>
      </c>
      <c r="C2249" s="189" t="s">
        <v>124</v>
      </c>
      <c r="D2249" s="189" t="s">
        <v>148</v>
      </c>
      <c r="E2249" s="190" t="s">
        <v>866</v>
      </c>
      <c r="F2249" s="191">
        <f t="shared" si="36"/>
        <v>231.6</v>
      </c>
      <c r="G2249" s="185"/>
      <c r="H2249" s="181"/>
      <c r="I2249" s="74"/>
      <c r="J2249" s="74"/>
      <c r="M2249" s="185"/>
      <c r="N2249" s="185"/>
      <c r="O2249" s="185"/>
      <c r="P2249" s="185"/>
      <c r="Q2249" s="185"/>
      <c r="R2249" s="185"/>
    </row>
    <row r="2250" spans="1:18" s="197" customFormat="1" ht="12.75" x14ac:dyDescent="0.2">
      <c r="A2250" s="181"/>
      <c r="B2250" s="188" t="s">
        <v>4455</v>
      </c>
      <c r="C2250" s="189" t="s">
        <v>135</v>
      </c>
      <c r="D2250" s="189" t="s">
        <v>123</v>
      </c>
      <c r="E2250" s="190" t="s">
        <v>1194</v>
      </c>
      <c r="F2250" s="191">
        <f t="shared" si="36"/>
        <v>219.75</v>
      </c>
      <c r="G2250" s="185"/>
      <c r="H2250" s="181"/>
      <c r="I2250" s="74"/>
      <c r="J2250" s="74"/>
      <c r="M2250" s="185"/>
      <c r="N2250" s="185"/>
      <c r="O2250" s="185"/>
      <c r="P2250" s="185"/>
      <c r="Q2250" s="185"/>
      <c r="R2250" s="185"/>
    </row>
    <row r="2251" spans="1:18" s="197" customFormat="1" ht="12.75" x14ac:dyDescent="0.2">
      <c r="A2251" s="181"/>
      <c r="B2251" s="188" t="s">
        <v>4456</v>
      </c>
      <c r="C2251" s="189" t="s">
        <v>124</v>
      </c>
      <c r="D2251" s="189" t="s">
        <v>123</v>
      </c>
      <c r="E2251" s="190" t="s">
        <v>4457</v>
      </c>
      <c r="F2251" s="191">
        <f t="shared" ref="F2251:F2314" si="37">HOUR(E2251)*60+MINUTE(E2251)+SECOND(E2251)/60</f>
        <v>320.66666666666669</v>
      </c>
      <c r="G2251" s="185"/>
      <c r="H2251" s="181"/>
      <c r="I2251" s="74"/>
      <c r="J2251" s="74"/>
      <c r="M2251" s="185"/>
      <c r="N2251" s="185"/>
      <c r="O2251" s="185"/>
      <c r="P2251" s="185"/>
      <c r="Q2251" s="185"/>
      <c r="R2251" s="185"/>
    </row>
    <row r="2252" spans="1:18" s="197" customFormat="1" ht="12.75" x14ac:dyDescent="0.2">
      <c r="A2252" s="181"/>
      <c r="B2252" s="188" t="s">
        <v>491</v>
      </c>
      <c r="C2252" s="189" t="s">
        <v>136</v>
      </c>
      <c r="D2252" s="189" t="s">
        <v>123</v>
      </c>
      <c r="E2252" s="190" t="s">
        <v>4458</v>
      </c>
      <c r="F2252" s="191">
        <f t="shared" si="37"/>
        <v>201.4</v>
      </c>
      <c r="G2252" s="185"/>
      <c r="H2252" s="181"/>
      <c r="I2252" s="74"/>
      <c r="J2252" s="74"/>
      <c r="M2252" s="185"/>
      <c r="N2252" s="185"/>
      <c r="O2252" s="185"/>
      <c r="P2252" s="185"/>
      <c r="Q2252" s="185"/>
      <c r="R2252" s="185"/>
    </row>
    <row r="2253" spans="1:18" s="197" customFormat="1" ht="12.75" x14ac:dyDescent="0.2">
      <c r="A2253" s="181"/>
      <c r="B2253" s="188" t="s">
        <v>552</v>
      </c>
      <c r="C2253" s="189" t="s">
        <v>125</v>
      </c>
      <c r="D2253" s="189" t="s">
        <v>123</v>
      </c>
      <c r="E2253" s="190" t="s">
        <v>1950</v>
      </c>
      <c r="F2253" s="191">
        <f t="shared" si="37"/>
        <v>293.8</v>
      </c>
      <c r="G2253" s="185"/>
      <c r="H2253" s="181"/>
      <c r="I2253" s="74"/>
      <c r="J2253" s="74"/>
      <c r="M2253" s="185"/>
      <c r="N2253" s="185"/>
      <c r="O2253" s="185"/>
      <c r="P2253" s="185"/>
      <c r="Q2253" s="185"/>
      <c r="R2253" s="185"/>
    </row>
    <row r="2254" spans="1:18" s="197" customFormat="1" ht="12.75" x14ac:dyDescent="0.2">
      <c r="A2254" s="181"/>
      <c r="B2254" s="188" t="s">
        <v>4459</v>
      </c>
      <c r="C2254" s="189" t="s">
        <v>130</v>
      </c>
      <c r="D2254" s="189" t="s">
        <v>123</v>
      </c>
      <c r="E2254" s="190" t="s">
        <v>4460</v>
      </c>
      <c r="F2254" s="191">
        <f t="shared" si="37"/>
        <v>199.51666666666668</v>
      </c>
      <c r="G2254" s="185"/>
      <c r="H2254" s="181"/>
      <c r="I2254" s="74"/>
      <c r="J2254" s="74"/>
      <c r="M2254" s="185"/>
      <c r="N2254" s="185"/>
      <c r="O2254" s="185"/>
      <c r="P2254" s="185"/>
      <c r="Q2254" s="185"/>
      <c r="R2254" s="185"/>
    </row>
    <row r="2255" spans="1:18" s="197" customFormat="1" ht="12.75" x14ac:dyDescent="0.2">
      <c r="A2255" s="181"/>
      <c r="B2255" s="188" t="s">
        <v>4461</v>
      </c>
      <c r="C2255" s="189" t="s">
        <v>124</v>
      </c>
      <c r="D2255" s="189" t="s">
        <v>143</v>
      </c>
      <c r="E2255" s="190" t="s">
        <v>4462</v>
      </c>
      <c r="F2255" s="191">
        <f t="shared" si="37"/>
        <v>250.91666666666666</v>
      </c>
      <c r="G2255" s="185"/>
      <c r="H2255" s="181"/>
      <c r="I2255" s="74"/>
      <c r="J2255" s="74"/>
      <c r="M2255" s="185"/>
      <c r="N2255" s="185"/>
      <c r="O2255" s="185"/>
      <c r="P2255" s="185"/>
      <c r="Q2255" s="185"/>
      <c r="R2255" s="185"/>
    </row>
    <row r="2256" spans="1:18" s="197" customFormat="1" ht="12.75" x14ac:dyDescent="0.2">
      <c r="A2256" s="181"/>
      <c r="B2256" s="188" t="s">
        <v>4463</v>
      </c>
      <c r="C2256" s="189" t="s">
        <v>134</v>
      </c>
      <c r="D2256" s="189" t="s">
        <v>132</v>
      </c>
      <c r="E2256" s="190" t="s">
        <v>4464</v>
      </c>
      <c r="F2256" s="191">
        <f t="shared" si="37"/>
        <v>197.46666666666667</v>
      </c>
      <c r="G2256" s="185"/>
      <c r="H2256" s="181"/>
      <c r="I2256" s="74"/>
      <c r="J2256" s="74"/>
      <c r="M2256" s="185"/>
      <c r="N2256" s="185"/>
      <c r="O2256" s="185"/>
      <c r="P2256" s="185"/>
      <c r="Q2256" s="185"/>
      <c r="R2256" s="185"/>
    </row>
    <row r="2257" spans="1:18" s="197" customFormat="1" ht="12.75" x14ac:dyDescent="0.2">
      <c r="A2257" s="181"/>
      <c r="B2257" s="188" t="s">
        <v>4465</v>
      </c>
      <c r="C2257" s="189" t="s">
        <v>134</v>
      </c>
      <c r="D2257" s="189" t="s">
        <v>123</v>
      </c>
      <c r="E2257" s="190" t="s">
        <v>1455</v>
      </c>
      <c r="F2257" s="191">
        <f t="shared" si="37"/>
        <v>245.46666666666667</v>
      </c>
      <c r="G2257" s="185"/>
      <c r="H2257" s="181"/>
      <c r="I2257" s="74"/>
      <c r="J2257" s="74"/>
      <c r="M2257" s="185"/>
      <c r="N2257" s="185"/>
      <c r="O2257" s="185"/>
      <c r="P2257" s="185"/>
      <c r="Q2257" s="185"/>
      <c r="R2257" s="185"/>
    </row>
    <row r="2258" spans="1:18" s="197" customFormat="1" ht="12.75" x14ac:dyDescent="0.2">
      <c r="A2258" s="181"/>
      <c r="B2258" s="188" t="s">
        <v>300</v>
      </c>
      <c r="C2258" s="189" t="s">
        <v>142</v>
      </c>
      <c r="D2258" s="189" t="s">
        <v>123</v>
      </c>
      <c r="E2258" s="190" t="s">
        <v>4466</v>
      </c>
      <c r="F2258" s="191">
        <f t="shared" si="37"/>
        <v>273.11666666666667</v>
      </c>
      <c r="G2258" s="185"/>
      <c r="H2258" s="181"/>
      <c r="I2258" s="74"/>
      <c r="J2258" s="74"/>
      <c r="M2258" s="185"/>
      <c r="N2258" s="185"/>
      <c r="O2258" s="185"/>
      <c r="P2258" s="185"/>
      <c r="Q2258" s="185"/>
      <c r="R2258" s="185"/>
    </row>
    <row r="2259" spans="1:18" s="197" customFormat="1" ht="12.75" x14ac:dyDescent="0.2">
      <c r="A2259" s="181"/>
      <c r="B2259" s="188" t="s">
        <v>2528</v>
      </c>
      <c r="C2259" s="189" t="s">
        <v>135</v>
      </c>
      <c r="D2259" s="189" t="s">
        <v>123</v>
      </c>
      <c r="E2259" s="190" t="s">
        <v>2529</v>
      </c>
      <c r="F2259" s="191">
        <f t="shared" si="37"/>
        <v>203.35</v>
      </c>
      <c r="G2259" s="185"/>
      <c r="H2259" s="181"/>
      <c r="I2259" s="74"/>
      <c r="J2259" s="74"/>
      <c r="M2259" s="185"/>
      <c r="N2259" s="185"/>
      <c r="O2259" s="185"/>
      <c r="P2259" s="185"/>
      <c r="Q2259" s="185"/>
      <c r="R2259" s="185"/>
    </row>
    <row r="2260" spans="1:18" s="197" customFormat="1" ht="12.75" x14ac:dyDescent="0.2">
      <c r="A2260" s="181"/>
      <c r="B2260" s="188" t="s">
        <v>4467</v>
      </c>
      <c r="C2260" s="189" t="s">
        <v>124</v>
      </c>
      <c r="D2260" s="189" t="s">
        <v>123</v>
      </c>
      <c r="E2260" s="190" t="s">
        <v>4468</v>
      </c>
      <c r="F2260" s="191">
        <f t="shared" si="37"/>
        <v>256.96666666666664</v>
      </c>
      <c r="G2260" s="185"/>
      <c r="H2260" s="181"/>
      <c r="I2260" s="74"/>
      <c r="J2260" s="74"/>
      <c r="M2260" s="185"/>
      <c r="N2260" s="185"/>
      <c r="O2260" s="185"/>
      <c r="P2260" s="185"/>
      <c r="Q2260" s="185"/>
      <c r="R2260" s="185"/>
    </row>
    <row r="2261" spans="1:18" s="197" customFormat="1" ht="12.75" x14ac:dyDescent="0.2">
      <c r="A2261" s="181"/>
      <c r="B2261" s="188" t="s">
        <v>4469</v>
      </c>
      <c r="C2261" s="189" t="s">
        <v>135</v>
      </c>
      <c r="D2261" s="189" t="s">
        <v>157</v>
      </c>
      <c r="E2261" s="190" t="s">
        <v>4470</v>
      </c>
      <c r="F2261" s="191">
        <f t="shared" si="37"/>
        <v>249.16666666666666</v>
      </c>
      <c r="G2261" s="185"/>
      <c r="H2261" s="181"/>
      <c r="I2261" s="74"/>
      <c r="J2261" s="74"/>
      <c r="M2261" s="185"/>
      <c r="N2261" s="185"/>
      <c r="O2261" s="185"/>
      <c r="P2261" s="185"/>
      <c r="Q2261" s="185"/>
      <c r="R2261" s="185"/>
    </row>
    <row r="2262" spans="1:18" s="197" customFormat="1" ht="12.75" x14ac:dyDescent="0.2">
      <c r="A2262" s="181"/>
      <c r="B2262" s="188" t="s">
        <v>166</v>
      </c>
      <c r="C2262" s="189" t="s">
        <v>124</v>
      </c>
      <c r="D2262" s="189" t="s">
        <v>171</v>
      </c>
      <c r="E2262" s="190" t="s">
        <v>1238</v>
      </c>
      <c r="F2262" s="191">
        <f t="shared" si="37"/>
        <v>239.36666666666667</v>
      </c>
      <c r="G2262" s="185"/>
      <c r="H2262" s="181"/>
      <c r="I2262" s="74"/>
      <c r="J2262" s="74"/>
      <c r="M2262" s="185"/>
      <c r="N2262" s="185"/>
      <c r="O2262" s="185"/>
      <c r="P2262" s="185"/>
      <c r="Q2262" s="185"/>
      <c r="R2262" s="185"/>
    </row>
    <row r="2263" spans="1:18" s="197" customFormat="1" ht="12.75" x14ac:dyDescent="0.2">
      <c r="A2263" s="181"/>
      <c r="B2263" s="188" t="s">
        <v>4471</v>
      </c>
      <c r="C2263" s="189" t="s">
        <v>134</v>
      </c>
      <c r="D2263" s="189" t="s">
        <v>123</v>
      </c>
      <c r="E2263" s="190" t="s">
        <v>4472</v>
      </c>
      <c r="F2263" s="191">
        <f t="shared" si="37"/>
        <v>218.15</v>
      </c>
      <c r="G2263" s="185"/>
      <c r="H2263" s="181"/>
      <c r="I2263" s="74"/>
      <c r="J2263" s="74"/>
      <c r="M2263" s="185"/>
      <c r="N2263" s="185"/>
      <c r="O2263" s="185"/>
      <c r="P2263" s="185"/>
      <c r="Q2263" s="185"/>
      <c r="R2263" s="185"/>
    </row>
    <row r="2264" spans="1:18" s="197" customFormat="1" ht="12.75" x14ac:dyDescent="0.2">
      <c r="A2264" s="181"/>
      <c r="B2264" s="188" t="s">
        <v>4473</v>
      </c>
      <c r="C2264" s="189" t="s">
        <v>124</v>
      </c>
      <c r="D2264" s="189" t="s">
        <v>123</v>
      </c>
      <c r="E2264" s="190" t="s">
        <v>4474</v>
      </c>
      <c r="F2264" s="191">
        <f t="shared" si="37"/>
        <v>214.91666666666666</v>
      </c>
      <c r="G2264" s="185"/>
      <c r="H2264" s="181"/>
      <c r="I2264" s="74"/>
      <c r="J2264" s="74"/>
      <c r="M2264" s="185"/>
      <c r="N2264" s="185"/>
      <c r="O2264" s="185"/>
      <c r="P2264" s="185"/>
      <c r="Q2264" s="185"/>
      <c r="R2264" s="185"/>
    </row>
    <row r="2265" spans="1:18" s="197" customFormat="1" ht="12.75" x14ac:dyDescent="0.2">
      <c r="A2265" s="181"/>
      <c r="B2265" s="188" t="s">
        <v>4475</v>
      </c>
      <c r="C2265" s="189" t="s">
        <v>128</v>
      </c>
      <c r="D2265" s="189" t="s">
        <v>123</v>
      </c>
      <c r="E2265" s="190" t="s">
        <v>4476</v>
      </c>
      <c r="F2265" s="191">
        <f t="shared" si="37"/>
        <v>186.85</v>
      </c>
      <c r="G2265" s="185"/>
      <c r="H2265" s="181"/>
      <c r="I2265" s="74"/>
      <c r="J2265" s="74"/>
      <c r="M2265" s="185"/>
      <c r="N2265" s="185"/>
      <c r="O2265" s="185"/>
      <c r="P2265" s="185"/>
      <c r="Q2265" s="185"/>
      <c r="R2265" s="185"/>
    </row>
    <row r="2266" spans="1:18" s="197" customFormat="1" ht="12.75" x14ac:dyDescent="0.2">
      <c r="A2266" s="181"/>
      <c r="B2266" s="188" t="s">
        <v>4477</v>
      </c>
      <c r="C2266" s="189" t="s">
        <v>130</v>
      </c>
      <c r="D2266" s="189" t="s">
        <v>123</v>
      </c>
      <c r="E2266" s="190" t="s">
        <v>4478</v>
      </c>
      <c r="F2266" s="191">
        <f t="shared" si="37"/>
        <v>228.21666666666667</v>
      </c>
      <c r="G2266" s="185"/>
      <c r="H2266" s="181"/>
      <c r="I2266" s="74"/>
      <c r="J2266" s="74"/>
      <c r="M2266" s="185"/>
      <c r="N2266" s="185"/>
      <c r="O2266" s="185"/>
      <c r="P2266" s="185"/>
      <c r="Q2266" s="185"/>
      <c r="R2266" s="185"/>
    </row>
    <row r="2267" spans="1:18" s="197" customFormat="1" ht="12.75" x14ac:dyDescent="0.2">
      <c r="A2267" s="181"/>
      <c r="B2267" s="188" t="s">
        <v>4479</v>
      </c>
      <c r="C2267" s="189" t="s">
        <v>128</v>
      </c>
      <c r="D2267" s="189" t="s">
        <v>123</v>
      </c>
      <c r="E2267" s="190" t="s">
        <v>4480</v>
      </c>
      <c r="F2267" s="191">
        <f t="shared" si="37"/>
        <v>239.46666666666667</v>
      </c>
      <c r="G2267" s="185"/>
      <c r="H2267" s="181"/>
      <c r="I2267" s="74"/>
      <c r="J2267" s="74"/>
      <c r="M2267" s="185"/>
      <c r="N2267" s="185"/>
      <c r="O2267" s="185"/>
      <c r="P2267" s="185"/>
      <c r="Q2267" s="185"/>
      <c r="R2267" s="185"/>
    </row>
    <row r="2268" spans="1:18" s="197" customFormat="1" ht="12.75" x14ac:dyDescent="0.2">
      <c r="A2268" s="181"/>
      <c r="B2268" s="188" t="s">
        <v>2992</v>
      </c>
      <c r="C2268" s="189" t="s">
        <v>124</v>
      </c>
      <c r="D2268" s="189" t="s">
        <v>144</v>
      </c>
      <c r="E2268" s="190" t="s">
        <v>2993</v>
      </c>
      <c r="F2268" s="191">
        <f t="shared" si="37"/>
        <v>202.35</v>
      </c>
      <c r="G2268" s="185"/>
      <c r="H2268" s="181"/>
      <c r="I2268" s="74"/>
      <c r="J2268" s="74"/>
      <c r="M2268" s="185"/>
      <c r="N2268" s="185"/>
      <c r="O2268" s="185"/>
      <c r="P2268" s="185"/>
      <c r="Q2268" s="185"/>
      <c r="R2268" s="185"/>
    </row>
    <row r="2269" spans="1:18" s="197" customFormat="1" ht="12.75" x14ac:dyDescent="0.2">
      <c r="A2269" s="181"/>
      <c r="B2269" s="188" t="s">
        <v>666</v>
      </c>
      <c r="C2269" s="189" t="s">
        <v>135</v>
      </c>
      <c r="D2269" s="189" t="s">
        <v>123</v>
      </c>
      <c r="E2269" s="190" t="s">
        <v>4481</v>
      </c>
      <c r="F2269" s="191">
        <f t="shared" si="37"/>
        <v>261.89999999999998</v>
      </c>
      <c r="G2269" s="185"/>
      <c r="H2269" s="181"/>
      <c r="I2269" s="74"/>
      <c r="J2269" s="74"/>
      <c r="M2269" s="185"/>
      <c r="N2269" s="185"/>
      <c r="O2269" s="185"/>
      <c r="P2269" s="185"/>
      <c r="Q2269" s="185"/>
      <c r="R2269" s="185"/>
    </row>
    <row r="2270" spans="1:18" s="197" customFormat="1" ht="12.75" x14ac:dyDescent="0.2">
      <c r="A2270" s="181"/>
      <c r="B2270" s="188" t="s">
        <v>4482</v>
      </c>
      <c r="C2270" s="189" t="s">
        <v>134</v>
      </c>
      <c r="D2270" s="189" t="s">
        <v>131</v>
      </c>
      <c r="E2270" s="190" t="s">
        <v>3317</v>
      </c>
      <c r="F2270" s="191">
        <f t="shared" si="37"/>
        <v>237.9</v>
      </c>
      <c r="G2270" s="185"/>
      <c r="H2270" s="181"/>
      <c r="I2270" s="74"/>
      <c r="J2270" s="74"/>
      <c r="M2270" s="185"/>
      <c r="N2270" s="185"/>
      <c r="O2270" s="185"/>
      <c r="P2270" s="185"/>
      <c r="Q2270" s="185"/>
      <c r="R2270" s="185"/>
    </row>
    <row r="2271" spans="1:18" s="197" customFormat="1" ht="12.75" x14ac:dyDescent="0.2">
      <c r="A2271" s="181"/>
      <c r="B2271" s="188" t="s">
        <v>4483</v>
      </c>
      <c r="C2271" s="189" t="s">
        <v>128</v>
      </c>
      <c r="D2271" s="189" t="s">
        <v>155</v>
      </c>
      <c r="E2271" s="190" t="s">
        <v>4484</v>
      </c>
      <c r="F2271" s="191">
        <f t="shared" si="37"/>
        <v>295.7</v>
      </c>
      <c r="G2271" s="185"/>
      <c r="H2271" s="181"/>
      <c r="I2271" s="74"/>
      <c r="J2271" s="74"/>
      <c r="M2271" s="185"/>
      <c r="N2271" s="185"/>
      <c r="O2271" s="185"/>
      <c r="P2271" s="185"/>
      <c r="Q2271" s="185"/>
      <c r="R2271" s="185"/>
    </row>
    <row r="2272" spans="1:18" s="197" customFormat="1" ht="12.75" x14ac:dyDescent="0.2">
      <c r="A2272" s="181"/>
      <c r="B2272" s="188" t="s">
        <v>303</v>
      </c>
      <c r="C2272" s="189" t="s">
        <v>130</v>
      </c>
      <c r="D2272" s="189" t="s">
        <v>133</v>
      </c>
      <c r="E2272" s="190" t="s">
        <v>4485</v>
      </c>
      <c r="F2272" s="191">
        <f t="shared" si="37"/>
        <v>301.03333333333336</v>
      </c>
      <c r="G2272" s="185"/>
      <c r="H2272" s="181"/>
      <c r="I2272" s="74"/>
      <c r="J2272" s="74"/>
      <c r="M2272" s="185"/>
      <c r="N2272" s="185"/>
      <c r="O2272" s="185"/>
      <c r="P2272" s="185"/>
      <c r="Q2272" s="185"/>
      <c r="R2272" s="185"/>
    </row>
    <row r="2273" spans="1:18" s="197" customFormat="1" ht="12.75" x14ac:dyDescent="0.2">
      <c r="A2273" s="181"/>
      <c r="B2273" s="188" t="s">
        <v>253</v>
      </c>
      <c r="C2273" s="189" t="s">
        <v>136</v>
      </c>
      <c r="D2273" s="189" t="s">
        <v>123</v>
      </c>
      <c r="E2273" s="190" t="s">
        <v>3202</v>
      </c>
      <c r="F2273" s="191">
        <f t="shared" si="37"/>
        <v>281.85000000000002</v>
      </c>
      <c r="G2273" s="185"/>
      <c r="H2273" s="181"/>
      <c r="I2273" s="74"/>
      <c r="J2273" s="74"/>
      <c r="M2273" s="185"/>
      <c r="N2273" s="185"/>
      <c r="O2273" s="185"/>
      <c r="P2273" s="185"/>
      <c r="Q2273" s="185"/>
      <c r="R2273" s="185"/>
    </row>
    <row r="2274" spans="1:18" s="197" customFormat="1" ht="12.75" x14ac:dyDescent="0.2">
      <c r="A2274" s="181"/>
      <c r="B2274" s="188" t="s">
        <v>4486</v>
      </c>
      <c r="C2274" s="189" t="s">
        <v>125</v>
      </c>
      <c r="D2274" s="189" t="s">
        <v>157</v>
      </c>
      <c r="E2274" s="190" t="s">
        <v>4487</v>
      </c>
      <c r="F2274" s="191">
        <f t="shared" si="37"/>
        <v>230.33333333333334</v>
      </c>
      <c r="G2274" s="185"/>
      <c r="H2274" s="181"/>
      <c r="I2274" s="74"/>
      <c r="J2274" s="74"/>
      <c r="M2274" s="185"/>
      <c r="N2274" s="185"/>
      <c r="O2274" s="185"/>
      <c r="P2274" s="185"/>
      <c r="Q2274" s="185"/>
      <c r="R2274" s="185"/>
    </row>
    <row r="2275" spans="1:18" s="197" customFormat="1" ht="12.75" x14ac:dyDescent="0.2">
      <c r="A2275" s="181"/>
      <c r="B2275" s="188" t="s">
        <v>525</v>
      </c>
      <c r="C2275" s="189" t="s">
        <v>136</v>
      </c>
      <c r="D2275" s="189" t="s">
        <v>123</v>
      </c>
      <c r="E2275" s="190" t="s">
        <v>4488</v>
      </c>
      <c r="F2275" s="191">
        <f t="shared" si="37"/>
        <v>281.76666666666665</v>
      </c>
      <c r="G2275" s="185"/>
      <c r="H2275" s="181"/>
      <c r="I2275" s="74"/>
      <c r="J2275" s="74"/>
      <c r="M2275" s="185"/>
      <c r="N2275" s="185"/>
      <c r="O2275" s="185"/>
      <c r="P2275" s="185"/>
      <c r="Q2275" s="185"/>
      <c r="R2275" s="185"/>
    </row>
    <row r="2276" spans="1:18" s="197" customFormat="1" ht="12.75" x14ac:dyDescent="0.2">
      <c r="A2276" s="181"/>
      <c r="B2276" s="188" t="s">
        <v>4489</v>
      </c>
      <c r="C2276" s="189" t="s">
        <v>125</v>
      </c>
      <c r="D2276" s="189" t="s">
        <v>123</v>
      </c>
      <c r="E2276" s="190" t="s">
        <v>4490</v>
      </c>
      <c r="F2276" s="191">
        <f t="shared" si="37"/>
        <v>178.9</v>
      </c>
      <c r="G2276" s="185"/>
      <c r="H2276" s="181"/>
      <c r="I2276" s="74"/>
      <c r="J2276" s="74"/>
      <c r="M2276" s="185"/>
      <c r="N2276" s="185"/>
      <c r="O2276" s="185"/>
      <c r="P2276" s="185"/>
      <c r="Q2276" s="185"/>
      <c r="R2276" s="185"/>
    </row>
    <row r="2277" spans="1:18" s="197" customFormat="1" ht="12.75" x14ac:dyDescent="0.2">
      <c r="A2277" s="181"/>
      <c r="B2277" s="188" t="s">
        <v>4491</v>
      </c>
      <c r="C2277" s="189" t="s">
        <v>125</v>
      </c>
      <c r="D2277" s="189" t="s">
        <v>123</v>
      </c>
      <c r="E2277" s="190" t="s">
        <v>4492</v>
      </c>
      <c r="F2277" s="191">
        <f t="shared" si="37"/>
        <v>211.31666666666666</v>
      </c>
      <c r="G2277" s="185"/>
      <c r="H2277" s="181"/>
      <c r="I2277" s="74"/>
      <c r="J2277" s="74"/>
      <c r="M2277" s="185"/>
      <c r="N2277" s="185"/>
      <c r="O2277" s="185"/>
      <c r="P2277" s="185"/>
      <c r="Q2277" s="185"/>
      <c r="R2277" s="185"/>
    </row>
    <row r="2278" spans="1:18" s="197" customFormat="1" ht="12.75" x14ac:dyDescent="0.2">
      <c r="A2278" s="181"/>
      <c r="B2278" s="188" t="s">
        <v>4493</v>
      </c>
      <c r="C2278" s="189" t="s">
        <v>126</v>
      </c>
      <c r="D2278" s="189" t="s">
        <v>123</v>
      </c>
      <c r="E2278" s="190" t="s">
        <v>4494</v>
      </c>
      <c r="F2278" s="191">
        <f t="shared" si="37"/>
        <v>215.28333333333333</v>
      </c>
      <c r="G2278" s="185"/>
      <c r="H2278" s="181"/>
      <c r="I2278" s="74"/>
      <c r="J2278" s="74"/>
      <c r="M2278" s="185"/>
      <c r="N2278" s="185"/>
      <c r="O2278" s="185"/>
      <c r="P2278" s="185"/>
      <c r="Q2278" s="185"/>
      <c r="R2278" s="185"/>
    </row>
    <row r="2279" spans="1:18" s="197" customFormat="1" ht="12.75" x14ac:dyDescent="0.2">
      <c r="A2279" s="181"/>
      <c r="B2279" s="188" t="s">
        <v>296</v>
      </c>
      <c r="C2279" s="189" t="s">
        <v>140</v>
      </c>
      <c r="D2279" s="189" t="s">
        <v>144</v>
      </c>
      <c r="E2279" s="190" t="s">
        <v>3202</v>
      </c>
      <c r="F2279" s="191">
        <f t="shared" si="37"/>
        <v>281.85000000000002</v>
      </c>
      <c r="G2279" s="185"/>
      <c r="H2279" s="181"/>
      <c r="I2279" s="74"/>
      <c r="J2279" s="74"/>
      <c r="M2279" s="185"/>
      <c r="N2279" s="185"/>
      <c r="O2279" s="185"/>
      <c r="P2279" s="185"/>
      <c r="Q2279" s="185"/>
      <c r="R2279" s="185"/>
    </row>
    <row r="2280" spans="1:18" s="197" customFormat="1" ht="12.75" x14ac:dyDescent="0.2">
      <c r="A2280" s="181"/>
      <c r="B2280" s="188" t="s">
        <v>4495</v>
      </c>
      <c r="C2280" s="189" t="s">
        <v>128</v>
      </c>
      <c r="D2280" s="189" t="s">
        <v>123</v>
      </c>
      <c r="E2280" s="190" t="s">
        <v>4496</v>
      </c>
      <c r="F2280" s="191">
        <f t="shared" si="37"/>
        <v>298.73333333333335</v>
      </c>
      <c r="G2280" s="185"/>
      <c r="H2280" s="181"/>
      <c r="I2280" s="74"/>
      <c r="J2280" s="74"/>
      <c r="M2280" s="185"/>
      <c r="N2280" s="185"/>
      <c r="O2280" s="185"/>
      <c r="P2280" s="185"/>
      <c r="Q2280" s="185"/>
      <c r="R2280" s="185"/>
    </row>
    <row r="2281" spans="1:18" s="197" customFormat="1" ht="12.75" x14ac:dyDescent="0.2">
      <c r="A2281" s="181"/>
      <c r="B2281" s="188" t="s">
        <v>4497</v>
      </c>
      <c r="C2281" s="189" t="s">
        <v>126</v>
      </c>
      <c r="D2281" s="189" t="s">
        <v>144</v>
      </c>
      <c r="E2281" s="190" t="s">
        <v>4498</v>
      </c>
      <c r="F2281" s="191">
        <f t="shared" si="37"/>
        <v>307.51666666666665</v>
      </c>
      <c r="G2281" s="185"/>
      <c r="H2281" s="181"/>
      <c r="I2281" s="74"/>
      <c r="J2281" s="74"/>
      <c r="M2281" s="185"/>
      <c r="N2281" s="185"/>
      <c r="O2281" s="185"/>
      <c r="P2281" s="185"/>
      <c r="Q2281" s="185"/>
      <c r="R2281" s="185"/>
    </row>
    <row r="2282" spans="1:18" s="197" customFormat="1" ht="12.75" x14ac:dyDescent="0.2">
      <c r="A2282" s="181"/>
      <c r="B2282" s="188" t="s">
        <v>4499</v>
      </c>
      <c r="C2282" s="189" t="s">
        <v>125</v>
      </c>
      <c r="D2282" s="189" t="s">
        <v>129</v>
      </c>
      <c r="E2282" s="190" t="s">
        <v>4500</v>
      </c>
      <c r="F2282" s="191">
        <f t="shared" si="37"/>
        <v>188.83333333333334</v>
      </c>
      <c r="G2282" s="185"/>
      <c r="H2282" s="181"/>
      <c r="I2282" s="74"/>
      <c r="J2282" s="74"/>
      <c r="M2282" s="185"/>
      <c r="N2282" s="185"/>
      <c r="O2282" s="185"/>
      <c r="P2282" s="185"/>
      <c r="Q2282" s="185"/>
      <c r="R2282" s="185"/>
    </row>
    <row r="2283" spans="1:18" s="197" customFormat="1" ht="12.75" x14ac:dyDescent="0.2">
      <c r="A2283" s="181"/>
      <c r="B2283" s="188" t="s">
        <v>4501</v>
      </c>
      <c r="C2283" s="189" t="s">
        <v>136</v>
      </c>
      <c r="D2283" s="189" t="s">
        <v>145</v>
      </c>
      <c r="E2283" s="190" t="s">
        <v>4502</v>
      </c>
      <c r="F2283" s="191">
        <f t="shared" si="37"/>
        <v>269.91666666666669</v>
      </c>
      <c r="G2283" s="185"/>
      <c r="H2283" s="181"/>
      <c r="I2283" s="74"/>
      <c r="J2283" s="74"/>
      <c r="M2283" s="185"/>
      <c r="N2283" s="185"/>
      <c r="O2283" s="185"/>
      <c r="P2283" s="185"/>
      <c r="Q2283" s="185"/>
      <c r="R2283" s="185"/>
    </row>
    <row r="2284" spans="1:18" s="197" customFormat="1" ht="12.75" x14ac:dyDescent="0.2">
      <c r="A2284" s="181"/>
      <c r="B2284" s="188" t="s">
        <v>4503</v>
      </c>
      <c r="C2284" s="189" t="s">
        <v>142</v>
      </c>
      <c r="D2284" s="189" t="s">
        <v>174</v>
      </c>
      <c r="E2284" s="190" t="s">
        <v>4504</v>
      </c>
      <c r="F2284" s="191">
        <f t="shared" si="37"/>
        <v>239.43333333333334</v>
      </c>
      <c r="G2284" s="185"/>
      <c r="H2284" s="181"/>
      <c r="I2284" s="74"/>
      <c r="J2284" s="74"/>
      <c r="M2284" s="185"/>
      <c r="N2284" s="185"/>
      <c r="O2284" s="185"/>
      <c r="P2284" s="185"/>
      <c r="Q2284" s="185"/>
      <c r="R2284" s="185"/>
    </row>
    <row r="2285" spans="1:18" s="197" customFormat="1" ht="12.75" x14ac:dyDescent="0.2">
      <c r="A2285" s="181"/>
      <c r="B2285" s="188" t="s">
        <v>4505</v>
      </c>
      <c r="C2285" s="189" t="s">
        <v>142</v>
      </c>
      <c r="D2285" s="189" t="s">
        <v>141</v>
      </c>
      <c r="E2285" s="190" t="s">
        <v>4506</v>
      </c>
      <c r="F2285" s="191">
        <f t="shared" si="37"/>
        <v>211.2</v>
      </c>
      <c r="G2285" s="185"/>
      <c r="H2285" s="181"/>
      <c r="I2285" s="74"/>
      <c r="J2285" s="74"/>
      <c r="M2285" s="185"/>
      <c r="N2285" s="185"/>
      <c r="O2285" s="185"/>
      <c r="P2285" s="185"/>
      <c r="Q2285" s="185"/>
      <c r="R2285" s="185"/>
    </row>
    <row r="2286" spans="1:18" s="197" customFormat="1" ht="12.75" x14ac:dyDescent="0.2">
      <c r="A2286" s="181"/>
      <c r="B2286" s="188" t="s">
        <v>4507</v>
      </c>
      <c r="C2286" s="189" t="s">
        <v>130</v>
      </c>
      <c r="D2286" s="189" t="s">
        <v>123</v>
      </c>
      <c r="E2286" s="190" t="s">
        <v>4508</v>
      </c>
      <c r="F2286" s="191">
        <f t="shared" si="37"/>
        <v>228.85</v>
      </c>
      <c r="G2286" s="185"/>
      <c r="H2286" s="181"/>
      <c r="I2286" s="74"/>
      <c r="J2286" s="74"/>
      <c r="M2286" s="185"/>
      <c r="N2286" s="185"/>
      <c r="O2286" s="185"/>
      <c r="P2286" s="185"/>
      <c r="Q2286" s="185"/>
      <c r="R2286" s="185"/>
    </row>
    <row r="2287" spans="1:18" s="197" customFormat="1" ht="12.75" x14ac:dyDescent="0.2">
      <c r="A2287" s="181"/>
      <c r="B2287" s="188" t="s">
        <v>4509</v>
      </c>
      <c r="C2287" s="189" t="s">
        <v>125</v>
      </c>
      <c r="D2287" s="189" t="s">
        <v>123</v>
      </c>
      <c r="E2287" s="190" t="s">
        <v>4510</v>
      </c>
      <c r="F2287" s="191">
        <f t="shared" si="37"/>
        <v>288.39999999999998</v>
      </c>
      <c r="G2287" s="185"/>
      <c r="H2287" s="181"/>
      <c r="I2287" s="74"/>
      <c r="J2287" s="74"/>
      <c r="M2287" s="185"/>
      <c r="N2287" s="185"/>
      <c r="O2287" s="185"/>
      <c r="P2287" s="185"/>
      <c r="Q2287" s="185"/>
      <c r="R2287" s="185"/>
    </row>
    <row r="2288" spans="1:18" s="197" customFormat="1" ht="12.75" x14ac:dyDescent="0.2">
      <c r="A2288" s="181"/>
      <c r="B2288" s="188" t="s">
        <v>4511</v>
      </c>
      <c r="C2288" s="189" t="s">
        <v>130</v>
      </c>
      <c r="D2288" s="189" t="s">
        <v>123</v>
      </c>
      <c r="E2288" s="190" t="s">
        <v>4512</v>
      </c>
      <c r="F2288" s="191">
        <f t="shared" si="37"/>
        <v>243.65</v>
      </c>
      <c r="G2288" s="185"/>
      <c r="H2288" s="181"/>
      <c r="I2288" s="74"/>
      <c r="J2288" s="74"/>
      <c r="M2288" s="185"/>
      <c r="N2288" s="185"/>
      <c r="O2288" s="185"/>
      <c r="P2288" s="185"/>
      <c r="Q2288" s="185"/>
      <c r="R2288" s="185"/>
    </row>
    <row r="2289" spans="1:18" s="197" customFormat="1" ht="12.75" x14ac:dyDescent="0.2">
      <c r="A2289" s="181"/>
      <c r="B2289" s="188" t="s">
        <v>4513</v>
      </c>
      <c r="C2289" s="189" t="s">
        <v>124</v>
      </c>
      <c r="D2289" s="189" t="s">
        <v>147</v>
      </c>
      <c r="E2289" s="190" t="s">
        <v>4514</v>
      </c>
      <c r="F2289" s="191">
        <f t="shared" si="37"/>
        <v>258.88333333333333</v>
      </c>
      <c r="G2289" s="185"/>
      <c r="H2289" s="181"/>
      <c r="I2289" s="74"/>
      <c r="J2289" s="74"/>
      <c r="M2289" s="185"/>
      <c r="N2289" s="185"/>
      <c r="O2289" s="185"/>
      <c r="P2289" s="185"/>
      <c r="Q2289" s="185"/>
      <c r="R2289" s="185"/>
    </row>
    <row r="2290" spans="1:18" s="197" customFormat="1" ht="12.75" x14ac:dyDescent="0.2">
      <c r="A2290" s="181"/>
      <c r="B2290" s="188" t="s">
        <v>4515</v>
      </c>
      <c r="C2290" s="189" t="s">
        <v>125</v>
      </c>
      <c r="D2290" s="189" t="s">
        <v>132</v>
      </c>
      <c r="E2290" s="190" t="s">
        <v>4229</v>
      </c>
      <c r="F2290" s="191">
        <f t="shared" si="37"/>
        <v>266.21666666666664</v>
      </c>
      <c r="G2290" s="185"/>
      <c r="H2290" s="181"/>
      <c r="I2290" s="74"/>
      <c r="J2290" s="74"/>
      <c r="M2290" s="185"/>
      <c r="N2290" s="185"/>
      <c r="O2290" s="185"/>
      <c r="P2290" s="185"/>
      <c r="Q2290" s="185"/>
      <c r="R2290" s="185"/>
    </row>
    <row r="2291" spans="1:18" s="197" customFormat="1" ht="12.75" x14ac:dyDescent="0.2">
      <c r="A2291" s="181"/>
      <c r="B2291" s="188" t="s">
        <v>4516</v>
      </c>
      <c r="C2291" s="189" t="s">
        <v>125</v>
      </c>
      <c r="D2291" s="189" t="s">
        <v>123</v>
      </c>
      <c r="E2291" s="190" t="s">
        <v>4517</v>
      </c>
      <c r="F2291" s="191">
        <f t="shared" si="37"/>
        <v>198.45</v>
      </c>
      <c r="G2291" s="185"/>
      <c r="H2291" s="181"/>
      <c r="I2291" s="74"/>
      <c r="J2291" s="74"/>
      <c r="M2291" s="185"/>
      <c r="N2291" s="185"/>
      <c r="O2291" s="185"/>
      <c r="P2291" s="185"/>
      <c r="Q2291" s="185"/>
      <c r="R2291" s="185"/>
    </row>
    <row r="2292" spans="1:18" s="197" customFormat="1" ht="12.75" x14ac:dyDescent="0.2">
      <c r="A2292" s="181"/>
      <c r="B2292" s="188" t="s">
        <v>4518</v>
      </c>
      <c r="C2292" s="189" t="s">
        <v>128</v>
      </c>
      <c r="D2292" s="189" t="s">
        <v>147</v>
      </c>
      <c r="E2292" s="190" t="s">
        <v>4519</v>
      </c>
      <c r="F2292" s="191">
        <f t="shared" si="37"/>
        <v>274.66666666666669</v>
      </c>
      <c r="G2292" s="185"/>
      <c r="H2292" s="181"/>
      <c r="I2292" s="74"/>
      <c r="J2292" s="74"/>
      <c r="M2292" s="185"/>
      <c r="N2292" s="185"/>
      <c r="O2292" s="185"/>
      <c r="P2292" s="185"/>
      <c r="Q2292" s="185"/>
      <c r="R2292" s="185"/>
    </row>
    <row r="2293" spans="1:18" s="197" customFormat="1" ht="12.75" x14ac:dyDescent="0.2">
      <c r="A2293" s="181"/>
      <c r="B2293" s="188" t="s">
        <v>1993</v>
      </c>
      <c r="C2293" s="189" t="s">
        <v>130</v>
      </c>
      <c r="D2293" s="189" t="s">
        <v>132</v>
      </c>
      <c r="E2293" s="190" t="s">
        <v>1994</v>
      </c>
      <c r="F2293" s="191">
        <f t="shared" si="37"/>
        <v>231.61666666666667</v>
      </c>
      <c r="G2293" s="185"/>
      <c r="H2293" s="181"/>
      <c r="I2293" s="74"/>
      <c r="J2293" s="74"/>
      <c r="M2293" s="185"/>
      <c r="N2293" s="185"/>
      <c r="O2293" s="185"/>
      <c r="P2293" s="185"/>
      <c r="Q2293" s="185"/>
      <c r="R2293" s="185"/>
    </row>
    <row r="2294" spans="1:18" s="197" customFormat="1" ht="12.75" x14ac:dyDescent="0.2">
      <c r="A2294" s="181"/>
      <c r="B2294" s="188" t="s">
        <v>4520</v>
      </c>
      <c r="C2294" s="189" t="s">
        <v>126</v>
      </c>
      <c r="D2294" s="189" t="s">
        <v>123</v>
      </c>
      <c r="E2294" s="190" t="s">
        <v>1254</v>
      </c>
      <c r="F2294" s="191">
        <f t="shared" si="37"/>
        <v>234.06666666666666</v>
      </c>
      <c r="G2294" s="185"/>
      <c r="H2294" s="181"/>
      <c r="I2294" s="74"/>
      <c r="J2294" s="74"/>
      <c r="M2294" s="185"/>
      <c r="N2294" s="185"/>
      <c r="O2294" s="185"/>
      <c r="P2294" s="185"/>
      <c r="Q2294" s="185"/>
      <c r="R2294" s="185"/>
    </row>
    <row r="2295" spans="1:18" s="197" customFormat="1" ht="12.75" x14ac:dyDescent="0.2">
      <c r="A2295" s="181"/>
      <c r="B2295" s="188" t="s">
        <v>4521</v>
      </c>
      <c r="C2295" s="189" t="s">
        <v>128</v>
      </c>
      <c r="D2295" s="189" t="s">
        <v>123</v>
      </c>
      <c r="E2295" s="190" t="s">
        <v>1564</v>
      </c>
      <c r="F2295" s="191">
        <f t="shared" si="37"/>
        <v>235.98333333333332</v>
      </c>
      <c r="G2295" s="185"/>
      <c r="H2295" s="181"/>
      <c r="I2295" s="74"/>
      <c r="J2295" s="74"/>
      <c r="M2295" s="185"/>
      <c r="N2295" s="185"/>
      <c r="O2295" s="185"/>
      <c r="P2295" s="185"/>
      <c r="Q2295" s="185"/>
      <c r="R2295" s="185"/>
    </row>
    <row r="2296" spans="1:18" s="197" customFormat="1" ht="12.75" x14ac:dyDescent="0.2">
      <c r="A2296" s="181"/>
      <c r="B2296" s="188" t="s">
        <v>4522</v>
      </c>
      <c r="C2296" s="189" t="s">
        <v>126</v>
      </c>
      <c r="D2296" s="189" t="s">
        <v>169</v>
      </c>
      <c r="E2296" s="190" t="s">
        <v>2013</v>
      </c>
      <c r="F2296" s="191">
        <f t="shared" si="37"/>
        <v>268.28333333333336</v>
      </c>
      <c r="G2296" s="185"/>
      <c r="H2296" s="181"/>
      <c r="I2296" s="74"/>
      <c r="J2296" s="74"/>
      <c r="M2296" s="185"/>
      <c r="N2296" s="185"/>
      <c r="O2296" s="185"/>
      <c r="P2296" s="185"/>
      <c r="Q2296" s="185"/>
      <c r="R2296" s="185"/>
    </row>
    <row r="2297" spans="1:18" s="197" customFormat="1" ht="12.75" x14ac:dyDescent="0.2">
      <c r="A2297" s="181"/>
      <c r="B2297" s="188" t="s">
        <v>230</v>
      </c>
      <c r="C2297" s="189" t="s">
        <v>130</v>
      </c>
      <c r="D2297" s="189" t="s">
        <v>132</v>
      </c>
      <c r="E2297" s="190" t="s">
        <v>4087</v>
      </c>
      <c r="F2297" s="191">
        <f t="shared" si="37"/>
        <v>199.53333333333333</v>
      </c>
      <c r="G2297" s="185"/>
      <c r="H2297" s="181"/>
      <c r="I2297" s="74"/>
      <c r="J2297" s="74"/>
      <c r="M2297" s="185"/>
      <c r="N2297" s="185"/>
      <c r="O2297" s="185"/>
      <c r="P2297" s="185"/>
      <c r="Q2297" s="185"/>
      <c r="R2297" s="185"/>
    </row>
    <row r="2298" spans="1:18" s="197" customFormat="1" ht="12.75" x14ac:dyDescent="0.2">
      <c r="A2298" s="181"/>
      <c r="B2298" s="188" t="s">
        <v>4523</v>
      </c>
      <c r="C2298" s="189" t="s">
        <v>136</v>
      </c>
      <c r="D2298" s="189" t="s">
        <v>123</v>
      </c>
      <c r="E2298" s="190" t="s">
        <v>4524</v>
      </c>
      <c r="F2298" s="191">
        <f t="shared" si="37"/>
        <v>288.36666666666667</v>
      </c>
      <c r="G2298" s="185"/>
      <c r="H2298" s="181"/>
      <c r="I2298" s="74"/>
      <c r="J2298" s="74"/>
      <c r="M2298" s="185"/>
      <c r="N2298" s="185"/>
      <c r="O2298" s="185"/>
      <c r="P2298" s="185"/>
      <c r="Q2298" s="185"/>
      <c r="R2298" s="185"/>
    </row>
    <row r="2299" spans="1:18" s="197" customFormat="1" ht="12.75" x14ac:dyDescent="0.2">
      <c r="A2299" s="181"/>
      <c r="B2299" s="188" t="s">
        <v>346</v>
      </c>
      <c r="C2299" s="189" t="s">
        <v>135</v>
      </c>
      <c r="D2299" s="189" t="s">
        <v>157</v>
      </c>
      <c r="E2299" s="190" t="s">
        <v>4525</v>
      </c>
      <c r="F2299" s="191">
        <f t="shared" si="37"/>
        <v>276.14999999999998</v>
      </c>
      <c r="G2299" s="185"/>
      <c r="H2299" s="181"/>
      <c r="I2299" s="74"/>
      <c r="J2299" s="74"/>
      <c r="M2299" s="185"/>
      <c r="N2299" s="185"/>
      <c r="O2299" s="185"/>
      <c r="P2299" s="185"/>
      <c r="Q2299" s="185"/>
      <c r="R2299" s="185"/>
    </row>
    <row r="2300" spans="1:18" s="197" customFormat="1" ht="12.75" x14ac:dyDescent="0.2">
      <c r="A2300" s="181"/>
      <c r="B2300" s="188" t="s">
        <v>4526</v>
      </c>
      <c r="C2300" s="189" t="s">
        <v>140</v>
      </c>
      <c r="D2300" s="189" t="s">
        <v>155</v>
      </c>
      <c r="E2300" s="190" t="s">
        <v>4527</v>
      </c>
      <c r="F2300" s="191">
        <f t="shared" si="37"/>
        <v>342.81666666666666</v>
      </c>
      <c r="G2300" s="185"/>
      <c r="H2300" s="181"/>
      <c r="I2300" s="74"/>
      <c r="J2300" s="74"/>
      <c r="M2300" s="185"/>
      <c r="N2300" s="185"/>
      <c r="O2300" s="185"/>
      <c r="P2300" s="185"/>
      <c r="Q2300" s="185"/>
      <c r="R2300" s="185"/>
    </row>
    <row r="2301" spans="1:18" s="197" customFormat="1" ht="12.75" x14ac:dyDescent="0.2">
      <c r="A2301" s="181"/>
      <c r="B2301" s="188" t="s">
        <v>234</v>
      </c>
      <c r="C2301" s="189" t="s">
        <v>142</v>
      </c>
      <c r="D2301" s="189" t="s">
        <v>123</v>
      </c>
      <c r="E2301" s="190" t="s">
        <v>1530</v>
      </c>
      <c r="F2301" s="191">
        <f t="shared" si="37"/>
        <v>231.55</v>
      </c>
      <c r="G2301" s="185"/>
      <c r="H2301" s="181"/>
      <c r="I2301" s="74"/>
      <c r="J2301" s="74"/>
      <c r="M2301" s="185"/>
      <c r="N2301" s="185"/>
      <c r="O2301" s="185"/>
      <c r="P2301" s="185"/>
      <c r="Q2301" s="185"/>
      <c r="R2301" s="185"/>
    </row>
    <row r="2302" spans="1:18" s="197" customFormat="1" ht="12.75" x14ac:dyDescent="0.2">
      <c r="A2302" s="181"/>
      <c r="B2302" s="188" t="s">
        <v>4528</v>
      </c>
      <c r="C2302" s="189" t="s">
        <v>124</v>
      </c>
      <c r="D2302" s="189" t="s">
        <v>123</v>
      </c>
      <c r="E2302" s="190" t="s">
        <v>4529</v>
      </c>
      <c r="F2302" s="191">
        <f t="shared" si="37"/>
        <v>272.71666666666664</v>
      </c>
      <c r="G2302" s="185"/>
      <c r="H2302" s="181"/>
      <c r="I2302" s="74"/>
      <c r="J2302" s="74"/>
      <c r="M2302" s="185"/>
      <c r="N2302" s="185"/>
      <c r="O2302" s="185"/>
      <c r="P2302" s="185"/>
      <c r="Q2302" s="185"/>
      <c r="R2302" s="185"/>
    </row>
    <row r="2303" spans="1:18" s="197" customFormat="1" ht="12.75" x14ac:dyDescent="0.2">
      <c r="A2303" s="181"/>
      <c r="B2303" s="188" t="s">
        <v>458</v>
      </c>
      <c r="C2303" s="189" t="s">
        <v>142</v>
      </c>
      <c r="D2303" s="189" t="s">
        <v>123</v>
      </c>
      <c r="E2303" s="190" t="s">
        <v>4530</v>
      </c>
      <c r="F2303" s="191">
        <f t="shared" si="37"/>
        <v>242.95</v>
      </c>
      <c r="G2303" s="185"/>
      <c r="H2303" s="181"/>
      <c r="I2303" s="74"/>
      <c r="J2303" s="74"/>
      <c r="M2303" s="185"/>
      <c r="N2303" s="185"/>
      <c r="O2303" s="185"/>
      <c r="P2303" s="185"/>
      <c r="Q2303" s="185"/>
      <c r="R2303" s="185"/>
    </row>
    <row r="2304" spans="1:18" s="197" customFormat="1" ht="12.75" x14ac:dyDescent="0.2">
      <c r="A2304" s="181"/>
      <c r="B2304" s="188" t="s">
        <v>575</v>
      </c>
      <c r="C2304" s="189" t="s">
        <v>125</v>
      </c>
      <c r="D2304" s="189" t="s">
        <v>169</v>
      </c>
      <c r="E2304" s="190" t="s">
        <v>4531</v>
      </c>
      <c r="F2304" s="191">
        <f t="shared" si="37"/>
        <v>224.05</v>
      </c>
      <c r="G2304" s="185"/>
      <c r="H2304" s="181"/>
      <c r="I2304" s="74"/>
      <c r="J2304" s="74"/>
      <c r="M2304" s="185"/>
      <c r="N2304" s="185"/>
      <c r="O2304" s="185"/>
      <c r="P2304" s="185"/>
      <c r="Q2304" s="185"/>
      <c r="R2304" s="185"/>
    </row>
    <row r="2305" spans="1:18" s="197" customFormat="1" ht="12.75" x14ac:dyDescent="0.2">
      <c r="A2305" s="181"/>
      <c r="B2305" s="188" t="s">
        <v>380</v>
      </c>
      <c r="C2305" s="189" t="s">
        <v>130</v>
      </c>
      <c r="D2305" s="189" t="s">
        <v>123</v>
      </c>
      <c r="E2305" s="190" t="s">
        <v>4532</v>
      </c>
      <c r="F2305" s="191">
        <f t="shared" si="37"/>
        <v>189.68333333333334</v>
      </c>
      <c r="G2305" s="185"/>
      <c r="H2305" s="181"/>
      <c r="I2305" s="74"/>
      <c r="J2305" s="74"/>
      <c r="M2305" s="185"/>
      <c r="N2305" s="185"/>
      <c r="O2305" s="185"/>
      <c r="P2305" s="185"/>
      <c r="Q2305" s="185"/>
      <c r="R2305" s="185"/>
    </row>
    <row r="2306" spans="1:18" s="197" customFormat="1" ht="12.75" x14ac:dyDescent="0.2">
      <c r="A2306" s="181"/>
      <c r="B2306" s="188" t="s">
        <v>4533</v>
      </c>
      <c r="C2306" s="189" t="s">
        <v>130</v>
      </c>
      <c r="D2306" s="189" t="s">
        <v>123</v>
      </c>
      <c r="E2306" s="190" t="s">
        <v>4534</v>
      </c>
      <c r="F2306" s="191">
        <f t="shared" si="37"/>
        <v>223.3</v>
      </c>
      <c r="G2306" s="185"/>
      <c r="H2306" s="181"/>
      <c r="I2306" s="74"/>
      <c r="J2306" s="74"/>
      <c r="M2306" s="185"/>
      <c r="N2306" s="185"/>
      <c r="O2306" s="185"/>
      <c r="P2306" s="185"/>
      <c r="Q2306" s="185"/>
      <c r="R2306" s="185"/>
    </row>
    <row r="2307" spans="1:18" s="197" customFormat="1" ht="12.75" x14ac:dyDescent="0.2">
      <c r="A2307" s="181"/>
      <c r="B2307" s="188" t="s">
        <v>4535</v>
      </c>
      <c r="C2307" s="189" t="s">
        <v>128</v>
      </c>
      <c r="D2307" s="189" t="s">
        <v>123</v>
      </c>
      <c r="E2307" s="190" t="s">
        <v>4536</v>
      </c>
      <c r="F2307" s="191">
        <f t="shared" si="37"/>
        <v>278.08333333333331</v>
      </c>
      <c r="G2307" s="185"/>
      <c r="H2307" s="181"/>
      <c r="I2307" s="74"/>
      <c r="J2307" s="74"/>
      <c r="M2307" s="185"/>
      <c r="N2307" s="185"/>
      <c r="O2307" s="185"/>
      <c r="P2307" s="185"/>
      <c r="Q2307" s="185"/>
      <c r="R2307" s="185"/>
    </row>
    <row r="2308" spans="1:18" s="197" customFormat="1" ht="12.75" x14ac:dyDescent="0.2">
      <c r="A2308" s="181"/>
      <c r="B2308" s="188" t="s">
        <v>4537</v>
      </c>
      <c r="C2308" s="189" t="s">
        <v>124</v>
      </c>
      <c r="D2308" s="189" t="s">
        <v>123</v>
      </c>
      <c r="E2308" s="190" t="s">
        <v>4538</v>
      </c>
      <c r="F2308" s="191">
        <f t="shared" si="37"/>
        <v>208.55</v>
      </c>
      <c r="G2308" s="185"/>
      <c r="H2308" s="181"/>
      <c r="I2308" s="74"/>
      <c r="J2308" s="74"/>
      <c r="M2308" s="185"/>
      <c r="N2308" s="185"/>
      <c r="O2308" s="185"/>
      <c r="P2308" s="185"/>
      <c r="Q2308" s="185"/>
      <c r="R2308" s="185"/>
    </row>
    <row r="2309" spans="1:18" s="197" customFormat="1" ht="12.75" x14ac:dyDescent="0.2">
      <c r="A2309" s="181"/>
      <c r="B2309" s="188" t="s">
        <v>4539</v>
      </c>
      <c r="C2309" s="189" t="s">
        <v>134</v>
      </c>
      <c r="D2309" s="189" t="s">
        <v>123</v>
      </c>
      <c r="E2309" s="190" t="s">
        <v>4540</v>
      </c>
      <c r="F2309" s="191">
        <f t="shared" si="37"/>
        <v>211.88333333333333</v>
      </c>
      <c r="G2309" s="185"/>
      <c r="H2309" s="181"/>
      <c r="I2309" s="74"/>
      <c r="J2309" s="74"/>
      <c r="M2309" s="185"/>
      <c r="N2309" s="185"/>
      <c r="O2309" s="185"/>
      <c r="P2309" s="185"/>
      <c r="Q2309" s="185"/>
      <c r="R2309" s="185"/>
    </row>
    <row r="2310" spans="1:18" s="197" customFormat="1" ht="12.75" x14ac:dyDescent="0.2">
      <c r="A2310" s="181"/>
      <c r="B2310" s="188" t="s">
        <v>4541</v>
      </c>
      <c r="C2310" s="189" t="s">
        <v>134</v>
      </c>
      <c r="D2310" s="189" t="s">
        <v>123</v>
      </c>
      <c r="E2310" s="190" t="s">
        <v>4542</v>
      </c>
      <c r="F2310" s="191">
        <f t="shared" si="37"/>
        <v>230.66666666666666</v>
      </c>
      <c r="G2310" s="185"/>
      <c r="H2310" s="181"/>
      <c r="I2310" s="74"/>
      <c r="J2310" s="74"/>
      <c r="M2310" s="185"/>
      <c r="N2310" s="185"/>
      <c r="O2310" s="185"/>
      <c r="P2310" s="185"/>
      <c r="Q2310" s="185"/>
      <c r="R2310" s="185"/>
    </row>
    <row r="2311" spans="1:18" s="197" customFormat="1" ht="12.75" x14ac:dyDescent="0.2">
      <c r="A2311" s="181"/>
      <c r="B2311" s="188" t="s">
        <v>4543</v>
      </c>
      <c r="C2311" s="189" t="s">
        <v>142</v>
      </c>
      <c r="D2311" s="189" t="s">
        <v>160</v>
      </c>
      <c r="E2311" s="190" t="s">
        <v>4544</v>
      </c>
      <c r="F2311" s="191">
        <f t="shared" si="37"/>
        <v>239.9</v>
      </c>
      <c r="G2311" s="185"/>
      <c r="H2311" s="181"/>
      <c r="I2311" s="74"/>
      <c r="J2311" s="74"/>
      <c r="M2311" s="185"/>
      <c r="N2311" s="185"/>
      <c r="O2311" s="185"/>
      <c r="P2311" s="185"/>
      <c r="Q2311" s="185"/>
      <c r="R2311" s="185"/>
    </row>
    <row r="2312" spans="1:18" s="197" customFormat="1" ht="12.75" x14ac:dyDescent="0.2">
      <c r="A2312" s="181"/>
      <c r="B2312" s="188" t="s">
        <v>4545</v>
      </c>
      <c r="C2312" s="189" t="s">
        <v>130</v>
      </c>
      <c r="D2312" s="189" t="s">
        <v>123</v>
      </c>
      <c r="E2312" s="190" t="s">
        <v>4546</v>
      </c>
      <c r="F2312" s="191">
        <f t="shared" si="37"/>
        <v>199.91666666666666</v>
      </c>
      <c r="G2312" s="185"/>
      <c r="H2312" s="181"/>
      <c r="I2312" s="74"/>
      <c r="J2312" s="74"/>
      <c r="M2312" s="185"/>
      <c r="N2312" s="185"/>
      <c r="O2312" s="185"/>
      <c r="P2312" s="185"/>
      <c r="Q2312" s="185"/>
      <c r="R2312" s="185"/>
    </row>
    <row r="2313" spans="1:18" s="197" customFormat="1" ht="12.75" x14ac:dyDescent="0.2">
      <c r="A2313" s="181"/>
      <c r="B2313" s="188" t="s">
        <v>185</v>
      </c>
      <c r="C2313" s="189" t="s">
        <v>125</v>
      </c>
      <c r="D2313" s="189" t="s">
        <v>155</v>
      </c>
      <c r="E2313" s="190" t="s">
        <v>4547</v>
      </c>
      <c r="F2313" s="191">
        <f t="shared" si="37"/>
        <v>314.01666666666665</v>
      </c>
      <c r="G2313" s="185"/>
      <c r="H2313" s="181"/>
      <c r="I2313" s="74"/>
      <c r="J2313" s="74"/>
      <c r="M2313" s="185"/>
      <c r="N2313" s="185"/>
      <c r="O2313" s="185"/>
      <c r="P2313" s="185"/>
      <c r="Q2313" s="185"/>
      <c r="R2313" s="185"/>
    </row>
    <row r="2314" spans="1:18" s="197" customFormat="1" ht="12.75" x14ac:dyDescent="0.2">
      <c r="A2314" s="181"/>
      <c r="B2314" s="188" t="s">
        <v>4548</v>
      </c>
      <c r="C2314" s="189" t="s">
        <v>135</v>
      </c>
      <c r="D2314" s="189" t="s">
        <v>132</v>
      </c>
      <c r="E2314" s="190" t="s">
        <v>4549</v>
      </c>
      <c r="F2314" s="191">
        <f t="shared" si="37"/>
        <v>220.36666666666667</v>
      </c>
      <c r="G2314" s="185"/>
      <c r="H2314" s="181"/>
      <c r="I2314" s="74"/>
      <c r="J2314" s="74"/>
      <c r="M2314" s="185"/>
      <c r="N2314" s="185"/>
      <c r="O2314" s="185"/>
      <c r="P2314" s="185"/>
      <c r="Q2314" s="185"/>
      <c r="R2314" s="185"/>
    </row>
    <row r="2315" spans="1:18" s="197" customFormat="1" ht="12.75" x14ac:dyDescent="0.2">
      <c r="A2315" s="181"/>
      <c r="B2315" s="188" t="s">
        <v>4550</v>
      </c>
      <c r="C2315" s="189" t="s">
        <v>126</v>
      </c>
      <c r="D2315" s="189" t="s">
        <v>339</v>
      </c>
      <c r="E2315" s="190" t="s">
        <v>1873</v>
      </c>
      <c r="F2315" s="191">
        <f t="shared" ref="F2315:F2378" si="38">HOUR(E2315)*60+MINUTE(E2315)+SECOND(E2315)/60</f>
        <v>239.33333333333334</v>
      </c>
      <c r="G2315" s="185"/>
      <c r="H2315" s="181"/>
      <c r="I2315" s="74"/>
      <c r="J2315" s="74"/>
      <c r="M2315" s="185"/>
      <c r="N2315" s="185"/>
      <c r="O2315" s="185"/>
      <c r="P2315" s="185"/>
      <c r="Q2315" s="185"/>
      <c r="R2315" s="185"/>
    </row>
    <row r="2316" spans="1:18" s="197" customFormat="1" ht="12.75" x14ac:dyDescent="0.2">
      <c r="A2316" s="181"/>
      <c r="B2316" s="188" t="s">
        <v>4551</v>
      </c>
      <c r="C2316" s="189" t="s">
        <v>130</v>
      </c>
      <c r="D2316" s="189" t="s">
        <v>123</v>
      </c>
      <c r="E2316" s="190" t="s">
        <v>4552</v>
      </c>
      <c r="F2316" s="191">
        <f t="shared" si="38"/>
        <v>211.23333333333332</v>
      </c>
      <c r="G2316" s="185"/>
      <c r="H2316" s="181"/>
      <c r="I2316" s="74"/>
      <c r="J2316" s="74"/>
      <c r="M2316" s="185"/>
      <c r="N2316" s="185"/>
      <c r="O2316" s="185"/>
      <c r="P2316" s="185"/>
      <c r="Q2316" s="185"/>
      <c r="R2316" s="185"/>
    </row>
    <row r="2317" spans="1:18" s="197" customFormat="1" ht="12.75" x14ac:dyDescent="0.2">
      <c r="A2317" s="181"/>
      <c r="B2317" s="188" t="s">
        <v>2042</v>
      </c>
      <c r="C2317" s="189" t="s">
        <v>125</v>
      </c>
      <c r="D2317" s="189" t="s">
        <v>123</v>
      </c>
      <c r="E2317" s="190" t="s">
        <v>2043</v>
      </c>
      <c r="F2317" s="191">
        <f t="shared" si="38"/>
        <v>231.5</v>
      </c>
      <c r="G2317" s="185"/>
      <c r="H2317" s="181"/>
      <c r="I2317" s="74"/>
      <c r="J2317" s="74"/>
      <c r="M2317" s="185"/>
      <c r="N2317" s="185"/>
      <c r="O2317" s="185"/>
      <c r="P2317" s="185"/>
      <c r="Q2317" s="185"/>
      <c r="R2317" s="185"/>
    </row>
    <row r="2318" spans="1:18" s="197" customFormat="1" ht="12.75" x14ac:dyDescent="0.2">
      <c r="A2318" s="181"/>
      <c r="B2318" s="188" t="s">
        <v>3397</v>
      </c>
      <c r="C2318" s="189" t="s">
        <v>125</v>
      </c>
      <c r="D2318" s="189" t="s">
        <v>127</v>
      </c>
      <c r="E2318" s="190" t="s">
        <v>3398</v>
      </c>
      <c r="F2318" s="191">
        <f t="shared" si="38"/>
        <v>243.5</v>
      </c>
      <c r="G2318" s="185"/>
      <c r="H2318" s="181"/>
      <c r="I2318" s="74"/>
      <c r="J2318" s="74"/>
      <c r="M2318" s="185"/>
      <c r="N2318" s="185"/>
      <c r="O2318" s="185"/>
      <c r="P2318" s="185"/>
      <c r="Q2318" s="185"/>
      <c r="R2318" s="185"/>
    </row>
    <row r="2319" spans="1:18" s="197" customFormat="1" ht="12.75" x14ac:dyDescent="0.2">
      <c r="A2319" s="181"/>
      <c r="B2319" s="188" t="s">
        <v>4553</v>
      </c>
      <c r="C2319" s="189" t="s">
        <v>130</v>
      </c>
      <c r="D2319" s="189" t="s">
        <v>123</v>
      </c>
      <c r="E2319" s="190" t="s">
        <v>2531</v>
      </c>
      <c r="F2319" s="191">
        <f t="shared" si="38"/>
        <v>271.86666666666667</v>
      </c>
      <c r="G2319" s="185"/>
      <c r="H2319" s="181"/>
      <c r="I2319" s="74"/>
      <c r="J2319" s="74"/>
      <c r="M2319" s="185"/>
      <c r="N2319" s="185"/>
      <c r="O2319" s="185"/>
      <c r="P2319" s="185"/>
      <c r="Q2319" s="185"/>
      <c r="R2319" s="185"/>
    </row>
    <row r="2320" spans="1:18" s="197" customFormat="1" ht="12.75" x14ac:dyDescent="0.2">
      <c r="A2320" s="181"/>
      <c r="B2320" s="188" t="s">
        <v>4554</v>
      </c>
      <c r="C2320" s="189" t="s">
        <v>130</v>
      </c>
      <c r="D2320" s="189" t="s">
        <v>123</v>
      </c>
      <c r="E2320" s="190" t="s">
        <v>4330</v>
      </c>
      <c r="F2320" s="191">
        <f t="shared" si="38"/>
        <v>225.31666666666666</v>
      </c>
      <c r="G2320" s="185"/>
      <c r="H2320" s="181"/>
      <c r="I2320" s="74"/>
      <c r="J2320" s="74"/>
      <c r="M2320" s="185"/>
      <c r="N2320" s="185"/>
      <c r="O2320" s="185"/>
      <c r="P2320" s="185"/>
      <c r="Q2320" s="185"/>
      <c r="R2320" s="185"/>
    </row>
    <row r="2321" spans="1:18" s="197" customFormat="1" ht="12.75" x14ac:dyDescent="0.2">
      <c r="A2321" s="181"/>
      <c r="B2321" s="188" t="s">
        <v>4555</v>
      </c>
      <c r="C2321" s="189" t="s">
        <v>125</v>
      </c>
      <c r="D2321" s="189" t="s">
        <v>123</v>
      </c>
      <c r="E2321" s="190" t="s">
        <v>4556</v>
      </c>
      <c r="F2321" s="191">
        <f t="shared" si="38"/>
        <v>230.26666666666668</v>
      </c>
      <c r="G2321" s="185"/>
      <c r="H2321" s="181"/>
      <c r="I2321" s="74"/>
      <c r="J2321" s="74"/>
      <c r="M2321" s="185"/>
      <c r="N2321" s="185"/>
      <c r="O2321" s="185"/>
      <c r="P2321" s="185"/>
      <c r="Q2321" s="185"/>
      <c r="R2321" s="185"/>
    </row>
    <row r="2322" spans="1:18" s="197" customFormat="1" ht="12.75" x14ac:dyDescent="0.2">
      <c r="A2322" s="181"/>
      <c r="B2322" s="188" t="s">
        <v>4557</v>
      </c>
      <c r="C2322" s="189" t="s">
        <v>130</v>
      </c>
      <c r="D2322" s="189" t="s">
        <v>148</v>
      </c>
      <c r="E2322" s="190" t="s">
        <v>3317</v>
      </c>
      <c r="F2322" s="191">
        <f t="shared" si="38"/>
        <v>237.9</v>
      </c>
      <c r="G2322" s="185"/>
      <c r="H2322" s="181"/>
      <c r="I2322" s="74"/>
      <c r="J2322" s="74"/>
      <c r="M2322" s="185"/>
      <c r="N2322" s="185"/>
      <c r="O2322" s="185"/>
      <c r="P2322" s="185"/>
      <c r="Q2322" s="185"/>
      <c r="R2322" s="185"/>
    </row>
    <row r="2323" spans="1:18" s="197" customFormat="1" ht="12.75" x14ac:dyDescent="0.2">
      <c r="A2323" s="181"/>
      <c r="B2323" s="188" t="s">
        <v>2920</v>
      </c>
      <c r="C2323" s="189" t="s">
        <v>134</v>
      </c>
      <c r="D2323" s="189" t="s">
        <v>148</v>
      </c>
      <c r="E2323" s="190" t="s">
        <v>2921</v>
      </c>
      <c r="F2323" s="191">
        <f t="shared" si="38"/>
        <v>232.03333333333333</v>
      </c>
      <c r="G2323" s="185"/>
      <c r="H2323" s="181"/>
      <c r="I2323" s="74"/>
      <c r="J2323" s="74"/>
      <c r="M2323" s="185"/>
      <c r="N2323" s="185"/>
      <c r="O2323" s="185"/>
      <c r="P2323" s="185"/>
      <c r="Q2323" s="185"/>
      <c r="R2323" s="185"/>
    </row>
    <row r="2324" spans="1:18" s="197" customFormat="1" ht="12.75" x14ac:dyDescent="0.2">
      <c r="A2324" s="181"/>
      <c r="B2324" s="188" t="s">
        <v>4558</v>
      </c>
      <c r="C2324" s="189" t="s">
        <v>128</v>
      </c>
      <c r="D2324" s="189" t="s">
        <v>139</v>
      </c>
      <c r="E2324" s="190" t="s">
        <v>4559</v>
      </c>
      <c r="F2324" s="191">
        <f t="shared" si="38"/>
        <v>225</v>
      </c>
      <c r="G2324" s="185"/>
      <c r="H2324" s="181"/>
      <c r="I2324" s="74"/>
      <c r="J2324" s="74"/>
      <c r="M2324" s="185"/>
      <c r="N2324" s="185"/>
      <c r="O2324" s="185"/>
      <c r="P2324" s="185"/>
      <c r="Q2324" s="185"/>
      <c r="R2324" s="185"/>
    </row>
    <row r="2325" spans="1:18" s="197" customFormat="1" ht="12.75" x14ac:dyDescent="0.2">
      <c r="A2325" s="181"/>
      <c r="B2325" s="188" t="s">
        <v>380</v>
      </c>
      <c r="C2325" s="189" t="s">
        <v>130</v>
      </c>
      <c r="D2325" s="189" t="s">
        <v>148</v>
      </c>
      <c r="E2325" s="190" t="s">
        <v>4532</v>
      </c>
      <c r="F2325" s="191">
        <f t="shared" si="38"/>
        <v>189.68333333333334</v>
      </c>
      <c r="G2325" s="185"/>
      <c r="H2325" s="181"/>
      <c r="I2325" s="74"/>
      <c r="J2325" s="74"/>
      <c r="M2325" s="185"/>
      <c r="N2325" s="185"/>
      <c r="O2325" s="185"/>
      <c r="P2325" s="185"/>
      <c r="Q2325" s="185"/>
      <c r="R2325" s="185"/>
    </row>
    <row r="2326" spans="1:18" s="197" customFormat="1" ht="12.75" x14ac:dyDescent="0.2">
      <c r="A2326" s="181"/>
      <c r="B2326" s="188" t="s">
        <v>4560</v>
      </c>
      <c r="C2326" s="189" t="s">
        <v>249</v>
      </c>
      <c r="D2326" s="189" t="s">
        <v>123</v>
      </c>
      <c r="E2326" s="190" t="s">
        <v>4561</v>
      </c>
      <c r="F2326" s="191">
        <f t="shared" si="38"/>
        <v>296.53333333333336</v>
      </c>
      <c r="G2326" s="185"/>
      <c r="H2326" s="181"/>
      <c r="I2326" s="74"/>
      <c r="J2326" s="74"/>
      <c r="M2326" s="185"/>
      <c r="N2326" s="185"/>
      <c r="O2326" s="185"/>
      <c r="P2326" s="185"/>
      <c r="Q2326" s="185"/>
      <c r="R2326" s="185"/>
    </row>
    <row r="2327" spans="1:18" s="197" customFormat="1" ht="12.75" x14ac:dyDescent="0.2">
      <c r="A2327" s="181"/>
      <c r="B2327" s="188" t="s">
        <v>4562</v>
      </c>
      <c r="C2327" s="189" t="s">
        <v>130</v>
      </c>
      <c r="D2327" s="189" t="s">
        <v>123</v>
      </c>
      <c r="E2327" s="190" t="s">
        <v>4563</v>
      </c>
      <c r="F2327" s="191">
        <f t="shared" si="38"/>
        <v>272.41666666666669</v>
      </c>
      <c r="G2327" s="185"/>
      <c r="H2327" s="181"/>
      <c r="I2327" s="74"/>
      <c r="J2327" s="74"/>
      <c r="M2327" s="185"/>
      <c r="N2327" s="185"/>
      <c r="O2327" s="185"/>
      <c r="P2327" s="185"/>
      <c r="Q2327" s="185"/>
      <c r="R2327" s="185"/>
    </row>
    <row r="2328" spans="1:18" s="197" customFormat="1" ht="12.75" x14ac:dyDescent="0.2">
      <c r="A2328" s="181"/>
      <c r="B2328" s="188" t="s">
        <v>4564</v>
      </c>
      <c r="C2328" s="189" t="s">
        <v>134</v>
      </c>
      <c r="D2328" s="189" t="s">
        <v>157</v>
      </c>
      <c r="E2328" s="190" t="s">
        <v>4565</v>
      </c>
      <c r="F2328" s="191">
        <f t="shared" si="38"/>
        <v>290.23333333333335</v>
      </c>
      <c r="G2328" s="185"/>
      <c r="H2328" s="181"/>
      <c r="I2328" s="74"/>
      <c r="J2328" s="74"/>
      <c r="M2328" s="185"/>
      <c r="N2328" s="185"/>
      <c r="O2328" s="185"/>
      <c r="P2328" s="185"/>
      <c r="Q2328" s="185"/>
      <c r="R2328" s="185"/>
    </row>
    <row r="2329" spans="1:18" s="197" customFormat="1" ht="12.75" x14ac:dyDescent="0.2">
      <c r="A2329" s="181"/>
      <c r="B2329" s="188" t="s">
        <v>227</v>
      </c>
      <c r="C2329" s="189" t="s">
        <v>130</v>
      </c>
      <c r="D2329" s="189" t="s">
        <v>132</v>
      </c>
      <c r="E2329" s="190" t="s">
        <v>4566</v>
      </c>
      <c r="F2329" s="191">
        <f t="shared" si="38"/>
        <v>179.95</v>
      </c>
      <c r="G2329" s="185"/>
      <c r="H2329" s="181"/>
      <c r="I2329" s="74"/>
      <c r="J2329" s="74"/>
      <c r="M2329" s="185"/>
      <c r="N2329" s="185"/>
      <c r="O2329" s="185"/>
      <c r="P2329" s="185"/>
      <c r="Q2329" s="185"/>
      <c r="R2329" s="185"/>
    </row>
    <row r="2330" spans="1:18" s="197" customFormat="1" ht="12.75" x14ac:dyDescent="0.2">
      <c r="A2330" s="181"/>
      <c r="B2330" s="188" t="s">
        <v>4567</v>
      </c>
      <c r="C2330" s="189" t="s">
        <v>128</v>
      </c>
      <c r="D2330" s="189" t="s">
        <v>123</v>
      </c>
      <c r="E2330" s="190" t="s">
        <v>2900</v>
      </c>
      <c r="F2330" s="191">
        <f t="shared" si="38"/>
        <v>242.1</v>
      </c>
      <c r="G2330" s="185"/>
      <c r="H2330" s="181"/>
      <c r="I2330" s="74"/>
      <c r="J2330" s="74"/>
      <c r="M2330" s="185"/>
      <c r="N2330" s="185"/>
      <c r="O2330" s="185"/>
      <c r="P2330" s="185"/>
      <c r="Q2330" s="185"/>
      <c r="R2330" s="185"/>
    </row>
    <row r="2331" spans="1:18" s="197" customFormat="1" ht="12.75" x14ac:dyDescent="0.2">
      <c r="A2331" s="181"/>
      <c r="B2331" s="188" t="s">
        <v>4568</v>
      </c>
      <c r="C2331" s="189" t="s">
        <v>135</v>
      </c>
      <c r="D2331" s="189" t="s">
        <v>123</v>
      </c>
      <c r="E2331" s="190" t="s">
        <v>4569</v>
      </c>
      <c r="F2331" s="191">
        <f t="shared" si="38"/>
        <v>319.85000000000002</v>
      </c>
      <c r="G2331" s="185"/>
      <c r="H2331" s="181"/>
      <c r="I2331" s="74"/>
      <c r="J2331" s="74"/>
      <c r="M2331" s="185"/>
      <c r="N2331" s="185"/>
      <c r="O2331" s="185"/>
      <c r="P2331" s="185"/>
      <c r="Q2331" s="185"/>
      <c r="R2331" s="185"/>
    </row>
    <row r="2332" spans="1:18" s="197" customFormat="1" ht="12.75" x14ac:dyDescent="0.2">
      <c r="A2332" s="181"/>
      <c r="B2332" s="188" t="s">
        <v>4570</v>
      </c>
      <c r="C2332" s="189" t="s">
        <v>134</v>
      </c>
      <c r="D2332" s="189" t="s">
        <v>123</v>
      </c>
      <c r="E2332" s="190" t="s">
        <v>3852</v>
      </c>
      <c r="F2332" s="191">
        <f t="shared" si="38"/>
        <v>199.2</v>
      </c>
      <c r="G2332" s="185"/>
      <c r="H2332" s="181"/>
      <c r="I2332" s="74"/>
      <c r="J2332" s="74"/>
      <c r="M2332" s="185"/>
      <c r="N2332" s="185"/>
      <c r="O2332" s="185"/>
      <c r="P2332" s="185"/>
      <c r="Q2332" s="185"/>
      <c r="R2332" s="185"/>
    </row>
    <row r="2333" spans="1:18" s="197" customFormat="1" ht="12.75" x14ac:dyDescent="0.2">
      <c r="A2333" s="181"/>
      <c r="B2333" s="188" t="s">
        <v>4571</v>
      </c>
      <c r="C2333" s="189" t="s">
        <v>124</v>
      </c>
      <c r="D2333" s="189" t="s">
        <v>123</v>
      </c>
      <c r="E2333" s="190" t="s">
        <v>4572</v>
      </c>
      <c r="F2333" s="191">
        <f t="shared" si="38"/>
        <v>200.45</v>
      </c>
      <c r="G2333" s="185"/>
      <c r="H2333" s="181"/>
      <c r="I2333" s="74"/>
      <c r="J2333" s="74"/>
      <c r="M2333" s="185"/>
      <c r="N2333" s="185"/>
      <c r="O2333" s="185"/>
      <c r="P2333" s="185"/>
      <c r="Q2333" s="185"/>
      <c r="R2333" s="185"/>
    </row>
    <row r="2334" spans="1:18" s="197" customFormat="1" ht="12.75" x14ac:dyDescent="0.2">
      <c r="A2334" s="181"/>
      <c r="B2334" s="188" t="s">
        <v>4573</v>
      </c>
      <c r="C2334" s="189" t="s">
        <v>125</v>
      </c>
      <c r="D2334" s="189" t="s">
        <v>174</v>
      </c>
      <c r="E2334" s="190" t="s">
        <v>1828</v>
      </c>
      <c r="F2334" s="191">
        <f t="shared" si="38"/>
        <v>225.3</v>
      </c>
      <c r="G2334" s="185"/>
      <c r="H2334" s="181"/>
      <c r="I2334" s="74"/>
      <c r="J2334" s="74"/>
      <c r="M2334" s="185"/>
      <c r="N2334" s="185"/>
      <c r="O2334" s="185"/>
      <c r="P2334" s="185"/>
      <c r="Q2334" s="185"/>
      <c r="R2334" s="185"/>
    </row>
    <row r="2335" spans="1:18" s="197" customFormat="1" ht="12.75" x14ac:dyDescent="0.2">
      <c r="A2335" s="181"/>
      <c r="B2335" s="188" t="s">
        <v>4574</v>
      </c>
      <c r="C2335" s="189" t="s">
        <v>142</v>
      </c>
      <c r="D2335" s="189" t="s">
        <v>127</v>
      </c>
      <c r="E2335" s="190" t="s">
        <v>3352</v>
      </c>
      <c r="F2335" s="191">
        <f t="shared" si="38"/>
        <v>237.08333333333334</v>
      </c>
      <c r="G2335" s="185"/>
      <c r="H2335" s="181"/>
      <c r="I2335" s="74"/>
      <c r="J2335" s="74"/>
      <c r="M2335" s="185"/>
      <c r="N2335" s="185"/>
      <c r="O2335" s="185"/>
      <c r="P2335" s="185"/>
      <c r="Q2335" s="185"/>
      <c r="R2335" s="185"/>
    </row>
    <row r="2336" spans="1:18" s="197" customFormat="1" ht="12.75" x14ac:dyDescent="0.2">
      <c r="A2336" s="181"/>
      <c r="B2336" s="188" t="s">
        <v>4575</v>
      </c>
      <c r="C2336" s="189" t="s">
        <v>125</v>
      </c>
      <c r="D2336" s="189" t="s">
        <v>123</v>
      </c>
      <c r="E2336" s="190" t="s">
        <v>4576</v>
      </c>
      <c r="F2336" s="191">
        <f t="shared" si="38"/>
        <v>277.95</v>
      </c>
      <c r="G2336" s="185"/>
      <c r="H2336" s="181"/>
      <c r="I2336" s="74"/>
      <c r="J2336" s="74"/>
      <c r="M2336" s="185"/>
      <c r="N2336" s="185"/>
      <c r="O2336" s="185"/>
      <c r="P2336" s="185"/>
      <c r="Q2336" s="185"/>
      <c r="R2336" s="185"/>
    </row>
    <row r="2337" spans="1:18" s="197" customFormat="1" ht="12.75" x14ac:dyDescent="0.2">
      <c r="A2337" s="181"/>
      <c r="B2337" s="188" t="s">
        <v>4577</v>
      </c>
      <c r="C2337" s="189" t="s">
        <v>130</v>
      </c>
      <c r="D2337" s="189" t="s">
        <v>123</v>
      </c>
      <c r="E2337" s="190" t="s">
        <v>828</v>
      </c>
      <c r="F2337" s="191">
        <f t="shared" si="38"/>
        <v>219.76666666666668</v>
      </c>
      <c r="G2337" s="185"/>
      <c r="H2337" s="181"/>
      <c r="I2337" s="74"/>
      <c r="J2337" s="74"/>
      <c r="M2337" s="185"/>
      <c r="N2337" s="185"/>
      <c r="O2337" s="185"/>
      <c r="P2337" s="185"/>
      <c r="Q2337" s="185"/>
      <c r="R2337" s="185"/>
    </row>
    <row r="2338" spans="1:18" s="197" customFormat="1" ht="12.75" x14ac:dyDescent="0.2">
      <c r="A2338" s="181"/>
      <c r="B2338" s="188" t="s">
        <v>4578</v>
      </c>
      <c r="C2338" s="189" t="s">
        <v>142</v>
      </c>
      <c r="D2338" s="189" t="s">
        <v>123</v>
      </c>
      <c r="E2338" s="190" t="s">
        <v>4517</v>
      </c>
      <c r="F2338" s="191">
        <f t="shared" si="38"/>
        <v>198.45</v>
      </c>
      <c r="G2338" s="185"/>
      <c r="H2338" s="181"/>
      <c r="I2338" s="74"/>
      <c r="J2338" s="74"/>
      <c r="M2338" s="185"/>
      <c r="N2338" s="185"/>
      <c r="O2338" s="185"/>
      <c r="P2338" s="185"/>
      <c r="Q2338" s="185"/>
      <c r="R2338" s="185"/>
    </row>
    <row r="2339" spans="1:18" s="197" customFormat="1" ht="12.75" x14ac:dyDescent="0.2">
      <c r="A2339" s="181"/>
      <c r="B2339" s="188" t="s">
        <v>4579</v>
      </c>
      <c r="C2339" s="189" t="s">
        <v>130</v>
      </c>
      <c r="D2339" s="189" t="s">
        <v>123</v>
      </c>
      <c r="E2339" s="190" t="s">
        <v>4580</v>
      </c>
      <c r="F2339" s="191">
        <f t="shared" si="38"/>
        <v>283.23333333333335</v>
      </c>
      <c r="G2339" s="185"/>
      <c r="H2339" s="181"/>
      <c r="I2339" s="74"/>
      <c r="J2339" s="74"/>
      <c r="M2339" s="185"/>
      <c r="N2339" s="185"/>
      <c r="O2339" s="185"/>
      <c r="P2339" s="185"/>
      <c r="Q2339" s="185"/>
      <c r="R2339" s="185"/>
    </row>
    <row r="2340" spans="1:18" s="197" customFormat="1" ht="12.75" x14ac:dyDescent="0.2">
      <c r="A2340" s="181"/>
      <c r="B2340" s="188" t="s">
        <v>4581</v>
      </c>
      <c r="C2340" s="189" t="s">
        <v>128</v>
      </c>
      <c r="D2340" s="189" t="s">
        <v>123</v>
      </c>
      <c r="E2340" s="190" t="s">
        <v>1848</v>
      </c>
      <c r="F2340" s="191">
        <f t="shared" si="38"/>
        <v>229</v>
      </c>
      <c r="G2340" s="185"/>
      <c r="H2340" s="181"/>
      <c r="I2340" s="74"/>
      <c r="J2340" s="74"/>
      <c r="M2340" s="185"/>
      <c r="N2340" s="185"/>
      <c r="O2340" s="185"/>
      <c r="P2340" s="185"/>
      <c r="Q2340" s="185"/>
      <c r="R2340" s="185"/>
    </row>
    <row r="2341" spans="1:18" s="197" customFormat="1" ht="12.75" x14ac:dyDescent="0.2">
      <c r="A2341" s="181"/>
      <c r="B2341" s="188" t="s">
        <v>279</v>
      </c>
      <c r="C2341" s="189" t="s">
        <v>135</v>
      </c>
      <c r="D2341" s="189" t="s">
        <v>160</v>
      </c>
      <c r="E2341" s="190" t="s">
        <v>4582</v>
      </c>
      <c r="F2341" s="191">
        <f t="shared" si="38"/>
        <v>295.83333333333331</v>
      </c>
      <c r="G2341" s="185"/>
      <c r="H2341" s="181"/>
      <c r="I2341" s="74"/>
      <c r="J2341" s="74"/>
      <c r="M2341" s="185"/>
      <c r="N2341" s="185"/>
      <c r="O2341" s="185"/>
      <c r="P2341" s="185"/>
      <c r="Q2341" s="185"/>
      <c r="R2341" s="185"/>
    </row>
    <row r="2342" spans="1:18" s="197" customFormat="1" ht="12.75" x14ac:dyDescent="0.2">
      <c r="A2342" s="181"/>
      <c r="B2342" s="188" t="s">
        <v>4583</v>
      </c>
      <c r="C2342" s="189" t="s">
        <v>134</v>
      </c>
      <c r="D2342" s="189" t="s">
        <v>123</v>
      </c>
      <c r="E2342" s="190" t="s">
        <v>4584</v>
      </c>
      <c r="F2342" s="191">
        <f t="shared" si="38"/>
        <v>297.95</v>
      </c>
      <c r="G2342" s="185"/>
      <c r="H2342" s="181"/>
      <c r="I2342" s="74"/>
      <c r="J2342" s="74"/>
      <c r="M2342" s="185"/>
      <c r="N2342" s="185"/>
      <c r="O2342" s="185"/>
      <c r="P2342" s="185"/>
      <c r="Q2342" s="185"/>
      <c r="R2342" s="185"/>
    </row>
    <row r="2343" spans="1:18" s="197" customFormat="1" ht="12.75" x14ac:dyDescent="0.2">
      <c r="A2343" s="181"/>
      <c r="B2343" s="188" t="s">
        <v>4585</v>
      </c>
      <c r="C2343" s="189" t="s">
        <v>126</v>
      </c>
      <c r="D2343" s="189" t="s">
        <v>160</v>
      </c>
      <c r="E2343" s="190" t="s">
        <v>4586</v>
      </c>
      <c r="F2343" s="191">
        <f t="shared" si="38"/>
        <v>218.58333333333334</v>
      </c>
      <c r="G2343" s="185"/>
      <c r="H2343" s="181"/>
      <c r="I2343" s="74"/>
      <c r="J2343" s="74"/>
      <c r="M2343" s="185"/>
      <c r="N2343" s="185"/>
      <c r="O2343" s="185"/>
      <c r="P2343" s="185"/>
      <c r="Q2343" s="185"/>
      <c r="R2343" s="185"/>
    </row>
    <row r="2344" spans="1:18" s="197" customFormat="1" ht="12.75" x14ac:dyDescent="0.2">
      <c r="A2344" s="181"/>
      <c r="B2344" s="188" t="s">
        <v>4587</v>
      </c>
      <c r="C2344" s="189" t="s">
        <v>126</v>
      </c>
      <c r="D2344" s="189" t="s">
        <v>123</v>
      </c>
      <c r="E2344" s="190" t="s">
        <v>800</v>
      </c>
      <c r="F2344" s="191">
        <f t="shared" si="38"/>
        <v>260.45</v>
      </c>
      <c r="G2344" s="185"/>
      <c r="H2344" s="181"/>
      <c r="I2344" s="74"/>
      <c r="J2344" s="74"/>
      <c r="M2344" s="185"/>
      <c r="N2344" s="185"/>
      <c r="O2344" s="185"/>
      <c r="P2344" s="185"/>
      <c r="Q2344" s="185"/>
      <c r="R2344" s="185"/>
    </row>
    <row r="2345" spans="1:18" s="197" customFormat="1" ht="12.75" x14ac:dyDescent="0.2">
      <c r="A2345" s="181"/>
      <c r="B2345" s="188" t="s">
        <v>4588</v>
      </c>
      <c r="C2345" s="189" t="s">
        <v>128</v>
      </c>
      <c r="D2345" s="189" t="s">
        <v>155</v>
      </c>
      <c r="E2345" s="190" t="s">
        <v>4589</v>
      </c>
      <c r="F2345" s="191">
        <f t="shared" si="38"/>
        <v>309.76666666666665</v>
      </c>
      <c r="G2345" s="185"/>
      <c r="H2345" s="181"/>
      <c r="I2345" s="74"/>
      <c r="J2345" s="74"/>
      <c r="M2345" s="185"/>
      <c r="N2345" s="185"/>
      <c r="O2345" s="185"/>
      <c r="P2345" s="185"/>
      <c r="Q2345" s="185"/>
      <c r="R2345" s="185"/>
    </row>
    <row r="2346" spans="1:18" s="197" customFormat="1" ht="12.75" x14ac:dyDescent="0.2">
      <c r="A2346" s="181"/>
      <c r="B2346" s="188" t="s">
        <v>4590</v>
      </c>
      <c r="C2346" s="189" t="s">
        <v>126</v>
      </c>
      <c r="D2346" s="189" t="s">
        <v>123</v>
      </c>
      <c r="E2346" s="190" t="s">
        <v>4591</v>
      </c>
      <c r="F2346" s="191">
        <f t="shared" si="38"/>
        <v>281.05</v>
      </c>
      <c r="G2346" s="185"/>
      <c r="H2346" s="181"/>
      <c r="I2346" s="74"/>
      <c r="J2346" s="74"/>
      <c r="M2346" s="185"/>
      <c r="N2346" s="185"/>
      <c r="O2346" s="185"/>
      <c r="P2346" s="185"/>
      <c r="Q2346" s="185"/>
      <c r="R2346" s="185"/>
    </row>
    <row r="2347" spans="1:18" s="197" customFormat="1" ht="12.75" x14ac:dyDescent="0.2">
      <c r="A2347" s="181"/>
      <c r="B2347" s="188" t="s">
        <v>4592</v>
      </c>
      <c r="C2347" s="189" t="s">
        <v>135</v>
      </c>
      <c r="D2347" s="189" t="s">
        <v>131</v>
      </c>
      <c r="E2347" s="190" t="s">
        <v>4593</v>
      </c>
      <c r="F2347" s="191">
        <f t="shared" si="38"/>
        <v>215.13333333333333</v>
      </c>
      <c r="G2347" s="185"/>
      <c r="H2347" s="181"/>
      <c r="I2347" s="74"/>
      <c r="J2347" s="74"/>
      <c r="M2347" s="185"/>
      <c r="N2347" s="185"/>
      <c r="O2347" s="185"/>
      <c r="P2347" s="185"/>
      <c r="Q2347" s="185"/>
      <c r="R2347" s="185"/>
    </row>
    <row r="2348" spans="1:18" s="197" customFormat="1" ht="12.75" x14ac:dyDescent="0.2">
      <c r="A2348" s="181"/>
      <c r="B2348" s="188" t="s">
        <v>4594</v>
      </c>
      <c r="C2348" s="189" t="s">
        <v>142</v>
      </c>
      <c r="D2348" s="189" t="s">
        <v>169</v>
      </c>
      <c r="E2348" s="190" t="s">
        <v>4595</v>
      </c>
      <c r="F2348" s="191">
        <f t="shared" si="38"/>
        <v>219.6</v>
      </c>
      <c r="G2348" s="185"/>
      <c r="H2348" s="181"/>
      <c r="I2348" s="74"/>
      <c r="J2348" s="74"/>
      <c r="M2348" s="185"/>
      <c r="N2348" s="185"/>
      <c r="O2348" s="185"/>
      <c r="P2348" s="185"/>
      <c r="Q2348" s="185"/>
      <c r="R2348" s="185"/>
    </row>
    <row r="2349" spans="1:18" s="197" customFormat="1" ht="12.75" x14ac:dyDescent="0.2">
      <c r="A2349" s="181"/>
      <c r="B2349" s="188" t="s">
        <v>4596</v>
      </c>
      <c r="C2349" s="189" t="s">
        <v>124</v>
      </c>
      <c r="D2349" s="189" t="s">
        <v>123</v>
      </c>
      <c r="E2349" s="190" t="s">
        <v>4597</v>
      </c>
      <c r="F2349" s="191">
        <f t="shared" si="38"/>
        <v>199.45</v>
      </c>
      <c r="G2349" s="185"/>
      <c r="H2349" s="181"/>
      <c r="I2349" s="74"/>
      <c r="J2349" s="74"/>
      <c r="M2349" s="185"/>
      <c r="N2349" s="185"/>
      <c r="O2349" s="185"/>
      <c r="P2349" s="185"/>
      <c r="Q2349" s="185"/>
      <c r="R2349" s="185"/>
    </row>
    <row r="2350" spans="1:18" s="197" customFormat="1" ht="12.75" x14ac:dyDescent="0.2">
      <c r="A2350" s="181"/>
      <c r="B2350" s="188" t="s">
        <v>4598</v>
      </c>
      <c r="C2350" s="189" t="s">
        <v>124</v>
      </c>
      <c r="D2350" s="189" t="s">
        <v>314</v>
      </c>
      <c r="E2350" s="190" t="s">
        <v>4599</v>
      </c>
      <c r="F2350" s="191">
        <f t="shared" si="38"/>
        <v>223.35</v>
      </c>
      <c r="G2350" s="185"/>
      <c r="H2350" s="181"/>
      <c r="I2350" s="74"/>
      <c r="J2350" s="74"/>
      <c r="M2350" s="185"/>
      <c r="N2350" s="185"/>
      <c r="O2350" s="185"/>
      <c r="P2350" s="185"/>
      <c r="Q2350" s="185"/>
      <c r="R2350" s="185"/>
    </row>
    <row r="2351" spans="1:18" s="197" customFormat="1" ht="12.75" x14ac:dyDescent="0.2">
      <c r="A2351" s="181"/>
      <c r="B2351" s="188" t="s">
        <v>4600</v>
      </c>
      <c r="C2351" s="189" t="s">
        <v>142</v>
      </c>
      <c r="D2351" s="189" t="s">
        <v>123</v>
      </c>
      <c r="E2351" s="190" t="s">
        <v>4601</v>
      </c>
      <c r="F2351" s="191">
        <f t="shared" si="38"/>
        <v>269.05</v>
      </c>
      <c r="G2351" s="185"/>
      <c r="H2351" s="181"/>
      <c r="I2351" s="74"/>
      <c r="J2351" s="74"/>
      <c r="M2351" s="185"/>
      <c r="N2351" s="185"/>
      <c r="O2351" s="185"/>
      <c r="P2351" s="185"/>
      <c r="Q2351" s="185"/>
      <c r="R2351" s="185"/>
    </row>
    <row r="2352" spans="1:18" s="197" customFormat="1" ht="12.75" x14ac:dyDescent="0.2">
      <c r="A2352" s="181"/>
      <c r="B2352" s="188" t="s">
        <v>4602</v>
      </c>
      <c r="C2352" s="189" t="s">
        <v>130</v>
      </c>
      <c r="D2352" s="189" t="s">
        <v>131</v>
      </c>
      <c r="E2352" s="190" t="s">
        <v>4603</v>
      </c>
      <c r="F2352" s="191">
        <f t="shared" si="38"/>
        <v>247.51666666666668</v>
      </c>
      <c r="G2352" s="185"/>
      <c r="H2352" s="181"/>
      <c r="I2352" s="74"/>
      <c r="J2352" s="74"/>
      <c r="M2352" s="185"/>
      <c r="N2352" s="185"/>
      <c r="O2352" s="185"/>
      <c r="P2352" s="185"/>
      <c r="Q2352" s="185"/>
      <c r="R2352" s="185"/>
    </row>
    <row r="2353" spans="1:18" s="197" customFormat="1" ht="12.75" x14ac:dyDescent="0.2">
      <c r="A2353" s="181"/>
      <c r="B2353" s="188" t="s">
        <v>4604</v>
      </c>
      <c r="C2353" s="189" t="s">
        <v>142</v>
      </c>
      <c r="D2353" s="189" t="s">
        <v>123</v>
      </c>
      <c r="E2353" s="190" t="s">
        <v>4605</v>
      </c>
      <c r="F2353" s="191">
        <f t="shared" si="38"/>
        <v>302.31666666666666</v>
      </c>
      <c r="G2353" s="185"/>
      <c r="H2353" s="181"/>
      <c r="I2353" s="74"/>
      <c r="J2353" s="74"/>
      <c r="M2353" s="185"/>
      <c r="N2353" s="185"/>
      <c r="O2353" s="185"/>
      <c r="P2353" s="185"/>
      <c r="Q2353" s="185"/>
      <c r="R2353" s="185"/>
    </row>
    <row r="2354" spans="1:18" s="197" customFormat="1" ht="12.75" x14ac:dyDescent="0.2">
      <c r="A2354" s="181"/>
      <c r="B2354" s="188" t="s">
        <v>4606</v>
      </c>
      <c r="C2354" s="189" t="s">
        <v>134</v>
      </c>
      <c r="D2354" s="189" t="s">
        <v>123</v>
      </c>
      <c r="E2354" s="190" t="s">
        <v>4607</v>
      </c>
      <c r="F2354" s="191">
        <f t="shared" si="38"/>
        <v>328.43333333333334</v>
      </c>
      <c r="G2354" s="185"/>
      <c r="H2354" s="181"/>
      <c r="I2354" s="74"/>
      <c r="J2354" s="74"/>
      <c r="M2354" s="185"/>
      <c r="N2354" s="185"/>
      <c r="O2354" s="185"/>
      <c r="P2354" s="185"/>
      <c r="Q2354" s="185"/>
      <c r="R2354" s="185"/>
    </row>
    <row r="2355" spans="1:18" s="197" customFormat="1" ht="12.75" x14ac:dyDescent="0.2">
      <c r="A2355" s="181"/>
      <c r="B2355" s="188" t="s">
        <v>4608</v>
      </c>
      <c r="C2355" s="189" t="s">
        <v>124</v>
      </c>
      <c r="D2355" s="189" t="s">
        <v>123</v>
      </c>
      <c r="E2355" s="190" t="s">
        <v>4609</v>
      </c>
      <c r="F2355" s="191">
        <f t="shared" si="38"/>
        <v>270.01666666666665</v>
      </c>
      <c r="G2355" s="185"/>
      <c r="H2355" s="181"/>
      <c r="I2355" s="74"/>
      <c r="J2355" s="74"/>
      <c r="M2355" s="185"/>
      <c r="N2355" s="185"/>
      <c r="O2355" s="185"/>
      <c r="P2355" s="185"/>
      <c r="Q2355" s="185"/>
      <c r="R2355" s="185"/>
    </row>
    <row r="2356" spans="1:18" s="197" customFormat="1" ht="12.75" x14ac:dyDescent="0.2">
      <c r="A2356" s="181"/>
      <c r="B2356" s="188" t="s">
        <v>4610</v>
      </c>
      <c r="C2356" s="189" t="s">
        <v>135</v>
      </c>
      <c r="D2356" s="189" t="s">
        <v>139</v>
      </c>
      <c r="E2356" s="190" t="s">
        <v>3097</v>
      </c>
      <c r="F2356" s="191">
        <f t="shared" si="38"/>
        <v>237.56666666666666</v>
      </c>
      <c r="G2356" s="185"/>
      <c r="H2356" s="181"/>
      <c r="I2356" s="74"/>
      <c r="J2356" s="74"/>
      <c r="M2356" s="185"/>
      <c r="N2356" s="185"/>
      <c r="O2356" s="185"/>
      <c r="P2356" s="185"/>
      <c r="Q2356" s="185"/>
      <c r="R2356" s="185"/>
    </row>
    <row r="2357" spans="1:18" s="197" customFormat="1" ht="12.75" x14ac:dyDescent="0.2">
      <c r="A2357" s="181"/>
      <c r="B2357" s="188" t="s">
        <v>4611</v>
      </c>
      <c r="C2357" s="189" t="s">
        <v>126</v>
      </c>
      <c r="D2357" s="189" t="s">
        <v>123</v>
      </c>
      <c r="E2357" s="190" t="s">
        <v>4612</v>
      </c>
      <c r="F2357" s="191">
        <f t="shared" si="38"/>
        <v>187.98333333333332</v>
      </c>
      <c r="G2357" s="185"/>
      <c r="H2357" s="181"/>
      <c r="I2357" s="74"/>
      <c r="J2357" s="74"/>
      <c r="M2357" s="185"/>
      <c r="N2357" s="185"/>
      <c r="O2357" s="185"/>
      <c r="P2357" s="185"/>
      <c r="Q2357" s="185"/>
      <c r="R2357" s="185"/>
    </row>
    <row r="2358" spans="1:18" s="197" customFormat="1" ht="12.75" x14ac:dyDescent="0.2">
      <c r="A2358" s="181"/>
      <c r="B2358" s="188" t="s">
        <v>4613</v>
      </c>
      <c r="C2358" s="189" t="s">
        <v>130</v>
      </c>
      <c r="D2358" s="189" t="s">
        <v>123</v>
      </c>
      <c r="E2358" s="190" t="s">
        <v>4614</v>
      </c>
      <c r="F2358" s="191">
        <f t="shared" si="38"/>
        <v>148.51666666666668</v>
      </c>
      <c r="G2358" s="185"/>
      <c r="H2358" s="181"/>
      <c r="I2358" s="74"/>
      <c r="J2358" s="74"/>
      <c r="M2358" s="185"/>
      <c r="N2358" s="185"/>
      <c r="O2358" s="185"/>
      <c r="P2358" s="185"/>
      <c r="Q2358" s="185"/>
      <c r="R2358" s="185"/>
    </row>
    <row r="2359" spans="1:18" s="197" customFormat="1" ht="12.75" x14ac:dyDescent="0.2">
      <c r="A2359" s="181"/>
      <c r="B2359" s="188" t="s">
        <v>566</v>
      </c>
      <c r="C2359" s="189" t="s">
        <v>136</v>
      </c>
      <c r="D2359" s="189" t="s">
        <v>123</v>
      </c>
      <c r="E2359" s="190" t="s">
        <v>4615</v>
      </c>
      <c r="F2359" s="191">
        <f t="shared" si="38"/>
        <v>286.61666666666667</v>
      </c>
      <c r="G2359" s="185"/>
      <c r="H2359" s="181"/>
      <c r="I2359" s="74"/>
      <c r="J2359" s="74"/>
      <c r="M2359" s="185"/>
      <c r="N2359" s="185"/>
      <c r="O2359" s="185"/>
      <c r="P2359" s="185"/>
      <c r="Q2359" s="185"/>
      <c r="R2359" s="185"/>
    </row>
    <row r="2360" spans="1:18" s="197" customFormat="1" ht="12.75" x14ac:dyDescent="0.2">
      <c r="A2360" s="181"/>
      <c r="B2360" s="188" t="s">
        <v>4616</v>
      </c>
      <c r="C2360" s="189" t="s">
        <v>126</v>
      </c>
      <c r="D2360" s="189" t="s">
        <v>123</v>
      </c>
      <c r="E2360" s="190" t="s">
        <v>4617</v>
      </c>
      <c r="F2360" s="191">
        <f t="shared" si="38"/>
        <v>168.15</v>
      </c>
      <c r="G2360" s="185"/>
      <c r="H2360" s="181"/>
      <c r="I2360" s="74"/>
      <c r="J2360" s="74"/>
      <c r="M2360" s="185"/>
      <c r="N2360" s="185"/>
      <c r="O2360" s="185"/>
      <c r="P2360" s="185"/>
      <c r="Q2360" s="185"/>
      <c r="R2360" s="185"/>
    </row>
    <row r="2361" spans="1:18" s="197" customFormat="1" ht="12.75" x14ac:dyDescent="0.2">
      <c r="A2361" s="181"/>
      <c r="B2361" s="188" t="s">
        <v>4618</v>
      </c>
      <c r="C2361" s="189" t="s">
        <v>130</v>
      </c>
      <c r="D2361" s="189" t="s">
        <v>123</v>
      </c>
      <c r="E2361" s="190" t="s">
        <v>897</v>
      </c>
      <c r="F2361" s="191">
        <f t="shared" si="38"/>
        <v>229.16666666666666</v>
      </c>
      <c r="G2361" s="185"/>
      <c r="H2361" s="181"/>
      <c r="I2361" s="74"/>
      <c r="J2361" s="74"/>
      <c r="M2361" s="185"/>
      <c r="N2361" s="185"/>
      <c r="O2361" s="185"/>
      <c r="P2361" s="185"/>
      <c r="Q2361" s="185"/>
      <c r="R2361" s="185"/>
    </row>
    <row r="2362" spans="1:18" s="197" customFormat="1" ht="12.75" x14ac:dyDescent="0.2">
      <c r="A2362" s="181"/>
      <c r="B2362" s="188" t="s">
        <v>4619</v>
      </c>
      <c r="C2362" s="189" t="s">
        <v>130</v>
      </c>
      <c r="D2362" s="189" t="s">
        <v>132</v>
      </c>
      <c r="E2362" s="190" t="s">
        <v>4620</v>
      </c>
      <c r="F2362" s="191">
        <f t="shared" si="38"/>
        <v>253.91666666666666</v>
      </c>
      <c r="G2362" s="185"/>
      <c r="H2362" s="181"/>
      <c r="I2362" s="74"/>
      <c r="J2362" s="74"/>
      <c r="M2362" s="185"/>
      <c r="N2362" s="185"/>
      <c r="O2362" s="185"/>
      <c r="P2362" s="185"/>
      <c r="Q2362" s="185"/>
      <c r="R2362" s="185"/>
    </row>
    <row r="2363" spans="1:18" s="197" customFormat="1" ht="12.75" x14ac:dyDescent="0.2">
      <c r="A2363" s="181"/>
      <c r="B2363" s="188" t="s">
        <v>4621</v>
      </c>
      <c r="C2363" s="189" t="s">
        <v>125</v>
      </c>
      <c r="D2363" s="189" t="s">
        <v>131</v>
      </c>
      <c r="E2363" s="190" t="s">
        <v>4622</v>
      </c>
      <c r="F2363" s="191">
        <f t="shared" si="38"/>
        <v>300.61666666666667</v>
      </c>
      <c r="G2363" s="185"/>
      <c r="H2363" s="181"/>
      <c r="I2363" s="74"/>
      <c r="J2363" s="74"/>
      <c r="M2363" s="185"/>
      <c r="N2363" s="185"/>
      <c r="O2363" s="185"/>
      <c r="P2363" s="185"/>
      <c r="Q2363" s="185"/>
      <c r="R2363" s="185"/>
    </row>
    <row r="2364" spans="1:18" s="197" customFormat="1" ht="12.75" x14ac:dyDescent="0.2">
      <c r="A2364" s="181"/>
      <c r="B2364" s="188" t="s">
        <v>4623</v>
      </c>
      <c r="C2364" s="189" t="s">
        <v>126</v>
      </c>
      <c r="D2364" s="189" t="s">
        <v>123</v>
      </c>
      <c r="E2364" s="190" t="s">
        <v>4624</v>
      </c>
      <c r="F2364" s="191">
        <f t="shared" si="38"/>
        <v>249.13333333333333</v>
      </c>
      <c r="G2364" s="185"/>
      <c r="H2364" s="181"/>
      <c r="I2364" s="74"/>
      <c r="J2364" s="74"/>
      <c r="M2364" s="185"/>
      <c r="N2364" s="185"/>
      <c r="O2364" s="185"/>
      <c r="P2364" s="185"/>
      <c r="Q2364" s="185"/>
      <c r="R2364" s="185"/>
    </row>
    <row r="2365" spans="1:18" s="197" customFormat="1" ht="12.75" x14ac:dyDescent="0.2">
      <c r="A2365" s="181"/>
      <c r="B2365" s="188" t="s">
        <v>569</v>
      </c>
      <c r="C2365" s="189" t="s">
        <v>125</v>
      </c>
      <c r="D2365" s="189" t="s">
        <v>123</v>
      </c>
      <c r="E2365" s="190" t="s">
        <v>4173</v>
      </c>
      <c r="F2365" s="191">
        <f t="shared" si="38"/>
        <v>202.68333333333334</v>
      </c>
      <c r="G2365" s="185"/>
      <c r="H2365" s="181"/>
      <c r="I2365" s="74"/>
      <c r="J2365" s="74"/>
      <c r="M2365" s="185"/>
      <c r="N2365" s="185"/>
      <c r="O2365" s="185"/>
      <c r="P2365" s="185"/>
      <c r="Q2365" s="185"/>
      <c r="R2365" s="185"/>
    </row>
    <row r="2366" spans="1:18" s="197" customFormat="1" ht="12.75" x14ac:dyDescent="0.2">
      <c r="A2366" s="181"/>
      <c r="B2366" s="188" t="s">
        <v>4625</v>
      </c>
      <c r="C2366" s="189" t="s">
        <v>128</v>
      </c>
      <c r="D2366" s="189" t="s">
        <v>123</v>
      </c>
      <c r="E2366" s="190" t="s">
        <v>2668</v>
      </c>
      <c r="F2366" s="191">
        <f t="shared" si="38"/>
        <v>296.66666666666669</v>
      </c>
      <c r="G2366" s="185"/>
      <c r="H2366" s="181"/>
      <c r="I2366" s="74"/>
      <c r="J2366" s="74"/>
      <c r="M2366" s="185"/>
      <c r="N2366" s="185"/>
      <c r="O2366" s="185"/>
      <c r="P2366" s="185"/>
      <c r="Q2366" s="185"/>
      <c r="R2366" s="185"/>
    </row>
    <row r="2367" spans="1:18" s="197" customFormat="1" ht="12.75" x14ac:dyDescent="0.2">
      <c r="A2367" s="181"/>
      <c r="B2367" s="188" t="s">
        <v>4626</v>
      </c>
      <c r="C2367" s="189" t="s">
        <v>124</v>
      </c>
      <c r="D2367" s="189" t="s">
        <v>123</v>
      </c>
      <c r="E2367" s="190" t="s">
        <v>1167</v>
      </c>
      <c r="F2367" s="191">
        <f t="shared" si="38"/>
        <v>195.73333333333332</v>
      </c>
      <c r="G2367" s="185"/>
      <c r="H2367" s="181"/>
      <c r="I2367" s="74"/>
      <c r="J2367" s="74"/>
      <c r="M2367" s="185"/>
      <c r="N2367" s="185"/>
      <c r="O2367" s="185"/>
      <c r="P2367" s="185"/>
      <c r="Q2367" s="185"/>
      <c r="R2367" s="185"/>
    </row>
    <row r="2368" spans="1:18" s="197" customFormat="1" ht="12.75" x14ac:dyDescent="0.2">
      <c r="A2368" s="181"/>
      <c r="B2368" s="188" t="s">
        <v>4627</v>
      </c>
      <c r="C2368" s="189" t="s">
        <v>126</v>
      </c>
      <c r="D2368" s="189" t="s">
        <v>123</v>
      </c>
      <c r="E2368" s="190" t="s">
        <v>4628</v>
      </c>
      <c r="F2368" s="191">
        <f t="shared" si="38"/>
        <v>259.01666666666665</v>
      </c>
      <c r="G2368" s="185"/>
      <c r="H2368" s="181"/>
      <c r="I2368" s="74"/>
      <c r="J2368" s="74"/>
      <c r="M2368" s="185"/>
      <c r="N2368" s="185"/>
      <c r="O2368" s="185"/>
      <c r="P2368" s="185"/>
      <c r="Q2368" s="185"/>
      <c r="R2368" s="185"/>
    </row>
    <row r="2369" spans="1:18" s="197" customFormat="1" ht="12.75" x14ac:dyDescent="0.2">
      <c r="A2369" s="181"/>
      <c r="B2369" s="188" t="s">
        <v>4629</v>
      </c>
      <c r="C2369" s="189" t="s">
        <v>134</v>
      </c>
      <c r="D2369" s="189" t="s">
        <v>123</v>
      </c>
      <c r="E2369" s="190" t="s">
        <v>4630</v>
      </c>
      <c r="F2369" s="191">
        <f t="shared" si="38"/>
        <v>261.51666666666665</v>
      </c>
      <c r="G2369" s="185"/>
      <c r="H2369" s="181"/>
      <c r="I2369" s="74"/>
      <c r="J2369" s="74"/>
      <c r="M2369" s="185"/>
      <c r="N2369" s="185"/>
      <c r="O2369" s="185"/>
      <c r="P2369" s="185"/>
      <c r="Q2369" s="185"/>
      <c r="R2369" s="185"/>
    </row>
    <row r="2370" spans="1:18" s="197" customFormat="1" ht="12.75" x14ac:dyDescent="0.2">
      <c r="A2370" s="181"/>
      <c r="B2370" s="188" t="s">
        <v>4631</v>
      </c>
      <c r="C2370" s="189" t="s">
        <v>124</v>
      </c>
      <c r="D2370" s="189" t="s">
        <v>131</v>
      </c>
      <c r="E2370" s="190" t="s">
        <v>4632</v>
      </c>
      <c r="F2370" s="191">
        <f t="shared" si="38"/>
        <v>173.11666666666667</v>
      </c>
      <c r="G2370" s="185"/>
      <c r="H2370" s="181"/>
      <c r="I2370" s="74"/>
      <c r="J2370" s="74"/>
      <c r="M2370" s="185"/>
      <c r="N2370" s="185"/>
      <c r="O2370" s="185"/>
      <c r="P2370" s="185"/>
      <c r="Q2370" s="185"/>
      <c r="R2370" s="185"/>
    </row>
    <row r="2371" spans="1:18" s="197" customFormat="1" ht="12.75" x14ac:dyDescent="0.2">
      <c r="A2371" s="181"/>
      <c r="B2371" s="188" t="s">
        <v>4633</v>
      </c>
      <c r="C2371" s="189" t="s">
        <v>124</v>
      </c>
      <c r="D2371" s="189" t="s">
        <v>132</v>
      </c>
      <c r="E2371" s="190" t="s">
        <v>4634</v>
      </c>
      <c r="F2371" s="191">
        <f t="shared" si="38"/>
        <v>231.03333333333333</v>
      </c>
      <c r="G2371" s="185"/>
      <c r="H2371" s="181"/>
      <c r="I2371" s="74"/>
      <c r="J2371" s="74"/>
      <c r="M2371" s="185"/>
      <c r="N2371" s="185"/>
      <c r="O2371" s="185"/>
      <c r="P2371" s="185"/>
      <c r="Q2371" s="185"/>
      <c r="R2371" s="185"/>
    </row>
    <row r="2372" spans="1:18" s="197" customFormat="1" ht="12.75" x14ac:dyDescent="0.2">
      <c r="A2372" s="181"/>
      <c r="B2372" s="188" t="s">
        <v>4635</v>
      </c>
      <c r="C2372" s="189" t="s">
        <v>130</v>
      </c>
      <c r="D2372" s="189" t="s">
        <v>141</v>
      </c>
      <c r="E2372" s="190" t="s">
        <v>4636</v>
      </c>
      <c r="F2372" s="191">
        <f t="shared" si="38"/>
        <v>171.85</v>
      </c>
      <c r="G2372" s="185"/>
      <c r="H2372" s="181"/>
      <c r="I2372" s="74"/>
      <c r="J2372" s="74"/>
      <c r="M2372" s="185"/>
      <c r="N2372" s="185"/>
      <c r="O2372" s="185"/>
      <c r="P2372" s="185"/>
      <c r="Q2372" s="185"/>
      <c r="R2372" s="185"/>
    </row>
    <row r="2373" spans="1:18" s="197" customFormat="1" ht="12.75" x14ac:dyDescent="0.2">
      <c r="A2373" s="181"/>
      <c r="B2373" s="188" t="s">
        <v>4637</v>
      </c>
      <c r="C2373" s="189" t="s">
        <v>125</v>
      </c>
      <c r="D2373" s="189" t="s">
        <v>123</v>
      </c>
      <c r="E2373" s="190" t="s">
        <v>4638</v>
      </c>
      <c r="F2373" s="191">
        <f t="shared" si="38"/>
        <v>203.16666666666666</v>
      </c>
      <c r="G2373" s="185"/>
      <c r="H2373" s="181"/>
      <c r="I2373" s="74"/>
      <c r="J2373" s="74"/>
      <c r="M2373" s="185"/>
      <c r="N2373" s="185"/>
      <c r="O2373" s="185"/>
      <c r="P2373" s="185"/>
      <c r="Q2373" s="185"/>
      <c r="R2373" s="185"/>
    </row>
    <row r="2374" spans="1:18" s="197" customFormat="1" ht="12.75" x14ac:dyDescent="0.2">
      <c r="A2374" s="181"/>
      <c r="B2374" s="188" t="s">
        <v>4639</v>
      </c>
      <c r="C2374" s="189" t="s">
        <v>142</v>
      </c>
      <c r="D2374" s="189" t="s">
        <v>123</v>
      </c>
      <c r="E2374" s="190" t="s">
        <v>4640</v>
      </c>
      <c r="F2374" s="191">
        <f t="shared" si="38"/>
        <v>240.85</v>
      </c>
      <c r="G2374" s="185"/>
      <c r="H2374" s="181"/>
      <c r="I2374" s="74"/>
      <c r="J2374" s="74"/>
      <c r="M2374" s="185"/>
      <c r="N2374" s="185"/>
      <c r="O2374" s="185"/>
      <c r="P2374" s="185"/>
      <c r="Q2374" s="185"/>
      <c r="R2374" s="185"/>
    </row>
    <row r="2375" spans="1:18" s="197" customFormat="1" ht="12.75" x14ac:dyDescent="0.2">
      <c r="A2375" s="181"/>
      <c r="B2375" s="188" t="s">
        <v>4641</v>
      </c>
      <c r="C2375" s="189" t="s">
        <v>128</v>
      </c>
      <c r="D2375" s="189" t="s">
        <v>132</v>
      </c>
      <c r="E2375" s="190" t="s">
        <v>4642</v>
      </c>
      <c r="F2375" s="191">
        <f t="shared" si="38"/>
        <v>264.48333333333335</v>
      </c>
      <c r="G2375" s="185"/>
      <c r="H2375" s="181"/>
      <c r="I2375" s="74"/>
      <c r="J2375" s="74"/>
      <c r="M2375" s="185"/>
      <c r="N2375" s="185"/>
      <c r="O2375" s="185"/>
      <c r="P2375" s="185"/>
      <c r="Q2375" s="185"/>
      <c r="R2375" s="185"/>
    </row>
    <row r="2376" spans="1:18" s="197" customFormat="1" ht="12.75" x14ac:dyDescent="0.2">
      <c r="A2376" s="181"/>
      <c r="B2376" s="188" t="s">
        <v>4643</v>
      </c>
      <c r="C2376" s="189" t="s">
        <v>142</v>
      </c>
      <c r="D2376" s="189" t="s">
        <v>123</v>
      </c>
      <c r="E2376" s="190" t="s">
        <v>4644</v>
      </c>
      <c r="F2376" s="191">
        <f t="shared" si="38"/>
        <v>280.33333333333331</v>
      </c>
      <c r="G2376" s="185"/>
      <c r="H2376" s="181"/>
      <c r="I2376" s="74"/>
      <c r="J2376" s="74"/>
      <c r="M2376" s="185"/>
      <c r="N2376" s="185"/>
      <c r="O2376" s="185"/>
      <c r="P2376" s="185"/>
      <c r="Q2376" s="185"/>
      <c r="R2376" s="185"/>
    </row>
    <row r="2377" spans="1:18" s="197" customFormat="1" ht="12.75" x14ac:dyDescent="0.2">
      <c r="A2377" s="181"/>
      <c r="B2377" s="188" t="s">
        <v>431</v>
      </c>
      <c r="C2377" s="189" t="s">
        <v>142</v>
      </c>
      <c r="D2377" s="189" t="s">
        <v>123</v>
      </c>
      <c r="E2377" s="190" t="s">
        <v>4645</v>
      </c>
      <c r="F2377" s="191">
        <f t="shared" si="38"/>
        <v>237.51666666666668</v>
      </c>
      <c r="G2377" s="185"/>
      <c r="H2377" s="181"/>
      <c r="I2377" s="74"/>
      <c r="J2377" s="74"/>
      <c r="M2377" s="185"/>
      <c r="N2377" s="185"/>
      <c r="O2377" s="185"/>
      <c r="P2377" s="185"/>
      <c r="Q2377" s="185"/>
      <c r="R2377" s="185"/>
    </row>
    <row r="2378" spans="1:18" s="197" customFormat="1" ht="12.75" x14ac:dyDescent="0.2">
      <c r="A2378" s="181"/>
      <c r="B2378" s="188" t="s">
        <v>4646</v>
      </c>
      <c r="C2378" s="189" t="s">
        <v>135</v>
      </c>
      <c r="D2378" s="189" t="s">
        <v>123</v>
      </c>
      <c r="E2378" s="190" t="s">
        <v>3169</v>
      </c>
      <c r="F2378" s="191">
        <f t="shared" si="38"/>
        <v>213.43333333333334</v>
      </c>
      <c r="G2378" s="185"/>
      <c r="H2378" s="181"/>
      <c r="I2378" s="74"/>
      <c r="J2378" s="74"/>
      <c r="M2378" s="185"/>
      <c r="N2378" s="185"/>
      <c r="O2378" s="185"/>
      <c r="P2378" s="185"/>
      <c r="Q2378" s="185"/>
      <c r="R2378" s="185"/>
    </row>
    <row r="2379" spans="1:18" s="197" customFormat="1" ht="12.75" x14ac:dyDescent="0.2">
      <c r="A2379" s="181"/>
      <c r="B2379" s="188" t="s">
        <v>4647</v>
      </c>
      <c r="C2379" s="189" t="s">
        <v>126</v>
      </c>
      <c r="D2379" s="189" t="s">
        <v>146</v>
      </c>
      <c r="E2379" s="190" t="s">
        <v>1548</v>
      </c>
      <c r="F2379" s="191">
        <f t="shared" ref="F2379:F2442" si="39">HOUR(E2379)*60+MINUTE(E2379)+SECOND(E2379)/60</f>
        <v>286.08333333333331</v>
      </c>
      <c r="G2379" s="185"/>
      <c r="H2379" s="181"/>
      <c r="I2379" s="74"/>
      <c r="J2379" s="74"/>
      <c r="M2379" s="185"/>
      <c r="N2379" s="185"/>
      <c r="O2379" s="185"/>
      <c r="P2379" s="185"/>
      <c r="Q2379" s="185"/>
      <c r="R2379" s="185"/>
    </row>
    <row r="2380" spans="1:18" s="197" customFormat="1" ht="12.75" x14ac:dyDescent="0.2">
      <c r="A2380" s="181"/>
      <c r="B2380" s="188" t="s">
        <v>4648</v>
      </c>
      <c r="C2380" s="189" t="s">
        <v>142</v>
      </c>
      <c r="D2380" s="189" t="s">
        <v>123</v>
      </c>
      <c r="E2380" s="190" t="s">
        <v>2800</v>
      </c>
      <c r="F2380" s="191">
        <f t="shared" si="39"/>
        <v>213.25</v>
      </c>
      <c r="G2380" s="185"/>
      <c r="H2380" s="181"/>
      <c r="I2380" s="74"/>
      <c r="J2380" s="74"/>
      <c r="M2380" s="185"/>
      <c r="N2380" s="185"/>
      <c r="O2380" s="185"/>
      <c r="P2380" s="185"/>
      <c r="Q2380" s="185"/>
      <c r="R2380" s="185"/>
    </row>
    <row r="2381" spans="1:18" s="197" customFormat="1" ht="12.75" x14ac:dyDescent="0.2">
      <c r="A2381" s="181"/>
      <c r="B2381" s="188" t="s">
        <v>4649</v>
      </c>
      <c r="C2381" s="189" t="s">
        <v>125</v>
      </c>
      <c r="D2381" s="189" t="s">
        <v>123</v>
      </c>
      <c r="E2381" s="190" t="s">
        <v>4650</v>
      </c>
      <c r="F2381" s="191">
        <f t="shared" si="39"/>
        <v>290.56666666666666</v>
      </c>
      <c r="G2381" s="185"/>
      <c r="H2381" s="181"/>
      <c r="I2381" s="74"/>
      <c r="J2381" s="74"/>
      <c r="M2381" s="185"/>
      <c r="N2381" s="185"/>
      <c r="O2381" s="185"/>
      <c r="P2381" s="185"/>
      <c r="Q2381" s="185"/>
      <c r="R2381" s="185"/>
    </row>
    <row r="2382" spans="1:18" s="197" customFormat="1" ht="12.75" x14ac:dyDescent="0.2">
      <c r="A2382" s="181"/>
      <c r="B2382" s="188" t="s">
        <v>4651</v>
      </c>
      <c r="C2382" s="189" t="s">
        <v>125</v>
      </c>
      <c r="D2382" s="189" t="s">
        <v>123</v>
      </c>
      <c r="E2382" s="190" t="s">
        <v>4652</v>
      </c>
      <c r="F2382" s="191">
        <f t="shared" si="39"/>
        <v>307.08333333333331</v>
      </c>
      <c r="G2382" s="185"/>
      <c r="H2382" s="181"/>
      <c r="I2382" s="74"/>
      <c r="J2382" s="74"/>
      <c r="M2382" s="185"/>
      <c r="N2382" s="185"/>
      <c r="O2382" s="185"/>
      <c r="P2382" s="185"/>
      <c r="Q2382" s="185"/>
      <c r="R2382" s="185"/>
    </row>
    <row r="2383" spans="1:18" s="197" customFormat="1" ht="12.75" x14ac:dyDescent="0.2">
      <c r="A2383" s="181"/>
      <c r="B2383" s="188" t="s">
        <v>4653</v>
      </c>
      <c r="C2383" s="189" t="s">
        <v>130</v>
      </c>
      <c r="D2383" s="189" t="s">
        <v>123</v>
      </c>
      <c r="E2383" s="190" t="s">
        <v>4654</v>
      </c>
      <c r="F2383" s="191">
        <f t="shared" si="39"/>
        <v>166.73333333333332</v>
      </c>
      <c r="G2383" s="185"/>
      <c r="H2383" s="181"/>
      <c r="I2383" s="74"/>
      <c r="J2383" s="74"/>
      <c r="M2383" s="185"/>
      <c r="N2383" s="185"/>
      <c r="O2383" s="185"/>
      <c r="P2383" s="185"/>
      <c r="Q2383" s="185"/>
      <c r="R2383" s="185"/>
    </row>
    <row r="2384" spans="1:18" s="197" customFormat="1" ht="12.75" x14ac:dyDescent="0.2">
      <c r="A2384" s="181"/>
      <c r="B2384" s="188" t="s">
        <v>4655</v>
      </c>
      <c r="C2384" s="189" t="s">
        <v>140</v>
      </c>
      <c r="D2384" s="189" t="s">
        <v>123</v>
      </c>
      <c r="E2384" s="190" t="s">
        <v>2654</v>
      </c>
      <c r="F2384" s="191">
        <f t="shared" si="39"/>
        <v>257.03333333333336</v>
      </c>
      <c r="G2384" s="185"/>
      <c r="H2384" s="181"/>
      <c r="I2384" s="74"/>
      <c r="J2384" s="74"/>
      <c r="M2384" s="185"/>
      <c r="N2384" s="185"/>
      <c r="O2384" s="185"/>
      <c r="P2384" s="185"/>
      <c r="Q2384" s="185"/>
      <c r="R2384" s="185"/>
    </row>
    <row r="2385" spans="1:18" s="197" customFormat="1" ht="12.75" x14ac:dyDescent="0.2">
      <c r="A2385" s="181"/>
      <c r="B2385" s="188" t="s">
        <v>4656</v>
      </c>
      <c r="C2385" s="189" t="s">
        <v>128</v>
      </c>
      <c r="D2385" s="189" t="s">
        <v>123</v>
      </c>
      <c r="E2385" s="190" t="s">
        <v>3256</v>
      </c>
      <c r="F2385" s="191">
        <f t="shared" si="39"/>
        <v>190.38333333333333</v>
      </c>
      <c r="G2385" s="185"/>
      <c r="H2385" s="181"/>
      <c r="I2385" s="74"/>
      <c r="J2385" s="74"/>
      <c r="M2385" s="185"/>
      <c r="N2385" s="185"/>
      <c r="O2385" s="185"/>
      <c r="P2385" s="185"/>
      <c r="Q2385" s="185"/>
      <c r="R2385" s="185"/>
    </row>
    <row r="2386" spans="1:18" s="197" customFormat="1" ht="12.75" x14ac:dyDescent="0.2">
      <c r="A2386" s="181"/>
      <c r="B2386" s="188" t="s">
        <v>4657</v>
      </c>
      <c r="C2386" s="189" t="s">
        <v>126</v>
      </c>
      <c r="D2386" s="189" t="s">
        <v>123</v>
      </c>
      <c r="E2386" s="190" t="s">
        <v>4170</v>
      </c>
      <c r="F2386" s="191">
        <f t="shared" si="39"/>
        <v>289.5</v>
      </c>
      <c r="G2386" s="185"/>
      <c r="H2386" s="181"/>
      <c r="I2386" s="74"/>
      <c r="J2386" s="74"/>
      <c r="M2386" s="185"/>
      <c r="N2386" s="185"/>
      <c r="O2386" s="185"/>
      <c r="P2386" s="185"/>
      <c r="Q2386" s="185"/>
      <c r="R2386" s="185"/>
    </row>
    <row r="2387" spans="1:18" s="197" customFormat="1" ht="12.75" x14ac:dyDescent="0.2">
      <c r="A2387" s="181"/>
      <c r="B2387" s="188" t="s">
        <v>4658</v>
      </c>
      <c r="C2387" s="189" t="s">
        <v>134</v>
      </c>
      <c r="D2387" s="189" t="s">
        <v>152</v>
      </c>
      <c r="E2387" s="190" t="s">
        <v>4659</v>
      </c>
      <c r="F2387" s="191">
        <f t="shared" si="39"/>
        <v>251.23333333333332</v>
      </c>
      <c r="G2387" s="185"/>
      <c r="H2387" s="181"/>
      <c r="I2387" s="74"/>
      <c r="J2387" s="74"/>
      <c r="M2387" s="185"/>
      <c r="N2387" s="185"/>
      <c r="O2387" s="185"/>
      <c r="P2387" s="185"/>
      <c r="Q2387" s="185"/>
      <c r="R2387" s="185"/>
    </row>
    <row r="2388" spans="1:18" s="197" customFormat="1" ht="12.75" x14ac:dyDescent="0.2">
      <c r="A2388" s="181"/>
      <c r="B2388" s="188" t="s">
        <v>4660</v>
      </c>
      <c r="C2388" s="189" t="s">
        <v>125</v>
      </c>
      <c r="D2388" s="189" t="s">
        <v>155</v>
      </c>
      <c r="E2388" s="190" t="s">
        <v>4661</v>
      </c>
      <c r="F2388" s="191">
        <f t="shared" si="39"/>
        <v>274.08333333333331</v>
      </c>
      <c r="G2388" s="185"/>
      <c r="H2388" s="181"/>
      <c r="I2388" s="74"/>
      <c r="J2388" s="74"/>
      <c r="M2388" s="185"/>
      <c r="N2388" s="185"/>
      <c r="O2388" s="185"/>
      <c r="P2388" s="185"/>
      <c r="Q2388" s="185"/>
      <c r="R2388" s="185"/>
    </row>
    <row r="2389" spans="1:18" s="197" customFormat="1" ht="12.75" x14ac:dyDescent="0.2">
      <c r="A2389" s="181"/>
      <c r="B2389" s="188" t="s">
        <v>4662</v>
      </c>
      <c r="C2389" s="189" t="s">
        <v>134</v>
      </c>
      <c r="D2389" s="189" t="s">
        <v>306</v>
      </c>
      <c r="E2389" s="190" t="s">
        <v>4663</v>
      </c>
      <c r="F2389" s="191">
        <f t="shared" si="39"/>
        <v>180.56666666666666</v>
      </c>
      <c r="G2389" s="185"/>
      <c r="H2389" s="181"/>
      <c r="I2389" s="74"/>
      <c r="J2389" s="74"/>
      <c r="M2389" s="185"/>
      <c r="N2389" s="185"/>
      <c r="O2389" s="185"/>
      <c r="P2389" s="185"/>
      <c r="Q2389" s="185"/>
      <c r="R2389" s="185"/>
    </row>
    <row r="2390" spans="1:18" s="197" customFormat="1" ht="12.75" x14ac:dyDescent="0.2">
      <c r="A2390" s="181"/>
      <c r="B2390" s="188" t="s">
        <v>4664</v>
      </c>
      <c r="C2390" s="189" t="s">
        <v>134</v>
      </c>
      <c r="D2390" s="189" t="s">
        <v>123</v>
      </c>
      <c r="E2390" s="190" t="s">
        <v>4665</v>
      </c>
      <c r="F2390" s="191">
        <f t="shared" si="39"/>
        <v>270.51666666666665</v>
      </c>
      <c r="G2390" s="185"/>
      <c r="H2390" s="181"/>
      <c r="I2390" s="74"/>
      <c r="J2390" s="74"/>
      <c r="M2390" s="185"/>
      <c r="N2390" s="185"/>
      <c r="O2390" s="185"/>
      <c r="P2390" s="185"/>
      <c r="Q2390" s="185"/>
      <c r="R2390" s="185"/>
    </row>
    <row r="2391" spans="1:18" s="197" customFormat="1" ht="12.75" x14ac:dyDescent="0.2">
      <c r="A2391" s="181"/>
      <c r="B2391" s="188" t="s">
        <v>4666</v>
      </c>
      <c r="C2391" s="189" t="s">
        <v>130</v>
      </c>
      <c r="D2391" s="189" t="s">
        <v>129</v>
      </c>
      <c r="E2391" s="190" t="s">
        <v>4667</v>
      </c>
      <c r="F2391" s="191">
        <f t="shared" si="39"/>
        <v>199.46666666666667</v>
      </c>
      <c r="G2391" s="185"/>
      <c r="H2391" s="181"/>
      <c r="I2391" s="74"/>
      <c r="J2391" s="74"/>
      <c r="M2391" s="185"/>
      <c r="N2391" s="185"/>
      <c r="O2391" s="185"/>
      <c r="P2391" s="185"/>
      <c r="Q2391" s="185"/>
      <c r="R2391" s="185"/>
    </row>
    <row r="2392" spans="1:18" s="197" customFormat="1" ht="12.75" x14ac:dyDescent="0.2">
      <c r="A2392" s="181"/>
      <c r="B2392" s="188" t="s">
        <v>4668</v>
      </c>
      <c r="C2392" s="189" t="s">
        <v>125</v>
      </c>
      <c r="D2392" s="189" t="s">
        <v>263</v>
      </c>
      <c r="E2392" s="190" t="s">
        <v>4669</v>
      </c>
      <c r="F2392" s="191">
        <f t="shared" si="39"/>
        <v>223.2</v>
      </c>
      <c r="G2392" s="185"/>
      <c r="H2392" s="181"/>
      <c r="I2392" s="74"/>
      <c r="J2392" s="74"/>
      <c r="M2392" s="185"/>
      <c r="N2392" s="185"/>
      <c r="O2392" s="185"/>
      <c r="P2392" s="185"/>
      <c r="Q2392" s="185"/>
      <c r="R2392" s="185"/>
    </row>
    <row r="2393" spans="1:18" s="197" customFormat="1" ht="12.75" x14ac:dyDescent="0.2">
      <c r="A2393" s="181"/>
      <c r="B2393" s="188" t="s">
        <v>4670</v>
      </c>
      <c r="C2393" s="189" t="s">
        <v>134</v>
      </c>
      <c r="D2393" s="189" t="s">
        <v>131</v>
      </c>
      <c r="E2393" s="190" t="s">
        <v>4671</v>
      </c>
      <c r="F2393" s="191">
        <f t="shared" si="39"/>
        <v>278.66666666666669</v>
      </c>
      <c r="G2393" s="185"/>
      <c r="H2393" s="181"/>
      <c r="I2393" s="74"/>
      <c r="J2393" s="74"/>
      <c r="M2393" s="185"/>
      <c r="N2393" s="185"/>
      <c r="O2393" s="185"/>
      <c r="P2393" s="185"/>
      <c r="Q2393" s="185"/>
      <c r="R2393" s="185"/>
    </row>
    <row r="2394" spans="1:18" s="197" customFormat="1" ht="12.75" x14ac:dyDescent="0.2">
      <c r="A2394" s="181"/>
      <c r="B2394" s="188" t="s">
        <v>161</v>
      </c>
      <c r="C2394" s="189" t="s">
        <v>136</v>
      </c>
      <c r="D2394" s="189" t="s">
        <v>123</v>
      </c>
      <c r="E2394" s="190" t="s">
        <v>4672</v>
      </c>
      <c r="F2394" s="191">
        <f t="shared" si="39"/>
        <v>321.41666666666669</v>
      </c>
      <c r="G2394" s="185"/>
      <c r="H2394" s="181"/>
      <c r="I2394" s="74"/>
      <c r="J2394" s="74"/>
      <c r="M2394" s="185"/>
      <c r="N2394" s="185"/>
      <c r="O2394" s="185"/>
      <c r="P2394" s="185"/>
      <c r="Q2394" s="185"/>
      <c r="R2394" s="185"/>
    </row>
    <row r="2395" spans="1:18" s="197" customFormat="1" ht="12.75" x14ac:dyDescent="0.2">
      <c r="A2395" s="181"/>
      <c r="B2395" s="188" t="s">
        <v>4673</v>
      </c>
      <c r="C2395" s="189" t="s">
        <v>130</v>
      </c>
      <c r="D2395" s="189" t="s">
        <v>223</v>
      </c>
      <c r="E2395" s="190" t="s">
        <v>3478</v>
      </c>
      <c r="F2395" s="191">
        <f t="shared" si="39"/>
        <v>216.16666666666666</v>
      </c>
      <c r="G2395" s="185"/>
      <c r="H2395" s="181"/>
      <c r="I2395" s="74"/>
      <c r="J2395" s="74"/>
      <c r="M2395" s="185"/>
      <c r="N2395" s="185"/>
      <c r="O2395" s="185"/>
      <c r="P2395" s="185"/>
      <c r="Q2395" s="185"/>
      <c r="R2395" s="185"/>
    </row>
    <row r="2396" spans="1:18" s="197" customFormat="1" ht="12.75" x14ac:dyDescent="0.2">
      <c r="A2396" s="181"/>
      <c r="B2396" s="188" t="s">
        <v>4674</v>
      </c>
      <c r="C2396" s="189" t="s">
        <v>124</v>
      </c>
      <c r="D2396" s="189" t="s">
        <v>123</v>
      </c>
      <c r="E2396" s="190" t="s">
        <v>3070</v>
      </c>
      <c r="F2396" s="191">
        <f t="shared" si="39"/>
        <v>239.56666666666666</v>
      </c>
      <c r="G2396" s="185"/>
      <c r="H2396" s="181"/>
      <c r="I2396" s="74"/>
      <c r="J2396" s="74"/>
      <c r="M2396" s="185"/>
      <c r="N2396" s="185"/>
      <c r="O2396" s="185"/>
      <c r="P2396" s="185"/>
      <c r="Q2396" s="185"/>
      <c r="R2396" s="185"/>
    </row>
    <row r="2397" spans="1:18" s="197" customFormat="1" ht="12.75" x14ac:dyDescent="0.2">
      <c r="A2397" s="181"/>
      <c r="B2397" s="188" t="s">
        <v>408</v>
      </c>
      <c r="C2397" s="189" t="s">
        <v>124</v>
      </c>
      <c r="D2397" s="189" t="s">
        <v>123</v>
      </c>
      <c r="E2397" s="190" t="s">
        <v>4675</v>
      </c>
      <c r="F2397" s="191">
        <f t="shared" si="39"/>
        <v>251.6</v>
      </c>
      <c r="G2397" s="185"/>
      <c r="H2397" s="181"/>
      <c r="I2397" s="74"/>
      <c r="J2397" s="74"/>
      <c r="M2397" s="185"/>
      <c r="N2397" s="185"/>
      <c r="O2397" s="185"/>
      <c r="P2397" s="185"/>
      <c r="Q2397" s="185"/>
      <c r="R2397" s="185"/>
    </row>
    <row r="2398" spans="1:18" s="197" customFormat="1" ht="12.75" x14ac:dyDescent="0.2">
      <c r="A2398" s="181"/>
      <c r="B2398" s="188" t="s">
        <v>184</v>
      </c>
      <c r="C2398" s="189" t="s">
        <v>124</v>
      </c>
      <c r="D2398" s="189" t="s">
        <v>123</v>
      </c>
      <c r="E2398" s="190" t="s">
        <v>2675</v>
      </c>
      <c r="F2398" s="191">
        <f t="shared" si="39"/>
        <v>303.2</v>
      </c>
      <c r="G2398" s="185"/>
      <c r="H2398" s="181"/>
      <c r="I2398" s="74"/>
      <c r="J2398" s="74"/>
      <c r="M2398" s="185"/>
      <c r="N2398" s="185"/>
      <c r="O2398" s="185"/>
      <c r="P2398" s="185"/>
      <c r="Q2398" s="185"/>
      <c r="R2398" s="185"/>
    </row>
    <row r="2399" spans="1:18" s="197" customFormat="1" ht="12.75" x14ac:dyDescent="0.2">
      <c r="A2399" s="181"/>
      <c r="B2399" s="188" t="s">
        <v>4676</v>
      </c>
      <c r="C2399" s="189" t="s">
        <v>128</v>
      </c>
      <c r="D2399" s="189" t="s">
        <v>123</v>
      </c>
      <c r="E2399" s="190" t="s">
        <v>4677</v>
      </c>
      <c r="F2399" s="191">
        <f t="shared" si="39"/>
        <v>191.05</v>
      </c>
      <c r="G2399" s="185"/>
      <c r="H2399" s="181"/>
      <c r="I2399" s="74"/>
      <c r="J2399" s="74"/>
      <c r="M2399" s="185"/>
      <c r="N2399" s="185"/>
      <c r="O2399" s="185"/>
      <c r="P2399" s="185"/>
      <c r="Q2399" s="185"/>
      <c r="R2399" s="185"/>
    </row>
    <row r="2400" spans="1:18" s="197" customFormat="1" ht="12.75" x14ac:dyDescent="0.2">
      <c r="A2400" s="181"/>
      <c r="B2400" s="188" t="s">
        <v>4678</v>
      </c>
      <c r="C2400" s="189" t="s">
        <v>136</v>
      </c>
      <c r="D2400" s="189" t="s">
        <v>132</v>
      </c>
      <c r="E2400" s="190" t="s">
        <v>4679</v>
      </c>
      <c r="F2400" s="191">
        <f t="shared" si="39"/>
        <v>309.95</v>
      </c>
      <c r="G2400" s="185"/>
      <c r="H2400" s="181"/>
      <c r="I2400" s="74"/>
      <c r="J2400" s="74"/>
      <c r="M2400" s="185"/>
      <c r="N2400" s="185"/>
      <c r="O2400" s="185"/>
      <c r="P2400" s="185"/>
      <c r="Q2400" s="185"/>
      <c r="R2400" s="185"/>
    </row>
    <row r="2401" spans="1:18" s="197" customFormat="1" ht="12.75" x14ac:dyDescent="0.2">
      <c r="A2401" s="181"/>
      <c r="B2401" s="188" t="s">
        <v>4680</v>
      </c>
      <c r="C2401" s="189" t="s">
        <v>126</v>
      </c>
      <c r="D2401" s="189" t="s">
        <v>139</v>
      </c>
      <c r="E2401" s="190" t="s">
        <v>4681</v>
      </c>
      <c r="F2401" s="191">
        <f t="shared" si="39"/>
        <v>249.33333333333334</v>
      </c>
      <c r="G2401" s="185"/>
      <c r="H2401" s="181"/>
      <c r="I2401" s="74"/>
      <c r="J2401" s="74"/>
      <c r="M2401" s="185"/>
      <c r="N2401" s="185"/>
      <c r="O2401" s="185"/>
      <c r="P2401" s="185"/>
      <c r="Q2401" s="185"/>
      <c r="R2401" s="185"/>
    </row>
    <row r="2402" spans="1:18" s="197" customFormat="1" ht="12.75" x14ac:dyDescent="0.2">
      <c r="A2402" s="181"/>
      <c r="B2402" s="188" t="s">
        <v>4682</v>
      </c>
      <c r="C2402" s="189" t="s">
        <v>142</v>
      </c>
      <c r="D2402" s="189" t="s">
        <v>149</v>
      </c>
      <c r="E2402" s="190" t="s">
        <v>1929</v>
      </c>
      <c r="F2402" s="191">
        <f t="shared" si="39"/>
        <v>265.03333333333336</v>
      </c>
      <c r="G2402" s="185"/>
      <c r="H2402" s="181"/>
      <c r="I2402" s="74"/>
      <c r="J2402" s="74"/>
      <c r="M2402" s="185"/>
      <c r="N2402" s="185"/>
      <c r="O2402" s="185"/>
      <c r="P2402" s="185"/>
      <c r="Q2402" s="185"/>
      <c r="R2402" s="185"/>
    </row>
    <row r="2403" spans="1:18" s="197" customFormat="1" ht="12.75" x14ac:dyDescent="0.2">
      <c r="A2403" s="181"/>
      <c r="B2403" s="188" t="s">
        <v>4683</v>
      </c>
      <c r="C2403" s="189" t="s">
        <v>136</v>
      </c>
      <c r="D2403" s="189" t="s">
        <v>123</v>
      </c>
      <c r="E2403" s="190" t="s">
        <v>4684</v>
      </c>
      <c r="F2403" s="191">
        <f t="shared" si="39"/>
        <v>252.76666666666668</v>
      </c>
      <c r="G2403" s="185"/>
      <c r="H2403" s="181"/>
      <c r="I2403" s="74"/>
      <c r="J2403" s="74"/>
      <c r="M2403" s="185"/>
      <c r="N2403" s="185"/>
      <c r="O2403" s="185"/>
      <c r="P2403" s="185"/>
      <c r="Q2403" s="185"/>
      <c r="R2403" s="185"/>
    </row>
    <row r="2404" spans="1:18" s="197" customFormat="1" ht="12.75" x14ac:dyDescent="0.2">
      <c r="A2404" s="181"/>
      <c r="B2404" s="188" t="s">
        <v>4685</v>
      </c>
      <c r="C2404" s="189" t="s">
        <v>142</v>
      </c>
      <c r="D2404" s="189" t="s">
        <v>210</v>
      </c>
      <c r="E2404" s="190" t="s">
        <v>4686</v>
      </c>
      <c r="F2404" s="191">
        <f t="shared" si="39"/>
        <v>215.21666666666667</v>
      </c>
      <c r="G2404" s="185"/>
      <c r="H2404" s="181"/>
      <c r="I2404" s="74"/>
      <c r="J2404" s="74"/>
      <c r="M2404" s="185"/>
      <c r="N2404" s="185"/>
      <c r="O2404" s="185"/>
      <c r="P2404" s="185"/>
      <c r="Q2404" s="185"/>
      <c r="R2404" s="185"/>
    </row>
    <row r="2405" spans="1:18" s="197" customFormat="1" ht="12.75" x14ac:dyDescent="0.2">
      <c r="A2405" s="181"/>
      <c r="B2405" s="188" t="s">
        <v>4687</v>
      </c>
      <c r="C2405" s="189" t="s">
        <v>124</v>
      </c>
      <c r="D2405" s="189" t="s">
        <v>123</v>
      </c>
      <c r="E2405" s="190" t="s">
        <v>4688</v>
      </c>
      <c r="F2405" s="191">
        <f t="shared" si="39"/>
        <v>214.75</v>
      </c>
      <c r="G2405" s="185"/>
      <c r="H2405" s="181"/>
      <c r="I2405" s="74"/>
      <c r="J2405" s="74"/>
      <c r="M2405" s="185"/>
      <c r="N2405" s="185"/>
      <c r="O2405" s="185"/>
      <c r="P2405" s="185"/>
      <c r="Q2405" s="185"/>
      <c r="R2405" s="185"/>
    </row>
    <row r="2406" spans="1:18" s="197" customFormat="1" ht="12.75" x14ac:dyDescent="0.2">
      <c r="A2406" s="181"/>
      <c r="B2406" s="188" t="s">
        <v>3606</v>
      </c>
      <c r="C2406" s="189" t="s">
        <v>142</v>
      </c>
      <c r="D2406" s="189" t="s">
        <v>123</v>
      </c>
      <c r="E2406" s="190" t="s">
        <v>3607</v>
      </c>
      <c r="F2406" s="191">
        <f t="shared" si="39"/>
        <v>203.18333333333334</v>
      </c>
      <c r="G2406" s="185"/>
      <c r="H2406" s="181"/>
      <c r="I2406" s="74"/>
      <c r="J2406" s="74"/>
      <c r="M2406" s="185"/>
      <c r="N2406" s="185"/>
      <c r="O2406" s="185"/>
      <c r="P2406" s="185"/>
      <c r="Q2406" s="185"/>
      <c r="R2406" s="185"/>
    </row>
    <row r="2407" spans="1:18" s="197" customFormat="1" ht="12.75" x14ac:dyDescent="0.2">
      <c r="A2407" s="181"/>
      <c r="B2407" s="188" t="s">
        <v>4689</v>
      </c>
      <c r="C2407" s="189" t="s">
        <v>134</v>
      </c>
      <c r="D2407" s="189" t="s">
        <v>131</v>
      </c>
      <c r="E2407" s="190" t="s">
        <v>4690</v>
      </c>
      <c r="F2407" s="191">
        <f t="shared" si="39"/>
        <v>245.66666666666666</v>
      </c>
      <c r="G2407" s="185"/>
      <c r="H2407" s="181"/>
      <c r="I2407" s="74"/>
      <c r="J2407" s="74"/>
      <c r="M2407" s="185"/>
      <c r="N2407" s="185"/>
      <c r="O2407" s="185"/>
      <c r="P2407" s="185"/>
      <c r="Q2407" s="185"/>
      <c r="R2407" s="185"/>
    </row>
    <row r="2408" spans="1:18" s="197" customFormat="1" ht="12.75" x14ac:dyDescent="0.2">
      <c r="A2408" s="181"/>
      <c r="B2408" s="188" t="s">
        <v>398</v>
      </c>
      <c r="C2408" s="189" t="s">
        <v>125</v>
      </c>
      <c r="D2408" s="189" t="s">
        <v>169</v>
      </c>
      <c r="E2408" s="190" t="s">
        <v>4691</v>
      </c>
      <c r="F2408" s="191">
        <f t="shared" si="39"/>
        <v>248.65</v>
      </c>
      <c r="G2408" s="185"/>
      <c r="H2408" s="181"/>
      <c r="I2408" s="74"/>
      <c r="J2408" s="74"/>
      <c r="M2408" s="185"/>
      <c r="N2408" s="185"/>
      <c r="O2408" s="185"/>
      <c r="P2408" s="185"/>
      <c r="Q2408" s="185"/>
      <c r="R2408" s="185"/>
    </row>
    <row r="2409" spans="1:18" s="197" customFormat="1" ht="12.75" x14ac:dyDescent="0.2">
      <c r="A2409" s="181"/>
      <c r="B2409" s="188" t="s">
        <v>4692</v>
      </c>
      <c r="C2409" s="189" t="s">
        <v>135</v>
      </c>
      <c r="D2409" s="189" t="s">
        <v>123</v>
      </c>
      <c r="E2409" s="190" t="s">
        <v>4693</v>
      </c>
      <c r="F2409" s="191">
        <f t="shared" si="39"/>
        <v>315.3</v>
      </c>
      <c r="G2409" s="185"/>
      <c r="H2409" s="181"/>
      <c r="I2409" s="74"/>
      <c r="J2409" s="74"/>
      <c r="M2409" s="185"/>
      <c r="N2409" s="185"/>
      <c r="O2409" s="185"/>
      <c r="P2409" s="185"/>
      <c r="Q2409" s="185"/>
      <c r="R2409" s="185"/>
    </row>
    <row r="2410" spans="1:18" s="197" customFormat="1" ht="12.75" x14ac:dyDescent="0.2">
      <c r="A2410" s="181"/>
      <c r="B2410" s="188" t="s">
        <v>349</v>
      </c>
      <c r="C2410" s="189" t="s">
        <v>124</v>
      </c>
      <c r="D2410" s="189" t="s">
        <v>123</v>
      </c>
      <c r="E2410" s="190" t="s">
        <v>4694</v>
      </c>
      <c r="F2410" s="191">
        <f t="shared" si="39"/>
        <v>238.31666666666666</v>
      </c>
      <c r="G2410" s="185"/>
      <c r="H2410" s="181"/>
      <c r="I2410" s="74"/>
      <c r="J2410" s="74"/>
      <c r="M2410" s="185"/>
      <c r="N2410" s="185"/>
      <c r="O2410" s="185"/>
      <c r="P2410" s="185"/>
      <c r="Q2410" s="185"/>
      <c r="R2410" s="185"/>
    </row>
    <row r="2411" spans="1:18" s="197" customFormat="1" ht="12.75" x14ac:dyDescent="0.2">
      <c r="A2411" s="181"/>
      <c r="B2411" s="188" t="s">
        <v>4695</v>
      </c>
      <c r="C2411" s="189" t="s">
        <v>134</v>
      </c>
      <c r="D2411" s="189" t="s">
        <v>123</v>
      </c>
      <c r="E2411" s="190" t="s">
        <v>4696</v>
      </c>
      <c r="F2411" s="191">
        <f t="shared" si="39"/>
        <v>260.93333333333334</v>
      </c>
      <c r="G2411" s="185"/>
      <c r="H2411" s="181"/>
      <c r="I2411" s="74"/>
      <c r="J2411" s="74"/>
      <c r="M2411" s="185"/>
      <c r="N2411" s="185"/>
      <c r="O2411" s="185"/>
      <c r="P2411" s="185"/>
      <c r="Q2411" s="185"/>
      <c r="R2411" s="185"/>
    </row>
    <row r="2412" spans="1:18" s="197" customFormat="1" ht="12.75" x14ac:dyDescent="0.2">
      <c r="A2412" s="181"/>
      <c r="B2412" s="188" t="s">
        <v>4697</v>
      </c>
      <c r="C2412" s="189" t="s">
        <v>128</v>
      </c>
      <c r="D2412" s="189" t="s">
        <v>321</v>
      </c>
      <c r="E2412" s="190" t="s">
        <v>1170</v>
      </c>
      <c r="F2412" s="191">
        <f t="shared" si="39"/>
        <v>279.35000000000002</v>
      </c>
      <c r="G2412" s="185"/>
      <c r="H2412" s="181"/>
      <c r="I2412" s="74"/>
      <c r="J2412" s="74"/>
      <c r="M2412" s="185"/>
      <c r="N2412" s="185"/>
      <c r="O2412" s="185"/>
      <c r="P2412" s="185"/>
      <c r="Q2412" s="185"/>
      <c r="R2412" s="185"/>
    </row>
    <row r="2413" spans="1:18" s="197" customFormat="1" ht="12.75" x14ac:dyDescent="0.2">
      <c r="A2413" s="181"/>
      <c r="B2413" s="188" t="s">
        <v>4698</v>
      </c>
      <c r="C2413" s="189" t="s">
        <v>142</v>
      </c>
      <c r="D2413" s="189" t="s">
        <v>123</v>
      </c>
      <c r="E2413" s="190" t="s">
        <v>4699</v>
      </c>
      <c r="F2413" s="191">
        <f t="shared" si="39"/>
        <v>294.45</v>
      </c>
      <c r="G2413" s="185"/>
      <c r="H2413" s="181"/>
      <c r="I2413" s="74"/>
      <c r="J2413" s="74"/>
      <c r="M2413" s="185"/>
      <c r="N2413" s="185"/>
      <c r="O2413" s="185"/>
      <c r="P2413" s="185"/>
      <c r="Q2413" s="185"/>
      <c r="R2413" s="185"/>
    </row>
    <row r="2414" spans="1:18" s="197" customFormat="1" ht="12.75" x14ac:dyDescent="0.2">
      <c r="A2414" s="181"/>
      <c r="B2414" s="188" t="s">
        <v>4700</v>
      </c>
      <c r="C2414" s="189" t="s">
        <v>134</v>
      </c>
      <c r="D2414" s="189" t="s">
        <v>123</v>
      </c>
      <c r="E2414" s="190" t="s">
        <v>4701</v>
      </c>
      <c r="F2414" s="191">
        <f t="shared" si="39"/>
        <v>200.1</v>
      </c>
      <c r="G2414" s="185"/>
      <c r="H2414" s="181"/>
      <c r="I2414" s="74"/>
      <c r="J2414" s="74"/>
      <c r="M2414" s="185"/>
      <c r="N2414" s="185"/>
      <c r="O2414" s="185"/>
      <c r="P2414" s="185"/>
      <c r="Q2414" s="185"/>
      <c r="R2414" s="185"/>
    </row>
    <row r="2415" spans="1:18" s="197" customFormat="1" ht="12.75" x14ac:dyDescent="0.2">
      <c r="A2415" s="181"/>
      <c r="B2415" s="188" t="s">
        <v>4702</v>
      </c>
      <c r="C2415" s="189" t="s">
        <v>124</v>
      </c>
      <c r="D2415" s="189" t="s">
        <v>144</v>
      </c>
      <c r="E2415" s="190" t="s">
        <v>4703</v>
      </c>
      <c r="F2415" s="191">
        <f t="shared" si="39"/>
        <v>215.25</v>
      </c>
      <c r="G2415" s="185"/>
      <c r="H2415" s="181"/>
      <c r="I2415" s="74"/>
      <c r="J2415" s="74"/>
      <c r="M2415" s="185"/>
      <c r="N2415" s="185"/>
      <c r="O2415" s="185"/>
      <c r="P2415" s="185"/>
      <c r="Q2415" s="185"/>
      <c r="R2415" s="185"/>
    </row>
    <row r="2416" spans="1:18" s="197" customFormat="1" ht="12.75" x14ac:dyDescent="0.2">
      <c r="A2416" s="181"/>
      <c r="B2416" s="188" t="s">
        <v>4704</v>
      </c>
      <c r="C2416" s="189" t="s">
        <v>140</v>
      </c>
      <c r="D2416" s="189" t="s">
        <v>123</v>
      </c>
      <c r="E2416" s="190" t="s">
        <v>4705</v>
      </c>
      <c r="F2416" s="191">
        <f t="shared" si="39"/>
        <v>236.83333333333334</v>
      </c>
      <c r="G2416" s="185"/>
      <c r="H2416" s="181"/>
      <c r="I2416" s="74"/>
      <c r="J2416" s="74"/>
      <c r="M2416" s="185"/>
      <c r="N2416" s="185"/>
      <c r="O2416" s="185"/>
      <c r="P2416" s="185"/>
      <c r="Q2416" s="185"/>
      <c r="R2416" s="185"/>
    </row>
    <row r="2417" spans="1:18" s="197" customFormat="1" ht="12.75" x14ac:dyDescent="0.2">
      <c r="A2417" s="181"/>
      <c r="B2417" s="188" t="s">
        <v>4706</v>
      </c>
      <c r="C2417" s="189" t="s">
        <v>126</v>
      </c>
      <c r="D2417" s="189" t="s">
        <v>131</v>
      </c>
      <c r="E2417" s="190" t="s">
        <v>824</v>
      </c>
      <c r="F2417" s="191">
        <f t="shared" si="39"/>
        <v>258.43333333333334</v>
      </c>
      <c r="G2417" s="185"/>
      <c r="H2417" s="181"/>
      <c r="I2417" s="74"/>
      <c r="J2417" s="74"/>
      <c r="M2417" s="185"/>
      <c r="N2417" s="185"/>
      <c r="O2417" s="185"/>
      <c r="P2417" s="185"/>
      <c r="Q2417" s="185"/>
      <c r="R2417" s="185"/>
    </row>
    <row r="2418" spans="1:18" s="197" customFormat="1" ht="12.75" x14ac:dyDescent="0.2">
      <c r="A2418" s="181"/>
      <c r="B2418" s="188" t="s">
        <v>4707</v>
      </c>
      <c r="C2418" s="189" t="s">
        <v>130</v>
      </c>
      <c r="D2418" s="189" t="s">
        <v>123</v>
      </c>
      <c r="E2418" s="190" t="s">
        <v>4708</v>
      </c>
      <c r="F2418" s="191">
        <f t="shared" si="39"/>
        <v>169.05</v>
      </c>
      <c r="G2418" s="185"/>
      <c r="H2418" s="181"/>
      <c r="I2418" s="74"/>
      <c r="J2418" s="74"/>
      <c r="M2418" s="185"/>
      <c r="N2418" s="185"/>
      <c r="O2418" s="185"/>
      <c r="P2418" s="185"/>
      <c r="Q2418" s="185"/>
      <c r="R2418" s="185"/>
    </row>
    <row r="2419" spans="1:18" s="197" customFormat="1" ht="12.75" x14ac:dyDescent="0.2">
      <c r="A2419" s="181"/>
      <c r="B2419" s="188" t="s">
        <v>4709</v>
      </c>
      <c r="C2419" s="189" t="s">
        <v>134</v>
      </c>
      <c r="D2419" s="189" t="s">
        <v>123</v>
      </c>
      <c r="E2419" s="190" t="s">
        <v>4710</v>
      </c>
      <c r="F2419" s="191">
        <f t="shared" si="39"/>
        <v>218.88333333333333</v>
      </c>
      <c r="G2419" s="185"/>
      <c r="H2419" s="181"/>
      <c r="I2419" s="74"/>
      <c r="J2419" s="74"/>
      <c r="M2419" s="185"/>
      <c r="N2419" s="185"/>
      <c r="O2419" s="185"/>
      <c r="P2419" s="185"/>
      <c r="Q2419" s="185"/>
      <c r="R2419" s="185"/>
    </row>
    <row r="2420" spans="1:18" s="197" customFormat="1" ht="12.75" x14ac:dyDescent="0.2">
      <c r="A2420" s="181"/>
      <c r="B2420" s="188" t="s">
        <v>4711</v>
      </c>
      <c r="C2420" s="189" t="s">
        <v>126</v>
      </c>
      <c r="D2420" s="189" t="s">
        <v>123</v>
      </c>
      <c r="E2420" s="190" t="s">
        <v>4712</v>
      </c>
      <c r="F2420" s="191">
        <f t="shared" si="39"/>
        <v>241.46666666666667</v>
      </c>
      <c r="G2420" s="185"/>
      <c r="H2420" s="181"/>
      <c r="I2420" s="74"/>
      <c r="J2420" s="74"/>
      <c r="M2420" s="185"/>
      <c r="N2420" s="185"/>
      <c r="O2420" s="185"/>
      <c r="P2420" s="185"/>
      <c r="Q2420" s="185"/>
      <c r="R2420" s="185"/>
    </row>
    <row r="2421" spans="1:18" s="197" customFormat="1" ht="12.75" x14ac:dyDescent="0.2">
      <c r="A2421" s="181"/>
      <c r="B2421" s="188" t="s">
        <v>293</v>
      </c>
      <c r="C2421" s="189" t="s">
        <v>135</v>
      </c>
      <c r="D2421" s="189" t="s">
        <v>123</v>
      </c>
      <c r="E2421" s="190" t="s">
        <v>4713</v>
      </c>
      <c r="F2421" s="191">
        <f t="shared" si="39"/>
        <v>269.85000000000002</v>
      </c>
      <c r="G2421" s="185"/>
      <c r="H2421" s="181"/>
      <c r="I2421" s="74"/>
      <c r="J2421" s="74"/>
      <c r="M2421" s="185"/>
      <c r="N2421" s="185"/>
      <c r="O2421" s="185"/>
      <c r="P2421" s="185"/>
      <c r="Q2421" s="185"/>
      <c r="R2421" s="185"/>
    </row>
    <row r="2422" spans="1:18" s="197" customFormat="1" ht="12.75" x14ac:dyDescent="0.2">
      <c r="A2422" s="181"/>
      <c r="B2422" s="188" t="s">
        <v>1002</v>
      </c>
      <c r="C2422" s="189" t="s">
        <v>134</v>
      </c>
      <c r="D2422" s="189" t="s">
        <v>123</v>
      </c>
      <c r="E2422" s="190" t="s">
        <v>1003</v>
      </c>
      <c r="F2422" s="191">
        <f t="shared" si="39"/>
        <v>302.86666666666667</v>
      </c>
      <c r="G2422" s="185"/>
      <c r="H2422" s="181"/>
      <c r="I2422" s="74"/>
      <c r="J2422" s="74"/>
      <c r="M2422" s="185"/>
      <c r="N2422" s="185"/>
      <c r="O2422" s="185"/>
      <c r="P2422" s="185"/>
      <c r="Q2422" s="185"/>
      <c r="R2422" s="185"/>
    </row>
    <row r="2423" spans="1:18" s="197" customFormat="1" ht="12.75" x14ac:dyDescent="0.2">
      <c r="A2423" s="181"/>
      <c r="B2423" s="188" t="s">
        <v>4714</v>
      </c>
      <c r="C2423" s="189" t="s">
        <v>126</v>
      </c>
      <c r="D2423" s="189" t="s">
        <v>123</v>
      </c>
      <c r="E2423" s="190" t="s">
        <v>4715</v>
      </c>
      <c r="F2423" s="191">
        <f t="shared" si="39"/>
        <v>252.65</v>
      </c>
      <c r="G2423" s="185"/>
      <c r="H2423" s="181"/>
      <c r="I2423" s="74"/>
      <c r="J2423" s="74"/>
      <c r="M2423" s="185"/>
      <c r="N2423" s="185"/>
      <c r="O2423" s="185"/>
      <c r="P2423" s="185"/>
      <c r="Q2423" s="185"/>
      <c r="R2423" s="185"/>
    </row>
    <row r="2424" spans="1:18" s="197" customFormat="1" ht="12.75" x14ac:dyDescent="0.2">
      <c r="A2424" s="181"/>
      <c r="B2424" s="188" t="s">
        <v>4716</v>
      </c>
      <c r="C2424" s="189" t="s">
        <v>140</v>
      </c>
      <c r="D2424" s="189" t="s">
        <v>132</v>
      </c>
      <c r="E2424" s="190" t="s">
        <v>4717</v>
      </c>
      <c r="F2424" s="191">
        <f t="shared" si="39"/>
        <v>298.45</v>
      </c>
      <c r="G2424" s="185"/>
      <c r="H2424" s="181"/>
      <c r="I2424" s="74"/>
      <c r="J2424" s="74"/>
      <c r="M2424" s="185"/>
      <c r="N2424" s="185"/>
      <c r="O2424" s="185"/>
      <c r="P2424" s="185"/>
      <c r="Q2424" s="185"/>
      <c r="R2424" s="185"/>
    </row>
    <row r="2425" spans="1:18" s="197" customFormat="1" ht="12.75" x14ac:dyDescent="0.2">
      <c r="A2425" s="181"/>
      <c r="B2425" s="188" t="s">
        <v>4718</v>
      </c>
      <c r="C2425" s="189" t="s">
        <v>142</v>
      </c>
      <c r="D2425" s="189" t="s">
        <v>123</v>
      </c>
      <c r="E2425" s="190" t="s">
        <v>3278</v>
      </c>
      <c r="F2425" s="191">
        <f t="shared" si="39"/>
        <v>241.13333333333333</v>
      </c>
      <c r="G2425" s="185"/>
      <c r="H2425" s="181"/>
      <c r="I2425" s="74"/>
      <c r="J2425" s="74"/>
      <c r="M2425" s="185"/>
      <c r="N2425" s="185"/>
      <c r="O2425" s="185"/>
      <c r="P2425" s="185"/>
      <c r="Q2425" s="185"/>
      <c r="R2425" s="185"/>
    </row>
    <row r="2426" spans="1:18" s="197" customFormat="1" ht="12.75" x14ac:dyDescent="0.2">
      <c r="A2426" s="181"/>
      <c r="B2426" s="188" t="s">
        <v>1090</v>
      </c>
      <c r="C2426" s="189" t="s">
        <v>134</v>
      </c>
      <c r="D2426" s="189" t="s">
        <v>132</v>
      </c>
      <c r="E2426" s="190" t="s">
        <v>1091</v>
      </c>
      <c r="F2426" s="191">
        <f t="shared" si="39"/>
        <v>303.48333333333335</v>
      </c>
      <c r="G2426" s="185"/>
      <c r="H2426" s="181"/>
      <c r="I2426" s="74"/>
      <c r="J2426" s="74"/>
      <c r="M2426" s="185"/>
      <c r="N2426" s="185"/>
      <c r="O2426" s="185"/>
      <c r="P2426" s="185"/>
      <c r="Q2426" s="185"/>
      <c r="R2426" s="185"/>
    </row>
    <row r="2427" spans="1:18" s="197" customFormat="1" ht="12.75" x14ac:dyDescent="0.2">
      <c r="A2427" s="181"/>
      <c r="B2427" s="188" t="s">
        <v>197</v>
      </c>
      <c r="C2427" s="189" t="s">
        <v>124</v>
      </c>
      <c r="D2427" s="189" t="s">
        <v>127</v>
      </c>
      <c r="E2427" s="190" t="s">
        <v>4719</v>
      </c>
      <c r="F2427" s="191">
        <f t="shared" si="39"/>
        <v>284.60000000000002</v>
      </c>
      <c r="G2427" s="185"/>
      <c r="H2427" s="181"/>
      <c r="I2427" s="74"/>
      <c r="J2427" s="74"/>
      <c r="M2427" s="185"/>
      <c r="N2427" s="185"/>
      <c r="O2427" s="185"/>
      <c r="P2427" s="185"/>
      <c r="Q2427" s="185"/>
      <c r="R2427" s="185"/>
    </row>
    <row r="2428" spans="1:18" s="197" customFormat="1" ht="12.75" x14ac:dyDescent="0.2">
      <c r="A2428" s="181"/>
      <c r="B2428" s="188" t="s">
        <v>4720</v>
      </c>
      <c r="C2428" s="189" t="s">
        <v>136</v>
      </c>
      <c r="D2428" s="189" t="s">
        <v>165</v>
      </c>
      <c r="E2428" s="190" t="s">
        <v>2043</v>
      </c>
      <c r="F2428" s="191">
        <f t="shared" si="39"/>
        <v>231.5</v>
      </c>
      <c r="G2428" s="185"/>
      <c r="H2428" s="181"/>
      <c r="I2428" s="74"/>
      <c r="J2428" s="74"/>
      <c r="M2428" s="185"/>
      <c r="N2428" s="185"/>
      <c r="O2428" s="185"/>
      <c r="P2428" s="185"/>
      <c r="Q2428" s="185"/>
      <c r="R2428" s="185"/>
    </row>
    <row r="2429" spans="1:18" s="197" customFormat="1" ht="12.75" x14ac:dyDescent="0.2">
      <c r="A2429" s="181"/>
      <c r="B2429" s="188" t="s">
        <v>4721</v>
      </c>
      <c r="C2429" s="189" t="s">
        <v>142</v>
      </c>
      <c r="D2429" s="189" t="s">
        <v>123</v>
      </c>
      <c r="E2429" s="190" t="s">
        <v>4722</v>
      </c>
      <c r="F2429" s="191">
        <f t="shared" si="39"/>
        <v>224.7</v>
      </c>
      <c r="G2429" s="185"/>
      <c r="H2429" s="181"/>
      <c r="I2429" s="74"/>
      <c r="J2429" s="74"/>
      <c r="M2429" s="185"/>
      <c r="N2429" s="185"/>
      <c r="O2429" s="185"/>
      <c r="P2429" s="185"/>
      <c r="Q2429" s="185"/>
      <c r="R2429" s="185"/>
    </row>
    <row r="2430" spans="1:18" s="197" customFormat="1" ht="12.75" x14ac:dyDescent="0.2">
      <c r="A2430" s="181"/>
      <c r="B2430" s="188" t="s">
        <v>4723</v>
      </c>
      <c r="C2430" s="189" t="s">
        <v>130</v>
      </c>
      <c r="D2430" s="189" t="s">
        <v>123</v>
      </c>
      <c r="E2430" s="190" t="s">
        <v>1426</v>
      </c>
      <c r="F2430" s="191">
        <f t="shared" si="39"/>
        <v>238.05</v>
      </c>
      <c r="G2430" s="185"/>
      <c r="H2430" s="181"/>
      <c r="I2430" s="74"/>
      <c r="J2430" s="74"/>
      <c r="M2430" s="185"/>
      <c r="N2430" s="185"/>
      <c r="O2430" s="185"/>
      <c r="P2430" s="185"/>
      <c r="Q2430" s="185"/>
      <c r="R2430" s="185"/>
    </row>
    <row r="2431" spans="1:18" s="197" customFormat="1" ht="12.75" x14ac:dyDescent="0.2">
      <c r="A2431" s="181"/>
      <c r="B2431" s="188" t="s">
        <v>4724</v>
      </c>
      <c r="C2431" s="189" t="s">
        <v>125</v>
      </c>
      <c r="D2431" s="189" t="s">
        <v>123</v>
      </c>
      <c r="E2431" s="190" t="s">
        <v>4725</v>
      </c>
      <c r="F2431" s="191">
        <f t="shared" si="39"/>
        <v>212.11666666666667</v>
      </c>
      <c r="G2431" s="185"/>
      <c r="H2431" s="181"/>
      <c r="I2431" s="74"/>
      <c r="J2431" s="74"/>
      <c r="M2431" s="185"/>
      <c r="N2431" s="185"/>
      <c r="O2431" s="185"/>
      <c r="P2431" s="185"/>
      <c r="Q2431" s="185"/>
      <c r="R2431" s="185"/>
    </row>
    <row r="2432" spans="1:18" s="197" customFormat="1" ht="12.75" x14ac:dyDescent="0.2">
      <c r="A2432" s="181"/>
      <c r="B2432" s="188" t="s">
        <v>503</v>
      </c>
      <c r="C2432" s="189" t="s">
        <v>125</v>
      </c>
      <c r="D2432" s="189" t="s">
        <v>263</v>
      </c>
      <c r="E2432" s="190" t="s">
        <v>3936</v>
      </c>
      <c r="F2432" s="191">
        <f t="shared" si="39"/>
        <v>250.98333333333332</v>
      </c>
      <c r="G2432" s="185"/>
      <c r="H2432" s="181"/>
      <c r="I2432" s="74"/>
      <c r="J2432" s="74"/>
      <c r="M2432" s="185"/>
      <c r="N2432" s="185"/>
      <c r="O2432" s="185"/>
      <c r="P2432" s="185"/>
      <c r="Q2432" s="185"/>
      <c r="R2432" s="185"/>
    </row>
    <row r="2433" spans="1:18" s="197" customFormat="1" ht="12.75" x14ac:dyDescent="0.2">
      <c r="A2433" s="181"/>
      <c r="B2433" s="188" t="s">
        <v>4726</v>
      </c>
      <c r="C2433" s="189" t="s">
        <v>135</v>
      </c>
      <c r="D2433" s="189" t="s">
        <v>160</v>
      </c>
      <c r="E2433" s="190" t="s">
        <v>4727</v>
      </c>
      <c r="F2433" s="191">
        <f t="shared" si="39"/>
        <v>278.86666666666667</v>
      </c>
      <c r="G2433" s="185"/>
      <c r="H2433" s="181"/>
      <c r="I2433" s="74"/>
      <c r="J2433" s="74"/>
      <c r="M2433" s="185"/>
      <c r="N2433" s="185"/>
      <c r="O2433" s="185"/>
      <c r="P2433" s="185"/>
      <c r="Q2433" s="185"/>
      <c r="R2433" s="185"/>
    </row>
    <row r="2434" spans="1:18" s="197" customFormat="1" ht="12.75" x14ac:dyDescent="0.2">
      <c r="A2434" s="181"/>
      <c r="B2434" s="188" t="s">
        <v>4728</v>
      </c>
      <c r="C2434" s="189" t="s">
        <v>126</v>
      </c>
      <c r="D2434" s="189" t="s">
        <v>148</v>
      </c>
      <c r="E2434" s="190" t="s">
        <v>4729</v>
      </c>
      <c r="F2434" s="191">
        <f t="shared" si="39"/>
        <v>238.65</v>
      </c>
      <c r="G2434" s="185"/>
      <c r="H2434" s="181"/>
      <c r="I2434" s="74"/>
      <c r="J2434" s="74"/>
      <c r="M2434" s="185"/>
      <c r="N2434" s="185"/>
      <c r="O2434" s="185"/>
      <c r="P2434" s="185"/>
      <c r="Q2434" s="185"/>
      <c r="R2434" s="185"/>
    </row>
    <row r="2435" spans="1:18" s="197" customFormat="1" ht="12.75" x14ac:dyDescent="0.2">
      <c r="A2435" s="181"/>
      <c r="B2435" s="188" t="s">
        <v>4730</v>
      </c>
      <c r="C2435" s="189" t="s">
        <v>130</v>
      </c>
      <c r="D2435" s="189" t="s">
        <v>131</v>
      </c>
      <c r="E2435" s="190" t="s">
        <v>3101</v>
      </c>
      <c r="F2435" s="191">
        <f t="shared" si="39"/>
        <v>224.25</v>
      </c>
      <c r="G2435" s="185"/>
      <c r="H2435" s="181"/>
      <c r="I2435" s="74"/>
      <c r="J2435" s="74"/>
      <c r="M2435" s="185"/>
      <c r="N2435" s="185"/>
      <c r="O2435" s="185"/>
      <c r="P2435" s="185"/>
      <c r="Q2435" s="185"/>
      <c r="R2435" s="185"/>
    </row>
    <row r="2436" spans="1:18" s="197" customFormat="1" ht="12.75" x14ac:dyDescent="0.2">
      <c r="A2436" s="181"/>
      <c r="B2436" s="188" t="s">
        <v>4284</v>
      </c>
      <c r="C2436" s="189" t="s">
        <v>125</v>
      </c>
      <c r="D2436" s="189" t="s">
        <v>123</v>
      </c>
      <c r="E2436" s="190" t="s">
        <v>3538</v>
      </c>
      <c r="F2436" s="191">
        <f t="shared" si="39"/>
        <v>232.08333333333334</v>
      </c>
      <c r="G2436" s="185"/>
      <c r="H2436" s="181"/>
      <c r="I2436" s="74"/>
      <c r="J2436" s="74"/>
      <c r="M2436" s="185"/>
      <c r="N2436" s="185"/>
      <c r="O2436" s="185"/>
      <c r="P2436" s="185"/>
      <c r="Q2436" s="185"/>
      <c r="R2436" s="185"/>
    </row>
    <row r="2437" spans="1:18" s="197" customFormat="1" ht="12.75" x14ac:dyDescent="0.2">
      <c r="A2437" s="181"/>
      <c r="B2437" s="188" t="s">
        <v>4731</v>
      </c>
      <c r="C2437" s="189" t="s">
        <v>124</v>
      </c>
      <c r="D2437" s="189" t="s">
        <v>123</v>
      </c>
      <c r="E2437" s="190" t="s">
        <v>4732</v>
      </c>
      <c r="F2437" s="191">
        <f t="shared" si="39"/>
        <v>226.06666666666666</v>
      </c>
      <c r="G2437" s="185"/>
      <c r="H2437" s="181"/>
      <c r="I2437" s="74"/>
      <c r="J2437" s="74"/>
      <c r="M2437" s="185"/>
      <c r="N2437" s="185"/>
      <c r="O2437" s="185"/>
      <c r="P2437" s="185"/>
      <c r="Q2437" s="185"/>
      <c r="R2437" s="185"/>
    </row>
    <row r="2438" spans="1:18" s="197" customFormat="1" ht="12.75" x14ac:dyDescent="0.2">
      <c r="A2438" s="181"/>
      <c r="B2438" s="188" t="s">
        <v>266</v>
      </c>
      <c r="C2438" s="189" t="s">
        <v>142</v>
      </c>
      <c r="D2438" s="189" t="s">
        <v>123</v>
      </c>
      <c r="E2438" s="190" t="s">
        <v>4733</v>
      </c>
      <c r="F2438" s="191">
        <f t="shared" si="39"/>
        <v>259.61666666666667</v>
      </c>
      <c r="G2438" s="185"/>
      <c r="H2438" s="181"/>
      <c r="I2438" s="74"/>
      <c r="J2438" s="74"/>
      <c r="M2438" s="185"/>
      <c r="N2438" s="185"/>
      <c r="O2438" s="185"/>
      <c r="P2438" s="185"/>
      <c r="Q2438" s="185"/>
      <c r="R2438" s="185"/>
    </row>
    <row r="2439" spans="1:18" s="197" customFormat="1" ht="12.75" x14ac:dyDescent="0.2">
      <c r="A2439" s="181"/>
      <c r="B2439" s="188" t="s">
        <v>4734</v>
      </c>
      <c r="C2439" s="189" t="s">
        <v>134</v>
      </c>
      <c r="D2439" s="189" t="s">
        <v>123</v>
      </c>
      <c r="E2439" s="190" t="s">
        <v>4735</v>
      </c>
      <c r="F2439" s="191">
        <f t="shared" si="39"/>
        <v>253.28333333333333</v>
      </c>
      <c r="G2439" s="185"/>
      <c r="H2439" s="181"/>
      <c r="I2439" s="74"/>
      <c r="J2439" s="74"/>
      <c r="M2439" s="185"/>
      <c r="N2439" s="185"/>
      <c r="O2439" s="185"/>
      <c r="P2439" s="185"/>
      <c r="Q2439" s="185"/>
      <c r="R2439" s="185"/>
    </row>
    <row r="2440" spans="1:18" s="197" customFormat="1" ht="12.75" x14ac:dyDescent="0.2">
      <c r="A2440" s="181"/>
      <c r="B2440" s="188" t="s">
        <v>4736</v>
      </c>
      <c r="C2440" s="189" t="s">
        <v>142</v>
      </c>
      <c r="D2440" s="189" t="s">
        <v>132</v>
      </c>
      <c r="E2440" s="190" t="s">
        <v>4737</v>
      </c>
      <c r="F2440" s="191">
        <f t="shared" si="39"/>
        <v>279.33333333333331</v>
      </c>
      <c r="G2440" s="185"/>
      <c r="H2440" s="181"/>
      <c r="I2440" s="74"/>
      <c r="J2440" s="74"/>
      <c r="M2440" s="185"/>
      <c r="N2440" s="185"/>
      <c r="O2440" s="185"/>
      <c r="P2440" s="185"/>
      <c r="Q2440" s="185"/>
      <c r="R2440" s="185"/>
    </row>
    <row r="2441" spans="1:18" s="197" customFormat="1" ht="12.75" x14ac:dyDescent="0.2">
      <c r="A2441" s="181"/>
      <c r="B2441" s="188" t="s">
        <v>4738</v>
      </c>
      <c r="C2441" s="189" t="s">
        <v>130</v>
      </c>
      <c r="D2441" s="189" t="s">
        <v>123</v>
      </c>
      <c r="E2441" s="190" t="s">
        <v>4739</v>
      </c>
      <c r="F2441" s="191">
        <f t="shared" si="39"/>
        <v>233.11666666666667</v>
      </c>
      <c r="G2441" s="185"/>
      <c r="H2441" s="181"/>
      <c r="I2441" s="74"/>
      <c r="J2441" s="74"/>
      <c r="M2441" s="185"/>
      <c r="N2441" s="185"/>
      <c r="O2441" s="185"/>
      <c r="P2441" s="185"/>
      <c r="Q2441" s="185"/>
      <c r="R2441" s="185"/>
    </row>
    <row r="2442" spans="1:18" s="197" customFormat="1" ht="12.75" x14ac:dyDescent="0.2">
      <c r="A2442" s="181"/>
      <c r="B2442" s="188" t="s">
        <v>4740</v>
      </c>
      <c r="C2442" s="189" t="s">
        <v>134</v>
      </c>
      <c r="D2442" s="189" t="s">
        <v>133</v>
      </c>
      <c r="E2442" s="190" t="s">
        <v>4741</v>
      </c>
      <c r="F2442" s="191">
        <f t="shared" si="39"/>
        <v>235.16666666666666</v>
      </c>
      <c r="G2442" s="185"/>
      <c r="H2442" s="181"/>
      <c r="I2442" s="74"/>
      <c r="J2442" s="74"/>
      <c r="M2442" s="185"/>
      <c r="N2442" s="185"/>
      <c r="O2442" s="185"/>
      <c r="P2442" s="185"/>
      <c r="Q2442" s="185"/>
      <c r="R2442" s="185"/>
    </row>
    <row r="2443" spans="1:18" s="197" customFormat="1" ht="12.75" x14ac:dyDescent="0.2">
      <c r="A2443" s="181"/>
      <c r="B2443" s="188" t="s">
        <v>4742</v>
      </c>
      <c r="C2443" s="189" t="s">
        <v>136</v>
      </c>
      <c r="D2443" s="189" t="s">
        <v>151</v>
      </c>
      <c r="E2443" s="190" t="s">
        <v>4743</v>
      </c>
      <c r="F2443" s="191">
        <f t="shared" ref="F2443:F2506" si="40">HOUR(E2443)*60+MINUTE(E2443)+SECOND(E2443)/60</f>
        <v>333.2</v>
      </c>
      <c r="G2443" s="185"/>
      <c r="H2443" s="181"/>
      <c r="I2443" s="74"/>
      <c r="J2443" s="74"/>
      <c r="M2443" s="185"/>
      <c r="N2443" s="185"/>
      <c r="O2443" s="185"/>
      <c r="P2443" s="185"/>
      <c r="Q2443" s="185"/>
      <c r="R2443" s="185"/>
    </row>
    <row r="2444" spans="1:18" s="197" customFormat="1" ht="12.75" x14ac:dyDescent="0.2">
      <c r="A2444" s="181"/>
      <c r="B2444" s="188" t="s">
        <v>4744</v>
      </c>
      <c r="C2444" s="189" t="s">
        <v>128</v>
      </c>
      <c r="D2444" s="189" t="s">
        <v>314</v>
      </c>
      <c r="E2444" s="190" t="s">
        <v>4745</v>
      </c>
      <c r="F2444" s="191">
        <f t="shared" si="40"/>
        <v>271.16666666666669</v>
      </c>
      <c r="G2444" s="185"/>
      <c r="H2444" s="181"/>
      <c r="I2444" s="74"/>
      <c r="J2444" s="74"/>
      <c r="M2444" s="185"/>
      <c r="N2444" s="185"/>
      <c r="O2444" s="185"/>
      <c r="P2444" s="185"/>
      <c r="Q2444" s="185"/>
      <c r="R2444" s="185"/>
    </row>
    <row r="2445" spans="1:18" s="197" customFormat="1" ht="12.75" x14ac:dyDescent="0.2">
      <c r="A2445" s="181"/>
      <c r="B2445" s="188" t="s">
        <v>4746</v>
      </c>
      <c r="C2445" s="189" t="s">
        <v>125</v>
      </c>
      <c r="D2445" s="189" t="s">
        <v>123</v>
      </c>
      <c r="E2445" s="190" t="s">
        <v>4747</v>
      </c>
      <c r="F2445" s="191">
        <f t="shared" si="40"/>
        <v>279.66666666666669</v>
      </c>
      <c r="G2445" s="185"/>
      <c r="H2445" s="181"/>
      <c r="I2445" s="74"/>
      <c r="J2445" s="74"/>
      <c r="M2445" s="185"/>
      <c r="N2445" s="185"/>
      <c r="O2445" s="185"/>
      <c r="P2445" s="185"/>
      <c r="Q2445" s="185"/>
      <c r="R2445" s="185"/>
    </row>
    <row r="2446" spans="1:18" s="197" customFormat="1" ht="12.75" x14ac:dyDescent="0.2">
      <c r="A2446" s="181"/>
      <c r="B2446" s="188" t="s">
        <v>509</v>
      </c>
      <c r="C2446" s="189" t="s">
        <v>124</v>
      </c>
      <c r="D2446" s="189" t="s">
        <v>131</v>
      </c>
      <c r="E2446" s="190" t="s">
        <v>4748</v>
      </c>
      <c r="F2446" s="191">
        <f t="shared" si="40"/>
        <v>314.64999999999998</v>
      </c>
      <c r="G2446" s="185"/>
      <c r="H2446" s="181"/>
      <c r="I2446" s="74"/>
      <c r="J2446" s="74"/>
      <c r="M2446" s="185"/>
      <c r="N2446" s="185"/>
      <c r="O2446" s="185"/>
      <c r="P2446" s="185"/>
      <c r="Q2446" s="185"/>
      <c r="R2446" s="185"/>
    </row>
    <row r="2447" spans="1:18" s="197" customFormat="1" ht="12.75" x14ac:dyDescent="0.2">
      <c r="A2447" s="181"/>
      <c r="B2447" s="188" t="s">
        <v>4749</v>
      </c>
      <c r="C2447" s="189" t="s">
        <v>128</v>
      </c>
      <c r="D2447" s="189" t="s">
        <v>157</v>
      </c>
      <c r="E2447" s="190" t="s">
        <v>4750</v>
      </c>
      <c r="F2447" s="191">
        <f t="shared" si="40"/>
        <v>218.66666666666666</v>
      </c>
      <c r="G2447" s="185"/>
      <c r="H2447" s="181"/>
      <c r="I2447" s="74"/>
      <c r="J2447" s="74"/>
      <c r="M2447" s="185"/>
      <c r="N2447" s="185"/>
      <c r="O2447" s="185"/>
      <c r="P2447" s="185"/>
      <c r="Q2447" s="185"/>
      <c r="R2447" s="185"/>
    </row>
    <row r="2448" spans="1:18" s="197" customFormat="1" ht="12.75" x14ac:dyDescent="0.2">
      <c r="A2448" s="181"/>
      <c r="B2448" s="188" t="s">
        <v>237</v>
      </c>
      <c r="C2448" s="189" t="s">
        <v>142</v>
      </c>
      <c r="D2448" s="189" t="s">
        <v>260</v>
      </c>
      <c r="E2448" s="190" t="s">
        <v>4751</v>
      </c>
      <c r="F2448" s="191">
        <f t="shared" si="40"/>
        <v>261.06666666666666</v>
      </c>
      <c r="G2448" s="185"/>
      <c r="H2448" s="181"/>
      <c r="I2448" s="74"/>
      <c r="J2448" s="74"/>
      <c r="M2448" s="185"/>
      <c r="N2448" s="185"/>
      <c r="O2448" s="185"/>
      <c r="P2448" s="185"/>
      <c r="Q2448" s="185"/>
      <c r="R2448" s="185"/>
    </row>
    <row r="2449" spans="1:18" s="197" customFormat="1" ht="12.75" x14ac:dyDescent="0.2">
      <c r="A2449" s="181"/>
      <c r="B2449" s="188" t="s">
        <v>3206</v>
      </c>
      <c r="C2449" s="189" t="s">
        <v>126</v>
      </c>
      <c r="D2449" s="189" t="s">
        <v>123</v>
      </c>
      <c r="E2449" s="190" t="s">
        <v>2760</v>
      </c>
      <c r="F2449" s="191">
        <f t="shared" si="40"/>
        <v>221.7</v>
      </c>
      <c r="G2449" s="185"/>
      <c r="H2449" s="181"/>
      <c r="I2449" s="74"/>
      <c r="J2449" s="74"/>
      <c r="M2449" s="185"/>
      <c r="N2449" s="185"/>
      <c r="O2449" s="185"/>
      <c r="P2449" s="185"/>
      <c r="Q2449" s="185"/>
      <c r="R2449" s="185"/>
    </row>
    <row r="2450" spans="1:18" s="197" customFormat="1" ht="12.75" x14ac:dyDescent="0.2">
      <c r="A2450" s="181"/>
      <c r="B2450" s="188" t="s">
        <v>4752</v>
      </c>
      <c r="C2450" s="189" t="s">
        <v>135</v>
      </c>
      <c r="D2450" s="189" t="s">
        <v>123</v>
      </c>
      <c r="E2450" s="190" t="s">
        <v>4753</v>
      </c>
      <c r="F2450" s="191">
        <f t="shared" si="40"/>
        <v>229.66666666666666</v>
      </c>
      <c r="G2450" s="185"/>
      <c r="H2450" s="181"/>
      <c r="I2450" s="74"/>
      <c r="J2450" s="74"/>
      <c r="M2450" s="185"/>
      <c r="N2450" s="185"/>
      <c r="O2450" s="185"/>
      <c r="P2450" s="185"/>
      <c r="Q2450" s="185"/>
      <c r="R2450" s="185"/>
    </row>
    <row r="2451" spans="1:18" s="197" customFormat="1" ht="12.75" x14ac:dyDescent="0.2">
      <c r="A2451" s="181"/>
      <c r="B2451" s="188" t="s">
        <v>4754</v>
      </c>
      <c r="C2451" s="189" t="s">
        <v>135</v>
      </c>
      <c r="D2451" s="189" t="s">
        <v>123</v>
      </c>
      <c r="E2451" s="190" t="s">
        <v>4755</v>
      </c>
      <c r="F2451" s="191">
        <f t="shared" si="40"/>
        <v>286.7</v>
      </c>
      <c r="G2451" s="185"/>
      <c r="H2451" s="181"/>
      <c r="I2451" s="74"/>
      <c r="J2451" s="74"/>
      <c r="M2451" s="185"/>
      <c r="N2451" s="185"/>
      <c r="O2451" s="185"/>
      <c r="P2451" s="185"/>
      <c r="Q2451" s="185"/>
      <c r="R2451" s="185"/>
    </row>
    <row r="2452" spans="1:18" s="197" customFormat="1" ht="12.75" x14ac:dyDescent="0.2">
      <c r="A2452" s="181"/>
      <c r="B2452" s="188" t="s">
        <v>4756</v>
      </c>
      <c r="C2452" s="189" t="s">
        <v>125</v>
      </c>
      <c r="D2452" s="189" t="s">
        <v>148</v>
      </c>
      <c r="E2452" s="190" t="s">
        <v>4667</v>
      </c>
      <c r="F2452" s="191">
        <f t="shared" si="40"/>
        <v>199.46666666666667</v>
      </c>
      <c r="G2452" s="185"/>
      <c r="H2452" s="181"/>
      <c r="I2452" s="74"/>
      <c r="J2452" s="74"/>
      <c r="M2452" s="185"/>
      <c r="N2452" s="185"/>
      <c r="O2452" s="185"/>
      <c r="P2452" s="185"/>
      <c r="Q2452" s="185"/>
      <c r="R2452" s="185"/>
    </row>
    <row r="2453" spans="1:18" s="197" customFormat="1" ht="12.75" x14ac:dyDescent="0.2">
      <c r="A2453" s="181"/>
      <c r="B2453" s="188" t="s">
        <v>4757</v>
      </c>
      <c r="C2453" s="189" t="s">
        <v>124</v>
      </c>
      <c r="D2453" s="189" t="s">
        <v>123</v>
      </c>
      <c r="E2453" s="190" t="s">
        <v>4758</v>
      </c>
      <c r="F2453" s="191">
        <f t="shared" si="40"/>
        <v>218.16666666666666</v>
      </c>
      <c r="G2453" s="185"/>
      <c r="H2453" s="181"/>
      <c r="I2453" s="74"/>
      <c r="J2453" s="74"/>
      <c r="M2453" s="185"/>
      <c r="N2453" s="185"/>
      <c r="O2453" s="185"/>
      <c r="P2453" s="185"/>
      <c r="Q2453" s="185"/>
      <c r="R2453" s="185"/>
    </row>
    <row r="2454" spans="1:18" s="197" customFormat="1" ht="12.75" x14ac:dyDescent="0.2">
      <c r="A2454" s="181"/>
      <c r="B2454" s="188" t="s">
        <v>4759</v>
      </c>
      <c r="C2454" s="189" t="s">
        <v>125</v>
      </c>
      <c r="D2454" s="189" t="s">
        <v>123</v>
      </c>
      <c r="E2454" s="190" t="s">
        <v>1125</v>
      </c>
      <c r="F2454" s="191">
        <f t="shared" si="40"/>
        <v>220.16666666666666</v>
      </c>
      <c r="G2454" s="185"/>
      <c r="H2454" s="181"/>
      <c r="I2454" s="74"/>
      <c r="J2454" s="74"/>
      <c r="M2454" s="185"/>
      <c r="N2454" s="185"/>
      <c r="O2454" s="185"/>
      <c r="P2454" s="185"/>
      <c r="Q2454" s="185"/>
      <c r="R2454" s="185"/>
    </row>
    <row r="2455" spans="1:18" s="197" customFormat="1" ht="12.75" x14ac:dyDescent="0.2">
      <c r="A2455" s="181"/>
      <c r="B2455" s="188" t="s">
        <v>4760</v>
      </c>
      <c r="C2455" s="189" t="s">
        <v>126</v>
      </c>
      <c r="D2455" s="189" t="s">
        <v>123</v>
      </c>
      <c r="E2455" s="190" t="s">
        <v>4761</v>
      </c>
      <c r="F2455" s="191">
        <f t="shared" si="40"/>
        <v>236.6</v>
      </c>
      <c r="G2455" s="185"/>
      <c r="H2455" s="181"/>
      <c r="I2455" s="74"/>
      <c r="J2455" s="74"/>
      <c r="M2455" s="185"/>
      <c r="N2455" s="185"/>
      <c r="O2455" s="185"/>
      <c r="P2455" s="185"/>
      <c r="Q2455" s="185"/>
      <c r="R2455" s="185"/>
    </row>
    <row r="2456" spans="1:18" s="197" customFormat="1" ht="12.75" x14ac:dyDescent="0.2">
      <c r="A2456" s="181"/>
      <c r="B2456" s="188" t="s">
        <v>4762</v>
      </c>
      <c r="C2456" s="189" t="s">
        <v>130</v>
      </c>
      <c r="D2456" s="189" t="s">
        <v>123</v>
      </c>
      <c r="E2456" s="190" t="s">
        <v>4763</v>
      </c>
      <c r="F2456" s="191">
        <f t="shared" si="40"/>
        <v>179.33333333333334</v>
      </c>
      <c r="G2456" s="185"/>
      <c r="H2456" s="181"/>
      <c r="I2456" s="74"/>
      <c r="J2456" s="74"/>
      <c r="M2456" s="185"/>
      <c r="N2456" s="185"/>
      <c r="O2456" s="185"/>
      <c r="P2456" s="185"/>
      <c r="Q2456" s="185"/>
      <c r="R2456" s="185"/>
    </row>
    <row r="2457" spans="1:18" s="197" customFormat="1" ht="12.75" x14ac:dyDescent="0.2">
      <c r="A2457" s="181"/>
      <c r="B2457" s="188" t="s">
        <v>4764</v>
      </c>
      <c r="C2457" s="189" t="s">
        <v>124</v>
      </c>
      <c r="D2457" s="189" t="s">
        <v>123</v>
      </c>
      <c r="E2457" s="190" t="s">
        <v>4765</v>
      </c>
      <c r="F2457" s="191">
        <f t="shared" si="40"/>
        <v>212.25</v>
      </c>
      <c r="G2457" s="185"/>
      <c r="H2457" s="181"/>
      <c r="I2457" s="74"/>
      <c r="J2457" s="74"/>
      <c r="M2457" s="185"/>
      <c r="N2457" s="185"/>
      <c r="O2457" s="185"/>
      <c r="P2457" s="185"/>
      <c r="Q2457" s="185"/>
      <c r="R2457" s="185"/>
    </row>
    <row r="2458" spans="1:18" s="197" customFormat="1" ht="12.75" x14ac:dyDescent="0.2">
      <c r="A2458" s="181"/>
      <c r="B2458" s="188" t="s">
        <v>4766</v>
      </c>
      <c r="C2458" s="189" t="s">
        <v>124</v>
      </c>
      <c r="D2458" s="189" t="s">
        <v>309</v>
      </c>
      <c r="E2458" s="190" t="s">
        <v>4767</v>
      </c>
      <c r="F2458" s="191">
        <f t="shared" si="40"/>
        <v>265.3</v>
      </c>
      <c r="G2458" s="185"/>
      <c r="H2458" s="181"/>
      <c r="I2458" s="74"/>
      <c r="J2458" s="74"/>
      <c r="M2458" s="185"/>
      <c r="N2458" s="185"/>
      <c r="O2458" s="185"/>
      <c r="P2458" s="185"/>
      <c r="Q2458" s="185"/>
      <c r="R2458" s="185"/>
    </row>
    <row r="2459" spans="1:18" s="197" customFormat="1" ht="12.75" x14ac:dyDescent="0.2">
      <c r="A2459" s="181"/>
      <c r="B2459" s="188" t="s">
        <v>4768</v>
      </c>
      <c r="C2459" s="189" t="s">
        <v>124</v>
      </c>
      <c r="D2459" s="189" t="s">
        <v>123</v>
      </c>
      <c r="E2459" s="190" t="s">
        <v>4769</v>
      </c>
      <c r="F2459" s="191">
        <f t="shared" si="40"/>
        <v>288</v>
      </c>
      <c r="G2459" s="185"/>
      <c r="H2459" s="181"/>
      <c r="I2459" s="74"/>
      <c r="J2459" s="74"/>
      <c r="M2459" s="185"/>
      <c r="N2459" s="185"/>
      <c r="O2459" s="185"/>
      <c r="P2459" s="185"/>
      <c r="Q2459" s="185"/>
      <c r="R2459" s="185"/>
    </row>
    <row r="2460" spans="1:18" s="197" customFormat="1" ht="12.75" x14ac:dyDescent="0.2">
      <c r="A2460" s="181"/>
      <c r="B2460" s="188" t="s">
        <v>4770</v>
      </c>
      <c r="C2460" s="189" t="s">
        <v>134</v>
      </c>
      <c r="D2460" s="189" t="s">
        <v>123</v>
      </c>
      <c r="E2460" s="190" t="s">
        <v>4771</v>
      </c>
      <c r="F2460" s="191">
        <f t="shared" si="40"/>
        <v>330.3</v>
      </c>
      <c r="G2460" s="185"/>
      <c r="H2460" s="181"/>
      <c r="I2460" s="74"/>
      <c r="J2460" s="74"/>
      <c r="M2460" s="185"/>
      <c r="N2460" s="185"/>
      <c r="O2460" s="185"/>
      <c r="P2460" s="185"/>
      <c r="Q2460" s="185"/>
      <c r="R2460" s="185"/>
    </row>
    <row r="2461" spans="1:18" s="197" customFormat="1" ht="12.75" x14ac:dyDescent="0.2">
      <c r="A2461" s="181"/>
      <c r="B2461" s="188" t="s">
        <v>4772</v>
      </c>
      <c r="C2461" s="189" t="s">
        <v>124</v>
      </c>
      <c r="D2461" s="189" t="s">
        <v>123</v>
      </c>
      <c r="E2461" s="190" t="s">
        <v>4773</v>
      </c>
      <c r="F2461" s="191">
        <f t="shared" si="40"/>
        <v>286.35000000000002</v>
      </c>
      <c r="G2461" s="185"/>
      <c r="H2461" s="181"/>
      <c r="I2461" s="74"/>
      <c r="J2461" s="74"/>
      <c r="M2461" s="185"/>
      <c r="N2461" s="185"/>
      <c r="O2461" s="185"/>
      <c r="P2461" s="185"/>
      <c r="Q2461" s="185"/>
      <c r="R2461" s="185"/>
    </row>
    <row r="2462" spans="1:18" s="197" customFormat="1" ht="12.75" x14ac:dyDescent="0.2">
      <c r="A2462" s="181"/>
      <c r="B2462" s="188" t="s">
        <v>178</v>
      </c>
      <c r="C2462" s="189" t="s">
        <v>125</v>
      </c>
      <c r="D2462" s="189" t="s">
        <v>123</v>
      </c>
      <c r="E2462" s="190" t="s">
        <v>4774</v>
      </c>
      <c r="F2462" s="191">
        <f t="shared" si="40"/>
        <v>293.88333333333333</v>
      </c>
      <c r="G2462" s="185"/>
      <c r="H2462" s="181"/>
      <c r="I2462" s="74"/>
      <c r="J2462" s="74"/>
      <c r="M2462" s="185"/>
      <c r="N2462" s="185"/>
      <c r="O2462" s="185"/>
      <c r="P2462" s="185"/>
      <c r="Q2462" s="185"/>
      <c r="R2462" s="185"/>
    </row>
    <row r="2463" spans="1:18" s="197" customFormat="1" ht="12.75" x14ac:dyDescent="0.2">
      <c r="A2463" s="181"/>
      <c r="B2463" s="188" t="s">
        <v>4775</v>
      </c>
      <c r="C2463" s="189" t="s">
        <v>128</v>
      </c>
      <c r="D2463" s="189" t="s">
        <v>123</v>
      </c>
      <c r="E2463" s="190" t="s">
        <v>2237</v>
      </c>
      <c r="F2463" s="191">
        <f t="shared" si="40"/>
        <v>229.85</v>
      </c>
      <c r="G2463" s="185"/>
      <c r="H2463" s="181"/>
      <c r="I2463" s="74"/>
      <c r="J2463" s="74"/>
      <c r="M2463" s="185"/>
      <c r="N2463" s="185"/>
      <c r="O2463" s="185"/>
      <c r="P2463" s="185"/>
      <c r="Q2463" s="185"/>
      <c r="R2463" s="185"/>
    </row>
    <row r="2464" spans="1:18" s="197" customFormat="1" ht="12.75" x14ac:dyDescent="0.2">
      <c r="A2464" s="181"/>
      <c r="B2464" s="188" t="s">
        <v>4776</v>
      </c>
      <c r="C2464" s="189" t="s">
        <v>142</v>
      </c>
      <c r="D2464" s="189" t="s">
        <v>139</v>
      </c>
      <c r="E2464" s="190" t="s">
        <v>2731</v>
      </c>
      <c r="F2464" s="191">
        <f t="shared" si="40"/>
        <v>227.36666666666667</v>
      </c>
      <c r="G2464" s="185"/>
      <c r="H2464" s="181"/>
      <c r="I2464" s="74"/>
      <c r="J2464" s="74"/>
      <c r="M2464" s="185"/>
      <c r="N2464" s="185"/>
      <c r="O2464" s="185"/>
      <c r="P2464" s="185"/>
      <c r="Q2464" s="185"/>
      <c r="R2464" s="185"/>
    </row>
    <row r="2465" spans="1:18" s="197" customFormat="1" ht="12.75" x14ac:dyDescent="0.2">
      <c r="A2465" s="181"/>
      <c r="B2465" s="188" t="s">
        <v>4777</v>
      </c>
      <c r="C2465" s="189" t="s">
        <v>125</v>
      </c>
      <c r="D2465" s="189" t="s">
        <v>123</v>
      </c>
      <c r="E2465" s="190" t="s">
        <v>4778</v>
      </c>
      <c r="F2465" s="191">
        <f t="shared" si="40"/>
        <v>299</v>
      </c>
      <c r="G2465" s="185"/>
      <c r="H2465" s="181"/>
      <c r="I2465" s="74"/>
      <c r="J2465" s="74"/>
      <c r="M2465" s="185"/>
      <c r="N2465" s="185"/>
      <c r="O2465" s="185"/>
      <c r="P2465" s="185"/>
      <c r="Q2465" s="185"/>
      <c r="R2465" s="185"/>
    </row>
    <row r="2466" spans="1:18" s="197" customFormat="1" ht="12.75" x14ac:dyDescent="0.2">
      <c r="A2466" s="181"/>
      <c r="B2466" s="188" t="s">
        <v>4779</v>
      </c>
      <c r="C2466" s="189" t="s">
        <v>130</v>
      </c>
      <c r="D2466" s="189" t="s">
        <v>123</v>
      </c>
      <c r="E2466" s="190" t="s">
        <v>4780</v>
      </c>
      <c r="F2466" s="191">
        <f t="shared" si="40"/>
        <v>245.6</v>
      </c>
      <c r="G2466" s="185"/>
      <c r="H2466" s="181"/>
      <c r="I2466" s="74"/>
      <c r="J2466" s="74"/>
      <c r="M2466" s="185"/>
      <c r="N2466" s="185"/>
      <c r="O2466" s="185"/>
      <c r="P2466" s="185"/>
      <c r="Q2466" s="185"/>
      <c r="R2466" s="185"/>
    </row>
    <row r="2467" spans="1:18" s="197" customFormat="1" ht="12.75" x14ac:dyDescent="0.2">
      <c r="A2467" s="181"/>
      <c r="B2467" s="188" t="s">
        <v>4781</v>
      </c>
      <c r="C2467" s="189" t="s">
        <v>142</v>
      </c>
      <c r="D2467" s="189" t="s">
        <v>123</v>
      </c>
      <c r="E2467" s="190" t="s">
        <v>4782</v>
      </c>
      <c r="F2467" s="191">
        <f t="shared" si="40"/>
        <v>329</v>
      </c>
      <c r="G2467" s="185"/>
      <c r="H2467" s="181"/>
      <c r="I2467" s="74"/>
      <c r="J2467" s="74"/>
      <c r="M2467" s="185"/>
      <c r="N2467" s="185"/>
      <c r="O2467" s="185"/>
      <c r="P2467" s="185"/>
      <c r="Q2467" s="185"/>
      <c r="R2467" s="185"/>
    </row>
    <row r="2468" spans="1:18" s="197" customFormat="1" ht="12.75" x14ac:dyDescent="0.2">
      <c r="A2468" s="181"/>
      <c r="B2468" s="188" t="s">
        <v>4783</v>
      </c>
      <c r="C2468" s="189" t="s">
        <v>125</v>
      </c>
      <c r="D2468" s="189" t="s">
        <v>133</v>
      </c>
      <c r="E2468" s="190" t="s">
        <v>4784</v>
      </c>
      <c r="F2468" s="191">
        <f t="shared" si="40"/>
        <v>241.75</v>
      </c>
      <c r="G2468" s="185"/>
      <c r="H2468" s="181"/>
      <c r="I2468" s="74"/>
      <c r="J2468" s="74"/>
      <c r="M2468" s="185"/>
      <c r="N2468" s="185"/>
      <c r="O2468" s="185"/>
      <c r="P2468" s="185"/>
      <c r="Q2468" s="185"/>
      <c r="R2468" s="185"/>
    </row>
    <row r="2469" spans="1:18" s="197" customFormat="1" ht="12.75" x14ac:dyDescent="0.2">
      <c r="A2469" s="181"/>
      <c r="B2469" s="188" t="s">
        <v>4785</v>
      </c>
      <c r="C2469" s="189" t="s">
        <v>124</v>
      </c>
      <c r="D2469" s="189" t="s">
        <v>123</v>
      </c>
      <c r="E2469" s="190" t="s">
        <v>2777</v>
      </c>
      <c r="F2469" s="191">
        <f t="shared" si="40"/>
        <v>268.60000000000002</v>
      </c>
      <c r="G2469" s="185"/>
      <c r="H2469" s="181"/>
      <c r="I2469" s="74"/>
      <c r="J2469" s="74"/>
      <c r="M2469" s="185"/>
      <c r="N2469" s="185"/>
      <c r="O2469" s="185"/>
      <c r="P2469" s="185"/>
      <c r="Q2469" s="185"/>
      <c r="R2469" s="185"/>
    </row>
    <row r="2470" spans="1:18" s="197" customFormat="1" ht="12.75" x14ac:dyDescent="0.2">
      <c r="A2470" s="181"/>
      <c r="B2470" s="188" t="s">
        <v>4786</v>
      </c>
      <c r="C2470" s="189" t="s">
        <v>249</v>
      </c>
      <c r="D2470" s="189" t="s">
        <v>123</v>
      </c>
      <c r="E2470" s="190" t="s">
        <v>4787</v>
      </c>
      <c r="F2470" s="191">
        <f t="shared" si="40"/>
        <v>262.10000000000002</v>
      </c>
      <c r="G2470" s="185"/>
      <c r="H2470" s="181"/>
      <c r="I2470" s="74"/>
      <c r="J2470" s="74"/>
      <c r="M2470" s="185"/>
      <c r="N2470" s="185"/>
      <c r="O2470" s="185"/>
      <c r="P2470" s="185"/>
      <c r="Q2470" s="185"/>
      <c r="R2470" s="185"/>
    </row>
    <row r="2471" spans="1:18" s="197" customFormat="1" ht="12.75" x14ac:dyDescent="0.2">
      <c r="A2471" s="181"/>
      <c r="B2471" s="188" t="s">
        <v>520</v>
      </c>
      <c r="C2471" s="189" t="s">
        <v>125</v>
      </c>
      <c r="D2471" s="189" t="s">
        <v>306</v>
      </c>
      <c r="E2471" s="190" t="s">
        <v>4788</v>
      </c>
      <c r="F2471" s="191">
        <f t="shared" si="40"/>
        <v>254.53333333333333</v>
      </c>
      <c r="G2471" s="185"/>
      <c r="H2471" s="181"/>
      <c r="I2471" s="74"/>
      <c r="J2471" s="74"/>
      <c r="M2471" s="185"/>
      <c r="N2471" s="185"/>
      <c r="O2471" s="185"/>
      <c r="P2471" s="185"/>
      <c r="Q2471" s="185"/>
      <c r="R2471" s="185"/>
    </row>
    <row r="2472" spans="1:18" s="197" customFormat="1" ht="12.75" x14ac:dyDescent="0.2">
      <c r="A2472" s="181"/>
      <c r="B2472" s="188" t="s">
        <v>4789</v>
      </c>
      <c r="C2472" s="189" t="s">
        <v>130</v>
      </c>
      <c r="D2472" s="189" t="s">
        <v>152</v>
      </c>
      <c r="E2472" s="190" t="s">
        <v>4790</v>
      </c>
      <c r="F2472" s="191">
        <f t="shared" si="40"/>
        <v>326.53333333333336</v>
      </c>
      <c r="G2472" s="185"/>
      <c r="H2472" s="181"/>
      <c r="I2472" s="74"/>
      <c r="J2472" s="74"/>
      <c r="M2472" s="185"/>
      <c r="N2472" s="185"/>
      <c r="O2472" s="185"/>
      <c r="P2472" s="185"/>
      <c r="Q2472" s="185"/>
      <c r="R2472" s="185"/>
    </row>
    <row r="2473" spans="1:18" s="197" customFormat="1" ht="12.75" x14ac:dyDescent="0.2">
      <c r="A2473" s="181"/>
      <c r="B2473" s="188" t="s">
        <v>379</v>
      </c>
      <c r="C2473" s="189" t="s">
        <v>126</v>
      </c>
      <c r="D2473" s="189" t="s">
        <v>263</v>
      </c>
      <c r="E2473" s="190" t="s">
        <v>1925</v>
      </c>
      <c r="F2473" s="191">
        <f t="shared" si="40"/>
        <v>220.85</v>
      </c>
      <c r="G2473" s="185"/>
      <c r="H2473" s="181"/>
      <c r="I2473" s="74"/>
      <c r="J2473" s="74"/>
      <c r="M2473" s="185"/>
      <c r="N2473" s="185"/>
      <c r="O2473" s="185"/>
      <c r="P2473" s="185"/>
      <c r="Q2473" s="185"/>
      <c r="R2473" s="185"/>
    </row>
    <row r="2474" spans="1:18" s="197" customFormat="1" ht="12.75" x14ac:dyDescent="0.2">
      <c r="A2474" s="181"/>
      <c r="B2474" s="188" t="s">
        <v>4791</v>
      </c>
      <c r="C2474" s="189" t="s">
        <v>124</v>
      </c>
      <c r="D2474" s="189" t="s">
        <v>123</v>
      </c>
      <c r="E2474" s="190" t="s">
        <v>4792</v>
      </c>
      <c r="F2474" s="191">
        <f t="shared" si="40"/>
        <v>237.41666666666666</v>
      </c>
      <c r="G2474" s="185"/>
      <c r="H2474" s="181"/>
      <c r="I2474" s="74"/>
      <c r="J2474" s="74"/>
      <c r="M2474" s="185"/>
      <c r="N2474" s="185"/>
      <c r="O2474" s="185"/>
      <c r="P2474" s="185"/>
      <c r="Q2474" s="185"/>
      <c r="R2474" s="185"/>
    </row>
    <row r="2475" spans="1:18" s="197" customFormat="1" ht="12.75" x14ac:dyDescent="0.2">
      <c r="A2475" s="181"/>
      <c r="B2475" s="188" t="s">
        <v>4793</v>
      </c>
      <c r="C2475" s="189" t="s">
        <v>126</v>
      </c>
      <c r="D2475" s="189" t="s">
        <v>123</v>
      </c>
      <c r="E2475" s="190" t="s">
        <v>4794</v>
      </c>
      <c r="F2475" s="191">
        <f t="shared" si="40"/>
        <v>226.15</v>
      </c>
      <c r="G2475" s="185"/>
      <c r="H2475" s="181"/>
      <c r="I2475" s="74"/>
      <c r="J2475" s="74"/>
      <c r="M2475" s="185"/>
      <c r="N2475" s="185"/>
      <c r="O2475" s="185"/>
      <c r="P2475" s="185"/>
      <c r="Q2475" s="185"/>
      <c r="R2475" s="185"/>
    </row>
    <row r="2476" spans="1:18" s="197" customFormat="1" ht="12.75" x14ac:dyDescent="0.2">
      <c r="A2476" s="181"/>
      <c r="B2476" s="188" t="s">
        <v>4795</v>
      </c>
      <c r="C2476" s="189" t="s">
        <v>126</v>
      </c>
      <c r="D2476" s="189" t="s">
        <v>123</v>
      </c>
      <c r="E2476" s="190" t="s">
        <v>3877</v>
      </c>
      <c r="F2476" s="191">
        <f t="shared" si="40"/>
        <v>259.41666666666669</v>
      </c>
      <c r="G2476" s="185"/>
      <c r="H2476" s="181"/>
      <c r="I2476" s="74"/>
      <c r="J2476" s="74"/>
      <c r="M2476" s="185"/>
      <c r="N2476" s="185"/>
      <c r="O2476" s="185"/>
      <c r="P2476" s="185"/>
      <c r="Q2476" s="185"/>
      <c r="R2476" s="185"/>
    </row>
    <row r="2477" spans="1:18" s="197" customFormat="1" ht="12.75" x14ac:dyDescent="0.2">
      <c r="A2477" s="181"/>
      <c r="B2477" s="188" t="s">
        <v>4796</v>
      </c>
      <c r="C2477" s="189" t="s">
        <v>126</v>
      </c>
      <c r="D2477" s="189" t="s">
        <v>123</v>
      </c>
      <c r="E2477" s="190" t="s">
        <v>4797</v>
      </c>
      <c r="F2477" s="191">
        <f t="shared" si="40"/>
        <v>227.86666666666667</v>
      </c>
      <c r="G2477" s="185"/>
      <c r="H2477" s="181"/>
      <c r="I2477" s="74"/>
      <c r="J2477" s="74"/>
      <c r="M2477" s="185"/>
      <c r="N2477" s="185"/>
      <c r="O2477" s="185"/>
      <c r="P2477" s="185"/>
      <c r="Q2477" s="185"/>
      <c r="R2477" s="185"/>
    </row>
    <row r="2478" spans="1:18" s="197" customFormat="1" ht="12.75" x14ac:dyDescent="0.2">
      <c r="A2478" s="181"/>
      <c r="B2478" s="188" t="s">
        <v>4798</v>
      </c>
      <c r="C2478" s="189" t="s">
        <v>135</v>
      </c>
      <c r="D2478" s="189" t="s">
        <v>123</v>
      </c>
      <c r="E2478" s="190" t="s">
        <v>4799</v>
      </c>
      <c r="F2478" s="191">
        <f t="shared" si="40"/>
        <v>238.73333333333332</v>
      </c>
      <c r="G2478" s="185"/>
      <c r="H2478" s="181"/>
      <c r="I2478" s="74"/>
      <c r="J2478" s="74"/>
      <c r="M2478" s="185"/>
      <c r="N2478" s="185"/>
      <c r="O2478" s="185"/>
      <c r="P2478" s="185"/>
      <c r="Q2478" s="185"/>
      <c r="R2478" s="185"/>
    </row>
    <row r="2479" spans="1:18" s="197" customFormat="1" ht="12.75" x14ac:dyDescent="0.2">
      <c r="A2479" s="181"/>
      <c r="B2479" s="188" t="s">
        <v>420</v>
      </c>
      <c r="C2479" s="189" t="s">
        <v>140</v>
      </c>
      <c r="D2479" s="189" t="s">
        <v>123</v>
      </c>
      <c r="E2479" s="190" t="s">
        <v>4800</v>
      </c>
      <c r="F2479" s="191">
        <f t="shared" si="40"/>
        <v>314.86666666666667</v>
      </c>
      <c r="G2479" s="185"/>
      <c r="H2479" s="181"/>
      <c r="I2479" s="74"/>
      <c r="J2479" s="74"/>
      <c r="M2479" s="185"/>
      <c r="N2479" s="185"/>
      <c r="O2479" s="185"/>
      <c r="P2479" s="185"/>
      <c r="Q2479" s="185"/>
      <c r="R2479" s="185"/>
    </row>
    <row r="2480" spans="1:18" s="197" customFormat="1" ht="12.75" x14ac:dyDescent="0.2">
      <c r="A2480" s="181"/>
      <c r="B2480" s="188" t="s">
        <v>285</v>
      </c>
      <c r="C2480" s="189" t="s">
        <v>125</v>
      </c>
      <c r="D2480" s="189" t="s">
        <v>123</v>
      </c>
      <c r="E2480" s="190" t="s">
        <v>4801</v>
      </c>
      <c r="F2480" s="191">
        <f t="shared" si="40"/>
        <v>165.25</v>
      </c>
      <c r="G2480" s="185"/>
      <c r="H2480" s="181"/>
      <c r="I2480" s="74"/>
      <c r="J2480" s="74"/>
      <c r="M2480" s="185"/>
      <c r="N2480" s="185"/>
      <c r="O2480" s="185"/>
      <c r="P2480" s="185"/>
      <c r="Q2480" s="185"/>
      <c r="R2480" s="185"/>
    </row>
    <row r="2481" spans="1:18" s="197" customFormat="1" ht="12.75" x14ac:dyDescent="0.2">
      <c r="A2481" s="181"/>
      <c r="B2481" s="188" t="s">
        <v>4802</v>
      </c>
      <c r="C2481" s="189" t="s">
        <v>142</v>
      </c>
      <c r="D2481" s="189" t="s">
        <v>123</v>
      </c>
      <c r="E2481" s="190" t="s">
        <v>3659</v>
      </c>
      <c r="F2481" s="191">
        <f t="shared" si="40"/>
        <v>226.45</v>
      </c>
      <c r="G2481" s="185"/>
      <c r="H2481" s="181"/>
      <c r="I2481" s="74"/>
      <c r="J2481" s="74"/>
      <c r="M2481" s="185"/>
      <c r="N2481" s="185"/>
      <c r="O2481" s="185"/>
      <c r="P2481" s="185"/>
      <c r="Q2481" s="185"/>
      <c r="R2481" s="185"/>
    </row>
    <row r="2482" spans="1:18" s="197" customFormat="1" ht="12.75" x14ac:dyDescent="0.2">
      <c r="A2482" s="181"/>
      <c r="B2482" s="188" t="s">
        <v>2132</v>
      </c>
      <c r="C2482" s="189" t="s">
        <v>125</v>
      </c>
      <c r="D2482" s="189" t="s">
        <v>123</v>
      </c>
      <c r="E2482" s="190" t="s">
        <v>2133</v>
      </c>
      <c r="F2482" s="191">
        <f t="shared" si="40"/>
        <v>243.1</v>
      </c>
      <c r="G2482" s="185"/>
      <c r="H2482" s="181"/>
      <c r="I2482" s="74"/>
      <c r="J2482" s="74"/>
      <c r="M2482" s="185"/>
      <c r="N2482" s="185"/>
      <c r="O2482" s="185"/>
      <c r="P2482" s="185"/>
      <c r="Q2482" s="185"/>
      <c r="R2482" s="185"/>
    </row>
    <row r="2483" spans="1:18" s="197" customFormat="1" ht="12.75" x14ac:dyDescent="0.2">
      <c r="A2483" s="181"/>
      <c r="B2483" s="188" t="s">
        <v>596</v>
      </c>
      <c r="C2483" s="189" t="s">
        <v>134</v>
      </c>
      <c r="D2483" s="189" t="s">
        <v>131</v>
      </c>
      <c r="E2483" s="190" t="s">
        <v>4803</v>
      </c>
      <c r="F2483" s="191">
        <f t="shared" si="40"/>
        <v>290.51666666666665</v>
      </c>
      <c r="G2483" s="185"/>
      <c r="H2483" s="181"/>
      <c r="I2483" s="74"/>
      <c r="J2483" s="74"/>
      <c r="M2483" s="185"/>
      <c r="N2483" s="185"/>
      <c r="O2483" s="185"/>
      <c r="P2483" s="185"/>
      <c r="Q2483" s="185"/>
      <c r="R2483" s="185"/>
    </row>
    <row r="2484" spans="1:18" s="197" customFormat="1" ht="12.75" x14ac:dyDescent="0.2">
      <c r="A2484" s="181"/>
      <c r="B2484" s="188" t="s">
        <v>4072</v>
      </c>
      <c r="C2484" s="189" t="s">
        <v>124</v>
      </c>
      <c r="D2484" s="189" t="s">
        <v>132</v>
      </c>
      <c r="E2484" s="190" t="s">
        <v>4073</v>
      </c>
      <c r="F2484" s="191">
        <f t="shared" si="40"/>
        <v>266.23333333333335</v>
      </c>
      <c r="G2484" s="185"/>
      <c r="H2484" s="181"/>
      <c r="I2484" s="74"/>
      <c r="J2484" s="74"/>
      <c r="M2484" s="185"/>
      <c r="N2484" s="185"/>
      <c r="O2484" s="185"/>
      <c r="P2484" s="185"/>
      <c r="Q2484" s="185"/>
      <c r="R2484" s="185"/>
    </row>
    <row r="2485" spans="1:18" s="197" customFormat="1" ht="12.75" x14ac:dyDescent="0.2">
      <c r="A2485" s="181"/>
      <c r="B2485" s="188" t="s">
        <v>4804</v>
      </c>
      <c r="C2485" s="189" t="s">
        <v>124</v>
      </c>
      <c r="D2485" s="189" t="s">
        <v>123</v>
      </c>
      <c r="E2485" s="190" t="s">
        <v>4684</v>
      </c>
      <c r="F2485" s="191">
        <f t="shared" si="40"/>
        <v>252.76666666666668</v>
      </c>
      <c r="G2485" s="185"/>
      <c r="H2485" s="181"/>
      <c r="I2485" s="74"/>
      <c r="J2485" s="74"/>
      <c r="M2485" s="185"/>
      <c r="N2485" s="185"/>
      <c r="O2485" s="185"/>
      <c r="P2485" s="185"/>
      <c r="Q2485" s="185"/>
      <c r="R2485" s="185"/>
    </row>
    <row r="2486" spans="1:18" s="197" customFormat="1" ht="12.75" x14ac:dyDescent="0.2">
      <c r="A2486" s="181"/>
      <c r="B2486" s="188" t="s">
        <v>4805</v>
      </c>
      <c r="C2486" s="189" t="s">
        <v>126</v>
      </c>
      <c r="D2486" s="189" t="s">
        <v>132</v>
      </c>
      <c r="E2486" s="190" t="s">
        <v>4806</v>
      </c>
      <c r="F2486" s="191">
        <f t="shared" si="40"/>
        <v>231.16666666666666</v>
      </c>
      <c r="G2486" s="185"/>
      <c r="H2486" s="181"/>
      <c r="I2486" s="74"/>
      <c r="J2486" s="74"/>
      <c r="M2486" s="185"/>
      <c r="N2486" s="185"/>
      <c r="O2486" s="185"/>
      <c r="P2486" s="185"/>
      <c r="Q2486" s="185"/>
      <c r="R2486" s="185"/>
    </row>
    <row r="2487" spans="1:18" s="197" customFormat="1" ht="12.75" x14ac:dyDescent="0.2">
      <c r="A2487" s="181"/>
      <c r="B2487" s="188" t="s">
        <v>4807</v>
      </c>
      <c r="C2487" s="189" t="s">
        <v>134</v>
      </c>
      <c r="D2487" s="189" t="s">
        <v>160</v>
      </c>
      <c r="E2487" s="190" t="s">
        <v>1790</v>
      </c>
      <c r="F2487" s="191">
        <f t="shared" si="40"/>
        <v>257.93333333333334</v>
      </c>
      <c r="G2487" s="185"/>
      <c r="H2487" s="181"/>
      <c r="I2487" s="74"/>
      <c r="J2487" s="74"/>
      <c r="M2487" s="185"/>
      <c r="N2487" s="185"/>
      <c r="O2487" s="185"/>
      <c r="P2487" s="185"/>
      <c r="Q2487" s="185"/>
      <c r="R2487" s="185"/>
    </row>
    <row r="2488" spans="1:18" s="197" customFormat="1" ht="12.75" x14ac:dyDescent="0.2">
      <c r="A2488" s="181"/>
      <c r="B2488" s="188" t="s">
        <v>4808</v>
      </c>
      <c r="C2488" s="189" t="s">
        <v>142</v>
      </c>
      <c r="D2488" s="189" t="s">
        <v>123</v>
      </c>
      <c r="E2488" s="190" t="s">
        <v>4809</v>
      </c>
      <c r="F2488" s="191">
        <f t="shared" si="40"/>
        <v>250.95</v>
      </c>
      <c r="G2488" s="185"/>
      <c r="H2488" s="181"/>
      <c r="I2488" s="74"/>
      <c r="J2488" s="74"/>
      <c r="M2488" s="185"/>
      <c r="N2488" s="185"/>
      <c r="O2488" s="185"/>
      <c r="P2488" s="185"/>
      <c r="Q2488" s="185"/>
      <c r="R2488" s="185"/>
    </row>
    <row r="2489" spans="1:18" s="197" customFormat="1" ht="12.75" x14ac:dyDescent="0.2">
      <c r="A2489" s="181"/>
      <c r="B2489" s="188" t="s">
        <v>4810</v>
      </c>
      <c r="C2489" s="189" t="s">
        <v>135</v>
      </c>
      <c r="D2489" s="189" t="s">
        <v>304</v>
      </c>
      <c r="E2489" s="190" t="s">
        <v>4811</v>
      </c>
      <c r="F2489" s="191">
        <f t="shared" si="40"/>
        <v>296.76666666666665</v>
      </c>
      <c r="G2489" s="185"/>
      <c r="H2489" s="181"/>
      <c r="I2489" s="74"/>
      <c r="J2489" s="74"/>
      <c r="M2489" s="185"/>
      <c r="N2489" s="185"/>
      <c r="O2489" s="185"/>
      <c r="P2489" s="185"/>
      <c r="Q2489" s="185"/>
      <c r="R2489" s="185"/>
    </row>
    <row r="2490" spans="1:18" s="197" customFormat="1" ht="12.75" x14ac:dyDescent="0.2">
      <c r="A2490" s="181"/>
      <c r="B2490" s="188" t="s">
        <v>4812</v>
      </c>
      <c r="C2490" s="189" t="s">
        <v>130</v>
      </c>
      <c r="D2490" s="189" t="s">
        <v>129</v>
      </c>
      <c r="E2490" s="190" t="s">
        <v>4813</v>
      </c>
      <c r="F2490" s="191">
        <f t="shared" si="40"/>
        <v>194</v>
      </c>
      <c r="G2490" s="185"/>
      <c r="H2490" s="181"/>
      <c r="I2490" s="74"/>
      <c r="J2490" s="74"/>
      <c r="M2490" s="185"/>
      <c r="N2490" s="185"/>
      <c r="O2490" s="185"/>
      <c r="P2490" s="185"/>
      <c r="Q2490" s="185"/>
      <c r="R2490" s="185"/>
    </row>
    <row r="2491" spans="1:18" s="197" customFormat="1" ht="12.75" x14ac:dyDescent="0.2">
      <c r="A2491" s="181"/>
      <c r="B2491" s="188" t="s">
        <v>4814</v>
      </c>
      <c r="C2491" s="189" t="s">
        <v>124</v>
      </c>
      <c r="D2491" s="189" t="s">
        <v>123</v>
      </c>
      <c r="E2491" s="190" t="s">
        <v>4815</v>
      </c>
      <c r="F2491" s="191">
        <f t="shared" si="40"/>
        <v>226.36666666666667</v>
      </c>
      <c r="G2491" s="185"/>
      <c r="H2491" s="181"/>
      <c r="I2491" s="74"/>
      <c r="J2491" s="74"/>
      <c r="M2491" s="185"/>
      <c r="N2491" s="185"/>
      <c r="O2491" s="185"/>
      <c r="P2491" s="185"/>
      <c r="Q2491" s="185"/>
      <c r="R2491" s="185"/>
    </row>
    <row r="2492" spans="1:18" s="197" customFormat="1" ht="12.75" x14ac:dyDescent="0.2">
      <c r="A2492" s="181"/>
      <c r="B2492" s="188" t="s">
        <v>4816</v>
      </c>
      <c r="C2492" s="189" t="s">
        <v>135</v>
      </c>
      <c r="D2492" s="189" t="s">
        <v>123</v>
      </c>
      <c r="E2492" s="190" t="s">
        <v>3875</v>
      </c>
      <c r="F2492" s="191">
        <f t="shared" si="40"/>
        <v>215.23333333333332</v>
      </c>
      <c r="G2492" s="185"/>
      <c r="H2492" s="181"/>
      <c r="I2492" s="74"/>
      <c r="J2492" s="74"/>
      <c r="M2492" s="185"/>
      <c r="N2492" s="185"/>
      <c r="O2492" s="185"/>
      <c r="P2492" s="185"/>
      <c r="Q2492" s="185"/>
      <c r="R2492" s="185"/>
    </row>
    <row r="2493" spans="1:18" s="197" customFormat="1" ht="12.75" x14ac:dyDescent="0.2">
      <c r="A2493" s="181"/>
      <c r="B2493" s="188" t="s">
        <v>4817</v>
      </c>
      <c r="C2493" s="189" t="s">
        <v>130</v>
      </c>
      <c r="D2493" s="189" t="s">
        <v>131</v>
      </c>
      <c r="E2493" s="190" t="s">
        <v>805</v>
      </c>
      <c r="F2493" s="191">
        <f t="shared" si="40"/>
        <v>240.73333333333332</v>
      </c>
      <c r="G2493" s="185"/>
      <c r="H2493" s="181"/>
      <c r="I2493" s="74"/>
      <c r="J2493" s="74"/>
      <c r="M2493" s="185"/>
      <c r="N2493" s="185"/>
      <c r="O2493" s="185"/>
      <c r="P2493" s="185"/>
      <c r="Q2493" s="185"/>
      <c r="R2493" s="185"/>
    </row>
    <row r="2494" spans="1:18" s="197" customFormat="1" ht="12.75" x14ac:dyDescent="0.2">
      <c r="A2494" s="181"/>
      <c r="B2494" s="188" t="s">
        <v>4818</v>
      </c>
      <c r="C2494" s="189" t="s">
        <v>126</v>
      </c>
      <c r="D2494" s="189" t="s">
        <v>302</v>
      </c>
      <c r="E2494" s="190" t="s">
        <v>2971</v>
      </c>
      <c r="F2494" s="191">
        <f t="shared" si="40"/>
        <v>250.18333333333334</v>
      </c>
      <c r="G2494" s="185"/>
      <c r="H2494" s="181"/>
      <c r="I2494" s="74"/>
      <c r="J2494" s="74"/>
      <c r="M2494" s="185"/>
      <c r="N2494" s="185"/>
      <c r="O2494" s="185"/>
      <c r="P2494" s="185"/>
      <c r="Q2494" s="185"/>
      <c r="R2494" s="185"/>
    </row>
    <row r="2495" spans="1:18" s="197" customFormat="1" ht="12.75" x14ac:dyDescent="0.2">
      <c r="A2495" s="181"/>
      <c r="B2495" s="188" t="s">
        <v>4819</v>
      </c>
      <c r="C2495" s="189" t="s">
        <v>124</v>
      </c>
      <c r="D2495" s="189" t="s">
        <v>123</v>
      </c>
      <c r="E2495" s="190" t="s">
        <v>4820</v>
      </c>
      <c r="F2495" s="191">
        <f t="shared" si="40"/>
        <v>218.05</v>
      </c>
      <c r="G2495" s="185"/>
      <c r="H2495" s="181"/>
      <c r="I2495" s="74"/>
      <c r="J2495" s="74"/>
      <c r="M2495" s="185"/>
      <c r="N2495" s="185"/>
      <c r="O2495" s="185"/>
      <c r="P2495" s="185"/>
      <c r="Q2495" s="185"/>
      <c r="R2495" s="185"/>
    </row>
    <row r="2496" spans="1:18" s="197" customFormat="1" ht="12.75" x14ac:dyDescent="0.2">
      <c r="A2496" s="181"/>
      <c r="B2496" s="188" t="s">
        <v>4821</v>
      </c>
      <c r="C2496" s="189" t="s">
        <v>142</v>
      </c>
      <c r="D2496" s="189" t="s">
        <v>123</v>
      </c>
      <c r="E2496" s="190" t="s">
        <v>4822</v>
      </c>
      <c r="F2496" s="191">
        <f t="shared" si="40"/>
        <v>229.01666666666668</v>
      </c>
      <c r="G2496" s="185"/>
      <c r="H2496" s="181"/>
      <c r="I2496" s="74"/>
      <c r="J2496" s="74"/>
      <c r="M2496" s="185"/>
      <c r="N2496" s="185"/>
      <c r="O2496" s="185"/>
      <c r="P2496" s="185"/>
      <c r="Q2496" s="185"/>
      <c r="R2496" s="185"/>
    </row>
    <row r="2497" spans="1:18" s="197" customFormat="1" ht="12.75" x14ac:dyDescent="0.2">
      <c r="A2497" s="181"/>
      <c r="B2497" s="188" t="s">
        <v>4823</v>
      </c>
      <c r="C2497" s="189" t="s">
        <v>134</v>
      </c>
      <c r="D2497" s="189" t="s">
        <v>123</v>
      </c>
      <c r="E2497" s="190" t="s">
        <v>4824</v>
      </c>
      <c r="F2497" s="191">
        <f t="shared" si="40"/>
        <v>228.71666666666667</v>
      </c>
      <c r="G2497" s="185"/>
      <c r="H2497" s="181"/>
      <c r="I2497" s="74"/>
      <c r="J2497" s="74"/>
      <c r="M2497" s="185"/>
      <c r="N2497" s="185"/>
      <c r="O2497" s="185"/>
      <c r="P2497" s="185"/>
      <c r="Q2497" s="185"/>
      <c r="R2497" s="185"/>
    </row>
    <row r="2498" spans="1:18" s="197" customFormat="1" ht="12.75" x14ac:dyDescent="0.2">
      <c r="A2498" s="181"/>
      <c r="B2498" s="188" t="s">
        <v>4825</v>
      </c>
      <c r="C2498" s="189" t="s">
        <v>135</v>
      </c>
      <c r="D2498" s="189" t="s">
        <v>129</v>
      </c>
      <c r="E2498" s="190" t="s">
        <v>4826</v>
      </c>
      <c r="F2498" s="191">
        <f t="shared" si="40"/>
        <v>322.26666666666665</v>
      </c>
      <c r="G2498" s="185"/>
      <c r="H2498" s="181"/>
      <c r="I2498" s="74"/>
      <c r="J2498" s="74"/>
      <c r="M2498" s="185"/>
      <c r="N2498" s="185"/>
      <c r="O2498" s="185"/>
      <c r="P2498" s="185"/>
      <c r="Q2498" s="185"/>
      <c r="R2498" s="185"/>
    </row>
    <row r="2499" spans="1:18" s="197" customFormat="1" ht="12.75" x14ac:dyDescent="0.2">
      <c r="A2499" s="181"/>
      <c r="B2499" s="188" t="s">
        <v>4827</v>
      </c>
      <c r="C2499" s="189" t="s">
        <v>142</v>
      </c>
      <c r="D2499" s="189" t="s">
        <v>263</v>
      </c>
      <c r="E2499" s="190" t="s">
        <v>4828</v>
      </c>
      <c r="F2499" s="191">
        <f t="shared" si="40"/>
        <v>261.55</v>
      </c>
      <c r="G2499" s="185"/>
      <c r="H2499" s="181"/>
      <c r="I2499" s="74"/>
      <c r="J2499" s="74"/>
      <c r="M2499" s="185"/>
      <c r="N2499" s="185"/>
      <c r="O2499" s="185"/>
      <c r="P2499" s="185"/>
      <c r="Q2499" s="185"/>
      <c r="R2499" s="185"/>
    </row>
    <row r="2500" spans="1:18" s="197" customFormat="1" ht="12.75" x14ac:dyDescent="0.2">
      <c r="A2500" s="181"/>
      <c r="B2500" s="188" t="s">
        <v>4829</v>
      </c>
      <c r="C2500" s="189" t="s">
        <v>142</v>
      </c>
      <c r="D2500" s="189" t="s">
        <v>123</v>
      </c>
      <c r="E2500" s="190" t="s">
        <v>1246</v>
      </c>
      <c r="F2500" s="191">
        <f t="shared" si="40"/>
        <v>214.06666666666666</v>
      </c>
      <c r="G2500" s="185"/>
      <c r="H2500" s="181"/>
      <c r="I2500" s="74"/>
      <c r="J2500" s="74"/>
      <c r="M2500" s="185"/>
      <c r="N2500" s="185"/>
      <c r="O2500" s="185"/>
      <c r="P2500" s="185"/>
      <c r="Q2500" s="185"/>
      <c r="R2500" s="185"/>
    </row>
    <row r="2501" spans="1:18" s="197" customFormat="1" ht="12.75" x14ac:dyDescent="0.2">
      <c r="A2501" s="181"/>
      <c r="B2501" s="188" t="s">
        <v>4830</v>
      </c>
      <c r="C2501" s="189" t="s">
        <v>134</v>
      </c>
      <c r="D2501" s="189" t="s">
        <v>123</v>
      </c>
      <c r="E2501" s="190" t="s">
        <v>4264</v>
      </c>
      <c r="F2501" s="191">
        <f t="shared" si="40"/>
        <v>241.68333333333334</v>
      </c>
      <c r="G2501" s="185"/>
      <c r="H2501" s="181"/>
      <c r="I2501" s="74"/>
      <c r="J2501" s="74"/>
      <c r="M2501" s="185"/>
      <c r="N2501" s="185"/>
      <c r="O2501" s="185"/>
      <c r="P2501" s="185"/>
      <c r="Q2501" s="185"/>
      <c r="R2501" s="185"/>
    </row>
    <row r="2502" spans="1:18" s="197" customFormat="1" ht="12.75" x14ac:dyDescent="0.2">
      <c r="A2502" s="181"/>
      <c r="B2502" s="188" t="s">
        <v>4831</v>
      </c>
      <c r="C2502" s="189" t="s">
        <v>126</v>
      </c>
      <c r="D2502" s="189" t="s">
        <v>148</v>
      </c>
      <c r="E2502" s="190" t="s">
        <v>4832</v>
      </c>
      <c r="F2502" s="191">
        <f t="shared" si="40"/>
        <v>200.76666666666668</v>
      </c>
      <c r="G2502" s="185"/>
      <c r="H2502" s="181"/>
      <c r="I2502" s="74"/>
      <c r="J2502" s="74"/>
      <c r="M2502" s="185"/>
      <c r="N2502" s="185"/>
      <c r="O2502" s="185"/>
      <c r="P2502" s="185"/>
      <c r="Q2502" s="185"/>
      <c r="R2502" s="185"/>
    </row>
    <row r="2503" spans="1:18" s="197" customFormat="1" ht="12.75" x14ac:dyDescent="0.2">
      <c r="A2503" s="181"/>
      <c r="B2503" s="188" t="s">
        <v>407</v>
      </c>
      <c r="C2503" s="189" t="s">
        <v>125</v>
      </c>
      <c r="D2503" s="189" t="s">
        <v>123</v>
      </c>
      <c r="E2503" s="190" t="s">
        <v>3067</v>
      </c>
      <c r="F2503" s="191">
        <f t="shared" si="40"/>
        <v>303.08333333333331</v>
      </c>
      <c r="G2503" s="185"/>
      <c r="H2503" s="181"/>
      <c r="I2503" s="74"/>
      <c r="J2503" s="74"/>
      <c r="M2503" s="185"/>
      <c r="N2503" s="185"/>
      <c r="O2503" s="185"/>
      <c r="P2503" s="185"/>
      <c r="Q2503" s="185"/>
      <c r="R2503" s="185"/>
    </row>
    <row r="2504" spans="1:18" s="197" customFormat="1" ht="12.75" x14ac:dyDescent="0.2">
      <c r="A2504" s="181"/>
      <c r="B2504" s="188" t="s">
        <v>4833</v>
      </c>
      <c r="C2504" s="189" t="s">
        <v>128</v>
      </c>
      <c r="D2504" s="189" t="s">
        <v>132</v>
      </c>
      <c r="E2504" s="190" t="s">
        <v>4834</v>
      </c>
      <c r="F2504" s="191">
        <f t="shared" si="40"/>
        <v>199.23333333333332</v>
      </c>
      <c r="G2504" s="185"/>
      <c r="H2504" s="181"/>
      <c r="I2504" s="74"/>
      <c r="J2504" s="74"/>
      <c r="M2504" s="185"/>
      <c r="N2504" s="185"/>
      <c r="O2504" s="185"/>
      <c r="P2504" s="185"/>
      <c r="Q2504" s="185"/>
      <c r="R2504" s="185"/>
    </row>
    <row r="2505" spans="1:18" s="197" customFormat="1" ht="12.75" x14ac:dyDescent="0.2">
      <c r="A2505" s="181"/>
      <c r="B2505" s="188" t="s">
        <v>4835</v>
      </c>
      <c r="C2505" s="189" t="s">
        <v>125</v>
      </c>
      <c r="D2505" s="189" t="s">
        <v>147</v>
      </c>
      <c r="E2505" s="190" t="s">
        <v>2553</v>
      </c>
      <c r="F2505" s="191">
        <f t="shared" si="40"/>
        <v>259.63333333333333</v>
      </c>
      <c r="G2505" s="185"/>
      <c r="H2505" s="181"/>
      <c r="I2505" s="74"/>
      <c r="J2505" s="74"/>
      <c r="M2505" s="185"/>
      <c r="N2505" s="185"/>
      <c r="O2505" s="185"/>
      <c r="P2505" s="185"/>
      <c r="Q2505" s="185"/>
      <c r="R2505" s="185"/>
    </row>
    <row r="2506" spans="1:18" s="197" customFormat="1" ht="12.75" x14ac:dyDescent="0.2">
      <c r="A2506" s="181"/>
      <c r="B2506" s="188" t="s">
        <v>631</v>
      </c>
      <c r="C2506" s="189" t="s">
        <v>130</v>
      </c>
      <c r="D2506" s="189" t="s">
        <v>123</v>
      </c>
      <c r="E2506" s="190" t="s">
        <v>1480</v>
      </c>
      <c r="F2506" s="191">
        <f t="shared" si="40"/>
        <v>219.68333333333334</v>
      </c>
      <c r="G2506" s="185"/>
      <c r="H2506" s="181"/>
      <c r="I2506" s="74"/>
      <c r="J2506" s="74"/>
      <c r="M2506" s="185"/>
      <c r="N2506" s="185"/>
      <c r="O2506" s="185"/>
      <c r="P2506" s="185"/>
      <c r="Q2506" s="185"/>
      <c r="R2506" s="185"/>
    </row>
    <row r="2507" spans="1:18" s="197" customFormat="1" ht="12.75" x14ac:dyDescent="0.2">
      <c r="A2507" s="181"/>
      <c r="B2507" s="188" t="s">
        <v>4836</v>
      </c>
      <c r="C2507" s="189" t="s">
        <v>134</v>
      </c>
      <c r="D2507" s="189" t="s">
        <v>188</v>
      </c>
      <c r="E2507" s="190" t="s">
        <v>4837</v>
      </c>
      <c r="F2507" s="191">
        <f t="shared" ref="F2507:F2570" si="41">HOUR(E2507)*60+MINUTE(E2507)+SECOND(E2507)/60</f>
        <v>308.56666666666666</v>
      </c>
      <c r="G2507" s="185"/>
      <c r="H2507" s="181"/>
      <c r="I2507" s="74"/>
      <c r="J2507" s="74"/>
      <c r="M2507" s="185"/>
      <c r="N2507" s="185"/>
      <c r="O2507" s="185"/>
      <c r="P2507" s="185"/>
      <c r="Q2507" s="185"/>
      <c r="R2507" s="185"/>
    </row>
    <row r="2508" spans="1:18" s="197" customFormat="1" ht="12.75" x14ac:dyDescent="0.2">
      <c r="A2508" s="181"/>
      <c r="B2508" s="188" t="s">
        <v>4838</v>
      </c>
      <c r="C2508" s="189" t="s">
        <v>130</v>
      </c>
      <c r="D2508" s="189" t="s">
        <v>123</v>
      </c>
      <c r="E2508" s="190" t="s">
        <v>4839</v>
      </c>
      <c r="F2508" s="191">
        <f t="shared" si="41"/>
        <v>180.18333333333334</v>
      </c>
      <c r="G2508" s="185"/>
      <c r="H2508" s="181"/>
      <c r="I2508" s="74"/>
      <c r="J2508" s="74"/>
      <c r="M2508" s="185"/>
      <c r="N2508" s="185"/>
      <c r="O2508" s="185"/>
      <c r="P2508" s="185"/>
      <c r="Q2508" s="185"/>
      <c r="R2508" s="185"/>
    </row>
    <row r="2509" spans="1:18" s="197" customFormat="1" ht="12.75" x14ac:dyDescent="0.2">
      <c r="A2509" s="181"/>
      <c r="B2509" s="188" t="s">
        <v>4840</v>
      </c>
      <c r="C2509" s="189" t="s">
        <v>126</v>
      </c>
      <c r="D2509" s="189" t="s">
        <v>123</v>
      </c>
      <c r="E2509" s="190" t="s">
        <v>4841</v>
      </c>
      <c r="F2509" s="191">
        <f t="shared" si="41"/>
        <v>209.61666666666667</v>
      </c>
      <c r="G2509" s="185"/>
      <c r="H2509" s="181"/>
      <c r="I2509" s="74"/>
      <c r="J2509" s="74"/>
      <c r="M2509" s="185"/>
      <c r="N2509" s="185"/>
      <c r="O2509" s="185"/>
      <c r="P2509" s="185"/>
      <c r="Q2509" s="185"/>
      <c r="R2509" s="185"/>
    </row>
    <row r="2510" spans="1:18" s="197" customFormat="1" ht="12.75" x14ac:dyDescent="0.2">
      <c r="A2510" s="181"/>
      <c r="B2510" s="188" t="s">
        <v>4842</v>
      </c>
      <c r="C2510" s="189" t="s">
        <v>136</v>
      </c>
      <c r="D2510" s="189" t="s">
        <v>133</v>
      </c>
      <c r="E2510" s="190" t="s">
        <v>4843</v>
      </c>
      <c r="F2510" s="191">
        <f t="shared" si="41"/>
        <v>275.31666666666666</v>
      </c>
      <c r="G2510" s="185"/>
      <c r="H2510" s="181"/>
      <c r="I2510" s="74"/>
      <c r="J2510" s="74"/>
      <c r="M2510" s="185"/>
      <c r="N2510" s="185"/>
      <c r="O2510" s="185"/>
      <c r="P2510" s="185"/>
      <c r="Q2510" s="185"/>
      <c r="R2510" s="185"/>
    </row>
    <row r="2511" spans="1:18" s="197" customFormat="1" ht="12.75" x14ac:dyDescent="0.2">
      <c r="A2511" s="181"/>
      <c r="B2511" s="188" t="s">
        <v>4844</v>
      </c>
      <c r="C2511" s="189" t="s">
        <v>142</v>
      </c>
      <c r="D2511" s="189" t="s">
        <v>123</v>
      </c>
      <c r="E2511" s="190" t="s">
        <v>3842</v>
      </c>
      <c r="F2511" s="191">
        <f t="shared" si="41"/>
        <v>267.89999999999998</v>
      </c>
      <c r="G2511" s="185"/>
      <c r="H2511" s="181"/>
      <c r="I2511" s="74"/>
      <c r="J2511" s="74"/>
      <c r="M2511" s="185"/>
      <c r="N2511" s="185"/>
      <c r="O2511" s="185"/>
      <c r="P2511" s="185"/>
      <c r="Q2511" s="185"/>
      <c r="R2511" s="185"/>
    </row>
    <row r="2512" spans="1:18" s="197" customFormat="1" ht="12.75" x14ac:dyDescent="0.2">
      <c r="A2512" s="181"/>
      <c r="B2512" s="188" t="s">
        <v>4845</v>
      </c>
      <c r="C2512" s="189" t="s">
        <v>130</v>
      </c>
      <c r="D2512" s="189" t="s">
        <v>123</v>
      </c>
      <c r="E2512" s="190" t="s">
        <v>4846</v>
      </c>
      <c r="F2512" s="191">
        <f t="shared" si="41"/>
        <v>211.15</v>
      </c>
      <c r="G2512" s="185"/>
      <c r="H2512" s="181"/>
      <c r="I2512" s="74"/>
      <c r="J2512" s="74"/>
      <c r="M2512" s="185"/>
      <c r="N2512" s="185"/>
      <c r="O2512" s="185"/>
      <c r="P2512" s="185"/>
      <c r="Q2512" s="185"/>
      <c r="R2512" s="185"/>
    </row>
    <row r="2513" spans="1:18" s="197" customFormat="1" ht="12.75" x14ac:dyDescent="0.2">
      <c r="A2513" s="181"/>
      <c r="B2513" s="188" t="s">
        <v>4847</v>
      </c>
      <c r="C2513" s="189" t="s">
        <v>142</v>
      </c>
      <c r="D2513" s="189" t="s">
        <v>131</v>
      </c>
      <c r="E2513" s="190" t="s">
        <v>4848</v>
      </c>
      <c r="F2513" s="191">
        <f t="shared" si="41"/>
        <v>220.35</v>
      </c>
      <c r="G2513" s="185"/>
      <c r="H2513" s="181"/>
      <c r="I2513" s="74"/>
      <c r="J2513" s="74"/>
      <c r="M2513" s="185"/>
      <c r="N2513" s="185"/>
      <c r="O2513" s="185"/>
      <c r="P2513" s="185"/>
      <c r="Q2513" s="185"/>
      <c r="R2513" s="185"/>
    </row>
    <row r="2514" spans="1:18" s="197" customFormat="1" ht="12.75" x14ac:dyDescent="0.2">
      <c r="A2514" s="181"/>
      <c r="B2514" s="188" t="s">
        <v>253</v>
      </c>
      <c r="C2514" s="189" t="s">
        <v>126</v>
      </c>
      <c r="D2514" s="189" t="s">
        <v>123</v>
      </c>
      <c r="E2514" s="190" t="s">
        <v>4849</v>
      </c>
      <c r="F2514" s="191">
        <f t="shared" si="41"/>
        <v>235.2</v>
      </c>
      <c r="G2514" s="185"/>
      <c r="H2514" s="181"/>
      <c r="I2514" s="74"/>
      <c r="J2514" s="74"/>
      <c r="M2514" s="185"/>
      <c r="N2514" s="185"/>
      <c r="O2514" s="185"/>
      <c r="P2514" s="185"/>
      <c r="Q2514" s="185"/>
      <c r="R2514" s="185"/>
    </row>
    <row r="2515" spans="1:18" s="197" customFormat="1" ht="12.75" x14ac:dyDescent="0.2">
      <c r="A2515" s="181"/>
      <c r="B2515" s="188" t="s">
        <v>4850</v>
      </c>
      <c r="C2515" s="189" t="s">
        <v>125</v>
      </c>
      <c r="D2515" s="189" t="s">
        <v>123</v>
      </c>
      <c r="E2515" s="190" t="s">
        <v>4851</v>
      </c>
      <c r="F2515" s="191">
        <f t="shared" si="41"/>
        <v>217.26666666666668</v>
      </c>
      <c r="G2515" s="185"/>
      <c r="H2515" s="181"/>
      <c r="I2515" s="74"/>
      <c r="J2515" s="74"/>
      <c r="M2515" s="185"/>
      <c r="N2515" s="185"/>
      <c r="O2515" s="185"/>
      <c r="P2515" s="185"/>
      <c r="Q2515" s="185"/>
      <c r="R2515" s="185"/>
    </row>
    <row r="2516" spans="1:18" s="197" customFormat="1" ht="12.75" x14ac:dyDescent="0.2">
      <c r="A2516" s="181"/>
      <c r="B2516" s="188" t="s">
        <v>4852</v>
      </c>
      <c r="C2516" s="189" t="s">
        <v>134</v>
      </c>
      <c r="D2516" s="189" t="s">
        <v>123</v>
      </c>
      <c r="E2516" s="190" t="s">
        <v>4853</v>
      </c>
      <c r="F2516" s="191">
        <f t="shared" si="41"/>
        <v>201.61666666666667</v>
      </c>
      <c r="G2516" s="185"/>
      <c r="H2516" s="181"/>
      <c r="I2516" s="74"/>
      <c r="J2516" s="74"/>
      <c r="M2516" s="185"/>
      <c r="N2516" s="185"/>
      <c r="O2516" s="185"/>
      <c r="P2516" s="185"/>
      <c r="Q2516" s="185"/>
      <c r="R2516" s="185"/>
    </row>
    <row r="2517" spans="1:18" s="197" customFormat="1" ht="12.75" x14ac:dyDescent="0.2">
      <c r="A2517" s="181"/>
      <c r="B2517" s="188" t="s">
        <v>4854</v>
      </c>
      <c r="C2517" s="189" t="s">
        <v>125</v>
      </c>
      <c r="D2517" s="189" t="s">
        <v>160</v>
      </c>
      <c r="E2517" s="190" t="s">
        <v>4531</v>
      </c>
      <c r="F2517" s="191">
        <f t="shared" si="41"/>
        <v>224.05</v>
      </c>
      <c r="G2517" s="185"/>
      <c r="H2517" s="181"/>
      <c r="I2517" s="74"/>
      <c r="J2517" s="74"/>
      <c r="M2517" s="185"/>
      <c r="N2517" s="185"/>
      <c r="O2517" s="185"/>
      <c r="P2517" s="185"/>
      <c r="Q2517" s="185"/>
      <c r="R2517" s="185"/>
    </row>
    <row r="2518" spans="1:18" s="197" customFormat="1" ht="12.75" x14ac:dyDescent="0.2">
      <c r="A2518" s="181"/>
      <c r="B2518" s="188" t="s">
        <v>4855</v>
      </c>
      <c r="C2518" s="189" t="s">
        <v>136</v>
      </c>
      <c r="D2518" s="189" t="s">
        <v>123</v>
      </c>
      <c r="E2518" s="190" t="s">
        <v>1641</v>
      </c>
      <c r="F2518" s="191">
        <f t="shared" si="41"/>
        <v>275.3</v>
      </c>
      <c r="G2518" s="185"/>
      <c r="H2518" s="181"/>
      <c r="I2518" s="74"/>
      <c r="J2518" s="74"/>
      <c r="M2518" s="185"/>
      <c r="N2518" s="185"/>
      <c r="O2518" s="185"/>
      <c r="P2518" s="185"/>
      <c r="Q2518" s="185"/>
      <c r="R2518" s="185"/>
    </row>
    <row r="2519" spans="1:18" s="197" customFormat="1" ht="12.75" x14ac:dyDescent="0.2">
      <c r="A2519" s="181"/>
      <c r="B2519" s="188" t="s">
        <v>4856</v>
      </c>
      <c r="C2519" s="189" t="s">
        <v>130</v>
      </c>
      <c r="D2519" s="189" t="s">
        <v>133</v>
      </c>
      <c r="E2519" s="190" t="s">
        <v>832</v>
      </c>
      <c r="F2519" s="191">
        <f t="shared" si="41"/>
        <v>203.53333333333333</v>
      </c>
      <c r="G2519" s="185"/>
      <c r="H2519" s="181"/>
      <c r="I2519" s="74"/>
      <c r="J2519" s="74"/>
      <c r="M2519" s="185"/>
      <c r="N2519" s="185"/>
      <c r="O2519" s="185"/>
      <c r="P2519" s="185"/>
      <c r="Q2519" s="185"/>
      <c r="R2519" s="185"/>
    </row>
    <row r="2520" spans="1:18" s="197" customFormat="1" ht="12.75" x14ac:dyDescent="0.2">
      <c r="A2520" s="181"/>
      <c r="B2520" s="188" t="s">
        <v>2390</v>
      </c>
      <c r="C2520" s="189" t="s">
        <v>142</v>
      </c>
      <c r="D2520" s="189" t="s">
        <v>123</v>
      </c>
      <c r="E2520" s="190" t="s">
        <v>4857</v>
      </c>
      <c r="F2520" s="191">
        <f t="shared" si="41"/>
        <v>247.3</v>
      </c>
      <c r="G2520" s="185"/>
      <c r="H2520" s="181"/>
      <c r="I2520" s="74"/>
      <c r="J2520" s="74"/>
      <c r="M2520" s="185"/>
      <c r="N2520" s="185"/>
      <c r="O2520" s="185"/>
      <c r="P2520" s="185"/>
      <c r="Q2520" s="185"/>
      <c r="R2520" s="185"/>
    </row>
    <row r="2521" spans="1:18" s="197" customFormat="1" ht="12.75" x14ac:dyDescent="0.2">
      <c r="A2521" s="181"/>
      <c r="B2521" s="188" t="s">
        <v>521</v>
      </c>
      <c r="C2521" s="189" t="s">
        <v>134</v>
      </c>
      <c r="D2521" s="189" t="s">
        <v>123</v>
      </c>
      <c r="E2521" s="190" t="s">
        <v>4858</v>
      </c>
      <c r="F2521" s="191">
        <f t="shared" si="41"/>
        <v>171.71666666666667</v>
      </c>
      <c r="G2521" s="185"/>
      <c r="H2521" s="181"/>
      <c r="I2521" s="74"/>
      <c r="J2521" s="74"/>
      <c r="M2521" s="185"/>
      <c r="N2521" s="185"/>
      <c r="O2521" s="185"/>
      <c r="P2521" s="185"/>
      <c r="Q2521" s="185"/>
      <c r="R2521" s="185"/>
    </row>
    <row r="2522" spans="1:18" s="197" customFormat="1" ht="12.75" x14ac:dyDescent="0.2">
      <c r="A2522" s="181"/>
      <c r="B2522" s="188" t="s">
        <v>640</v>
      </c>
      <c r="C2522" s="189" t="s">
        <v>142</v>
      </c>
      <c r="D2522" s="189" t="s">
        <v>131</v>
      </c>
      <c r="E2522" s="190" t="s">
        <v>4321</v>
      </c>
      <c r="F2522" s="191">
        <f t="shared" si="41"/>
        <v>256.63333333333333</v>
      </c>
      <c r="G2522" s="185"/>
      <c r="H2522" s="181"/>
      <c r="I2522" s="74"/>
      <c r="J2522" s="74"/>
      <c r="M2522" s="185"/>
      <c r="N2522" s="185"/>
      <c r="O2522" s="185"/>
      <c r="P2522" s="185"/>
      <c r="Q2522" s="185"/>
      <c r="R2522" s="185"/>
    </row>
    <row r="2523" spans="1:18" s="197" customFormat="1" ht="12.75" x14ac:dyDescent="0.2">
      <c r="A2523" s="181"/>
      <c r="B2523" s="188" t="s">
        <v>636</v>
      </c>
      <c r="C2523" s="189" t="s">
        <v>142</v>
      </c>
      <c r="D2523" s="189" t="s">
        <v>154</v>
      </c>
      <c r="E2523" s="190" t="s">
        <v>4859</v>
      </c>
      <c r="F2523" s="191">
        <f t="shared" si="41"/>
        <v>290.98333333333335</v>
      </c>
      <c r="G2523" s="185"/>
      <c r="H2523" s="181"/>
      <c r="I2523" s="74"/>
      <c r="J2523" s="74"/>
      <c r="M2523" s="185"/>
      <c r="N2523" s="185"/>
      <c r="O2523" s="185"/>
      <c r="P2523" s="185"/>
      <c r="Q2523" s="185"/>
      <c r="R2523" s="185"/>
    </row>
    <row r="2524" spans="1:18" s="197" customFormat="1" ht="12.75" x14ac:dyDescent="0.2">
      <c r="A2524" s="181"/>
      <c r="B2524" s="188" t="s">
        <v>4860</v>
      </c>
      <c r="C2524" s="189" t="s">
        <v>136</v>
      </c>
      <c r="D2524" s="189" t="s">
        <v>169</v>
      </c>
      <c r="E2524" s="190" t="s">
        <v>4861</v>
      </c>
      <c r="F2524" s="191">
        <f t="shared" si="41"/>
        <v>277.18333333333334</v>
      </c>
      <c r="G2524" s="185"/>
      <c r="H2524" s="181"/>
      <c r="I2524" s="74"/>
      <c r="J2524" s="74"/>
      <c r="M2524" s="185"/>
      <c r="N2524" s="185"/>
      <c r="O2524" s="185"/>
      <c r="P2524" s="185"/>
      <c r="Q2524" s="185"/>
      <c r="R2524" s="185"/>
    </row>
    <row r="2525" spans="1:18" s="197" customFormat="1" ht="12.75" x14ac:dyDescent="0.2">
      <c r="A2525" s="181"/>
      <c r="B2525" s="188" t="s">
        <v>4129</v>
      </c>
      <c r="C2525" s="189" t="s">
        <v>126</v>
      </c>
      <c r="D2525" s="189" t="s">
        <v>133</v>
      </c>
      <c r="E2525" s="190" t="s">
        <v>2399</v>
      </c>
      <c r="F2525" s="191">
        <f t="shared" si="41"/>
        <v>303.53333333333336</v>
      </c>
      <c r="G2525" s="185"/>
      <c r="H2525" s="181"/>
      <c r="I2525" s="74"/>
      <c r="J2525" s="74"/>
      <c r="M2525" s="185"/>
      <c r="N2525" s="185"/>
      <c r="O2525" s="185"/>
      <c r="P2525" s="185"/>
      <c r="Q2525" s="185"/>
      <c r="R2525" s="185"/>
    </row>
    <row r="2526" spans="1:18" s="197" customFormat="1" ht="12.75" x14ac:dyDescent="0.2">
      <c r="A2526" s="181"/>
      <c r="B2526" s="188" t="s">
        <v>4862</v>
      </c>
      <c r="C2526" s="189" t="s">
        <v>126</v>
      </c>
      <c r="D2526" s="189" t="s">
        <v>123</v>
      </c>
      <c r="E2526" s="190" t="s">
        <v>4863</v>
      </c>
      <c r="F2526" s="191">
        <f t="shared" si="41"/>
        <v>178.01666666666668</v>
      </c>
      <c r="G2526" s="185"/>
      <c r="H2526" s="181"/>
      <c r="I2526" s="74"/>
      <c r="J2526" s="74"/>
      <c r="M2526" s="185"/>
      <c r="N2526" s="185"/>
      <c r="O2526" s="185"/>
      <c r="P2526" s="185"/>
      <c r="Q2526" s="185"/>
      <c r="R2526" s="185"/>
    </row>
    <row r="2527" spans="1:18" s="197" customFormat="1" ht="12.75" x14ac:dyDescent="0.2">
      <c r="A2527" s="181"/>
      <c r="B2527" s="188" t="s">
        <v>4864</v>
      </c>
      <c r="C2527" s="189" t="s">
        <v>126</v>
      </c>
      <c r="D2527" s="189" t="s">
        <v>123</v>
      </c>
      <c r="E2527" s="190" t="s">
        <v>3855</v>
      </c>
      <c r="F2527" s="191">
        <f t="shared" si="41"/>
        <v>243.55</v>
      </c>
      <c r="G2527" s="185"/>
      <c r="H2527" s="181"/>
      <c r="I2527" s="74"/>
      <c r="J2527" s="74"/>
      <c r="M2527" s="185"/>
      <c r="N2527" s="185"/>
      <c r="O2527" s="185"/>
      <c r="P2527" s="185"/>
      <c r="Q2527" s="185"/>
      <c r="R2527" s="185"/>
    </row>
    <row r="2528" spans="1:18" s="197" customFormat="1" ht="12.75" x14ac:dyDescent="0.2">
      <c r="A2528" s="181"/>
      <c r="B2528" s="188" t="s">
        <v>4865</v>
      </c>
      <c r="C2528" s="189" t="s">
        <v>135</v>
      </c>
      <c r="D2528" s="189" t="s">
        <v>133</v>
      </c>
      <c r="E2528" s="190" t="s">
        <v>2080</v>
      </c>
      <c r="F2528" s="191">
        <f t="shared" si="41"/>
        <v>298.89999999999998</v>
      </c>
      <c r="G2528" s="185"/>
      <c r="H2528" s="181"/>
      <c r="I2528" s="74"/>
      <c r="J2528" s="74"/>
      <c r="M2528" s="185"/>
      <c r="N2528" s="185"/>
      <c r="O2528" s="185"/>
      <c r="P2528" s="185"/>
      <c r="Q2528" s="185"/>
      <c r="R2528" s="185"/>
    </row>
    <row r="2529" spans="1:18" s="197" customFormat="1" ht="12.75" x14ac:dyDescent="0.2">
      <c r="A2529" s="181"/>
      <c r="B2529" s="188" t="s">
        <v>4866</v>
      </c>
      <c r="C2529" s="189" t="s">
        <v>125</v>
      </c>
      <c r="D2529" s="189" t="s">
        <v>123</v>
      </c>
      <c r="E2529" s="190" t="s">
        <v>2157</v>
      </c>
      <c r="F2529" s="191">
        <f t="shared" si="41"/>
        <v>231.58333333333334</v>
      </c>
      <c r="G2529" s="185"/>
      <c r="H2529" s="181"/>
      <c r="I2529" s="74"/>
      <c r="J2529" s="74"/>
      <c r="M2529" s="185"/>
      <c r="N2529" s="185"/>
      <c r="O2529" s="185"/>
      <c r="P2529" s="185"/>
      <c r="Q2529" s="185"/>
      <c r="R2529" s="185"/>
    </row>
    <row r="2530" spans="1:18" s="197" customFormat="1" ht="12.75" x14ac:dyDescent="0.2">
      <c r="A2530" s="181"/>
      <c r="B2530" s="188" t="s">
        <v>4867</v>
      </c>
      <c r="C2530" s="189" t="s">
        <v>140</v>
      </c>
      <c r="D2530" s="189" t="s">
        <v>129</v>
      </c>
      <c r="E2530" s="190" t="s">
        <v>2647</v>
      </c>
      <c r="F2530" s="191">
        <f t="shared" si="41"/>
        <v>209.35</v>
      </c>
      <c r="G2530" s="185"/>
      <c r="H2530" s="181"/>
      <c r="I2530" s="74"/>
      <c r="J2530" s="74"/>
      <c r="M2530" s="185"/>
      <c r="N2530" s="185"/>
      <c r="O2530" s="185"/>
      <c r="P2530" s="185"/>
      <c r="Q2530" s="185"/>
      <c r="R2530" s="185"/>
    </row>
    <row r="2531" spans="1:18" s="197" customFormat="1" ht="12.75" x14ac:dyDescent="0.2">
      <c r="A2531" s="181"/>
      <c r="B2531" s="188" t="s">
        <v>587</v>
      </c>
      <c r="C2531" s="189" t="s">
        <v>142</v>
      </c>
      <c r="D2531" s="189" t="s">
        <v>123</v>
      </c>
      <c r="E2531" s="190" t="s">
        <v>4868</v>
      </c>
      <c r="F2531" s="191">
        <f t="shared" si="41"/>
        <v>228.75</v>
      </c>
      <c r="G2531" s="185"/>
      <c r="H2531" s="181"/>
      <c r="I2531" s="74"/>
      <c r="J2531" s="74"/>
      <c r="M2531" s="185"/>
      <c r="N2531" s="185"/>
      <c r="O2531" s="185"/>
      <c r="P2531" s="185"/>
      <c r="Q2531" s="185"/>
      <c r="R2531" s="185"/>
    </row>
    <row r="2532" spans="1:18" s="197" customFormat="1" ht="12.75" x14ac:dyDescent="0.2">
      <c r="A2532" s="181"/>
      <c r="B2532" s="188" t="s">
        <v>350</v>
      </c>
      <c r="C2532" s="189" t="s">
        <v>124</v>
      </c>
      <c r="D2532" s="189" t="s">
        <v>123</v>
      </c>
      <c r="E2532" s="190" t="s">
        <v>930</v>
      </c>
      <c r="F2532" s="191">
        <f t="shared" si="41"/>
        <v>189.58333333333334</v>
      </c>
      <c r="G2532" s="185"/>
      <c r="H2532" s="181"/>
      <c r="I2532" s="74"/>
      <c r="J2532" s="74"/>
      <c r="M2532" s="185"/>
      <c r="N2532" s="185"/>
      <c r="O2532" s="185"/>
      <c r="P2532" s="185"/>
      <c r="Q2532" s="185"/>
      <c r="R2532" s="185"/>
    </row>
    <row r="2533" spans="1:18" s="197" customFormat="1" ht="12.75" x14ac:dyDescent="0.2">
      <c r="A2533" s="181"/>
      <c r="B2533" s="188" t="s">
        <v>4869</v>
      </c>
      <c r="C2533" s="189" t="s">
        <v>130</v>
      </c>
      <c r="D2533" s="189" t="s">
        <v>123</v>
      </c>
      <c r="E2533" s="190" t="s">
        <v>4870</v>
      </c>
      <c r="F2533" s="191">
        <f t="shared" si="41"/>
        <v>217.53333333333333</v>
      </c>
      <c r="G2533" s="185"/>
      <c r="H2533" s="181"/>
      <c r="I2533" s="74"/>
      <c r="J2533" s="74"/>
      <c r="M2533" s="185"/>
      <c r="N2533" s="185"/>
      <c r="O2533" s="185"/>
      <c r="P2533" s="185"/>
      <c r="Q2533" s="185"/>
      <c r="R2533" s="185"/>
    </row>
    <row r="2534" spans="1:18" s="197" customFormat="1" ht="12.75" x14ac:dyDescent="0.2">
      <c r="A2534" s="181"/>
      <c r="B2534" s="188" t="s">
        <v>4871</v>
      </c>
      <c r="C2534" s="189" t="s">
        <v>142</v>
      </c>
      <c r="D2534" s="189" t="s">
        <v>123</v>
      </c>
      <c r="E2534" s="190" t="s">
        <v>4872</v>
      </c>
      <c r="F2534" s="191">
        <f t="shared" si="41"/>
        <v>230.11666666666667</v>
      </c>
      <c r="G2534" s="185"/>
      <c r="H2534" s="181"/>
      <c r="I2534" s="74"/>
      <c r="J2534" s="74"/>
      <c r="M2534" s="185"/>
      <c r="N2534" s="185"/>
      <c r="O2534" s="185"/>
      <c r="P2534" s="185"/>
      <c r="Q2534" s="185"/>
      <c r="R2534" s="185"/>
    </row>
    <row r="2535" spans="1:18" s="197" customFormat="1" ht="12.75" x14ac:dyDescent="0.2">
      <c r="A2535" s="181"/>
      <c r="B2535" s="188" t="s">
        <v>4873</v>
      </c>
      <c r="C2535" s="189" t="s">
        <v>124</v>
      </c>
      <c r="D2535" s="189" t="s">
        <v>173</v>
      </c>
      <c r="E2535" s="190" t="s">
        <v>4874</v>
      </c>
      <c r="F2535" s="191">
        <f t="shared" si="41"/>
        <v>239.7</v>
      </c>
      <c r="G2535" s="185"/>
      <c r="H2535" s="181"/>
      <c r="I2535" s="74"/>
      <c r="J2535" s="74"/>
      <c r="M2535" s="185"/>
      <c r="N2535" s="185"/>
      <c r="O2535" s="185"/>
      <c r="P2535" s="185"/>
      <c r="Q2535" s="185"/>
      <c r="R2535" s="185"/>
    </row>
    <row r="2536" spans="1:18" s="197" customFormat="1" ht="12.75" x14ac:dyDescent="0.2">
      <c r="A2536" s="181"/>
      <c r="B2536" s="188" t="s">
        <v>4875</v>
      </c>
      <c r="C2536" s="189" t="s">
        <v>136</v>
      </c>
      <c r="D2536" s="189" t="s">
        <v>123</v>
      </c>
      <c r="E2536" s="190" t="s">
        <v>2080</v>
      </c>
      <c r="F2536" s="191">
        <f t="shared" si="41"/>
        <v>298.89999999999998</v>
      </c>
      <c r="G2536" s="185"/>
      <c r="H2536" s="181"/>
      <c r="I2536" s="74"/>
      <c r="J2536" s="74"/>
      <c r="M2536" s="185"/>
      <c r="N2536" s="185"/>
      <c r="O2536" s="185"/>
      <c r="P2536" s="185"/>
      <c r="Q2536" s="185"/>
      <c r="R2536" s="185"/>
    </row>
    <row r="2537" spans="1:18" s="197" customFormat="1" ht="12.75" x14ac:dyDescent="0.2">
      <c r="A2537" s="181"/>
      <c r="B2537" s="188" t="s">
        <v>4876</v>
      </c>
      <c r="C2537" s="189" t="s">
        <v>134</v>
      </c>
      <c r="D2537" s="189" t="s">
        <v>123</v>
      </c>
      <c r="E2537" s="190" t="s">
        <v>4572</v>
      </c>
      <c r="F2537" s="191">
        <f t="shared" si="41"/>
        <v>200.45</v>
      </c>
      <c r="G2537" s="185"/>
      <c r="H2537" s="181"/>
      <c r="I2537" s="74"/>
      <c r="J2537" s="74"/>
      <c r="M2537" s="185"/>
      <c r="N2537" s="185"/>
      <c r="O2537" s="185"/>
      <c r="P2537" s="185"/>
      <c r="Q2537" s="185"/>
      <c r="R2537" s="185"/>
    </row>
    <row r="2538" spans="1:18" s="197" customFormat="1" ht="12.75" x14ac:dyDescent="0.2">
      <c r="A2538" s="181"/>
      <c r="B2538" s="188" t="s">
        <v>4877</v>
      </c>
      <c r="C2538" s="189" t="s">
        <v>126</v>
      </c>
      <c r="D2538" s="189" t="s">
        <v>123</v>
      </c>
      <c r="E2538" s="190" t="s">
        <v>1266</v>
      </c>
      <c r="F2538" s="191">
        <f t="shared" si="41"/>
        <v>231.88333333333333</v>
      </c>
      <c r="G2538" s="185"/>
      <c r="H2538" s="181"/>
      <c r="I2538" s="74"/>
      <c r="J2538" s="74"/>
      <c r="M2538" s="185"/>
      <c r="N2538" s="185"/>
      <c r="O2538" s="185"/>
      <c r="P2538" s="185"/>
      <c r="Q2538" s="185"/>
      <c r="R2538" s="185"/>
    </row>
    <row r="2539" spans="1:18" s="197" customFormat="1" ht="12.75" x14ac:dyDescent="0.2">
      <c r="A2539" s="181"/>
      <c r="B2539" s="188" t="s">
        <v>4878</v>
      </c>
      <c r="C2539" s="189" t="s">
        <v>126</v>
      </c>
      <c r="D2539" s="189" t="s">
        <v>123</v>
      </c>
      <c r="E2539" s="190" t="s">
        <v>4879</v>
      </c>
      <c r="F2539" s="191">
        <f t="shared" si="41"/>
        <v>243.7</v>
      </c>
      <c r="G2539" s="185"/>
      <c r="H2539" s="181"/>
      <c r="I2539" s="74"/>
      <c r="J2539" s="74"/>
      <c r="M2539" s="185"/>
      <c r="N2539" s="185"/>
      <c r="O2539" s="185"/>
      <c r="P2539" s="185"/>
      <c r="Q2539" s="185"/>
      <c r="R2539" s="185"/>
    </row>
    <row r="2540" spans="1:18" s="197" customFormat="1" ht="12.75" x14ac:dyDescent="0.2">
      <c r="A2540" s="181"/>
      <c r="B2540" s="188" t="s">
        <v>4880</v>
      </c>
      <c r="C2540" s="189" t="s">
        <v>130</v>
      </c>
      <c r="D2540" s="189" t="s">
        <v>123</v>
      </c>
      <c r="E2540" s="190" t="s">
        <v>4881</v>
      </c>
      <c r="F2540" s="191">
        <f t="shared" si="41"/>
        <v>250.7</v>
      </c>
      <c r="G2540" s="185"/>
      <c r="H2540" s="181"/>
      <c r="I2540" s="74"/>
      <c r="J2540" s="74"/>
      <c r="M2540" s="185"/>
      <c r="N2540" s="185"/>
      <c r="O2540" s="185"/>
      <c r="P2540" s="185"/>
      <c r="Q2540" s="185"/>
      <c r="R2540" s="185"/>
    </row>
    <row r="2541" spans="1:18" s="197" customFormat="1" ht="12.75" x14ac:dyDescent="0.2">
      <c r="A2541" s="181"/>
      <c r="B2541" s="188" t="s">
        <v>4882</v>
      </c>
      <c r="C2541" s="189" t="s">
        <v>126</v>
      </c>
      <c r="D2541" s="189" t="s">
        <v>123</v>
      </c>
      <c r="E2541" s="190" t="s">
        <v>4883</v>
      </c>
      <c r="F2541" s="191">
        <f t="shared" si="41"/>
        <v>196.1</v>
      </c>
      <c r="G2541" s="185"/>
      <c r="H2541" s="181"/>
      <c r="I2541" s="74"/>
      <c r="J2541" s="74"/>
      <c r="M2541" s="185"/>
      <c r="N2541" s="185"/>
      <c r="O2541" s="185"/>
      <c r="P2541" s="185"/>
      <c r="Q2541" s="185"/>
      <c r="R2541" s="185"/>
    </row>
    <row r="2542" spans="1:18" s="197" customFormat="1" ht="12.75" x14ac:dyDescent="0.2">
      <c r="A2542" s="181"/>
      <c r="B2542" s="188" t="s">
        <v>4884</v>
      </c>
      <c r="C2542" s="189" t="s">
        <v>130</v>
      </c>
      <c r="D2542" s="189" t="s">
        <v>147</v>
      </c>
      <c r="E2542" s="190" t="s">
        <v>4885</v>
      </c>
      <c r="F2542" s="191">
        <f t="shared" si="41"/>
        <v>205.8</v>
      </c>
      <c r="G2542" s="185"/>
      <c r="H2542" s="181"/>
      <c r="I2542" s="74"/>
      <c r="J2542" s="74"/>
      <c r="M2542" s="185"/>
      <c r="N2542" s="185"/>
      <c r="O2542" s="185"/>
      <c r="P2542" s="185"/>
      <c r="Q2542" s="185"/>
      <c r="R2542" s="185"/>
    </row>
    <row r="2543" spans="1:18" s="197" customFormat="1" ht="12.75" x14ac:dyDescent="0.2">
      <c r="A2543" s="181"/>
      <c r="B2543" s="188" t="s">
        <v>377</v>
      </c>
      <c r="C2543" s="189" t="s">
        <v>142</v>
      </c>
      <c r="D2543" s="189" t="s">
        <v>123</v>
      </c>
      <c r="E2543" s="190" t="s">
        <v>3243</v>
      </c>
      <c r="F2543" s="191">
        <f t="shared" si="41"/>
        <v>239.23333333333332</v>
      </c>
      <c r="G2543" s="185"/>
      <c r="H2543" s="181"/>
      <c r="I2543" s="74"/>
      <c r="J2543" s="74"/>
      <c r="M2543" s="185"/>
      <c r="N2543" s="185"/>
      <c r="O2543" s="185"/>
      <c r="P2543" s="185"/>
      <c r="Q2543" s="185"/>
      <c r="R2543" s="185"/>
    </row>
    <row r="2544" spans="1:18" s="197" customFormat="1" ht="12.75" x14ac:dyDescent="0.2">
      <c r="A2544" s="181"/>
      <c r="B2544" s="188" t="s">
        <v>4886</v>
      </c>
      <c r="C2544" s="189" t="s">
        <v>124</v>
      </c>
      <c r="D2544" s="189" t="s">
        <v>123</v>
      </c>
      <c r="E2544" s="190" t="s">
        <v>1820</v>
      </c>
      <c r="F2544" s="191">
        <f t="shared" si="41"/>
        <v>330.78333333333336</v>
      </c>
      <c r="G2544" s="185"/>
      <c r="H2544" s="181"/>
      <c r="I2544" s="74"/>
      <c r="J2544" s="74"/>
      <c r="M2544" s="185"/>
      <c r="N2544" s="185"/>
      <c r="O2544" s="185"/>
      <c r="P2544" s="185"/>
      <c r="Q2544" s="185"/>
      <c r="R2544" s="185"/>
    </row>
    <row r="2545" spans="1:18" s="197" customFormat="1" ht="12.75" x14ac:dyDescent="0.2">
      <c r="A2545" s="181"/>
      <c r="B2545" s="188" t="s">
        <v>4887</v>
      </c>
      <c r="C2545" s="189" t="s">
        <v>125</v>
      </c>
      <c r="D2545" s="189" t="s">
        <v>152</v>
      </c>
      <c r="E2545" s="190" t="s">
        <v>1710</v>
      </c>
      <c r="F2545" s="191">
        <f t="shared" si="41"/>
        <v>274.25</v>
      </c>
      <c r="G2545" s="185"/>
      <c r="H2545" s="181"/>
      <c r="I2545" s="74"/>
      <c r="J2545" s="74"/>
      <c r="M2545" s="185"/>
      <c r="N2545" s="185"/>
      <c r="O2545" s="185"/>
      <c r="P2545" s="185"/>
      <c r="Q2545" s="185"/>
      <c r="R2545" s="185"/>
    </row>
    <row r="2546" spans="1:18" s="197" customFormat="1" ht="12.75" x14ac:dyDescent="0.2">
      <c r="A2546" s="181"/>
      <c r="B2546" s="188" t="s">
        <v>4888</v>
      </c>
      <c r="C2546" s="189" t="s">
        <v>134</v>
      </c>
      <c r="D2546" s="189" t="s">
        <v>132</v>
      </c>
      <c r="E2546" s="190" t="s">
        <v>4889</v>
      </c>
      <c r="F2546" s="191">
        <f t="shared" si="41"/>
        <v>274.5</v>
      </c>
      <c r="G2546" s="185"/>
      <c r="H2546" s="181"/>
      <c r="I2546" s="74"/>
      <c r="J2546" s="74"/>
      <c r="M2546" s="185"/>
      <c r="N2546" s="185"/>
      <c r="O2546" s="185"/>
      <c r="P2546" s="185"/>
      <c r="Q2546" s="185"/>
      <c r="R2546" s="185"/>
    </row>
    <row r="2547" spans="1:18" s="197" customFormat="1" ht="12.75" x14ac:dyDescent="0.2">
      <c r="A2547" s="181"/>
      <c r="B2547" s="188" t="s">
        <v>4890</v>
      </c>
      <c r="C2547" s="189" t="s">
        <v>124</v>
      </c>
      <c r="D2547" s="189" t="s">
        <v>123</v>
      </c>
      <c r="E2547" s="190" t="s">
        <v>4891</v>
      </c>
      <c r="F2547" s="191">
        <f t="shared" si="41"/>
        <v>208.36666666666667</v>
      </c>
      <c r="G2547" s="185"/>
      <c r="H2547" s="181"/>
      <c r="I2547" s="74"/>
      <c r="J2547" s="74"/>
      <c r="M2547" s="185"/>
      <c r="N2547" s="185"/>
      <c r="O2547" s="185"/>
      <c r="P2547" s="185"/>
      <c r="Q2547" s="185"/>
      <c r="R2547" s="185"/>
    </row>
    <row r="2548" spans="1:18" s="197" customFormat="1" ht="12.75" x14ac:dyDescent="0.2">
      <c r="A2548" s="181"/>
      <c r="B2548" s="188" t="s">
        <v>2197</v>
      </c>
      <c r="C2548" s="189" t="s">
        <v>126</v>
      </c>
      <c r="D2548" s="189" t="s">
        <v>123</v>
      </c>
      <c r="E2548" s="190" t="s">
        <v>2198</v>
      </c>
      <c r="F2548" s="191">
        <f t="shared" si="41"/>
        <v>221.35</v>
      </c>
      <c r="G2548" s="185"/>
      <c r="H2548" s="181"/>
      <c r="I2548" s="74"/>
      <c r="J2548" s="74"/>
      <c r="M2548" s="185"/>
      <c r="N2548" s="185"/>
      <c r="O2548" s="185"/>
      <c r="P2548" s="185"/>
      <c r="Q2548" s="185"/>
      <c r="R2548" s="185"/>
    </row>
    <row r="2549" spans="1:18" s="197" customFormat="1" ht="12.75" x14ac:dyDescent="0.2">
      <c r="A2549" s="181"/>
      <c r="B2549" s="188" t="s">
        <v>4892</v>
      </c>
      <c r="C2549" s="189" t="s">
        <v>142</v>
      </c>
      <c r="D2549" s="189" t="s">
        <v>123</v>
      </c>
      <c r="E2549" s="190" t="s">
        <v>2612</v>
      </c>
      <c r="F2549" s="191">
        <f t="shared" si="41"/>
        <v>253.8</v>
      </c>
      <c r="G2549" s="185"/>
      <c r="H2549" s="181"/>
      <c r="I2549" s="74"/>
      <c r="J2549" s="74"/>
      <c r="M2549" s="185"/>
      <c r="N2549" s="185"/>
      <c r="O2549" s="185"/>
      <c r="P2549" s="185"/>
      <c r="Q2549" s="185"/>
      <c r="R2549" s="185"/>
    </row>
    <row r="2550" spans="1:18" s="197" customFormat="1" ht="12.75" x14ac:dyDescent="0.2">
      <c r="A2550" s="181"/>
      <c r="B2550" s="188" t="s">
        <v>4893</v>
      </c>
      <c r="C2550" s="189" t="s">
        <v>128</v>
      </c>
      <c r="D2550" s="189" t="s">
        <v>127</v>
      </c>
      <c r="E2550" s="190" t="s">
        <v>4894</v>
      </c>
      <c r="F2550" s="191">
        <f t="shared" si="41"/>
        <v>316.78333333333336</v>
      </c>
      <c r="G2550" s="185"/>
      <c r="H2550" s="181"/>
      <c r="I2550" s="74"/>
      <c r="J2550" s="74"/>
      <c r="M2550" s="185"/>
      <c r="N2550" s="185"/>
      <c r="O2550" s="185"/>
      <c r="P2550" s="185"/>
      <c r="Q2550" s="185"/>
      <c r="R2550" s="185"/>
    </row>
    <row r="2551" spans="1:18" s="197" customFormat="1" ht="12.75" x14ac:dyDescent="0.2">
      <c r="A2551" s="181"/>
      <c r="B2551" s="188" t="s">
        <v>4895</v>
      </c>
      <c r="C2551" s="189" t="s">
        <v>124</v>
      </c>
      <c r="D2551" s="189" t="s">
        <v>123</v>
      </c>
      <c r="E2551" s="190" t="s">
        <v>3307</v>
      </c>
      <c r="F2551" s="191">
        <f t="shared" si="41"/>
        <v>237.8</v>
      </c>
      <c r="G2551" s="185"/>
      <c r="H2551" s="181"/>
      <c r="I2551" s="74"/>
      <c r="J2551" s="74"/>
      <c r="M2551" s="185"/>
      <c r="N2551" s="185"/>
      <c r="O2551" s="185"/>
      <c r="P2551" s="185"/>
      <c r="Q2551" s="185"/>
      <c r="R2551" s="185"/>
    </row>
    <row r="2552" spans="1:18" s="197" customFormat="1" ht="12.75" x14ac:dyDescent="0.2">
      <c r="A2552" s="181"/>
      <c r="B2552" s="188" t="s">
        <v>4896</v>
      </c>
      <c r="C2552" s="189" t="s">
        <v>126</v>
      </c>
      <c r="D2552" s="189" t="s">
        <v>149</v>
      </c>
      <c r="E2552" s="190" t="s">
        <v>4897</v>
      </c>
      <c r="F2552" s="191">
        <f t="shared" si="41"/>
        <v>281.5</v>
      </c>
      <c r="G2552" s="185"/>
      <c r="H2552" s="181"/>
      <c r="I2552" s="74"/>
      <c r="J2552" s="74"/>
      <c r="M2552" s="185"/>
      <c r="N2552" s="185"/>
      <c r="O2552" s="185"/>
      <c r="P2552" s="185"/>
      <c r="Q2552" s="185"/>
      <c r="R2552" s="185"/>
    </row>
    <row r="2553" spans="1:18" s="197" customFormat="1" ht="12.75" x14ac:dyDescent="0.2">
      <c r="A2553" s="181"/>
      <c r="B2553" s="188" t="s">
        <v>4898</v>
      </c>
      <c r="C2553" s="189" t="s">
        <v>130</v>
      </c>
      <c r="D2553" s="189" t="s">
        <v>123</v>
      </c>
      <c r="E2553" s="190" t="s">
        <v>4899</v>
      </c>
      <c r="F2553" s="191">
        <f t="shared" si="41"/>
        <v>170.56666666666666</v>
      </c>
      <c r="G2553" s="185"/>
      <c r="H2553" s="181"/>
      <c r="I2553" s="74"/>
      <c r="J2553" s="74"/>
      <c r="M2553" s="185"/>
      <c r="N2553" s="185"/>
      <c r="O2553" s="185"/>
      <c r="P2553" s="185"/>
      <c r="Q2553" s="185"/>
      <c r="R2553" s="185"/>
    </row>
    <row r="2554" spans="1:18" s="197" customFormat="1" ht="12.75" x14ac:dyDescent="0.2">
      <c r="A2554" s="181"/>
      <c r="B2554" s="188" t="s">
        <v>4900</v>
      </c>
      <c r="C2554" s="189" t="s">
        <v>125</v>
      </c>
      <c r="D2554" s="189" t="s">
        <v>123</v>
      </c>
      <c r="E2554" s="190" t="s">
        <v>4901</v>
      </c>
      <c r="F2554" s="191">
        <f t="shared" si="41"/>
        <v>301.13333333333333</v>
      </c>
      <c r="G2554" s="185"/>
      <c r="H2554" s="181"/>
      <c r="I2554" s="74"/>
      <c r="J2554" s="74"/>
      <c r="M2554" s="185"/>
      <c r="N2554" s="185"/>
      <c r="O2554" s="185"/>
      <c r="P2554" s="185"/>
      <c r="Q2554" s="185"/>
      <c r="R2554" s="185"/>
    </row>
    <row r="2555" spans="1:18" s="197" customFormat="1" ht="12.75" x14ac:dyDescent="0.2">
      <c r="A2555" s="181"/>
      <c r="B2555" s="188" t="s">
        <v>4902</v>
      </c>
      <c r="C2555" s="189" t="s">
        <v>126</v>
      </c>
      <c r="D2555" s="189" t="s">
        <v>123</v>
      </c>
      <c r="E2555" s="190" t="s">
        <v>2729</v>
      </c>
      <c r="F2555" s="191">
        <f t="shared" si="41"/>
        <v>246.5</v>
      </c>
      <c r="G2555" s="185"/>
      <c r="H2555" s="181"/>
      <c r="I2555" s="74"/>
      <c r="J2555" s="74"/>
      <c r="M2555" s="185"/>
      <c r="N2555" s="185"/>
      <c r="O2555" s="185"/>
      <c r="P2555" s="185"/>
      <c r="Q2555" s="185"/>
      <c r="R2555" s="185"/>
    </row>
    <row r="2556" spans="1:18" s="197" customFormat="1" ht="12.75" x14ac:dyDescent="0.2">
      <c r="A2556" s="181"/>
      <c r="B2556" s="188" t="s">
        <v>4903</v>
      </c>
      <c r="C2556" s="189" t="s">
        <v>135</v>
      </c>
      <c r="D2556" s="189" t="s">
        <v>155</v>
      </c>
      <c r="E2556" s="190" t="s">
        <v>4904</v>
      </c>
      <c r="F2556" s="191">
        <f t="shared" si="41"/>
        <v>233.46666666666667</v>
      </c>
      <c r="G2556" s="185"/>
      <c r="H2556" s="181"/>
      <c r="I2556" s="74"/>
      <c r="J2556" s="74"/>
      <c r="M2556" s="185"/>
      <c r="N2556" s="185"/>
      <c r="O2556" s="185"/>
      <c r="P2556" s="185"/>
      <c r="Q2556" s="185"/>
      <c r="R2556" s="185"/>
    </row>
    <row r="2557" spans="1:18" s="197" customFormat="1" ht="12.75" x14ac:dyDescent="0.2">
      <c r="A2557" s="181"/>
      <c r="B2557" s="188" t="s">
        <v>3455</v>
      </c>
      <c r="C2557" s="189" t="s">
        <v>136</v>
      </c>
      <c r="D2557" s="189" t="s">
        <v>123</v>
      </c>
      <c r="E2557" s="190" t="s">
        <v>3456</v>
      </c>
      <c r="F2557" s="191">
        <f t="shared" si="41"/>
        <v>265.8</v>
      </c>
      <c r="G2557" s="185"/>
      <c r="H2557" s="181"/>
      <c r="I2557" s="74"/>
      <c r="J2557" s="74"/>
      <c r="M2557" s="185"/>
      <c r="N2557" s="185"/>
      <c r="O2557" s="185"/>
      <c r="P2557" s="185"/>
      <c r="Q2557" s="185"/>
      <c r="R2557" s="185"/>
    </row>
    <row r="2558" spans="1:18" s="197" customFormat="1" ht="12.75" x14ac:dyDescent="0.2">
      <c r="A2558" s="181"/>
      <c r="B2558" s="188" t="s">
        <v>4905</v>
      </c>
      <c r="C2558" s="189" t="s">
        <v>142</v>
      </c>
      <c r="D2558" s="189" t="s">
        <v>123</v>
      </c>
      <c r="E2558" s="190" t="s">
        <v>4906</v>
      </c>
      <c r="F2558" s="191">
        <f t="shared" si="41"/>
        <v>202.1</v>
      </c>
      <c r="G2558" s="185"/>
      <c r="H2558" s="181"/>
      <c r="I2558" s="74"/>
      <c r="J2558" s="74"/>
      <c r="M2558" s="185"/>
      <c r="N2558" s="185"/>
      <c r="O2558" s="185"/>
      <c r="P2558" s="185"/>
      <c r="Q2558" s="185"/>
      <c r="R2558" s="185"/>
    </row>
    <row r="2559" spans="1:18" s="197" customFormat="1" ht="12.75" x14ac:dyDescent="0.2">
      <c r="A2559" s="181"/>
      <c r="B2559" s="188" t="s">
        <v>4907</v>
      </c>
      <c r="C2559" s="189" t="s">
        <v>128</v>
      </c>
      <c r="D2559" s="189" t="s">
        <v>144</v>
      </c>
      <c r="E2559" s="190" t="s">
        <v>4908</v>
      </c>
      <c r="F2559" s="191">
        <f t="shared" si="41"/>
        <v>209.83333333333334</v>
      </c>
      <c r="G2559" s="185"/>
      <c r="H2559" s="181"/>
      <c r="I2559" s="74"/>
      <c r="J2559" s="74"/>
      <c r="M2559" s="185"/>
      <c r="N2559" s="185"/>
      <c r="O2559" s="185"/>
      <c r="P2559" s="185"/>
      <c r="Q2559" s="185"/>
      <c r="R2559" s="185"/>
    </row>
    <row r="2560" spans="1:18" s="197" customFormat="1" ht="12.75" x14ac:dyDescent="0.2">
      <c r="A2560" s="181"/>
      <c r="B2560" s="188" t="s">
        <v>4909</v>
      </c>
      <c r="C2560" s="189" t="s">
        <v>125</v>
      </c>
      <c r="D2560" s="189" t="s">
        <v>157</v>
      </c>
      <c r="E2560" s="190" t="s">
        <v>4910</v>
      </c>
      <c r="F2560" s="191">
        <f t="shared" si="41"/>
        <v>226.35</v>
      </c>
      <c r="G2560" s="185"/>
      <c r="H2560" s="181"/>
      <c r="I2560" s="74"/>
      <c r="J2560" s="74"/>
      <c r="M2560" s="185"/>
      <c r="N2560" s="185"/>
      <c r="O2560" s="185"/>
      <c r="P2560" s="185"/>
      <c r="Q2560" s="185"/>
      <c r="R2560" s="185"/>
    </row>
    <row r="2561" spans="1:18" s="197" customFormat="1" ht="12.75" x14ac:dyDescent="0.2">
      <c r="A2561" s="181"/>
      <c r="B2561" s="188" t="s">
        <v>4911</v>
      </c>
      <c r="C2561" s="189" t="s">
        <v>136</v>
      </c>
      <c r="D2561" s="189" t="s">
        <v>123</v>
      </c>
      <c r="E2561" s="190" t="s">
        <v>4912</v>
      </c>
      <c r="F2561" s="191">
        <f t="shared" si="41"/>
        <v>207.1</v>
      </c>
      <c r="G2561" s="185"/>
      <c r="H2561" s="181"/>
      <c r="I2561" s="74"/>
      <c r="J2561" s="74"/>
      <c r="M2561" s="185"/>
      <c r="N2561" s="185"/>
      <c r="O2561" s="185"/>
      <c r="P2561" s="185"/>
      <c r="Q2561" s="185"/>
      <c r="R2561" s="185"/>
    </row>
    <row r="2562" spans="1:18" s="197" customFormat="1" ht="12.75" x14ac:dyDescent="0.2">
      <c r="A2562" s="181"/>
      <c r="B2562" s="188" t="s">
        <v>4913</v>
      </c>
      <c r="C2562" s="189" t="s">
        <v>130</v>
      </c>
      <c r="D2562" s="189" t="s">
        <v>155</v>
      </c>
      <c r="E2562" s="190" t="s">
        <v>4914</v>
      </c>
      <c r="F2562" s="191">
        <f t="shared" si="41"/>
        <v>264.8</v>
      </c>
      <c r="G2562" s="185"/>
      <c r="H2562" s="181"/>
      <c r="I2562" s="74"/>
      <c r="J2562" s="74"/>
      <c r="M2562" s="185"/>
      <c r="N2562" s="185"/>
      <c r="O2562" s="185"/>
      <c r="P2562" s="185"/>
      <c r="Q2562" s="185"/>
      <c r="R2562" s="185"/>
    </row>
    <row r="2563" spans="1:18" s="197" customFormat="1" ht="12.75" x14ac:dyDescent="0.2">
      <c r="A2563" s="181"/>
      <c r="B2563" s="188" t="s">
        <v>571</v>
      </c>
      <c r="C2563" s="189" t="s">
        <v>124</v>
      </c>
      <c r="D2563" s="189" t="s">
        <v>123</v>
      </c>
      <c r="E2563" s="190" t="s">
        <v>4915</v>
      </c>
      <c r="F2563" s="191">
        <f t="shared" si="41"/>
        <v>262.78333333333336</v>
      </c>
      <c r="G2563" s="185"/>
      <c r="H2563" s="181"/>
      <c r="I2563" s="74"/>
      <c r="J2563" s="74"/>
      <c r="M2563" s="185"/>
      <c r="N2563" s="185"/>
      <c r="O2563" s="185"/>
      <c r="P2563" s="185"/>
      <c r="Q2563" s="185"/>
      <c r="R2563" s="185"/>
    </row>
    <row r="2564" spans="1:18" s="197" customFormat="1" ht="12.75" x14ac:dyDescent="0.2">
      <c r="A2564" s="181"/>
      <c r="B2564" s="188" t="s">
        <v>600</v>
      </c>
      <c r="C2564" s="189" t="s">
        <v>125</v>
      </c>
      <c r="D2564" s="189" t="s">
        <v>123</v>
      </c>
      <c r="E2564" s="190" t="s">
        <v>4916</v>
      </c>
      <c r="F2564" s="191">
        <f t="shared" si="41"/>
        <v>267.31666666666666</v>
      </c>
      <c r="G2564" s="185"/>
      <c r="H2564" s="181"/>
      <c r="I2564" s="74"/>
      <c r="J2564" s="74"/>
      <c r="M2564" s="185"/>
      <c r="N2564" s="185"/>
      <c r="O2564" s="185"/>
      <c r="P2564" s="185"/>
      <c r="Q2564" s="185"/>
      <c r="R2564" s="185"/>
    </row>
    <row r="2565" spans="1:18" s="197" customFormat="1" ht="12.75" x14ac:dyDescent="0.2">
      <c r="A2565" s="181"/>
      <c r="B2565" s="188" t="s">
        <v>204</v>
      </c>
      <c r="C2565" s="189" t="s">
        <v>124</v>
      </c>
      <c r="D2565" s="189" t="s">
        <v>212</v>
      </c>
      <c r="E2565" s="190" t="s">
        <v>4917</v>
      </c>
      <c r="F2565" s="191">
        <f t="shared" si="41"/>
        <v>228.51666666666668</v>
      </c>
      <c r="G2565" s="185"/>
      <c r="H2565" s="181"/>
      <c r="I2565" s="74"/>
      <c r="J2565" s="74"/>
      <c r="M2565" s="185"/>
      <c r="N2565" s="185"/>
      <c r="O2565" s="185"/>
      <c r="P2565" s="185"/>
      <c r="Q2565" s="185"/>
      <c r="R2565" s="185"/>
    </row>
    <row r="2566" spans="1:18" s="197" customFormat="1" ht="12.75" x14ac:dyDescent="0.2">
      <c r="A2566" s="181"/>
      <c r="B2566" s="188" t="s">
        <v>137</v>
      </c>
      <c r="C2566" s="189" t="s">
        <v>140</v>
      </c>
      <c r="D2566" s="189" t="s">
        <v>123</v>
      </c>
      <c r="E2566" s="190" t="s">
        <v>4778</v>
      </c>
      <c r="F2566" s="191">
        <f t="shared" si="41"/>
        <v>299</v>
      </c>
      <c r="G2566" s="185"/>
      <c r="H2566" s="181"/>
      <c r="I2566" s="74"/>
      <c r="J2566" s="74"/>
      <c r="M2566" s="185"/>
      <c r="N2566" s="185"/>
      <c r="O2566" s="185"/>
      <c r="P2566" s="185"/>
      <c r="Q2566" s="185"/>
      <c r="R2566" s="185"/>
    </row>
    <row r="2567" spans="1:18" s="197" customFormat="1" ht="12.75" x14ac:dyDescent="0.2">
      <c r="A2567" s="181"/>
      <c r="B2567" s="188" t="s">
        <v>258</v>
      </c>
      <c r="C2567" s="189" t="s">
        <v>136</v>
      </c>
      <c r="D2567" s="189" t="s">
        <v>123</v>
      </c>
      <c r="E2567" s="190" t="s">
        <v>4918</v>
      </c>
      <c r="F2567" s="191">
        <f t="shared" si="41"/>
        <v>223.6</v>
      </c>
      <c r="G2567" s="185"/>
      <c r="H2567" s="181"/>
      <c r="I2567" s="74"/>
      <c r="J2567" s="74"/>
      <c r="M2567" s="185"/>
      <c r="N2567" s="185"/>
      <c r="O2567" s="185"/>
      <c r="P2567" s="185"/>
      <c r="Q2567" s="185"/>
      <c r="R2567" s="185"/>
    </row>
    <row r="2568" spans="1:18" s="197" customFormat="1" ht="12.75" x14ac:dyDescent="0.2">
      <c r="A2568" s="181"/>
      <c r="B2568" s="188" t="s">
        <v>2515</v>
      </c>
      <c r="C2568" s="189" t="s">
        <v>124</v>
      </c>
      <c r="D2568" s="189" t="s">
        <v>123</v>
      </c>
      <c r="E2568" s="190" t="s">
        <v>2516</v>
      </c>
      <c r="F2568" s="191">
        <f t="shared" si="41"/>
        <v>303.75</v>
      </c>
      <c r="G2568" s="185"/>
      <c r="H2568" s="181"/>
      <c r="I2568" s="74"/>
      <c r="J2568" s="74"/>
      <c r="M2568" s="185"/>
      <c r="N2568" s="185"/>
      <c r="O2568" s="185"/>
      <c r="P2568" s="185"/>
      <c r="Q2568" s="185"/>
      <c r="R2568" s="185"/>
    </row>
    <row r="2569" spans="1:18" s="197" customFormat="1" ht="12.75" x14ac:dyDescent="0.2">
      <c r="A2569" s="181"/>
      <c r="B2569" s="188" t="s">
        <v>4919</v>
      </c>
      <c r="C2569" s="189" t="s">
        <v>125</v>
      </c>
      <c r="D2569" s="189" t="s">
        <v>289</v>
      </c>
      <c r="E2569" s="190" t="s">
        <v>4920</v>
      </c>
      <c r="F2569" s="191">
        <f t="shared" si="41"/>
        <v>257.45</v>
      </c>
      <c r="G2569" s="185"/>
      <c r="H2569" s="181"/>
      <c r="I2569" s="74"/>
      <c r="J2569" s="74"/>
      <c r="M2569" s="185"/>
      <c r="N2569" s="185"/>
      <c r="O2569" s="185"/>
      <c r="P2569" s="185"/>
      <c r="Q2569" s="185"/>
      <c r="R2569" s="185"/>
    </row>
    <row r="2570" spans="1:18" s="197" customFormat="1" ht="12.75" x14ac:dyDescent="0.2">
      <c r="A2570" s="181"/>
      <c r="B2570" s="188" t="s">
        <v>4921</v>
      </c>
      <c r="C2570" s="189" t="s">
        <v>134</v>
      </c>
      <c r="D2570" s="189" t="s">
        <v>141</v>
      </c>
      <c r="E2570" s="190" t="s">
        <v>3737</v>
      </c>
      <c r="F2570" s="191">
        <f t="shared" si="41"/>
        <v>278.89999999999998</v>
      </c>
      <c r="G2570" s="185"/>
      <c r="H2570" s="181"/>
      <c r="I2570" s="74"/>
      <c r="J2570" s="74"/>
      <c r="M2570" s="185"/>
      <c r="N2570" s="185"/>
      <c r="O2570" s="185"/>
      <c r="P2570" s="185"/>
      <c r="Q2570" s="185"/>
      <c r="R2570" s="185"/>
    </row>
    <row r="2571" spans="1:18" s="197" customFormat="1" ht="12.75" x14ac:dyDescent="0.2">
      <c r="A2571" s="181"/>
      <c r="B2571" s="188" t="s">
        <v>4922</v>
      </c>
      <c r="C2571" s="189" t="s">
        <v>130</v>
      </c>
      <c r="D2571" s="189" t="s">
        <v>131</v>
      </c>
      <c r="E2571" s="190" t="s">
        <v>4923</v>
      </c>
      <c r="F2571" s="191">
        <f t="shared" ref="F2571:F2634" si="42">HOUR(E2571)*60+MINUTE(E2571)+SECOND(E2571)/60</f>
        <v>239.48333333333332</v>
      </c>
      <c r="G2571" s="185"/>
      <c r="H2571" s="181"/>
      <c r="I2571" s="74"/>
      <c r="J2571" s="74"/>
      <c r="M2571" s="185"/>
      <c r="N2571" s="185"/>
      <c r="O2571" s="185"/>
      <c r="P2571" s="185"/>
      <c r="Q2571" s="185"/>
      <c r="R2571" s="185"/>
    </row>
    <row r="2572" spans="1:18" s="197" customFormat="1" ht="12.75" x14ac:dyDescent="0.2">
      <c r="A2572" s="181"/>
      <c r="B2572" s="188" t="s">
        <v>4924</v>
      </c>
      <c r="C2572" s="189" t="s">
        <v>125</v>
      </c>
      <c r="D2572" s="189" t="s">
        <v>132</v>
      </c>
      <c r="E2572" s="190" t="s">
        <v>4925</v>
      </c>
      <c r="F2572" s="191">
        <f t="shared" si="42"/>
        <v>223.1</v>
      </c>
      <c r="G2572" s="185"/>
      <c r="H2572" s="181"/>
      <c r="I2572" s="74"/>
      <c r="J2572" s="74"/>
      <c r="M2572" s="185"/>
      <c r="N2572" s="185"/>
      <c r="O2572" s="185"/>
      <c r="P2572" s="185"/>
      <c r="Q2572" s="185"/>
      <c r="R2572" s="185"/>
    </row>
    <row r="2573" spans="1:18" s="197" customFormat="1" ht="12.75" x14ac:dyDescent="0.2">
      <c r="A2573" s="181"/>
      <c r="B2573" s="188" t="s">
        <v>265</v>
      </c>
      <c r="C2573" s="189" t="s">
        <v>124</v>
      </c>
      <c r="D2573" s="189" t="s">
        <v>133</v>
      </c>
      <c r="E2573" s="190" t="s">
        <v>3516</v>
      </c>
      <c r="F2573" s="191">
        <f t="shared" si="42"/>
        <v>245.15</v>
      </c>
      <c r="G2573" s="185"/>
      <c r="H2573" s="181"/>
      <c r="I2573" s="74"/>
      <c r="J2573" s="74"/>
      <c r="M2573" s="185"/>
      <c r="N2573" s="185"/>
      <c r="O2573" s="185"/>
      <c r="P2573" s="185"/>
      <c r="Q2573" s="185"/>
      <c r="R2573" s="185"/>
    </row>
    <row r="2574" spans="1:18" s="197" customFormat="1" ht="12.75" x14ac:dyDescent="0.2">
      <c r="A2574" s="181"/>
      <c r="B2574" s="188" t="s">
        <v>4926</v>
      </c>
      <c r="C2574" s="189" t="s">
        <v>124</v>
      </c>
      <c r="D2574" s="189" t="s">
        <v>123</v>
      </c>
      <c r="E2574" s="190" t="s">
        <v>4927</v>
      </c>
      <c r="F2574" s="191">
        <f t="shared" si="42"/>
        <v>300.86666666666667</v>
      </c>
      <c r="G2574" s="185"/>
      <c r="H2574" s="181"/>
      <c r="I2574" s="74"/>
      <c r="J2574" s="74"/>
      <c r="M2574" s="185"/>
      <c r="N2574" s="185"/>
      <c r="O2574" s="185"/>
      <c r="P2574" s="185"/>
      <c r="Q2574" s="185"/>
      <c r="R2574" s="185"/>
    </row>
    <row r="2575" spans="1:18" s="197" customFormat="1" ht="12.75" x14ac:dyDescent="0.2">
      <c r="A2575" s="181"/>
      <c r="B2575" s="188" t="s">
        <v>2324</v>
      </c>
      <c r="C2575" s="189" t="s">
        <v>130</v>
      </c>
      <c r="D2575" s="189" t="s">
        <v>132</v>
      </c>
      <c r="E2575" s="190" t="s">
        <v>2325</v>
      </c>
      <c r="F2575" s="191">
        <f t="shared" si="42"/>
        <v>189.15</v>
      </c>
      <c r="G2575" s="185"/>
      <c r="H2575" s="181"/>
      <c r="I2575" s="74"/>
      <c r="J2575" s="74"/>
      <c r="M2575" s="185"/>
      <c r="N2575" s="185"/>
      <c r="O2575" s="185"/>
      <c r="P2575" s="185"/>
      <c r="Q2575" s="185"/>
      <c r="R2575" s="185"/>
    </row>
    <row r="2576" spans="1:18" s="197" customFormat="1" ht="12.75" x14ac:dyDescent="0.2">
      <c r="A2576" s="181"/>
      <c r="B2576" s="188" t="s">
        <v>257</v>
      </c>
      <c r="C2576" s="189" t="s">
        <v>130</v>
      </c>
      <c r="D2576" s="189" t="s">
        <v>123</v>
      </c>
      <c r="E2576" s="190" t="s">
        <v>4928</v>
      </c>
      <c r="F2576" s="191">
        <f t="shared" si="42"/>
        <v>217.25</v>
      </c>
      <c r="G2576" s="185"/>
      <c r="H2576" s="181"/>
      <c r="I2576" s="74"/>
      <c r="J2576" s="74"/>
      <c r="M2576" s="185"/>
      <c r="N2576" s="185"/>
      <c r="O2576" s="185"/>
      <c r="P2576" s="185"/>
      <c r="Q2576" s="185"/>
      <c r="R2576" s="185"/>
    </row>
    <row r="2577" spans="1:18" s="197" customFormat="1" ht="12.75" x14ac:dyDescent="0.2">
      <c r="A2577" s="181"/>
      <c r="B2577" s="188" t="s">
        <v>563</v>
      </c>
      <c r="C2577" s="189" t="s">
        <v>125</v>
      </c>
      <c r="D2577" s="189" t="s">
        <v>123</v>
      </c>
      <c r="E2577" s="190" t="s">
        <v>4929</v>
      </c>
      <c r="F2577" s="191">
        <f t="shared" si="42"/>
        <v>247.21666666666667</v>
      </c>
      <c r="G2577" s="185"/>
      <c r="H2577" s="181"/>
      <c r="I2577" s="74"/>
      <c r="J2577" s="74"/>
      <c r="M2577" s="185"/>
      <c r="N2577" s="185"/>
      <c r="O2577" s="185"/>
      <c r="P2577" s="185"/>
      <c r="Q2577" s="185"/>
      <c r="R2577" s="185"/>
    </row>
    <row r="2578" spans="1:18" s="197" customFormat="1" ht="12.75" x14ac:dyDescent="0.2">
      <c r="A2578" s="181"/>
      <c r="B2578" s="188" t="s">
        <v>4930</v>
      </c>
      <c r="C2578" s="189" t="s">
        <v>134</v>
      </c>
      <c r="D2578" s="189" t="s">
        <v>123</v>
      </c>
      <c r="E2578" s="190" t="s">
        <v>4931</v>
      </c>
      <c r="F2578" s="191">
        <f t="shared" si="42"/>
        <v>200.46666666666667</v>
      </c>
      <c r="G2578" s="185"/>
      <c r="H2578" s="181"/>
      <c r="I2578" s="74"/>
      <c r="J2578" s="74"/>
      <c r="M2578" s="185"/>
      <c r="N2578" s="185"/>
      <c r="O2578" s="185"/>
      <c r="P2578" s="185"/>
      <c r="Q2578" s="185"/>
      <c r="R2578" s="185"/>
    </row>
    <row r="2579" spans="1:18" s="197" customFormat="1" ht="12.75" x14ac:dyDescent="0.2">
      <c r="A2579" s="181"/>
      <c r="B2579" s="188" t="s">
        <v>4932</v>
      </c>
      <c r="C2579" s="189" t="s">
        <v>124</v>
      </c>
      <c r="D2579" s="189" t="s">
        <v>123</v>
      </c>
      <c r="E2579" s="190" t="s">
        <v>4933</v>
      </c>
      <c r="F2579" s="191">
        <f t="shared" si="42"/>
        <v>331.4</v>
      </c>
      <c r="G2579" s="185"/>
      <c r="H2579" s="181"/>
      <c r="I2579" s="74"/>
      <c r="J2579" s="74"/>
      <c r="M2579" s="185"/>
      <c r="N2579" s="185"/>
      <c r="O2579" s="185"/>
      <c r="P2579" s="185"/>
      <c r="Q2579" s="185"/>
      <c r="R2579" s="185"/>
    </row>
    <row r="2580" spans="1:18" s="197" customFormat="1" ht="12.75" x14ac:dyDescent="0.2">
      <c r="A2580" s="181"/>
      <c r="B2580" s="188" t="s">
        <v>4934</v>
      </c>
      <c r="C2580" s="189" t="s">
        <v>249</v>
      </c>
      <c r="D2580" s="189" t="s">
        <v>132</v>
      </c>
      <c r="E2580" s="190" t="s">
        <v>4935</v>
      </c>
      <c r="F2580" s="191">
        <f t="shared" si="42"/>
        <v>332.55</v>
      </c>
      <c r="G2580" s="185"/>
      <c r="H2580" s="181"/>
      <c r="I2580" s="74"/>
      <c r="J2580" s="74"/>
      <c r="M2580" s="185"/>
      <c r="N2580" s="185"/>
      <c r="O2580" s="185"/>
      <c r="P2580" s="185"/>
      <c r="Q2580" s="185"/>
      <c r="R2580" s="185"/>
    </row>
    <row r="2581" spans="1:18" s="197" customFormat="1" ht="12.75" x14ac:dyDescent="0.2">
      <c r="A2581" s="181"/>
      <c r="B2581" s="188" t="s">
        <v>4936</v>
      </c>
      <c r="C2581" s="189" t="s">
        <v>134</v>
      </c>
      <c r="D2581" s="189" t="s">
        <v>123</v>
      </c>
      <c r="E2581" s="190" t="s">
        <v>4780</v>
      </c>
      <c r="F2581" s="191">
        <f t="shared" si="42"/>
        <v>245.6</v>
      </c>
      <c r="G2581" s="185"/>
      <c r="H2581" s="181"/>
      <c r="I2581" s="74"/>
      <c r="J2581" s="74"/>
      <c r="M2581" s="185"/>
      <c r="N2581" s="185"/>
      <c r="O2581" s="185"/>
      <c r="P2581" s="185"/>
      <c r="Q2581" s="185"/>
      <c r="R2581" s="185"/>
    </row>
    <row r="2582" spans="1:18" s="197" customFormat="1" ht="12.75" x14ac:dyDescent="0.2">
      <c r="A2582" s="181"/>
      <c r="B2582" s="188" t="s">
        <v>4937</v>
      </c>
      <c r="C2582" s="189" t="s">
        <v>124</v>
      </c>
      <c r="D2582" s="189" t="s">
        <v>123</v>
      </c>
      <c r="E2582" s="190" t="s">
        <v>4938</v>
      </c>
      <c r="F2582" s="191">
        <f t="shared" si="42"/>
        <v>283.8</v>
      </c>
      <c r="G2582" s="185"/>
      <c r="H2582" s="181"/>
      <c r="I2582" s="74"/>
      <c r="J2582" s="74"/>
      <c r="M2582" s="185"/>
      <c r="N2582" s="185"/>
      <c r="O2582" s="185"/>
      <c r="P2582" s="185"/>
      <c r="Q2582" s="185"/>
      <c r="R2582" s="185"/>
    </row>
    <row r="2583" spans="1:18" s="197" customFormat="1" ht="12.75" x14ac:dyDescent="0.2">
      <c r="A2583" s="181"/>
      <c r="B2583" s="188" t="s">
        <v>4939</v>
      </c>
      <c r="C2583" s="189" t="s">
        <v>124</v>
      </c>
      <c r="D2583" s="189" t="s">
        <v>123</v>
      </c>
      <c r="E2583" s="190" t="s">
        <v>4940</v>
      </c>
      <c r="F2583" s="191">
        <f t="shared" si="42"/>
        <v>181.7</v>
      </c>
      <c r="G2583" s="185"/>
      <c r="H2583" s="181"/>
      <c r="I2583" s="74"/>
      <c r="J2583" s="74"/>
      <c r="M2583" s="185"/>
      <c r="N2583" s="185"/>
      <c r="O2583" s="185"/>
      <c r="P2583" s="185"/>
      <c r="Q2583" s="185"/>
      <c r="R2583" s="185"/>
    </row>
    <row r="2584" spans="1:18" s="197" customFormat="1" ht="12.75" x14ac:dyDescent="0.2">
      <c r="A2584" s="181"/>
      <c r="B2584" s="188" t="s">
        <v>4941</v>
      </c>
      <c r="C2584" s="189" t="s">
        <v>134</v>
      </c>
      <c r="D2584" s="189" t="s">
        <v>132</v>
      </c>
      <c r="E2584" s="190" t="s">
        <v>2951</v>
      </c>
      <c r="F2584" s="191">
        <f t="shared" si="42"/>
        <v>225.06666666666666</v>
      </c>
      <c r="G2584" s="185"/>
      <c r="H2584" s="181"/>
      <c r="I2584" s="74"/>
      <c r="J2584" s="74"/>
      <c r="M2584" s="185"/>
      <c r="N2584" s="185"/>
      <c r="O2584" s="185"/>
      <c r="P2584" s="185"/>
      <c r="Q2584" s="185"/>
      <c r="R2584" s="185"/>
    </row>
    <row r="2585" spans="1:18" s="197" customFormat="1" ht="12.75" x14ac:dyDescent="0.2">
      <c r="A2585" s="181"/>
      <c r="B2585" s="188" t="s">
        <v>4942</v>
      </c>
      <c r="C2585" s="189" t="s">
        <v>135</v>
      </c>
      <c r="D2585" s="189" t="s">
        <v>123</v>
      </c>
      <c r="E2585" s="190" t="s">
        <v>4732</v>
      </c>
      <c r="F2585" s="191">
        <f t="shared" si="42"/>
        <v>226.06666666666666</v>
      </c>
      <c r="G2585" s="185"/>
      <c r="H2585" s="181"/>
      <c r="I2585" s="74"/>
      <c r="J2585" s="74"/>
      <c r="M2585" s="185"/>
      <c r="N2585" s="185"/>
      <c r="O2585" s="185"/>
      <c r="P2585" s="185"/>
      <c r="Q2585" s="185"/>
      <c r="R2585" s="185"/>
    </row>
    <row r="2586" spans="1:18" s="197" customFormat="1" ht="12.75" x14ac:dyDescent="0.2">
      <c r="A2586" s="181"/>
      <c r="B2586" s="188" t="s">
        <v>4943</v>
      </c>
      <c r="C2586" s="189" t="s">
        <v>142</v>
      </c>
      <c r="D2586" s="189" t="s">
        <v>155</v>
      </c>
      <c r="E2586" s="190" t="s">
        <v>2078</v>
      </c>
      <c r="F2586" s="191">
        <f t="shared" si="42"/>
        <v>298.35000000000002</v>
      </c>
      <c r="G2586" s="185"/>
      <c r="H2586" s="181"/>
      <c r="I2586" s="74"/>
      <c r="J2586" s="74"/>
      <c r="M2586" s="185"/>
      <c r="N2586" s="185"/>
      <c r="O2586" s="185"/>
      <c r="P2586" s="185"/>
      <c r="Q2586" s="185"/>
      <c r="R2586" s="185"/>
    </row>
    <row r="2587" spans="1:18" s="197" customFormat="1" ht="12.75" x14ac:dyDescent="0.2">
      <c r="A2587" s="181"/>
      <c r="B2587" s="188" t="s">
        <v>4944</v>
      </c>
      <c r="C2587" s="189" t="s">
        <v>128</v>
      </c>
      <c r="D2587" s="189" t="s">
        <v>123</v>
      </c>
      <c r="E2587" s="190" t="s">
        <v>4945</v>
      </c>
      <c r="F2587" s="191">
        <f t="shared" si="42"/>
        <v>268.05</v>
      </c>
      <c r="G2587" s="185"/>
      <c r="H2587" s="181"/>
      <c r="I2587" s="74"/>
      <c r="J2587" s="74"/>
      <c r="M2587" s="185"/>
      <c r="N2587" s="185"/>
      <c r="O2587" s="185"/>
      <c r="P2587" s="185"/>
      <c r="Q2587" s="185"/>
      <c r="R2587" s="185"/>
    </row>
    <row r="2588" spans="1:18" s="197" customFormat="1" ht="12.75" x14ac:dyDescent="0.2">
      <c r="A2588" s="181"/>
      <c r="B2588" s="188" t="s">
        <v>292</v>
      </c>
      <c r="C2588" s="189" t="s">
        <v>136</v>
      </c>
      <c r="D2588" s="189" t="s">
        <v>123</v>
      </c>
      <c r="E2588" s="190" t="s">
        <v>4946</v>
      </c>
      <c r="F2588" s="191">
        <f t="shared" si="42"/>
        <v>320.18333333333334</v>
      </c>
      <c r="G2588" s="185"/>
      <c r="H2588" s="181"/>
      <c r="I2588" s="74"/>
      <c r="J2588" s="74"/>
      <c r="M2588" s="185"/>
      <c r="N2588" s="185"/>
      <c r="O2588" s="185"/>
      <c r="P2588" s="185"/>
      <c r="Q2588" s="185"/>
      <c r="R2588" s="185"/>
    </row>
    <row r="2589" spans="1:18" s="197" customFormat="1" ht="12.75" x14ac:dyDescent="0.2">
      <c r="A2589" s="181"/>
      <c r="B2589" s="188" t="s">
        <v>4947</v>
      </c>
      <c r="C2589" s="189" t="s">
        <v>126</v>
      </c>
      <c r="D2589" s="189" t="s">
        <v>123</v>
      </c>
      <c r="E2589" s="190" t="s">
        <v>4948</v>
      </c>
      <c r="F2589" s="191">
        <f t="shared" si="42"/>
        <v>264.2</v>
      </c>
      <c r="G2589" s="185"/>
      <c r="H2589" s="181"/>
      <c r="I2589" s="74"/>
      <c r="J2589" s="74"/>
      <c r="M2589" s="185"/>
      <c r="N2589" s="185"/>
      <c r="O2589" s="185"/>
      <c r="P2589" s="185"/>
      <c r="Q2589" s="185"/>
      <c r="R2589" s="185"/>
    </row>
    <row r="2590" spans="1:18" s="197" customFormat="1" ht="12.75" x14ac:dyDescent="0.2">
      <c r="A2590" s="181"/>
      <c r="B2590" s="188" t="s">
        <v>473</v>
      </c>
      <c r="C2590" s="189" t="s">
        <v>126</v>
      </c>
      <c r="D2590" s="189" t="s">
        <v>171</v>
      </c>
      <c r="E2590" s="190" t="s">
        <v>4949</v>
      </c>
      <c r="F2590" s="191">
        <f t="shared" si="42"/>
        <v>184.1</v>
      </c>
      <c r="G2590" s="185"/>
      <c r="H2590" s="181"/>
      <c r="I2590" s="74"/>
      <c r="J2590" s="74"/>
      <c r="M2590" s="185"/>
      <c r="N2590" s="185"/>
      <c r="O2590" s="185"/>
      <c r="P2590" s="185"/>
      <c r="Q2590" s="185"/>
      <c r="R2590" s="185"/>
    </row>
    <row r="2591" spans="1:18" s="197" customFormat="1" ht="12.75" x14ac:dyDescent="0.2">
      <c r="A2591" s="181"/>
      <c r="B2591" s="188" t="s">
        <v>4950</v>
      </c>
      <c r="C2591" s="189" t="s">
        <v>140</v>
      </c>
      <c r="D2591" s="189" t="s">
        <v>123</v>
      </c>
      <c r="E2591" s="190" t="s">
        <v>4951</v>
      </c>
      <c r="F2591" s="191">
        <f t="shared" si="42"/>
        <v>235.88333333333333</v>
      </c>
      <c r="G2591" s="185"/>
      <c r="H2591" s="181"/>
      <c r="I2591" s="74"/>
      <c r="J2591" s="74"/>
      <c r="M2591" s="185"/>
      <c r="N2591" s="185"/>
      <c r="O2591" s="185"/>
      <c r="P2591" s="185"/>
      <c r="Q2591" s="185"/>
      <c r="R2591" s="185"/>
    </row>
    <row r="2592" spans="1:18" s="197" customFormat="1" ht="12.75" x14ac:dyDescent="0.2">
      <c r="A2592" s="181"/>
      <c r="B2592" s="188" t="s">
        <v>4952</v>
      </c>
      <c r="C2592" s="189" t="s">
        <v>128</v>
      </c>
      <c r="D2592" s="189" t="s">
        <v>123</v>
      </c>
      <c r="E2592" s="190" t="s">
        <v>4953</v>
      </c>
      <c r="F2592" s="191">
        <f t="shared" si="42"/>
        <v>293.93333333333334</v>
      </c>
      <c r="G2592" s="185"/>
      <c r="H2592" s="181"/>
      <c r="I2592" s="74"/>
      <c r="J2592" s="74"/>
      <c r="M2592" s="185"/>
      <c r="N2592" s="185"/>
      <c r="O2592" s="185"/>
      <c r="P2592" s="185"/>
      <c r="Q2592" s="185"/>
      <c r="R2592" s="185"/>
    </row>
    <row r="2593" spans="1:18" s="197" customFormat="1" ht="12.75" x14ac:dyDescent="0.2">
      <c r="A2593" s="181"/>
      <c r="B2593" s="188" t="s">
        <v>4954</v>
      </c>
      <c r="C2593" s="189" t="s">
        <v>142</v>
      </c>
      <c r="D2593" s="189" t="s">
        <v>132</v>
      </c>
      <c r="E2593" s="190" t="s">
        <v>1275</v>
      </c>
      <c r="F2593" s="191">
        <f t="shared" si="42"/>
        <v>212.88333333333333</v>
      </c>
      <c r="G2593" s="185"/>
      <c r="H2593" s="181"/>
      <c r="I2593" s="74"/>
      <c r="J2593" s="74"/>
      <c r="M2593" s="185"/>
      <c r="N2593" s="185"/>
      <c r="O2593" s="185"/>
      <c r="P2593" s="185"/>
      <c r="Q2593" s="185"/>
      <c r="R2593" s="185"/>
    </row>
    <row r="2594" spans="1:18" s="197" customFormat="1" ht="12.75" x14ac:dyDescent="0.2">
      <c r="A2594" s="181"/>
      <c r="B2594" s="188" t="s">
        <v>4955</v>
      </c>
      <c r="C2594" s="189" t="s">
        <v>125</v>
      </c>
      <c r="D2594" s="189" t="s">
        <v>123</v>
      </c>
      <c r="E2594" s="190" t="s">
        <v>4956</v>
      </c>
      <c r="F2594" s="191">
        <f t="shared" si="42"/>
        <v>282.21666666666664</v>
      </c>
      <c r="G2594" s="185"/>
      <c r="H2594" s="181"/>
      <c r="I2594" s="74"/>
      <c r="J2594" s="74"/>
      <c r="M2594" s="185"/>
      <c r="N2594" s="185"/>
      <c r="O2594" s="185"/>
      <c r="P2594" s="185"/>
      <c r="Q2594" s="185"/>
      <c r="R2594" s="185"/>
    </row>
    <row r="2595" spans="1:18" s="197" customFormat="1" ht="12.75" x14ac:dyDescent="0.2">
      <c r="A2595" s="181"/>
      <c r="B2595" s="188" t="s">
        <v>4957</v>
      </c>
      <c r="C2595" s="189" t="s">
        <v>134</v>
      </c>
      <c r="D2595" s="189" t="s">
        <v>123</v>
      </c>
      <c r="E2595" s="190" t="s">
        <v>4958</v>
      </c>
      <c r="F2595" s="191">
        <f t="shared" si="42"/>
        <v>313.78333333333336</v>
      </c>
      <c r="G2595" s="185"/>
      <c r="H2595" s="181"/>
      <c r="I2595" s="74"/>
      <c r="J2595" s="74"/>
      <c r="M2595" s="185"/>
      <c r="N2595" s="185"/>
      <c r="O2595" s="185"/>
      <c r="P2595" s="185"/>
      <c r="Q2595" s="185"/>
      <c r="R2595" s="185"/>
    </row>
    <row r="2596" spans="1:18" s="197" customFormat="1" ht="12.75" x14ac:dyDescent="0.2">
      <c r="A2596" s="181"/>
      <c r="B2596" s="188" t="s">
        <v>4959</v>
      </c>
      <c r="C2596" s="189" t="s">
        <v>142</v>
      </c>
      <c r="D2596" s="189" t="s">
        <v>123</v>
      </c>
      <c r="E2596" s="190" t="s">
        <v>4960</v>
      </c>
      <c r="F2596" s="191">
        <f t="shared" si="42"/>
        <v>257.18333333333334</v>
      </c>
      <c r="G2596" s="185"/>
      <c r="H2596" s="181"/>
      <c r="I2596" s="74"/>
      <c r="J2596" s="74"/>
      <c r="M2596" s="185"/>
      <c r="N2596" s="185"/>
      <c r="O2596" s="185"/>
      <c r="P2596" s="185"/>
      <c r="Q2596" s="185"/>
      <c r="R2596" s="185"/>
    </row>
    <row r="2597" spans="1:18" s="197" customFormat="1" ht="12.75" x14ac:dyDescent="0.2">
      <c r="A2597" s="181"/>
      <c r="B2597" s="188" t="s">
        <v>3240</v>
      </c>
      <c r="C2597" s="189" t="s">
        <v>135</v>
      </c>
      <c r="D2597" s="189" t="s">
        <v>123</v>
      </c>
      <c r="E2597" s="190" t="s">
        <v>3241</v>
      </c>
      <c r="F2597" s="191">
        <f t="shared" si="42"/>
        <v>243.95</v>
      </c>
      <c r="G2597" s="185"/>
      <c r="H2597" s="181"/>
      <c r="I2597" s="74"/>
      <c r="J2597" s="74"/>
      <c r="M2597" s="185"/>
      <c r="N2597" s="185"/>
      <c r="O2597" s="185"/>
      <c r="P2597" s="185"/>
      <c r="Q2597" s="185"/>
      <c r="R2597" s="185"/>
    </row>
    <row r="2598" spans="1:18" s="197" customFormat="1" ht="12.75" x14ac:dyDescent="0.2">
      <c r="A2598" s="181"/>
      <c r="B2598" s="188" t="s">
        <v>4961</v>
      </c>
      <c r="C2598" s="189" t="s">
        <v>142</v>
      </c>
      <c r="D2598" s="189" t="s">
        <v>123</v>
      </c>
      <c r="E2598" s="190" t="s">
        <v>4962</v>
      </c>
      <c r="F2598" s="191">
        <f t="shared" si="42"/>
        <v>270.55</v>
      </c>
      <c r="G2598" s="185"/>
      <c r="H2598" s="181"/>
      <c r="I2598" s="74"/>
      <c r="J2598" s="74"/>
      <c r="M2598" s="185"/>
      <c r="N2598" s="185"/>
      <c r="O2598" s="185"/>
      <c r="P2598" s="185"/>
      <c r="Q2598" s="185"/>
      <c r="R2598" s="185"/>
    </row>
    <row r="2599" spans="1:18" s="197" customFormat="1" ht="12.75" x14ac:dyDescent="0.2">
      <c r="A2599" s="181"/>
      <c r="B2599" s="188" t="s">
        <v>4963</v>
      </c>
      <c r="C2599" s="189" t="s">
        <v>134</v>
      </c>
      <c r="D2599" s="189" t="s">
        <v>123</v>
      </c>
      <c r="E2599" s="190" t="s">
        <v>4964</v>
      </c>
      <c r="F2599" s="191">
        <f t="shared" si="42"/>
        <v>220.83333333333334</v>
      </c>
      <c r="G2599" s="185"/>
      <c r="H2599" s="181"/>
      <c r="I2599" s="74"/>
      <c r="J2599" s="74"/>
      <c r="M2599" s="185"/>
      <c r="N2599" s="185"/>
      <c r="O2599" s="185"/>
      <c r="P2599" s="185"/>
      <c r="Q2599" s="185"/>
      <c r="R2599" s="185"/>
    </row>
    <row r="2600" spans="1:18" s="197" customFormat="1" ht="12.75" x14ac:dyDescent="0.2">
      <c r="A2600" s="181"/>
      <c r="B2600" s="188" t="s">
        <v>4965</v>
      </c>
      <c r="C2600" s="189" t="s">
        <v>134</v>
      </c>
      <c r="D2600" s="189" t="s">
        <v>160</v>
      </c>
      <c r="E2600" s="190" t="s">
        <v>1372</v>
      </c>
      <c r="F2600" s="191">
        <f t="shared" si="42"/>
        <v>207.31666666666666</v>
      </c>
      <c r="G2600" s="185"/>
      <c r="H2600" s="181"/>
      <c r="I2600" s="74"/>
      <c r="J2600" s="74"/>
      <c r="M2600" s="185"/>
      <c r="N2600" s="185"/>
      <c r="O2600" s="185"/>
      <c r="P2600" s="185"/>
      <c r="Q2600" s="185"/>
      <c r="R2600" s="185"/>
    </row>
    <row r="2601" spans="1:18" s="197" customFormat="1" ht="12.75" x14ac:dyDescent="0.2">
      <c r="A2601" s="181"/>
      <c r="B2601" s="188" t="s">
        <v>4966</v>
      </c>
      <c r="C2601" s="189" t="s">
        <v>142</v>
      </c>
      <c r="D2601" s="189" t="s">
        <v>123</v>
      </c>
      <c r="E2601" s="190" t="s">
        <v>4967</v>
      </c>
      <c r="F2601" s="191">
        <f t="shared" si="42"/>
        <v>177.71666666666667</v>
      </c>
      <c r="G2601" s="185"/>
      <c r="H2601" s="181"/>
      <c r="I2601" s="74"/>
      <c r="J2601" s="74"/>
      <c r="M2601" s="185"/>
      <c r="N2601" s="185"/>
      <c r="O2601" s="185"/>
      <c r="P2601" s="185"/>
      <c r="Q2601" s="185"/>
      <c r="R2601" s="185"/>
    </row>
    <row r="2602" spans="1:18" s="197" customFormat="1" ht="12.75" x14ac:dyDescent="0.2">
      <c r="A2602" s="181"/>
      <c r="B2602" s="188" t="s">
        <v>237</v>
      </c>
      <c r="C2602" s="189" t="s">
        <v>124</v>
      </c>
      <c r="D2602" s="189" t="s">
        <v>123</v>
      </c>
      <c r="E2602" s="190" t="s">
        <v>2283</v>
      </c>
      <c r="F2602" s="191">
        <f t="shared" si="42"/>
        <v>266.39999999999998</v>
      </c>
      <c r="G2602" s="185"/>
      <c r="H2602" s="181"/>
      <c r="I2602" s="74"/>
      <c r="J2602" s="74"/>
      <c r="M2602" s="185"/>
      <c r="N2602" s="185"/>
      <c r="O2602" s="185"/>
      <c r="P2602" s="185"/>
      <c r="Q2602" s="185"/>
      <c r="R2602" s="185"/>
    </row>
    <row r="2603" spans="1:18" s="197" customFormat="1" ht="12.75" x14ac:dyDescent="0.2">
      <c r="A2603" s="181"/>
      <c r="B2603" s="188" t="s">
        <v>4968</v>
      </c>
      <c r="C2603" s="189" t="s">
        <v>128</v>
      </c>
      <c r="D2603" s="189" t="s">
        <v>123</v>
      </c>
      <c r="E2603" s="190" t="s">
        <v>4384</v>
      </c>
      <c r="F2603" s="191">
        <f t="shared" si="42"/>
        <v>274</v>
      </c>
      <c r="G2603" s="185"/>
      <c r="H2603" s="181"/>
      <c r="I2603" s="74"/>
      <c r="J2603" s="74"/>
      <c r="M2603" s="185"/>
      <c r="N2603" s="185"/>
      <c r="O2603" s="185"/>
      <c r="P2603" s="185"/>
      <c r="Q2603" s="185"/>
      <c r="R2603" s="185"/>
    </row>
    <row r="2604" spans="1:18" s="197" customFormat="1" ht="12.75" x14ac:dyDescent="0.2">
      <c r="A2604" s="181"/>
      <c r="B2604" s="188" t="s">
        <v>940</v>
      </c>
      <c r="C2604" s="189" t="s">
        <v>124</v>
      </c>
      <c r="D2604" s="189" t="s">
        <v>123</v>
      </c>
      <c r="E2604" s="190" t="s">
        <v>941</v>
      </c>
      <c r="F2604" s="191">
        <f t="shared" si="42"/>
        <v>222.2</v>
      </c>
      <c r="G2604" s="185"/>
      <c r="H2604" s="181"/>
      <c r="I2604" s="74"/>
      <c r="J2604" s="74"/>
      <c r="M2604" s="185"/>
      <c r="N2604" s="185"/>
      <c r="O2604" s="185"/>
      <c r="P2604" s="185"/>
      <c r="Q2604" s="185"/>
      <c r="R2604" s="185"/>
    </row>
    <row r="2605" spans="1:18" s="197" customFormat="1" ht="12.75" x14ac:dyDescent="0.2">
      <c r="A2605" s="181"/>
      <c r="B2605" s="188" t="s">
        <v>4969</v>
      </c>
      <c r="C2605" s="189" t="s">
        <v>125</v>
      </c>
      <c r="D2605" s="189" t="s">
        <v>123</v>
      </c>
      <c r="E2605" s="190" t="s">
        <v>4745</v>
      </c>
      <c r="F2605" s="191">
        <f t="shared" si="42"/>
        <v>271.16666666666669</v>
      </c>
      <c r="G2605" s="185"/>
      <c r="H2605" s="181"/>
      <c r="I2605" s="74"/>
      <c r="J2605" s="74"/>
      <c r="M2605" s="185"/>
      <c r="N2605" s="185"/>
      <c r="O2605" s="185"/>
      <c r="P2605" s="185"/>
      <c r="Q2605" s="185"/>
      <c r="R2605" s="185"/>
    </row>
    <row r="2606" spans="1:18" s="197" customFormat="1" ht="12.75" x14ac:dyDescent="0.2">
      <c r="A2606" s="181"/>
      <c r="B2606" s="188" t="s">
        <v>4970</v>
      </c>
      <c r="C2606" s="189" t="s">
        <v>125</v>
      </c>
      <c r="D2606" s="189" t="s">
        <v>123</v>
      </c>
      <c r="E2606" s="190" t="s">
        <v>4971</v>
      </c>
      <c r="F2606" s="191">
        <f t="shared" si="42"/>
        <v>243.85</v>
      </c>
      <c r="G2606" s="185"/>
      <c r="H2606" s="181"/>
      <c r="I2606" s="74"/>
      <c r="J2606" s="74"/>
      <c r="M2606" s="185"/>
      <c r="N2606" s="185"/>
      <c r="O2606" s="185"/>
      <c r="P2606" s="185"/>
      <c r="Q2606" s="185"/>
      <c r="R2606" s="185"/>
    </row>
    <row r="2607" spans="1:18" s="197" customFormat="1" ht="12.75" x14ac:dyDescent="0.2">
      <c r="A2607" s="181"/>
      <c r="B2607" s="188" t="s">
        <v>499</v>
      </c>
      <c r="C2607" s="189" t="s">
        <v>124</v>
      </c>
      <c r="D2607" s="189" t="s">
        <v>123</v>
      </c>
      <c r="E2607" s="190" t="s">
        <v>1273</v>
      </c>
      <c r="F2607" s="191">
        <f t="shared" si="42"/>
        <v>254.5</v>
      </c>
      <c r="G2607" s="185"/>
      <c r="H2607" s="181"/>
      <c r="I2607" s="74"/>
      <c r="J2607" s="74"/>
      <c r="M2607" s="185"/>
      <c r="N2607" s="185"/>
      <c r="O2607" s="185"/>
      <c r="P2607" s="185"/>
      <c r="Q2607" s="185"/>
      <c r="R2607" s="185"/>
    </row>
    <row r="2608" spans="1:18" s="197" customFormat="1" ht="12.75" x14ac:dyDescent="0.2">
      <c r="A2608" s="181"/>
      <c r="B2608" s="188" t="s">
        <v>4972</v>
      </c>
      <c r="C2608" s="189" t="s">
        <v>125</v>
      </c>
      <c r="D2608" s="189" t="s">
        <v>133</v>
      </c>
      <c r="E2608" s="190" t="s">
        <v>4973</v>
      </c>
      <c r="F2608" s="191">
        <f t="shared" si="42"/>
        <v>300.23333333333335</v>
      </c>
      <c r="G2608" s="185"/>
      <c r="H2608" s="181"/>
      <c r="I2608" s="74"/>
      <c r="J2608" s="74"/>
      <c r="M2608" s="185"/>
      <c r="N2608" s="185"/>
      <c r="O2608" s="185"/>
      <c r="P2608" s="185"/>
      <c r="Q2608" s="185"/>
      <c r="R2608" s="185"/>
    </row>
    <row r="2609" spans="1:18" s="197" customFormat="1" ht="12.75" x14ac:dyDescent="0.2">
      <c r="A2609" s="181"/>
      <c r="B2609" s="188" t="s">
        <v>4974</v>
      </c>
      <c r="C2609" s="189" t="s">
        <v>126</v>
      </c>
      <c r="D2609" s="189" t="s">
        <v>132</v>
      </c>
      <c r="E2609" s="190" t="s">
        <v>1458</v>
      </c>
      <c r="F2609" s="191">
        <f t="shared" si="42"/>
        <v>207.05</v>
      </c>
      <c r="G2609" s="185"/>
      <c r="H2609" s="181"/>
      <c r="I2609" s="74"/>
      <c r="J2609" s="74"/>
      <c r="M2609" s="185"/>
      <c r="N2609" s="185"/>
      <c r="O2609" s="185"/>
      <c r="P2609" s="185"/>
      <c r="Q2609" s="185"/>
      <c r="R2609" s="185"/>
    </row>
    <row r="2610" spans="1:18" s="197" customFormat="1" ht="12.75" x14ac:dyDescent="0.2">
      <c r="A2610" s="181"/>
      <c r="B2610" s="188" t="s">
        <v>4975</v>
      </c>
      <c r="C2610" s="189" t="s">
        <v>130</v>
      </c>
      <c r="D2610" s="189" t="s">
        <v>131</v>
      </c>
      <c r="E2610" s="190" t="s">
        <v>4976</v>
      </c>
      <c r="F2610" s="191">
        <f t="shared" si="42"/>
        <v>231.35</v>
      </c>
      <c r="G2610" s="185"/>
      <c r="H2610" s="181"/>
      <c r="I2610" s="74"/>
      <c r="J2610" s="74"/>
      <c r="M2610" s="185"/>
      <c r="N2610" s="185"/>
      <c r="O2610" s="185"/>
      <c r="P2610" s="185"/>
      <c r="Q2610" s="185"/>
      <c r="R2610" s="185"/>
    </row>
    <row r="2611" spans="1:18" s="197" customFormat="1" ht="12.75" x14ac:dyDescent="0.2">
      <c r="A2611" s="181"/>
      <c r="B2611" s="188" t="s">
        <v>4977</v>
      </c>
      <c r="C2611" s="189" t="s">
        <v>134</v>
      </c>
      <c r="D2611" s="189" t="s">
        <v>123</v>
      </c>
      <c r="E2611" s="190" t="s">
        <v>3665</v>
      </c>
      <c r="F2611" s="191">
        <f t="shared" si="42"/>
        <v>267.25</v>
      </c>
      <c r="G2611" s="185"/>
      <c r="H2611" s="181"/>
      <c r="I2611" s="74"/>
      <c r="J2611" s="74"/>
      <c r="M2611" s="185"/>
      <c r="N2611" s="185"/>
      <c r="O2611" s="185"/>
      <c r="P2611" s="185"/>
      <c r="Q2611" s="185"/>
      <c r="R2611" s="185"/>
    </row>
    <row r="2612" spans="1:18" s="197" customFormat="1" ht="12.75" x14ac:dyDescent="0.2">
      <c r="A2612" s="181"/>
      <c r="B2612" s="188" t="s">
        <v>4978</v>
      </c>
      <c r="C2612" s="189" t="s">
        <v>125</v>
      </c>
      <c r="D2612" s="189" t="s">
        <v>169</v>
      </c>
      <c r="E2612" s="190" t="s">
        <v>4979</v>
      </c>
      <c r="F2612" s="191">
        <f t="shared" si="42"/>
        <v>264</v>
      </c>
      <c r="G2612" s="185"/>
      <c r="H2612" s="181"/>
      <c r="I2612" s="74"/>
      <c r="J2612" s="74"/>
      <c r="M2612" s="185"/>
      <c r="N2612" s="185"/>
      <c r="O2612" s="185"/>
      <c r="P2612" s="185"/>
      <c r="Q2612" s="185"/>
      <c r="R2612" s="185"/>
    </row>
    <row r="2613" spans="1:18" s="197" customFormat="1" ht="12.75" x14ac:dyDescent="0.2">
      <c r="A2613" s="181"/>
      <c r="B2613" s="188" t="s">
        <v>2105</v>
      </c>
      <c r="C2613" s="189" t="s">
        <v>126</v>
      </c>
      <c r="D2613" s="189" t="s">
        <v>123</v>
      </c>
      <c r="E2613" s="190" t="s">
        <v>2106</v>
      </c>
      <c r="F2613" s="191">
        <f t="shared" si="42"/>
        <v>265.81666666666666</v>
      </c>
      <c r="G2613" s="185"/>
      <c r="H2613" s="181"/>
      <c r="I2613" s="74"/>
      <c r="J2613" s="74"/>
      <c r="M2613" s="185"/>
      <c r="N2613" s="185"/>
      <c r="O2613" s="185"/>
      <c r="P2613" s="185"/>
      <c r="Q2613" s="185"/>
      <c r="R2613" s="185"/>
    </row>
    <row r="2614" spans="1:18" s="197" customFormat="1" ht="12.75" x14ac:dyDescent="0.2">
      <c r="A2614" s="181"/>
      <c r="B2614" s="188" t="s">
        <v>4980</v>
      </c>
      <c r="C2614" s="189" t="s">
        <v>130</v>
      </c>
      <c r="D2614" s="189" t="s">
        <v>123</v>
      </c>
      <c r="E2614" s="190" t="s">
        <v>4794</v>
      </c>
      <c r="F2614" s="191">
        <f t="shared" si="42"/>
        <v>226.15</v>
      </c>
      <c r="G2614" s="185"/>
      <c r="H2614" s="181"/>
      <c r="I2614" s="74"/>
      <c r="J2614" s="74"/>
      <c r="M2614" s="185"/>
      <c r="N2614" s="185"/>
      <c r="O2614" s="185"/>
      <c r="P2614" s="185"/>
      <c r="Q2614" s="185"/>
      <c r="R2614" s="185"/>
    </row>
    <row r="2615" spans="1:18" s="197" customFormat="1" ht="12.75" x14ac:dyDescent="0.2">
      <c r="A2615" s="181"/>
      <c r="B2615" s="188" t="s">
        <v>4981</v>
      </c>
      <c r="C2615" s="189" t="s">
        <v>130</v>
      </c>
      <c r="D2615" s="189" t="s">
        <v>123</v>
      </c>
      <c r="E2615" s="190" t="s">
        <v>4982</v>
      </c>
      <c r="F2615" s="191">
        <f t="shared" si="42"/>
        <v>234</v>
      </c>
      <c r="G2615" s="185"/>
      <c r="H2615" s="181"/>
      <c r="I2615" s="74"/>
      <c r="J2615" s="74"/>
      <c r="M2615" s="185"/>
      <c r="N2615" s="185"/>
      <c r="O2615" s="185"/>
      <c r="P2615" s="185"/>
      <c r="Q2615" s="185"/>
      <c r="R2615" s="185"/>
    </row>
    <row r="2616" spans="1:18" s="197" customFormat="1" ht="12.75" x14ac:dyDescent="0.2">
      <c r="A2616" s="181"/>
      <c r="B2616" s="188" t="s">
        <v>256</v>
      </c>
      <c r="C2616" s="189" t="s">
        <v>125</v>
      </c>
      <c r="D2616" s="189" t="s">
        <v>123</v>
      </c>
      <c r="E2616" s="190" t="s">
        <v>4983</v>
      </c>
      <c r="F2616" s="191">
        <f t="shared" si="42"/>
        <v>217.56666666666666</v>
      </c>
      <c r="G2616" s="185"/>
      <c r="H2616" s="181"/>
      <c r="I2616" s="74"/>
      <c r="J2616" s="74"/>
      <c r="M2616" s="185"/>
      <c r="N2616" s="185"/>
      <c r="O2616" s="185"/>
      <c r="P2616" s="185"/>
      <c r="Q2616" s="185"/>
      <c r="R2616" s="185"/>
    </row>
    <row r="2617" spans="1:18" s="197" customFormat="1" ht="12.75" x14ac:dyDescent="0.2">
      <c r="A2617" s="181"/>
      <c r="B2617" s="188" t="s">
        <v>4984</v>
      </c>
      <c r="C2617" s="189" t="s">
        <v>130</v>
      </c>
      <c r="D2617" s="189" t="s">
        <v>123</v>
      </c>
      <c r="E2617" s="190" t="s">
        <v>4985</v>
      </c>
      <c r="F2617" s="191">
        <f t="shared" si="42"/>
        <v>264.31666666666666</v>
      </c>
      <c r="G2617" s="185"/>
      <c r="H2617" s="181"/>
      <c r="I2617" s="74"/>
      <c r="J2617" s="74"/>
      <c r="M2617" s="185"/>
      <c r="N2617" s="185"/>
      <c r="O2617" s="185"/>
      <c r="P2617" s="185"/>
      <c r="Q2617" s="185"/>
      <c r="R2617" s="185"/>
    </row>
    <row r="2618" spans="1:18" s="197" customFormat="1" ht="12.75" x14ac:dyDescent="0.2">
      <c r="A2618" s="181"/>
      <c r="B2618" s="188" t="s">
        <v>4986</v>
      </c>
      <c r="C2618" s="189" t="s">
        <v>136</v>
      </c>
      <c r="D2618" s="189" t="s">
        <v>132</v>
      </c>
      <c r="E2618" s="190" t="s">
        <v>4987</v>
      </c>
      <c r="F2618" s="191">
        <f t="shared" si="42"/>
        <v>225.1</v>
      </c>
      <c r="G2618" s="185"/>
      <c r="H2618" s="181"/>
      <c r="I2618" s="74"/>
      <c r="J2618" s="74"/>
      <c r="M2618" s="185"/>
      <c r="N2618" s="185"/>
      <c r="O2618" s="185"/>
      <c r="P2618" s="185"/>
      <c r="Q2618" s="185"/>
      <c r="R2618" s="185"/>
    </row>
    <row r="2619" spans="1:18" s="197" customFormat="1" ht="12.75" x14ac:dyDescent="0.2">
      <c r="A2619" s="181"/>
      <c r="B2619" s="188" t="s">
        <v>4988</v>
      </c>
      <c r="C2619" s="189" t="s">
        <v>249</v>
      </c>
      <c r="D2619" s="189" t="s">
        <v>123</v>
      </c>
      <c r="E2619" s="190" t="s">
        <v>4989</v>
      </c>
      <c r="F2619" s="191">
        <f t="shared" si="42"/>
        <v>299.41666666666669</v>
      </c>
      <c r="G2619" s="185"/>
      <c r="H2619" s="181"/>
      <c r="I2619" s="74"/>
      <c r="J2619" s="74"/>
      <c r="M2619" s="185"/>
      <c r="N2619" s="185"/>
      <c r="O2619" s="185"/>
      <c r="P2619" s="185"/>
      <c r="Q2619" s="185"/>
      <c r="R2619" s="185"/>
    </row>
    <row r="2620" spans="1:18" s="197" customFormat="1" ht="12.75" x14ac:dyDescent="0.2">
      <c r="A2620" s="181"/>
      <c r="B2620" s="188" t="s">
        <v>4990</v>
      </c>
      <c r="C2620" s="189" t="s">
        <v>126</v>
      </c>
      <c r="D2620" s="189" t="s">
        <v>132</v>
      </c>
      <c r="E2620" s="190" t="s">
        <v>4244</v>
      </c>
      <c r="F2620" s="191">
        <f t="shared" si="42"/>
        <v>274.16666666666669</v>
      </c>
      <c r="G2620" s="185"/>
      <c r="H2620" s="181"/>
      <c r="I2620" s="74"/>
      <c r="J2620" s="74"/>
      <c r="M2620" s="185"/>
      <c r="N2620" s="185"/>
      <c r="O2620" s="185"/>
      <c r="P2620" s="185"/>
      <c r="Q2620" s="185"/>
      <c r="R2620" s="185"/>
    </row>
    <row r="2621" spans="1:18" s="197" customFormat="1" ht="12.75" x14ac:dyDescent="0.2">
      <c r="A2621" s="181"/>
      <c r="B2621" s="188" t="s">
        <v>4991</v>
      </c>
      <c r="C2621" s="189" t="s">
        <v>124</v>
      </c>
      <c r="D2621" s="189" t="s">
        <v>123</v>
      </c>
      <c r="E2621" s="190" t="s">
        <v>4395</v>
      </c>
      <c r="F2621" s="191">
        <f t="shared" si="42"/>
        <v>256.08333333333331</v>
      </c>
      <c r="G2621" s="185"/>
      <c r="H2621" s="181"/>
      <c r="I2621" s="74"/>
      <c r="J2621" s="74"/>
      <c r="M2621" s="185"/>
      <c r="N2621" s="185"/>
      <c r="O2621" s="185"/>
      <c r="P2621" s="185"/>
      <c r="Q2621" s="185"/>
      <c r="R2621" s="185"/>
    </row>
    <row r="2622" spans="1:18" s="197" customFormat="1" ht="12.75" x14ac:dyDescent="0.2">
      <c r="A2622" s="181"/>
      <c r="B2622" s="188" t="s">
        <v>4992</v>
      </c>
      <c r="C2622" s="189" t="s">
        <v>124</v>
      </c>
      <c r="D2622" s="189" t="s">
        <v>123</v>
      </c>
      <c r="E2622" s="190" t="s">
        <v>1925</v>
      </c>
      <c r="F2622" s="191">
        <f t="shared" si="42"/>
        <v>220.85</v>
      </c>
      <c r="G2622" s="185"/>
      <c r="H2622" s="181"/>
      <c r="I2622" s="74"/>
      <c r="J2622" s="74"/>
      <c r="M2622" s="185"/>
      <c r="N2622" s="185"/>
      <c r="O2622" s="185"/>
      <c r="P2622" s="185"/>
      <c r="Q2622" s="185"/>
      <c r="R2622" s="185"/>
    </row>
    <row r="2623" spans="1:18" s="197" customFormat="1" ht="12.75" x14ac:dyDescent="0.2">
      <c r="A2623" s="181"/>
      <c r="B2623" s="188" t="s">
        <v>4993</v>
      </c>
      <c r="C2623" s="189" t="s">
        <v>130</v>
      </c>
      <c r="D2623" s="189" t="s">
        <v>123</v>
      </c>
      <c r="E2623" s="190" t="s">
        <v>4994</v>
      </c>
      <c r="F2623" s="191">
        <f t="shared" si="42"/>
        <v>243.11666666666667</v>
      </c>
      <c r="G2623" s="185"/>
      <c r="H2623" s="181"/>
      <c r="I2623" s="74"/>
      <c r="J2623" s="74"/>
      <c r="M2623" s="185"/>
      <c r="N2623" s="185"/>
      <c r="O2623" s="185"/>
      <c r="P2623" s="185"/>
      <c r="Q2623" s="185"/>
      <c r="R2623" s="185"/>
    </row>
    <row r="2624" spans="1:18" s="197" customFormat="1" ht="12.75" x14ac:dyDescent="0.2">
      <c r="A2624" s="181"/>
      <c r="B2624" s="188" t="s">
        <v>4995</v>
      </c>
      <c r="C2624" s="189" t="s">
        <v>125</v>
      </c>
      <c r="D2624" s="189" t="s">
        <v>132</v>
      </c>
      <c r="E2624" s="190" t="s">
        <v>4996</v>
      </c>
      <c r="F2624" s="191">
        <f t="shared" si="42"/>
        <v>244.23333333333332</v>
      </c>
      <c r="G2624" s="185"/>
      <c r="H2624" s="181"/>
      <c r="I2624" s="74"/>
      <c r="J2624" s="74"/>
      <c r="M2624" s="185"/>
      <c r="N2624" s="185"/>
      <c r="O2624" s="185"/>
      <c r="P2624" s="185"/>
      <c r="Q2624" s="185"/>
      <c r="R2624" s="185"/>
    </row>
    <row r="2625" spans="1:18" s="197" customFormat="1" ht="12.75" x14ac:dyDescent="0.2">
      <c r="A2625" s="181"/>
      <c r="B2625" s="188" t="s">
        <v>4997</v>
      </c>
      <c r="C2625" s="189" t="s">
        <v>125</v>
      </c>
      <c r="D2625" s="189" t="s">
        <v>144</v>
      </c>
      <c r="E2625" s="190" t="s">
        <v>4998</v>
      </c>
      <c r="F2625" s="191">
        <f t="shared" si="42"/>
        <v>267.35000000000002</v>
      </c>
      <c r="G2625" s="185"/>
      <c r="H2625" s="181"/>
      <c r="I2625" s="74"/>
      <c r="J2625" s="74"/>
      <c r="M2625" s="185"/>
      <c r="N2625" s="185"/>
      <c r="O2625" s="185"/>
      <c r="P2625" s="185"/>
      <c r="Q2625" s="185"/>
      <c r="R2625" s="185"/>
    </row>
    <row r="2626" spans="1:18" s="197" customFormat="1" ht="12.75" x14ac:dyDescent="0.2">
      <c r="A2626" s="181"/>
      <c r="B2626" s="188" t="s">
        <v>4999</v>
      </c>
      <c r="C2626" s="189" t="s">
        <v>125</v>
      </c>
      <c r="D2626" s="189" t="s">
        <v>141</v>
      </c>
      <c r="E2626" s="190" t="s">
        <v>5000</v>
      </c>
      <c r="F2626" s="191">
        <f t="shared" si="42"/>
        <v>209.71666666666667</v>
      </c>
      <c r="G2626" s="185"/>
      <c r="H2626" s="181"/>
      <c r="I2626" s="74"/>
      <c r="J2626" s="74"/>
      <c r="M2626" s="185"/>
      <c r="N2626" s="185"/>
      <c r="O2626" s="185"/>
      <c r="P2626" s="185"/>
      <c r="Q2626" s="185"/>
      <c r="R2626" s="185"/>
    </row>
    <row r="2627" spans="1:18" s="197" customFormat="1" ht="12.75" x14ac:dyDescent="0.2">
      <c r="A2627" s="181"/>
      <c r="B2627" s="188" t="s">
        <v>554</v>
      </c>
      <c r="C2627" s="189" t="s">
        <v>135</v>
      </c>
      <c r="D2627" s="189" t="s">
        <v>132</v>
      </c>
      <c r="E2627" s="190" t="s">
        <v>1723</v>
      </c>
      <c r="F2627" s="191">
        <f t="shared" si="42"/>
        <v>230.23333333333332</v>
      </c>
      <c r="G2627" s="185"/>
      <c r="H2627" s="181"/>
      <c r="I2627" s="74"/>
      <c r="J2627" s="74"/>
      <c r="M2627" s="185"/>
      <c r="N2627" s="185"/>
      <c r="O2627" s="185"/>
      <c r="P2627" s="185"/>
      <c r="Q2627" s="185"/>
      <c r="R2627" s="185"/>
    </row>
    <row r="2628" spans="1:18" s="197" customFormat="1" ht="12.75" x14ac:dyDescent="0.2">
      <c r="A2628" s="181"/>
      <c r="B2628" s="188" t="s">
        <v>5001</v>
      </c>
      <c r="C2628" s="189" t="s">
        <v>125</v>
      </c>
      <c r="D2628" s="189" t="s">
        <v>139</v>
      </c>
      <c r="E2628" s="190" t="s">
        <v>5002</v>
      </c>
      <c r="F2628" s="191">
        <f t="shared" si="42"/>
        <v>294.75</v>
      </c>
      <c r="G2628" s="185"/>
      <c r="H2628" s="181"/>
      <c r="I2628" s="74"/>
      <c r="J2628" s="74"/>
      <c r="M2628" s="185"/>
      <c r="N2628" s="185"/>
      <c r="O2628" s="185"/>
      <c r="P2628" s="185"/>
      <c r="Q2628" s="185"/>
      <c r="R2628" s="185"/>
    </row>
    <row r="2629" spans="1:18" s="197" customFormat="1" ht="12.75" x14ac:dyDescent="0.2">
      <c r="A2629" s="181"/>
      <c r="B2629" s="188" t="s">
        <v>5003</v>
      </c>
      <c r="C2629" s="189" t="s">
        <v>142</v>
      </c>
      <c r="D2629" s="189" t="s">
        <v>131</v>
      </c>
      <c r="E2629" s="190" t="s">
        <v>3147</v>
      </c>
      <c r="F2629" s="191">
        <f t="shared" si="42"/>
        <v>262.76666666666665</v>
      </c>
      <c r="G2629" s="185"/>
      <c r="H2629" s="181"/>
      <c r="I2629" s="74"/>
      <c r="J2629" s="74"/>
      <c r="M2629" s="185"/>
      <c r="N2629" s="185"/>
      <c r="O2629" s="185"/>
      <c r="P2629" s="185"/>
      <c r="Q2629" s="185"/>
      <c r="R2629" s="185"/>
    </row>
    <row r="2630" spans="1:18" s="197" customFormat="1" ht="12.75" x14ac:dyDescent="0.2">
      <c r="A2630" s="181"/>
      <c r="B2630" s="188" t="s">
        <v>5004</v>
      </c>
      <c r="C2630" s="189" t="s">
        <v>142</v>
      </c>
      <c r="D2630" s="189" t="s">
        <v>132</v>
      </c>
      <c r="E2630" s="190" t="s">
        <v>5005</v>
      </c>
      <c r="F2630" s="191">
        <f t="shared" si="42"/>
        <v>210.76666666666668</v>
      </c>
      <c r="G2630" s="185"/>
      <c r="H2630" s="181"/>
      <c r="I2630" s="74"/>
      <c r="J2630" s="74"/>
      <c r="M2630" s="185"/>
      <c r="N2630" s="185"/>
      <c r="O2630" s="185"/>
      <c r="P2630" s="185"/>
      <c r="Q2630" s="185"/>
      <c r="R2630" s="185"/>
    </row>
    <row r="2631" spans="1:18" s="197" customFormat="1" ht="12.75" x14ac:dyDescent="0.2">
      <c r="A2631" s="181"/>
      <c r="B2631" s="188" t="s">
        <v>3253</v>
      </c>
      <c r="C2631" s="189" t="s">
        <v>134</v>
      </c>
      <c r="D2631" s="189" t="s">
        <v>123</v>
      </c>
      <c r="E2631" s="190" t="s">
        <v>3254</v>
      </c>
      <c r="F2631" s="191">
        <f t="shared" si="42"/>
        <v>190.01666666666668</v>
      </c>
      <c r="G2631" s="185"/>
      <c r="H2631" s="181"/>
      <c r="I2631" s="74"/>
      <c r="J2631" s="74"/>
      <c r="M2631" s="185"/>
      <c r="N2631" s="185"/>
      <c r="O2631" s="185"/>
      <c r="P2631" s="185"/>
      <c r="Q2631" s="185"/>
      <c r="R2631" s="185"/>
    </row>
    <row r="2632" spans="1:18" s="197" customFormat="1" ht="12.75" x14ac:dyDescent="0.2">
      <c r="A2632" s="181"/>
      <c r="B2632" s="188" t="s">
        <v>5006</v>
      </c>
      <c r="C2632" s="189" t="s">
        <v>124</v>
      </c>
      <c r="D2632" s="189" t="s">
        <v>123</v>
      </c>
      <c r="E2632" s="190" t="s">
        <v>5007</v>
      </c>
      <c r="F2632" s="191">
        <f t="shared" si="42"/>
        <v>237.66666666666666</v>
      </c>
      <c r="G2632" s="185"/>
      <c r="H2632" s="181"/>
      <c r="I2632" s="74"/>
      <c r="J2632" s="74"/>
      <c r="M2632" s="185"/>
      <c r="N2632" s="185"/>
      <c r="O2632" s="185"/>
      <c r="P2632" s="185"/>
      <c r="Q2632" s="185"/>
      <c r="R2632" s="185"/>
    </row>
    <row r="2633" spans="1:18" s="197" customFormat="1" ht="12.75" x14ac:dyDescent="0.2">
      <c r="A2633" s="181"/>
      <c r="B2633" s="188" t="s">
        <v>5008</v>
      </c>
      <c r="C2633" s="189" t="s">
        <v>130</v>
      </c>
      <c r="D2633" s="189" t="s">
        <v>123</v>
      </c>
      <c r="E2633" s="190" t="s">
        <v>5009</v>
      </c>
      <c r="F2633" s="191">
        <f t="shared" si="42"/>
        <v>227.28333333333333</v>
      </c>
      <c r="G2633" s="185"/>
      <c r="H2633" s="181"/>
      <c r="I2633" s="74"/>
      <c r="J2633" s="74"/>
      <c r="M2633" s="185"/>
      <c r="N2633" s="185"/>
      <c r="O2633" s="185"/>
      <c r="P2633" s="185"/>
      <c r="Q2633" s="185"/>
      <c r="R2633" s="185"/>
    </row>
    <row r="2634" spans="1:18" s="197" customFormat="1" ht="12.75" x14ac:dyDescent="0.2">
      <c r="A2634" s="181"/>
      <c r="B2634" s="188" t="s">
        <v>3537</v>
      </c>
      <c r="C2634" s="189" t="s">
        <v>135</v>
      </c>
      <c r="D2634" s="189" t="s">
        <v>123</v>
      </c>
      <c r="E2634" s="190" t="s">
        <v>3538</v>
      </c>
      <c r="F2634" s="191">
        <f t="shared" si="42"/>
        <v>232.08333333333334</v>
      </c>
      <c r="G2634" s="185"/>
      <c r="H2634" s="181"/>
      <c r="I2634" s="74"/>
      <c r="J2634" s="74"/>
      <c r="M2634" s="185"/>
      <c r="N2634" s="185"/>
      <c r="O2634" s="185"/>
      <c r="P2634" s="185"/>
      <c r="Q2634" s="185"/>
      <c r="R2634" s="185"/>
    </row>
    <row r="2635" spans="1:18" s="197" customFormat="1" ht="12.75" x14ac:dyDescent="0.2">
      <c r="A2635" s="181"/>
      <c r="B2635" s="188" t="s">
        <v>5010</v>
      </c>
      <c r="C2635" s="189" t="s">
        <v>130</v>
      </c>
      <c r="D2635" s="189" t="s">
        <v>157</v>
      </c>
      <c r="E2635" s="190" t="s">
        <v>5011</v>
      </c>
      <c r="F2635" s="191">
        <f t="shared" ref="F2635:F2698" si="43">HOUR(E2635)*60+MINUTE(E2635)+SECOND(E2635)/60</f>
        <v>238.75</v>
      </c>
      <c r="G2635" s="185"/>
      <c r="H2635" s="181"/>
      <c r="I2635" s="74"/>
      <c r="J2635" s="74"/>
      <c r="M2635" s="185"/>
      <c r="N2635" s="185"/>
      <c r="O2635" s="185"/>
      <c r="P2635" s="185"/>
      <c r="Q2635" s="185"/>
      <c r="R2635" s="185"/>
    </row>
    <row r="2636" spans="1:18" s="197" customFormat="1" ht="12.75" x14ac:dyDescent="0.2">
      <c r="A2636" s="181"/>
      <c r="B2636" s="188" t="s">
        <v>5012</v>
      </c>
      <c r="C2636" s="189" t="s">
        <v>130</v>
      </c>
      <c r="D2636" s="189" t="s">
        <v>187</v>
      </c>
      <c r="E2636" s="190" t="s">
        <v>5013</v>
      </c>
      <c r="F2636" s="191">
        <f t="shared" si="43"/>
        <v>228.61666666666667</v>
      </c>
      <c r="G2636" s="185"/>
      <c r="H2636" s="181"/>
      <c r="I2636" s="74"/>
      <c r="J2636" s="74"/>
      <c r="M2636" s="185"/>
      <c r="N2636" s="185"/>
      <c r="O2636" s="185"/>
      <c r="P2636" s="185"/>
      <c r="Q2636" s="185"/>
      <c r="R2636" s="185"/>
    </row>
    <row r="2637" spans="1:18" s="197" customFormat="1" ht="12.75" x14ac:dyDescent="0.2">
      <c r="A2637" s="181"/>
      <c r="B2637" s="188" t="s">
        <v>5014</v>
      </c>
      <c r="C2637" s="189" t="s">
        <v>135</v>
      </c>
      <c r="D2637" s="189" t="s">
        <v>123</v>
      </c>
      <c r="E2637" s="190" t="s">
        <v>5015</v>
      </c>
      <c r="F2637" s="191">
        <f t="shared" si="43"/>
        <v>226.23333333333332</v>
      </c>
      <c r="G2637" s="185"/>
      <c r="H2637" s="181"/>
      <c r="I2637" s="74"/>
      <c r="J2637" s="74"/>
      <c r="M2637" s="185"/>
      <c r="N2637" s="185"/>
      <c r="O2637" s="185"/>
      <c r="P2637" s="185"/>
      <c r="Q2637" s="185"/>
      <c r="R2637" s="185"/>
    </row>
    <row r="2638" spans="1:18" s="197" customFormat="1" ht="12.75" x14ac:dyDescent="0.2">
      <c r="A2638" s="181"/>
      <c r="B2638" s="188" t="s">
        <v>5016</v>
      </c>
      <c r="C2638" s="189" t="s">
        <v>134</v>
      </c>
      <c r="D2638" s="189" t="s">
        <v>132</v>
      </c>
      <c r="E2638" s="190" t="s">
        <v>2377</v>
      </c>
      <c r="F2638" s="191">
        <f t="shared" si="43"/>
        <v>230.25</v>
      </c>
      <c r="G2638" s="185"/>
      <c r="H2638" s="181"/>
      <c r="I2638" s="74"/>
      <c r="J2638" s="74"/>
      <c r="M2638" s="185"/>
      <c r="N2638" s="185"/>
      <c r="O2638" s="185"/>
      <c r="P2638" s="185"/>
      <c r="Q2638" s="185"/>
      <c r="R2638" s="185"/>
    </row>
    <row r="2639" spans="1:18" s="197" customFormat="1" ht="12.75" x14ac:dyDescent="0.2">
      <c r="A2639" s="181"/>
      <c r="B2639" s="188" t="s">
        <v>5017</v>
      </c>
      <c r="C2639" s="189" t="s">
        <v>142</v>
      </c>
      <c r="D2639" s="189" t="s">
        <v>123</v>
      </c>
      <c r="E2639" s="190" t="s">
        <v>5018</v>
      </c>
      <c r="F2639" s="191">
        <f t="shared" si="43"/>
        <v>241.85</v>
      </c>
      <c r="G2639" s="185"/>
      <c r="H2639" s="181"/>
      <c r="I2639" s="74"/>
      <c r="J2639" s="74"/>
      <c r="M2639" s="185"/>
      <c r="N2639" s="185"/>
      <c r="O2639" s="185"/>
      <c r="P2639" s="185"/>
      <c r="Q2639" s="185"/>
      <c r="R2639" s="185"/>
    </row>
    <row r="2640" spans="1:18" s="197" customFormat="1" ht="12.75" x14ac:dyDescent="0.2">
      <c r="A2640" s="181"/>
      <c r="B2640" s="188" t="s">
        <v>5019</v>
      </c>
      <c r="C2640" s="189" t="s">
        <v>124</v>
      </c>
      <c r="D2640" s="189" t="s">
        <v>123</v>
      </c>
      <c r="E2640" s="190" t="s">
        <v>5020</v>
      </c>
      <c r="F2640" s="191">
        <f t="shared" si="43"/>
        <v>320.23333333333335</v>
      </c>
      <c r="G2640" s="185"/>
      <c r="H2640" s="181"/>
      <c r="I2640" s="74"/>
      <c r="J2640" s="74"/>
      <c r="M2640" s="185"/>
      <c r="N2640" s="185"/>
      <c r="O2640" s="185"/>
      <c r="P2640" s="185"/>
      <c r="Q2640" s="185"/>
      <c r="R2640" s="185"/>
    </row>
    <row r="2641" spans="1:18" s="197" customFormat="1" ht="12.75" x14ac:dyDescent="0.2">
      <c r="A2641" s="181"/>
      <c r="B2641" s="188" t="s">
        <v>5021</v>
      </c>
      <c r="C2641" s="189" t="s">
        <v>142</v>
      </c>
      <c r="D2641" s="189" t="s">
        <v>123</v>
      </c>
      <c r="E2641" s="190" t="s">
        <v>5022</v>
      </c>
      <c r="F2641" s="191">
        <f t="shared" si="43"/>
        <v>245.96666666666667</v>
      </c>
      <c r="G2641" s="185"/>
      <c r="H2641" s="181"/>
      <c r="I2641" s="74"/>
      <c r="J2641" s="74"/>
      <c r="M2641" s="185"/>
      <c r="N2641" s="185"/>
      <c r="O2641" s="185"/>
      <c r="P2641" s="185"/>
      <c r="Q2641" s="185"/>
      <c r="R2641" s="185"/>
    </row>
    <row r="2642" spans="1:18" s="197" customFormat="1" ht="12.75" x14ac:dyDescent="0.2">
      <c r="A2642" s="181"/>
      <c r="B2642" s="188" t="s">
        <v>5023</v>
      </c>
      <c r="C2642" s="189" t="s">
        <v>125</v>
      </c>
      <c r="D2642" s="189" t="s">
        <v>123</v>
      </c>
      <c r="E2642" s="190" t="s">
        <v>2063</v>
      </c>
      <c r="F2642" s="191">
        <f t="shared" si="43"/>
        <v>217.6</v>
      </c>
      <c r="G2642" s="185"/>
      <c r="H2642" s="181"/>
      <c r="I2642" s="74"/>
      <c r="J2642" s="74"/>
      <c r="M2642" s="185"/>
      <c r="N2642" s="185"/>
      <c r="O2642" s="185"/>
      <c r="P2642" s="185"/>
      <c r="Q2642" s="185"/>
      <c r="R2642" s="185"/>
    </row>
    <row r="2643" spans="1:18" s="197" customFormat="1" ht="12.75" x14ac:dyDescent="0.2">
      <c r="A2643" s="181"/>
      <c r="B2643" s="188" t="s">
        <v>5024</v>
      </c>
      <c r="C2643" s="189" t="s">
        <v>134</v>
      </c>
      <c r="D2643" s="189" t="s">
        <v>123</v>
      </c>
      <c r="E2643" s="190" t="s">
        <v>3448</v>
      </c>
      <c r="F2643" s="191">
        <f t="shared" si="43"/>
        <v>265.83333333333331</v>
      </c>
      <c r="G2643" s="185"/>
      <c r="H2643" s="181"/>
      <c r="I2643" s="74"/>
      <c r="J2643" s="74"/>
      <c r="M2643" s="185"/>
      <c r="N2643" s="185"/>
      <c r="O2643" s="185"/>
      <c r="P2643" s="185"/>
      <c r="Q2643" s="185"/>
      <c r="R2643" s="185"/>
    </row>
    <row r="2644" spans="1:18" s="197" customFormat="1" ht="12.75" x14ac:dyDescent="0.2">
      <c r="A2644" s="181"/>
      <c r="B2644" s="188" t="s">
        <v>2156</v>
      </c>
      <c r="C2644" s="189" t="s">
        <v>125</v>
      </c>
      <c r="D2644" s="189" t="s">
        <v>123</v>
      </c>
      <c r="E2644" s="190" t="s">
        <v>2157</v>
      </c>
      <c r="F2644" s="191">
        <f t="shared" si="43"/>
        <v>231.58333333333334</v>
      </c>
      <c r="G2644" s="185"/>
      <c r="H2644" s="181"/>
      <c r="I2644" s="74"/>
      <c r="J2644" s="74"/>
      <c r="M2644" s="185"/>
      <c r="N2644" s="185"/>
      <c r="O2644" s="185"/>
      <c r="P2644" s="185"/>
      <c r="Q2644" s="185"/>
      <c r="R2644" s="185"/>
    </row>
    <row r="2645" spans="1:18" s="197" customFormat="1" ht="12.75" x14ac:dyDescent="0.2">
      <c r="A2645" s="181"/>
      <c r="B2645" s="188" t="s">
        <v>426</v>
      </c>
      <c r="C2645" s="189" t="s">
        <v>142</v>
      </c>
      <c r="D2645" s="189" t="s">
        <v>123</v>
      </c>
      <c r="E2645" s="190" t="s">
        <v>5025</v>
      </c>
      <c r="F2645" s="191">
        <f t="shared" si="43"/>
        <v>235.35</v>
      </c>
      <c r="G2645" s="185"/>
      <c r="H2645" s="181"/>
      <c r="I2645" s="74"/>
      <c r="J2645" s="74"/>
      <c r="M2645" s="185"/>
      <c r="N2645" s="185"/>
      <c r="O2645" s="185"/>
      <c r="P2645" s="185"/>
      <c r="Q2645" s="185"/>
      <c r="R2645" s="185"/>
    </row>
    <row r="2646" spans="1:18" s="197" customFormat="1" ht="12.75" x14ac:dyDescent="0.2">
      <c r="A2646" s="181"/>
      <c r="B2646" s="188" t="s">
        <v>5026</v>
      </c>
      <c r="C2646" s="189" t="s">
        <v>130</v>
      </c>
      <c r="D2646" s="189" t="s">
        <v>157</v>
      </c>
      <c r="E2646" s="190" t="s">
        <v>5027</v>
      </c>
      <c r="F2646" s="191">
        <f t="shared" si="43"/>
        <v>159.9</v>
      </c>
      <c r="G2646" s="185"/>
      <c r="H2646" s="181"/>
      <c r="I2646" s="74"/>
      <c r="J2646" s="74"/>
      <c r="M2646" s="185"/>
      <c r="N2646" s="185"/>
      <c r="O2646" s="185"/>
      <c r="P2646" s="185"/>
      <c r="Q2646" s="185"/>
      <c r="R2646" s="185"/>
    </row>
    <row r="2647" spans="1:18" s="197" customFormat="1" ht="12.75" x14ac:dyDescent="0.2">
      <c r="A2647" s="181"/>
      <c r="B2647" s="188" t="s">
        <v>5028</v>
      </c>
      <c r="C2647" s="189" t="s">
        <v>128</v>
      </c>
      <c r="D2647" s="189" t="s">
        <v>132</v>
      </c>
      <c r="E2647" s="190" t="s">
        <v>5029</v>
      </c>
      <c r="F2647" s="191">
        <f t="shared" si="43"/>
        <v>232.31666666666666</v>
      </c>
      <c r="G2647" s="185"/>
      <c r="H2647" s="181"/>
      <c r="I2647" s="74"/>
      <c r="J2647" s="74"/>
      <c r="M2647" s="185"/>
      <c r="N2647" s="185"/>
      <c r="O2647" s="185"/>
      <c r="P2647" s="185"/>
      <c r="Q2647" s="185"/>
      <c r="R2647" s="185"/>
    </row>
    <row r="2648" spans="1:18" s="197" customFormat="1" ht="12.75" x14ac:dyDescent="0.2">
      <c r="A2648" s="181"/>
      <c r="B2648" s="188" t="s">
        <v>5030</v>
      </c>
      <c r="C2648" s="189" t="s">
        <v>135</v>
      </c>
      <c r="D2648" s="189" t="s">
        <v>123</v>
      </c>
      <c r="E2648" s="190" t="s">
        <v>5031</v>
      </c>
      <c r="F2648" s="191">
        <f t="shared" si="43"/>
        <v>297.35000000000002</v>
      </c>
      <c r="G2648" s="185"/>
      <c r="H2648" s="181"/>
      <c r="I2648" s="74"/>
      <c r="J2648" s="74"/>
      <c r="M2648" s="185"/>
      <c r="N2648" s="185"/>
      <c r="O2648" s="185"/>
      <c r="P2648" s="185"/>
      <c r="Q2648" s="185"/>
      <c r="R2648" s="185"/>
    </row>
    <row r="2649" spans="1:18" s="197" customFormat="1" ht="12.75" x14ac:dyDescent="0.2">
      <c r="A2649" s="181"/>
      <c r="B2649" s="188" t="s">
        <v>5032</v>
      </c>
      <c r="C2649" s="189" t="s">
        <v>136</v>
      </c>
      <c r="D2649" s="189" t="s">
        <v>123</v>
      </c>
      <c r="E2649" s="190" t="s">
        <v>5033</v>
      </c>
      <c r="F2649" s="191">
        <f t="shared" si="43"/>
        <v>293.91666666666669</v>
      </c>
      <c r="G2649" s="185"/>
      <c r="H2649" s="181"/>
      <c r="I2649" s="74"/>
      <c r="J2649" s="74"/>
      <c r="M2649" s="185"/>
      <c r="N2649" s="185"/>
      <c r="O2649" s="185"/>
      <c r="P2649" s="185"/>
      <c r="Q2649" s="185"/>
      <c r="R2649" s="185"/>
    </row>
    <row r="2650" spans="1:18" s="197" customFormat="1" ht="12.75" x14ac:dyDescent="0.2">
      <c r="A2650" s="181"/>
      <c r="B2650" s="188" t="s">
        <v>568</v>
      </c>
      <c r="C2650" s="189" t="s">
        <v>142</v>
      </c>
      <c r="D2650" s="189" t="s">
        <v>123</v>
      </c>
      <c r="E2650" s="190" t="s">
        <v>3918</v>
      </c>
      <c r="F2650" s="191">
        <f t="shared" si="43"/>
        <v>278.38333333333333</v>
      </c>
      <c r="G2650" s="185"/>
      <c r="H2650" s="181"/>
      <c r="I2650" s="74"/>
      <c r="J2650" s="74"/>
      <c r="M2650" s="185"/>
      <c r="N2650" s="185"/>
      <c r="O2650" s="185"/>
      <c r="P2650" s="185"/>
      <c r="Q2650" s="185"/>
      <c r="R2650" s="185"/>
    </row>
    <row r="2651" spans="1:18" s="197" customFormat="1" ht="12.75" x14ac:dyDescent="0.2">
      <c r="A2651" s="181"/>
      <c r="B2651" s="188" t="s">
        <v>5034</v>
      </c>
      <c r="C2651" s="189" t="s">
        <v>130</v>
      </c>
      <c r="D2651" s="189" t="s">
        <v>123</v>
      </c>
      <c r="E2651" s="190" t="s">
        <v>3317</v>
      </c>
      <c r="F2651" s="191">
        <f t="shared" si="43"/>
        <v>237.9</v>
      </c>
      <c r="G2651" s="185"/>
      <c r="H2651" s="181"/>
      <c r="I2651" s="74"/>
      <c r="J2651" s="74"/>
      <c r="M2651" s="185"/>
      <c r="N2651" s="185"/>
      <c r="O2651" s="185"/>
      <c r="P2651" s="185"/>
      <c r="Q2651" s="185"/>
      <c r="R2651" s="185"/>
    </row>
    <row r="2652" spans="1:18" s="197" customFormat="1" ht="12.75" x14ac:dyDescent="0.2">
      <c r="A2652" s="181"/>
      <c r="B2652" s="188" t="s">
        <v>5035</v>
      </c>
      <c r="C2652" s="189" t="s">
        <v>126</v>
      </c>
      <c r="D2652" s="189" t="s">
        <v>123</v>
      </c>
      <c r="E2652" s="190" t="s">
        <v>3613</v>
      </c>
      <c r="F2652" s="191">
        <f t="shared" si="43"/>
        <v>238.15</v>
      </c>
      <c r="G2652" s="185"/>
      <c r="H2652" s="181"/>
      <c r="I2652" s="74"/>
      <c r="J2652" s="74"/>
      <c r="M2652" s="185"/>
      <c r="N2652" s="185"/>
      <c r="O2652" s="185"/>
      <c r="P2652" s="185"/>
      <c r="Q2652" s="185"/>
      <c r="R2652" s="185"/>
    </row>
    <row r="2653" spans="1:18" s="197" customFormat="1" ht="12.75" x14ac:dyDescent="0.2">
      <c r="A2653" s="181"/>
      <c r="B2653" s="188" t="s">
        <v>5036</v>
      </c>
      <c r="C2653" s="189" t="s">
        <v>124</v>
      </c>
      <c r="D2653" s="189" t="s">
        <v>123</v>
      </c>
      <c r="E2653" s="190" t="s">
        <v>5037</v>
      </c>
      <c r="F2653" s="191">
        <f t="shared" si="43"/>
        <v>262.25</v>
      </c>
      <c r="G2653" s="185"/>
      <c r="H2653" s="181"/>
      <c r="I2653" s="74"/>
      <c r="J2653" s="74"/>
      <c r="M2653" s="185"/>
      <c r="N2653" s="185"/>
      <c r="O2653" s="185"/>
      <c r="P2653" s="185"/>
      <c r="Q2653" s="185"/>
      <c r="R2653" s="185"/>
    </row>
    <row r="2654" spans="1:18" s="197" customFormat="1" ht="12.75" x14ac:dyDescent="0.2">
      <c r="A2654" s="181"/>
      <c r="B2654" s="188" t="s">
        <v>5038</v>
      </c>
      <c r="C2654" s="189" t="s">
        <v>135</v>
      </c>
      <c r="D2654" s="189" t="s">
        <v>123</v>
      </c>
      <c r="E2654" s="190" t="s">
        <v>2469</v>
      </c>
      <c r="F2654" s="191">
        <f t="shared" si="43"/>
        <v>300.01666666666665</v>
      </c>
      <c r="G2654" s="185"/>
      <c r="H2654" s="181"/>
      <c r="I2654" s="74"/>
      <c r="J2654" s="74"/>
      <c r="M2654" s="185"/>
      <c r="N2654" s="185"/>
      <c r="O2654" s="185"/>
      <c r="P2654" s="185"/>
      <c r="Q2654" s="185"/>
      <c r="R2654" s="185"/>
    </row>
    <row r="2655" spans="1:18" s="197" customFormat="1" ht="12.75" x14ac:dyDescent="0.2">
      <c r="A2655" s="181"/>
      <c r="B2655" s="188" t="s">
        <v>5039</v>
      </c>
      <c r="C2655" s="189" t="s">
        <v>130</v>
      </c>
      <c r="D2655" s="189" t="s">
        <v>123</v>
      </c>
      <c r="E2655" s="190" t="s">
        <v>5040</v>
      </c>
      <c r="F2655" s="191">
        <f t="shared" si="43"/>
        <v>311.14999999999998</v>
      </c>
      <c r="G2655" s="185"/>
      <c r="H2655" s="181"/>
      <c r="I2655" s="74"/>
      <c r="J2655" s="74"/>
      <c r="M2655" s="185"/>
      <c r="N2655" s="185"/>
      <c r="O2655" s="185"/>
      <c r="P2655" s="185"/>
      <c r="Q2655" s="185"/>
      <c r="R2655" s="185"/>
    </row>
    <row r="2656" spans="1:18" s="197" customFormat="1" ht="12.75" x14ac:dyDescent="0.2">
      <c r="A2656" s="181"/>
      <c r="B2656" s="188" t="s">
        <v>5041</v>
      </c>
      <c r="C2656" s="189" t="s">
        <v>128</v>
      </c>
      <c r="D2656" s="189" t="s">
        <v>123</v>
      </c>
      <c r="E2656" s="190" t="s">
        <v>4546</v>
      </c>
      <c r="F2656" s="191">
        <f t="shared" si="43"/>
        <v>199.91666666666666</v>
      </c>
      <c r="G2656" s="185"/>
      <c r="H2656" s="181"/>
      <c r="I2656" s="74"/>
      <c r="J2656" s="74"/>
      <c r="M2656" s="185"/>
      <c r="N2656" s="185"/>
      <c r="O2656" s="185"/>
      <c r="P2656" s="185"/>
      <c r="Q2656" s="185"/>
      <c r="R2656" s="185"/>
    </row>
    <row r="2657" spans="1:18" s="197" customFormat="1" ht="12.75" x14ac:dyDescent="0.2">
      <c r="A2657" s="181"/>
      <c r="B2657" s="188" t="s">
        <v>5042</v>
      </c>
      <c r="C2657" s="189" t="s">
        <v>130</v>
      </c>
      <c r="D2657" s="189" t="s">
        <v>127</v>
      </c>
      <c r="E2657" s="190" t="s">
        <v>5043</v>
      </c>
      <c r="F2657" s="191">
        <f t="shared" si="43"/>
        <v>241.23333333333332</v>
      </c>
      <c r="G2657" s="185"/>
      <c r="H2657" s="181"/>
      <c r="I2657" s="74"/>
      <c r="J2657" s="74"/>
      <c r="M2657" s="185"/>
      <c r="N2657" s="185"/>
      <c r="O2657" s="185"/>
      <c r="P2657" s="185"/>
      <c r="Q2657" s="185"/>
      <c r="R2657" s="185"/>
    </row>
    <row r="2658" spans="1:18" s="197" customFormat="1" ht="12.75" x14ac:dyDescent="0.2">
      <c r="A2658" s="181"/>
      <c r="B2658" s="188" t="s">
        <v>5044</v>
      </c>
      <c r="C2658" s="189" t="s">
        <v>124</v>
      </c>
      <c r="D2658" s="189" t="s">
        <v>131</v>
      </c>
      <c r="E2658" s="190" t="s">
        <v>5045</v>
      </c>
      <c r="F2658" s="191">
        <f t="shared" si="43"/>
        <v>257.73333333333335</v>
      </c>
      <c r="G2658" s="185"/>
      <c r="H2658" s="181"/>
      <c r="I2658" s="74"/>
      <c r="J2658" s="74"/>
      <c r="M2658" s="185"/>
      <c r="N2658" s="185"/>
      <c r="O2658" s="185"/>
      <c r="P2658" s="185"/>
      <c r="Q2658" s="185"/>
      <c r="R2658" s="185"/>
    </row>
    <row r="2659" spans="1:18" s="197" customFormat="1" ht="12.75" x14ac:dyDescent="0.2">
      <c r="A2659" s="181"/>
      <c r="B2659" s="188" t="s">
        <v>261</v>
      </c>
      <c r="C2659" s="189" t="s">
        <v>125</v>
      </c>
      <c r="D2659" s="189" t="s">
        <v>123</v>
      </c>
      <c r="E2659" s="190" t="s">
        <v>3667</v>
      </c>
      <c r="F2659" s="191">
        <f t="shared" si="43"/>
        <v>213.71666666666667</v>
      </c>
      <c r="G2659" s="185"/>
      <c r="H2659" s="181"/>
      <c r="I2659" s="74"/>
      <c r="J2659" s="74"/>
      <c r="M2659" s="185"/>
      <c r="N2659" s="185"/>
      <c r="O2659" s="185"/>
      <c r="P2659" s="185"/>
      <c r="Q2659" s="185"/>
      <c r="R2659" s="185"/>
    </row>
    <row r="2660" spans="1:18" s="197" customFormat="1" ht="12.75" x14ac:dyDescent="0.2">
      <c r="A2660" s="181"/>
      <c r="B2660" s="188" t="s">
        <v>5046</v>
      </c>
      <c r="C2660" s="189" t="s">
        <v>142</v>
      </c>
      <c r="D2660" s="189" t="s">
        <v>129</v>
      </c>
      <c r="E2660" s="190" t="s">
        <v>4468</v>
      </c>
      <c r="F2660" s="191">
        <f t="shared" si="43"/>
        <v>256.96666666666664</v>
      </c>
      <c r="G2660" s="185"/>
      <c r="H2660" s="181"/>
      <c r="I2660" s="74"/>
      <c r="J2660" s="74"/>
      <c r="M2660" s="185"/>
      <c r="N2660" s="185"/>
      <c r="O2660" s="185"/>
      <c r="P2660" s="185"/>
      <c r="Q2660" s="185"/>
      <c r="R2660" s="185"/>
    </row>
    <row r="2661" spans="1:18" s="197" customFormat="1" ht="12.75" x14ac:dyDescent="0.2">
      <c r="A2661" s="181"/>
      <c r="B2661" s="188" t="s">
        <v>190</v>
      </c>
      <c r="C2661" s="189" t="s">
        <v>124</v>
      </c>
      <c r="D2661" s="189" t="s">
        <v>123</v>
      </c>
      <c r="E2661" s="190" t="s">
        <v>5047</v>
      </c>
      <c r="F2661" s="191">
        <f t="shared" si="43"/>
        <v>295.43333333333334</v>
      </c>
      <c r="G2661" s="185"/>
      <c r="H2661" s="181"/>
      <c r="I2661" s="74"/>
      <c r="J2661" s="74"/>
      <c r="M2661" s="185"/>
      <c r="N2661" s="185"/>
      <c r="O2661" s="185"/>
      <c r="P2661" s="185"/>
      <c r="Q2661" s="185"/>
      <c r="R2661" s="185"/>
    </row>
    <row r="2662" spans="1:18" s="197" customFormat="1" ht="12.75" x14ac:dyDescent="0.2">
      <c r="A2662" s="181"/>
      <c r="B2662" s="188" t="s">
        <v>5048</v>
      </c>
      <c r="C2662" s="189" t="s">
        <v>126</v>
      </c>
      <c r="D2662" s="189" t="s">
        <v>188</v>
      </c>
      <c r="E2662" s="190" t="s">
        <v>5049</v>
      </c>
      <c r="F2662" s="191">
        <f t="shared" si="43"/>
        <v>173.2</v>
      </c>
      <c r="G2662" s="185"/>
      <c r="H2662" s="181"/>
      <c r="I2662" s="74"/>
      <c r="J2662" s="74"/>
      <c r="M2662" s="185"/>
      <c r="N2662" s="185"/>
      <c r="O2662" s="185"/>
      <c r="P2662" s="185"/>
      <c r="Q2662" s="185"/>
      <c r="R2662" s="185"/>
    </row>
    <row r="2663" spans="1:18" s="197" customFormat="1" ht="12.75" x14ac:dyDescent="0.2">
      <c r="A2663" s="181"/>
      <c r="B2663" s="188" t="s">
        <v>5050</v>
      </c>
      <c r="C2663" s="189" t="s">
        <v>124</v>
      </c>
      <c r="D2663" s="189" t="s">
        <v>148</v>
      </c>
      <c r="E2663" s="190" t="s">
        <v>5051</v>
      </c>
      <c r="F2663" s="191">
        <f t="shared" si="43"/>
        <v>206.88333333333333</v>
      </c>
      <c r="G2663" s="185"/>
      <c r="H2663" s="181"/>
      <c r="I2663" s="74"/>
      <c r="J2663" s="74"/>
      <c r="M2663" s="185"/>
      <c r="N2663" s="185"/>
      <c r="O2663" s="185"/>
      <c r="P2663" s="185"/>
      <c r="Q2663" s="185"/>
      <c r="R2663" s="185"/>
    </row>
    <row r="2664" spans="1:18" s="197" customFormat="1" ht="12.75" x14ac:dyDescent="0.2">
      <c r="A2664" s="181"/>
      <c r="B2664" s="188" t="s">
        <v>5052</v>
      </c>
      <c r="C2664" s="189" t="s">
        <v>130</v>
      </c>
      <c r="D2664" s="189" t="s">
        <v>171</v>
      </c>
      <c r="E2664" s="190" t="s">
        <v>5053</v>
      </c>
      <c r="F2664" s="191">
        <f t="shared" si="43"/>
        <v>213.78333333333333</v>
      </c>
      <c r="G2664" s="185"/>
      <c r="H2664" s="181"/>
      <c r="I2664" s="74"/>
      <c r="J2664" s="74"/>
      <c r="M2664" s="185"/>
      <c r="N2664" s="185"/>
      <c r="O2664" s="185"/>
      <c r="P2664" s="185"/>
      <c r="Q2664" s="185"/>
      <c r="R2664" s="185"/>
    </row>
    <row r="2665" spans="1:18" s="197" customFormat="1" ht="12.75" x14ac:dyDescent="0.2">
      <c r="A2665" s="181"/>
      <c r="B2665" s="188" t="s">
        <v>5054</v>
      </c>
      <c r="C2665" s="189" t="s">
        <v>142</v>
      </c>
      <c r="D2665" s="189" t="s">
        <v>123</v>
      </c>
      <c r="E2665" s="190" t="s">
        <v>5055</v>
      </c>
      <c r="F2665" s="191">
        <f t="shared" si="43"/>
        <v>224.51666666666668</v>
      </c>
      <c r="G2665" s="185"/>
      <c r="H2665" s="181"/>
      <c r="I2665" s="74"/>
      <c r="J2665" s="74"/>
      <c r="M2665" s="185"/>
      <c r="N2665" s="185"/>
      <c r="O2665" s="185"/>
      <c r="P2665" s="185"/>
      <c r="Q2665" s="185"/>
      <c r="R2665" s="185"/>
    </row>
    <row r="2666" spans="1:18" s="197" customFormat="1" ht="12.75" x14ac:dyDescent="0.2">
      <c r="A2666" s="181"/>
      <c r="B2666" s="188" t="s">
        <v>5056</v>
      </c>
      <c r="C2666" s="189" t="s">
        <v>126</v>
      </c>
      <c r="D2666" s="189" t="s">
        <v>123</v>
      </c>
      <c r="E2666" s="190" t="s">
        <v>2289</v>
      </c>
      <c r="F2666" s="191">
        <f t="shared" si="43"/>
        <v>275.76666666666665</v>
      </c>
      <c r="G2666" s="185"/>
      <c r="H2666" s="181"/>
      <c r="I2666" s="74"/>
      <c r="J2666" s="74"/>
      <c r="M2666" s="185"/>
      <c r="N2666" s="185"/>
      <c r="O2666" s="185"/>
      <c r="P2666" s="185"/>
      <c r="Q2666" s="185"/>
      <c r="R2666" s="185"/>
    </row>
    <row r="2667" spans="1:18" s="197" customFormat="1" ht="12.75" x14ac:dyDescent="0.2">
      <c r="A2667" s="181"/>
      <c r="B2667" s="188" t="s">
        <v>5057</v>
      </c>
      <c r="C2667" s="189" t="s">
        <v>135</v>
      </c>
      <c r="D2667" s="189" t="s">
        <v>132</v>
      </c>
      <c r="E2667" s="190" t="s">
        <v>1744</v>
      </c>
      <c r="F2667" s="191">
        <f t="shared" si="43"/>
        <v>221.85</v>
      </c>
      <c r="G2667" s="185"/>
      <c r="H2667" s="181"/>
      <c r="I2667" s="74"/>
      <c r="J2667" s="74"/>
      <c r="M2667" s="185"/>
      <c r="N2667" s="185"/>
      <c r="O2667" s="185"/>
      <c r="P2667" s="185"/>
      <c r="Q2667" s="185"/>
      <c r="R2667" s="185"/>
    </row>
    <row r="2668" spans="1:18" s="197" customFormat="1" ht="12.75" x14ac:dyDescent="0.2">
      <c r="A2668" s="181"/>
      <c r="B2668" s="188" t="s">
        <v>5058</v>
      </c>
      <c r="C2668" s="189" t="s">
        <v>134</v>
      </c>
      <c r="D2668" s="189" t="s">
        <v>129</v>
      </c>
      <c r="E2668" s="190" t="s">
        <v>5059</v>
      </c>
      <c r="F2668" s="191">
        <f t="shared" si="43"/>
        <v>188.06666666666666</v>
      </c>
      <c r="G2668" s="185"/>
      <c r="H2668" s="181"/>
      <c r="I2668" s="74"/>
      <c r="J2668" s="74"/>
      <c r="M2668" s="185"/>
      <c r="N2668" s="185"/>
      <c r="O2668" s="185"/>
      <c r="P2668" s="185"/>
      <c r="Q2668" s="185"/>
      <c r="R2668" s="185"/>
    </row>
    <row r="2669" spans="1:18" s="197" customFormat="1" ht="12.75" x14ac:dyDescent="0.2">
      <c r="A2669" s="181"/>
      <c r="B2669" s="188" t="s">
        <v>5060</v>
      </c>
      <c r="C2669" s="189" t="s">
        <v>124</v>
      </c>
      <c r="D2669" s="189" t="s">
        <v>123</v>
      </c>
      <c r="E2669" s="190" t="s">
        <v>5061</v>
      </c>
      <c r="F2669" s="191">
        <f t="shared" si="43"/>
        <v>286.83333333333331</v>
      </c>
      <c r="G2669" s="185"/>
      <c r="H2669" s="181"/>
      <c r="I2669" s="74"/>
      <c r="J2669" s="74"/>
      <c r="M2669" s="185"/>
      <c r="N2669" s="185"/>
      <c r="O2669" s="185"/>
      <c r="P2669" s="185"/>
      <c r="Q2669" s="185"/>
      <c r="R2669" s="185"/>
    </row>
    <row r="2670" spans="1:18" s="197" customFormat="1" ht="12.75" x14ac:dyDescent="0.2">
      <c r="A2670" s="181"/>
      <c r="B2670" s="188" t="s">
        <v>504</v>
      </c>
      <c r="C2670" s="189" t="s">
        <v>124</v>
      </c>
      <c r="D2670" s="189" t="s">
        <v>123</v>
      </c>
      <c r="E2670" s="190" t="s">
        <v>5062</v>
      </c>
      <c r="F2670" s="191">
        <f t="shared" si="43"/>
        <v>256.85000000000002</v>
      </c>
      <c r="G2670" s="185"/>
      <c r="H2670" s="181"/>
      <c r="I2670" s="74"/>
      <c r="J2670" s="74"/>
      <c r="M2670" s="185"/>
      <c r="N2670" s="185"/>
      <c r="O2670" s="185"/>
      <c r="P2670" s="185"/>
      <c r="Q2670" s="185"/>
      <c r="R2670" s="185"/>
    </row>
    <row r="2671" spans="1:18" s="197" customFormat="1" ht="12.75" x14ac:dyDescent="0.2">
      <c r="A2671" s="181"/>
      <c r="B2671" s="188" t="s">
        <v>5063</v>
      </c>
      <c r="C2671" s="189" t="s">
        <v>130</v>
      </c>
      <c r="D2671" s="189" t="s">
        <v>123</v>
      </c>
      <c r="E2671" s="190" t="s">
        <v>1200</v>
      </c>
      <c r="F2671" s="191">
        <f t="shared" si="43"/>
        <v>309.81666666666666</v>
      </c>
      <c r="G2671" s="185"/>
      <c r="H2671" s="181"/>
      <c r="I2671" s="74"/>
      <c r="J2671" s="74"/>
      <c r="M2671" s="185"/>
      <c r="N2671" s="185"/>
      <c r="O2671" s="185"/>
      <c r="P2671" s="185"/>
      <c r="Q2671" s="185"/>
      <c r="R2671" s="185"/>
    </row>
    <row r="2672" spans="1:18" s="197" customFormat="1" ht="12.75" x14ac:dyDescent="0.2">
      <c r="A2672" s="181"/>
      <c r="B2672" s="188" t="s">
        <v>539</v>
      </c>
      <c r="C2672" s="189" t="s">
        <v>125</v>
      </c>
      <c r="D2672" s="189" t="s">
        <v>123</v>
      </c>
      <c r="E2672" s="190" t="s">
        <v>3335</v>
      </c>
      <c r="F2672" s="191">
        <f t="shared" si="43"/>
        <v>231.98333333333332</v>
      </c>
      <c r="G2672" s="185"/>
      <c r="H2672" s="181"/>
      <c r="I2672" s="74"/>
      <c r="J2672" s="74"/>
      <c r="M2672" s="185"/>
      <c r="N2672" s="185"/>
      <c r="O2672" s="185"/>
      <c r="P2672" s="185"/>
      <c r="Q2672" s="185"/>
      <c r="R2672" s="185"/>
    </row>
    <row r="2673" spans="1:18" s="197" customFormat="1" ht="12.75" x14ac:dyDescent="0.2">
      <c r="A2673" s="181"/>
      <c r="B2673" s="188" t="s">
        <v>5064</v>
      </c>
      <c r="C2673" s="189" t="s">
        <v>130</v>
      </c>
      <c r="D2673" s="189" t="s">
        <v>157</v>
      </c>
      <c r="E2673" s="190" t="s">
        <v>3773</v>
      </c>
      <c r="F2673" s="191">
        <f t="shared" si="43"/>
        <v>250.53333333333333</v>
      </c>
      <c r="G2673" s="185"/>
      <c r="H2673" s="181"/>
      <c r="I2673" s="74"/>
      <c r="J2673" s="74"/>
      <c r="M2673" s="185"/>
      <c r="N2673" s="185"/>
      <c r="O2673" s="185"/>
      <c r="P2673" s="185"/>
      <c r="Q2673" s="185"/>
      <c r="R2673" s="185"/>
    </row>
    <row r="2674" spans="1:18" s="197" customFormat="1" ht="12.75" x14ac:dyDescent="0.2">
      <c r="A2674" s="181"/>
      <c r="B2674" s="188" t="s">
        <v>5065</v>
      </c>
      <c r="C2674" s="189" t="s">
        <v>128</v>
      </c>
      <c r="D2674" s="189" t="s">
        <v>123</v>
      </c>
      <c r="E2674" s="190" t="s">
        <v>5066</v>
      </c>
      <c r="F2674" s="191">
        <f t="shared" si="43"/>
        <v>280.26666666666665</v>
      </c>
      <c r="G2674" s="185"/>
      <c r="H2674" s="181"/>
      <c r="I2674" s="74"/>
      <c r="J2674" s="74"/>
      <c r="M2674" s="185"/>
      <c r="N2674" s="185"/>
      <c r="O2674" s="185"/>
      <c r="P2674" s="185"/>
      <c r="Q2674" s="185"/>
      <c r="R2674" s="185"/>
    </row>
    <row r="2675" spans="1:18" s="197" customFormat="1" ht="12.75" x14ac:dyDescent="0.2">
      <c r="A2675" s="181"/>
      <c r="B2675" s="188" t="s">
        <v>5067</v>
      </c>
      <c r="C2675" s="189" t="s">
        <v>140</v>
      </c>
      <c r="D2675" s="189" t="s">
        <v>132</v>
      </c>
      <c r="E2675" s="190" t="s">
        <v>5068</v>
      </c>
      <c r="F2675" s="191">
        <f t="shared" si="43"/>
        <v>268.2</v>
      </c>
      <c r="G2675" s="185"/>
      <c r="H2675" s="181"/>
      <c r="I2675" s="74"/>
      <c r="J2675" s="74"/>
      <c r="M2675" s="185"/>
      <c r="N2675" s="185"/>
      <c r="O2675" s="185"/>
      <c r="P2675" s="185"/>
      <c r="Q2675" s="185"/>
      <c r="R2675" s="185"/>
    </row>
    <row r="2676" spans="1:18" s="197" customFormat="1" ht="12.75" x14ac:dyDescent="0.2">
      <c r="A2676" s="181"/>
      <c r="B2676" s="188" t="s">
        <v>5069</v>
      </c>
      <c r="C2676" s="189" t="s">
        <v>126</v>
      </c>
      <c r="D2676" s="189" t="s">
        <v>146</v>
      </c>
      <c r="E2676" s="190" t="s">
        <v>5070</v>
      </c>
      <c r="F2676" s="191">
        <f t="shared" si="43"/>
        <v>294.81666666666666</v>
      </c>
      <c r="G2676" s="185"/>
      <c r="H2676" s="181"/>
      <c r="I2676" s="74"/>
      <c r="J2676" s="74"/>
      <c r="M2676" s="185"/>
      <c r="N2676" s="185"/>
      <c r="O2676" s="185"/>
      <c r="P2676" s="185"/>
      <c r="Q2676" s="185"/>
      <c r="R2676" s="185"/>
    </row>
    <row r="2677" spans="1:18" s="197" customFormat="1" ht="12.75" x14ac:dyDescent="0.2">
      <c r="A2677" s="181"/>
      <c r="B2677" s="188" t="s">
        <v>5071</v>
      </c>
      <c r="C2677" s="189" t="s">
        <v>134</v>
      </c>
      <c r="D2677" s="189" t="s">
        <v>147</v>
      </c>
      <c r="E2677" s="190" t="s">
        <v>5072</v>
      </c>
      <c r="F2677" s="191">
        <f t="shared" si="43"/>
        <v>182.45</v>
      </c>
      <c r="G2677" s="185"/>
      <c r="H2677" s="181"/>
      <c r="I2677" s="74"/>
      <c r="J2677" s="74"/>
      <c r="M2677" s="185"/>
      <c r="N2677" s="185"/>
      <c r="O2677" s="185"/>
      <c r="P2677" s="185"/>
      <c r="Q2677" s="185"/>
      <c r="R2677" s="185"/>
    </row>
    <row r="2678" spans="1:18" s="197" customFormat="1" ht="12.75" x14ac:dyDescent="0.2">
      <c r="A2678" s="181"/>
      <c r="B2678" s="188" t="s">
        <v>5073</v>
      </c>
      <c r="C2678" s="189" t="s">
        <v>222</v>
      </c>
      <c r="D2678" s="189" t="s">
        <v>123</v>
      </c>
      <c r="E2678" s="190" t="s">
        <v>5074</v>
      </c>
      <c r="F2678" s="191">
        <f t="shared" si="43"/>
        <v>250.08333333333334</v>
      </c>
      <c r="G2678" s="185"/>
      <c r="H2678" s="181"/>
      <c r="I2678" s="74"/>
      <c r="J2678" s="74"/>
      <c r="M2678" s="185"/>
      <c r="N2678" s="185"/>
      <c r="O2678" s="185"/>
      <c r="P2678" s="185"/>
      <c r="Q2678" s="185"/>
      <c r="R2678" s="185"/>
    </row>
    <row r="2679" spans="1:18" s="197" customFormat="1" ht="12.75" x14ac:dyDescent="0.2">
      <c r="A2679" s="181"/>
      <c r="B2679" s="188" t="s">
        <v>5075</v>
      </c>
      <c r="C2679" s="189" t="s">
        <v>125</v>
      </c>
      <c r="D2679" s="189" t="s">
        <v>131</v>
      </c>
      <c r="E2679" s="190" t="s">
        <v>5076</v>
      </c>
      <c r="F2679" s="191">
        <f t="shared" si="43"/>
        <v>229.41666666666666</v>
      </c>
      <c r="G2679" s="185"/>
      <c r="H2679" s="181"/>
      <c r="I2679" s="74"/>
      <c r="J2679" s="74"/>
      <c r="M2679" s="185"/>
      <c r="N2679" s="185"/>
      <c r="O2679" s="185"/>
      <c r="P2679" s="185"/>
      <c r="Q2679" s="185"/>
      <c r="R2679" s="185"/>
    </row>
    <row r="2680" spans="1:18" s="197" customFormat="1" ht="12.75" x14ac:dyDescent="0.2">
      <c r="A2680" s="181"/>
      <c r="B2680" s="188" t="s">
        <v>5077</v>
      </c>
      <c r="C2680" s="189" t="s">
        <v>125</v>
      </c>
      <c r="D2680" s="189" t="s">
        <v>160</v>
      </c>
      <c r="E2680" s="190" t="s">
        <v>5078</v>
      </c>
      <c r="F2680" s="191">
        <f t="shared" si="43"/>
        <v>282.88333333333333</v>
      </c>
      <c r="G2680" s="185"/>
      <c r="H2680" s="181"/>
      <c r="I2680" s="74"/>
      <c r="J2680" s="74"/>
      <c r="M2680" s="185"/>
      <c r="N2680" s="185"/>
      <c r="O2680" s="185"/>
      <c r="P2680" s="185"/>
      <c r="Q2680" s="185"/>
      <c r="R2680" s="185"/>
    </row>
    <row r="2681" spans="1:18" s="197" customFormat="1" ht="12.75" x14ac:dyDescent="0.2">
      <c r="A2681" s="181"/>
      <c r="B2681" s="188" t="s">
        <v>5079</v>
      </c>
      <c r="C2681" s="189" t="s">
        <v>134</v>
      </c>
      <c r="D2681" s="189" t="s">
        <v>131</v>
      </c>
      <c r="E2681" s="190" t="s">
        <v>5080</v>
      </c>
      <c r="F2681" s="191">
        <f t="shared" si="43"/>
        <v>207.73333333333332</v>
      </c>
      <c r="G2681" s="185"/>
      <c r="H2681" s="181"/>
      <c r="I2681" s="74"/>
      <c r="J2681" s="74"/>
      <c r="M2681" s="185"/>
      <c r="N2681" s="185"/>
      <c r="O2681" s="185"/>
      <c r="P2681" s="185"/>
      <c r="Q2681" s="185"/>
      <c r="R2681" s="185"/>
    </row>
    <row r="2682" spans="1:18" s="197" customFormat="1" ht="12.75" x14ac:dyDescent="0.2">
      <c r="A2682" s="181"/>
      <c r="B2682" s="188" t="s">
        <v>5081</v>
      </c>
      <c r="C2682" s="189" t="s">
        <v>125</v>
      </c>
      <c r="D2682" s="189" t="s">
        <v>123</v>
      </c>
      <c r="E2682" s="190" t="s">
        <v>5082</v>
      </c>
      <c r="F2682" s="191">
        <f t="shared" si="43"/>
        <v>208.48333333333332</v>
      </c>
      <c r="G2682" s="185"/>
      <c r="H2682" s="181"/>
      <c r="I2682" s="74"/>
      <c r="J2682" s="74"/>
      <c r="M2682" s="185"/>
      <c r="N2682" s="185"/>
      <c r="O2682" s="185"/>
      <c r="P2682" s="185"/>
      <c r="Q2682" s="185"/>
      <c r="R2682" s="185"/>
    </row>
    <row r="2683" spans="1:18" s="197" customFormat="1" ht="12.75" x14ac:dyDescent="0.2">
      <c r="A2683" s="181"/>
      <c r="B2683" s="188" t="s">
        <v>274</v>
      </c>
      <c r="C2683" s="189" t="s">
        <v>140</v>
      </c>
      <c r="D2683" s="189" t="s">
        <v>123</v>
      </c>
      <c r="E2683" s="190" t="s">
        <v>2944</v>
      </c>
      <c r="F2683" s="191">
        <f t="shared" si="43"/>
        <v>234.71666666666667</v>
      </c>
      <c r="G2683" s="185"/>
      <c r="H2683" s="181"/>
      <c r="I2683" s="74"/>
      <c r="J2683" s="74"/>
      <c r="M2683" s="185"/>
      <c r="N2683" s="185"/>
      <c r="O2683" s="185"/>
      <c r="P2683" s="185"/>
      <c r="Q2683" s="185"/>
      <c r="R2683" s="185"/>
    </row>
    <row r="2684" spans="1:18" s="197" customFormat="1" ht="12.75" x14ac:dyDescent="0.2">
      <c r="A2684" s="181"/>
      <c r="B2684" s="188" t="s">
        <v>5083</v>
      </c>
      <c r="C2684" s="189" t="s">
        <v>130</v>
      </c>
      <c r="D2684" s="189" t="s">
        <v>129</v>
      </c>
      <c r="E2684" s="190" t="s">
        <v>5084</v>
      </c>
      <c r="F2684" s="191">
        <f t="shared" si="43"/>
        <v>247</v>
      </c>
      <c r="G2684" s="185"/>
      <c r="H2684" s="181"/>
      <c r="I2684" s="74"/>
      <c r="J2684" s="74"/>
      <c r="M2684" s="185"/>
      <c r="N2684" s="185"/>
      <c r="O2684" s="185"/>
      <c r="P2684" s="185"/>
      <c r="Q2684" s="185"/>
      <c r="R2684" s="185"/>
    </row>
    <row r="2685" spans="1:18" s="197" customFormat="1" ht="12.75" x14ac:dyDescent="0.2">
      <c r="A2685" s="181"/>
      <c r="B2685" s="188" t="s">
        <v>198</v>
      </c>
      <c r="C2685" s="189" t="s">
        <v>142</v>
      </c>
      <c r="D2685" s="189" t="s">
        <v>148</v>
      </c>
      <c r="E2685" s="190" t="s">
        <v>5085</v>
      </c>
      <c r="F2685" s="191">
        <f t="shared" si="43"/>
        <v>206.35</v>
      </c>
      <c r="G2685" s="185"/>
      <c r="H2685" s="181"/>
      <c r="I2685" s="74"/>
      <c r="J2685" s="74"/>
      <c r="M2685" s="185"/>
      <c r="N2685" s="185"/>
      <c r="O2685" s="185"/>
      <c r="P2685" s="185"/>
      <c r="Q2685" s="185"/>
      <c r="R2685" s="185"/>
    </row>
    <row r="2686" spans="1:18" s="197" customFormat="1" ht="12.75" x14ac:dyDescent="0.2">
      <c r="A2686" s="181"/>
      <c r="B2686" s="188" t="s">
        <v>476</v>
      </c>
      <c r="C2686" s="189" t="s">
        <v>130</v>
      </c>
      <c r="D2686" s="189" t="s">
        <v>129</v>
      </c>
      <c r="E2686" s="190" t="s">
        <v>4634</v>
      </c>
      <c r="F2686" s="191">
        <f t="shared" si="43"/>
        <v>231.03333333333333</v>
      </c>
      <c r="G2686" s="185"/>
      <c r="H2686" s="181"/>
      <c r="I2686" s="74"/>
      <c r="J2686" s="74"/>
      <c r="M2686" s="185"/>
      <c r="N2686" s="185"/>
      <c r="O2686" s="185"/>
      <c r="P2686" s="185"/>
      <c r="Q2686" s="185"/>
      <c r="R2686" s="185"/>
    </row>
    <row r="2687" spans="1:18" s="197" customFormat="1" ht="12.75" x14ac:dyDescent="0.2">
      <c r="A2687" s="181"/>
      <c r="B2687" s="188" t="s">
        <v>564</v>
      </c>
      <c r="C2687" s="189" t="s">
        <v>142</v>
      </c>
      <c r="D2687" s="189" t="s">
        <v>123</v>
      </c>
      <c r="E2687" s="190" t="s">
        <v>5086</v>
      </c>
      <c r="F2687" s="191">
        <f t="shared" si="43"/>
        <v>258.5</v>
      </c>
      <c r="G2687" s="185"/>
      <c r="H2687" s="181"/>
      <c r="I2687" s="74"/>
      <c r="J2687" s="74"/>
      <c r="M2687" s="185"/>
      <c r="N2687" s="185"/>
      <c r="O2687" s="185"/>
      <c r="P2687" s="185"/>
      <c r="Q2687" s="185"/>
      <c r="R2687" s="185"/>
    </row>
    <row r="2688" spans="1:18" s="197" customFormat="1" ht="12.75" x14ac:dyDescent="0.2">
      <c r="A2688" s="181"/>
      <c r="B2688" s="188" t="s">
        <v>5087</v>
      </c>
      <c r="C2688" s="189" t="s">
        <v>134</v>
      </c>
      <c r="D2688" s="189" t="s">
        <v>123</v>
      </c>
      <c r="E2688" s="190" t="s">
        <v>5088</v>
      </c>
      <c r="F2688" s="191">
        <f t="shared" si="43"/>
        <v>282.3</v>
      </c>
      <c r="G2688" s="185"/>
      <c r="H2688" s="181"/>
      <c r="I2688" s="74"/>
      <c r="J2688" s="74"/>
      <c r="M2688" s="185"/>
      <c r="N2688" s="185"/>
      <c r="O2688" s="185"/>
      <c r="P2688" s="185"/>
      <c r="Q2688" s="185"/>
      <c r="R2688" s="185"/>
    </row>
    <row r="2689" spans="1:18" s="197" customFormat="1" ht="12.75" x14ac:dyDescent="0.2">
      <c r="A2689" s="181"/>
      <c r="B2689" s="188" t="s">
        <v>5089</v>
      </c>
      <c r="C2689" s="189" t="s">
        <v>142</v>
      </c>
      <c r="D2689" s="189" t="s">
        <v>131</v>
      </c>
      <c r="E2689" s="190" t="s">
        <v>5090</v>
      </c>
      <c r="F2689" s="191">
        <f t="shared" si="43"/>
        <v>224.28333333333333</v>
      </c>
      <c r="G2689" s="185"/>
      <c r="H2689" s="181"/>
      <c r="I2689" s="74"/>
      <c r="J2689" s="74"/>
      <c r="M2689" s="185"/>
      <c r="N2689" s="185"/>
      <c r="O2689" s="185"/>
      <c r="P2689" s="185"/>
      <c r="Q2689" s="185"/>
      <c r="R2689" s="185"/>
    </row>
    <row r="2690" spans="1:18" s="197" customFormat="1" ht="12.75" x14ac:dyDescent="0.2">
      <c r="A2690" s="181"/>
      <c r="B2690" s="188" t="s">
        <v>5091</v>
      </c>
      <c r="C2690" s="189" t="s">
        <v>134</v>
      </c>
      <c r="D2690" s="189" t="s">
        <v>123</v>
      </c>
      <c r="E2690" s="190" t="s">
        <v>5092</v>
      </c>
      <c r="F2690" s="191">
        <f t="shared" si="43"/>
        <v>234.83333333333334</v>
      </c>
      <c r="G2690" s="185"/>
      <c r="H2690" s="181"/>
      <c r="I2690" s="74"/>
      <c r="J2690" s="74"/>
      <c r="M2690" s="185"/>
      <c r="N2690" s="185"/>
      <c r="O2690" s="185"/>
      <c r="P2690" s="185"/>
      <c r="Q2690" s="185"/>
      <c r="R2690" s="185"/>
    </row>
    <row r="2691" spans="1:18" s="197" customFormat="1" ht="12.75" x14ac:dyDescent="0.2">
      <c r="A2691" s="181"/>
      <c r="B2691" s="188" t="s">
        <v>5093</v>
      </c>
      <c r="C2691" s="189" t="s">
        <v>130</v>
      </c>
      <c r="D2691" s="189" t="s">
        <v>147</v>
      </c>
      <c r="E2691" s="190" t="s">
        <v>5094</v>
      </c>
      <c r="F2691" s="191">
        <f t="shared" si="43"/>
        <v>249.7</v>
      </c>
      <c r="G2691" s="185"/>
      <c r="H2691" s="181"/>
      <c r="I2691" s="74"/>
      <c r="J2691" s="74"/>
      <c r="M2691" s="185"/>
      <c r="N2691" s="185"/>
      <c r="O2691" s="185"/>
      <c r="P2691" s="185"/>
      <c r="Q2691" s="185"/>
      <c r="R2691" s="185"/>
    </row>
    <row r="2692" spans="1:18" s="197" customFormat="1" ht="12.75" x14ac:dyDescent="0.2">
      <c r="A2692" s="181"/>
      <c r="B2692" s="188" t="s">
        <v>5095</v>
      </c>
      <c r="C2692" s="189" t="s">
        <v>124</v>
      </c>
      <c r="D2692" s="189" t="s">
        <v>155</v>
      </c>
      <c r="E2692" s="190" t="s">
        <v>3368</v>
      </c>
      <c r="F2692" s="191">
        <f t="shared" si="43"/>
        <v>198.3</v>
      </c>
      <c r="G2692" s="185"/>
      <c r="H2692" s="181"/>
      <c r="I2692" s="74"/>
      <c r="J2692" s="74"/>
      <c r="M2692" s="185"/>
      <c r="N2692" s="185"/>
      <c r="O2692" s="185"/>
      <c r="P2692" s="185"/>
      <c r="Q2692" s="185"/>
      <c r="R2692" s="185"/>
    </row>
    <row r="2693" spans="1:18" s="197" customFormat="1" ht="12.75" x14ac:dyDescent="0.2">
      <c r="A2693" s="181"/>
      <c r="B2693" s="188" t="s">
        <v>5096</v>
      </c>
      <c r="C2693" s="189" t="s">
        <v>130</v>
      </c>
      <c r="D2693" s="189" t="s">
        <v>131</v>
      </c>
      <c r="E2693" s="190" t="s">
        <v>5097</v>
      </c>
      <c r="F2693" s="191">
        <f t="shared" si="43"/>
        <v>171.18333333333334</v>
      </c>
      <c r="G2693" s="185"/>
      <c r="H2693" s="181"/>
      <c r="I2693" s="74"/>
      <c r="J2693" s="74"/>
      <c r="M2693" s="185"/>
      <c r="N2693" s="185"/>
      <c r="O2693" s="185"/>
      <c r="P2693" s="185"/>
      <c r="Q2693" s="185"/>
      <c r="R2693" s="185"/>
    </row>
    <row r="2694" spans="1:18" s="197" customFormat="1" ht="12.75" x14ac:dyDescent="0.2">
      <c r="A2694" s="181"/>
      <c r="B2694" s="188" t="s">
        <v>533</v>
      </c>
      <c r="C2694" s="189" t="s">
        <v>125</v>
      </c>
      <c r="D2694" s="189" t="s">
        <v>123</v>
      </c>
      <c r="E2694" s="190" t="s">
        <v>1790</v>
      </c>
      <c r="F2694" s="191">
        <f t="shared" si="43"/>
        <v>257.93333333333334</v>
      </c>
      <c r="G2694" s="185"/>
      <c r="H2694" s="181"/>
      <c r="I2694" s="74"/>
      <c r="J2694" s="74"/>
      <c r="M2694" s="185"/>
      <c r="N2694" s="185"/>
      <c r="O2694" s="185"/>
      <c r="P2694" s="185"/>
      <c r="Q2694" s="185"/>
      <c r="R2694" s="185"/>
    </row>
    <row r="2695" spans="1:18" s="197" customFormat="1" ht="12.75" x14ac:dyDescent="0.2">
      <c r="A2695" s="181"/>
      <c r="B2695" s="188" t="s">
        <v>5098</v>
      </c>
      <c r="C2695" s="189" t="s">
        <v>124</v>
      </c>
      <c r="D2695" s="189" t="s">
        <v>123</v>
      </c>
      <c r="E2695" s="190" t="s">
        <v>5099</v>
      </c>
      <c r="F2695" s="191">
        <f t="shared" si="43"/>
        <v>234.96666666666667</v>
      </c>
      <c r="G2695" s="185"/>
      <c r="H2695" s="181"/>
      <c r="I2695" s="74"/>
      <c r="J2695" s="74"/>
      <c r="M2695" s="185"/>
      <c r="N2695" s="185"/>
      <c r="O2695" s="185"/>
      <c r="P2695" s="185"/>
      <c r="Q2695" s="185"/>
      <c r="R2695" s="185"/>
    </row>
    <row r="2696" spans="1:18" s="197" customFormat="1" ht="12.75" x14ac:dyDescent="0.2">
      <c r="A2696" s="181"/>
      <c r="B2696" s="188" t="s">
        <v>5100</v>
      </c>
      <c r="C2696" s="189" t="s">
        <v>134</v>
      </c>
      <c r="D2696" s="189" t="s">
        <v>155</v>
      </c>
      <c r="E2696" s="190" t="s">
        <v>5101</v>
      </c>
      <c r="F2696" s="191">
        <f t="shared" si="43"/>
        <v>283.14999999999998</v>
      </c>
      <c r="G2696" s="185"/>
      <c r="H2696" s="181"/>
      <c r="I2696" s="74"/>
      <c r="J2696" s="74"/>
      <c r="M2696" s="185"/>
      <c r="N2696" s="185"/>
      <c r="O2696" s="185"/>
      <c r="P2696" s="185"/>
      <c r="Q2696" s="185"/>
      <c r="R2696" s="185"/>
    </row>
    <row r="2697" spans="1:18" s="197" customFormat="1" ht="12.75" x14ac:dyDescent="0.2">
      <c r="A2697" s="181"/>
      <c r="B2697" s="188" t="s">
        <v>4021</v>
      </c>
      <c r="C2697" s="189" t="s">
        <v>128</v>
      </c>
      <c r="D2697" s="189" t="s">
        <v>123</v>
      </c>
      <c r="E2697" s="190" t="s">
        <v>4022</v>
      </c>
      <c r="F2697" s="191">
        <f t="shared" si="43"/>
        <v>243.66666666666666</v>
      </c>
      <c r="G2697" s="185"/>
      <c r="H2697" s="181"/>
      <c r="I2697" s="74"/>
      <c r="J2697" s="74"/>
      <c r="M2697" s="185"/>
      <c r="N2697" s="185"/>
      <c r="O2697" s="185"/>
      <c r="P2697" s="185"/>
      <c r="Q2697" s="185"/>
      <c r="R2697" s="185"/>
    </row>
    <row r="2698" spans="1:18" s="197" customFormat="1" ht="12.75" x14ac:dyDescent="0.2">
      <c r="A2698" s="181"/>
      <c r="B2698" s="188" t="s">
        <v>4995</v>
      </c>
      <c r="C2698" s="189" t="s">
        <v>125</v>
      </c>
      <c r="D2698" s="189" t="s">
        <v>123</v>
      </c>
      <c r="E2698" s="190" t="s">
        <v>4996</v>
      </c>
      <c r="F2698" s="191">
        <f t="shared" si="43"/>
        <v>244.23333333333332</v>
      </c>
      <c r="G2698" s="185"/>
      <c r="H2698" s="181"/>
      <c r="I2698" s="74"/>
      <c r="J2698" s="74"/>
      <c r="M2698" s="185"/>
      <c r="N2698" s="185"/>
      <c r="O2698" s="185"/>
      <c r="P2698" s="185"/>
      <c r="Q2698" s="185"/>
      <c r="R2698" s="185"/>
    </row>
    <row r="2699" spans="1:18" s="197" customFormat="1" ht="12.75" x14ac:dyDescent="0.2">
      <c r="A2699" s="181"/>
      <c r="B2699" s="188" t="s">
        <v>5102</v>
      </c>
      <c r="C2699" s="189" t="s">
        <v>126</v>
      </c>
      <c r="D2699" s="189" t="s">
        <v>123</v>
      </c>
      <c r="E2699" s="190" t="s">
        <v>4365</v>
      </c>
      <c r="F2699" s="191">
        <f t="shared" ref="F2699:F2762" si="44">HOUR(E2699)*60+MINUTE(E2699)+SECOND(E2699)/60</f>
        <v>237.11666666666667</v>
      </c>
      <c r="G2699" s="185"/>
      <c r="H2699" s="181"/>
      <c r="I2699" s="74"/>
      <c r="J2699" s="74"/>
      <c r="M2699" s="185"/>
      <c r="N2699" s="185"/>
      <c r="O2699" s="185"/>
      <c r="P2699" s="185"/>
      <c r="Q2699" s="185"/>
      <c r="R2699" s="185"/>
    </row>
    <row r="2700" spans="1:18" s="197" customFormat="1" ht="12.75" x14ac:dyDescent="0.2">
      <c r="A2700" s="181"/>
      <c r="B2700" s="188" t="s">
        <v>5103</v>
      </c>
      <c r="C2700" s="189" t="s">
        <v>135</v>
      </c>
      <c r="D2700" s="189" t="s">
        <v>123</v>
      </c>
      <c r="E2700" s="190" t="s">
        <v>5104</v>
      </c>
      <c r="F2700" s="191">
        <f t="shared" si="44"/>
        <v>239.91666666666666</v>
      </c>
      <c r="G2700" s="185"/>
      <c r="H2700" s="181"/>
      <c r="I2700" s="74"/>
      <c r="J2700" s="74"/>
      <c r="M2700" s="185"/>
      <c r="N2700" s="185"/>
      <c r="O2700" s="185"/>
      <c r="P2700" s="185"/>
      <c r="Q2700" s="185"/>
      <c r="R2700" s="185"/>
    </row>
    <row r="2701" spans="1:18" s="197" customFormat="1" ht="12.75" x14ac:dyDescent="0.2">
      <c r="A2701" s="181"/>
      <c r="B2701" s="188" t="s">
        <v>5105</v>
      </c>
      <c r="C2701" s="189" t="s">
        <v>134</v>
      </c>
      <c r="D2701" s="189" t="s">
        <v>123</v>
      </c>
      <c r="E2701" s="190" t="s">
        <v>5106</v>
      </c>
      <c r="F2701" s="191">
        <f t="shared" si="44"/>
        <v>197.36666666666667</v>
      </c>
      <c r="G2701" s="185"/>
      <c r="H2701" s="181"/>
      <c r="I2701" s="74"/>
      <c r="J2701" s="74"/>
      <c r="M2701" s="185"/>
      <c r="N2701" s="185"/>
      <c r="O2701" s="185"/>
      <c r="P2701" s="185"/>
      <c r="Q2701" s="185"/>
      <c r="R2701" s="185"/>
    </row>
    <row r="2702" spans="1:18" s="197" customFormat="1" ht="12.75" x14ac:dyDescent="0.2">
      <c r="A2702" s="181"/>
      <c r="B2702" s="188" t="s">
        <v>5107</v>
      </c>
      <c r="C2702" s="189" t="s">
        <v>134</v>
      </c>
      <c r="D2702" s="189" t="s">
        <v>123</v>
      </c>
      <c r="E2702" s="190" t="s">
        <v>4617</v>
      </c>
      <c r="F2702" s="191">
        <f t="shared" si="44"/>
        <v>168.15</v>
      </c>
      <c r="G2702" s="185"/>
      <c r="H2702" s="181"/>
      <c r="I2702" s="74"/>
      <c r="J2702" s="74"/>
      <c r="M2702" s="185"/>
      <c r="N2702" s="185"/>
      <c r="O2702" s="185"/>
      <c r="P2702" s="185"/>
      <c r="Q2702" s="185"/>
      <c r="R2702" s="185"/>
    </row>
    <row r="2703" spans="1:18" s="197" customFormat="1" ht="12.75" x14ac:dyDescent="0.2">
      <c r="A2703" s="181"/>
      <c r="B2703" s="188" t="s">
        <v>5108</v>
      </c>
      <c r="C2703" s="189" t="s">
        <v>125</v>
      </c>
      <c r="D2703" s="189" t="s">
        <v>123</v>
      </c>
      <c r="E2703" s="190" t="s">
        <v>3079</v>
      </c>
      <c r="F2703" s="191">
        <f t="shared" si="44"/>
        <v>283.60000000000002</v>
      </c>
      <c r="G2703" s="185"/>
      <c r="H2703" s="181"/>
      <c r="I2703" s="74"/>
      <c r="J2703" s="74"/>
      <c r="M2703" s="185"/>
      <c r="N2703" s="185"/>
      <c r="O2703" s="185"/>
      <c r="P2703" s="185"/>
      <c r="Q2703" s="185"/>
      <c r="R2703" s="185"/>
    </row>
    <row r="2704" spans="1:18" s="197" customFormat="1" ht="12.75" x14ac:dyDescent="0.2">
      <c r="A2704" s="181"/>
      <c r="B2704" s="188" t="s">
        <v>5109</v>
      </c>
      <c r="C2704" s="189" t="s">
        <v>134</v>
      </c>
      <c r="D2704" s="189" t="s">
        <v>123</v>
      </c>
      <c r="E2704" s="190" t="s">
        <v>5110</v>
      </c>
      <c r="F2704" s="191">
        <f t="shared" si="44"/>
        <v>216.3</v>
      </c>
      <c r="G2704" s="185"/>
      <c r="H2704" s="181"/>
      <c r="I2704" s="74"/>
      <c r="J2704" s="74"/>
      <c r="M2704" s="185"/>
      <c r="N2704" s="185"/>
      <c r="O2704" s="185"/>
      <c r="P2704" s="185"/>
      <c r="Q2704" s="185"/>
      <c r="R2704" s="185"/>
    </row>
    <row r="2705" spans="1:18" s="197" customFormat="1" ht="12.75" x14ac:dyDescent="0.2">
      <c r="A2705" s="181"/>
      <c r="B2705" s="188" t="s">
        <v>5111</v>
      </c>
      <c r="C2705" s="189" t="s">
        <v>136</v>
      </c>
      <c r="D2705" s="189" t="s">
        <v>123</v>
      </c>
      <c r="E2705" s="190" t="s">
        <v>5112</v>
      </c>
      <c r="F2705" s="191">
        <f t="shared" si="44"/>
        <v>222.06666666666666</v>
      </c>
      <c r="G2705" s="185"/>
      <c r="H2705" s="181"/>
      <c r="I2705" s="74"/>
      <c r="J2705" s="74"/>
      <c r="M2705" s="185"/>
      <c r="N2705" s="185"/>
      <c r="O2705" s="185"/>
      <c r="P2705" s="185"/>
      <c r="Q2705" s="185"/>
      <c r="R2705" s="185"/>
    </row>
    <row r="2706" spans="1:18" s="197" customFormat="1" ht="12.75" x14ac:dyDescent="0.2">
      <c r="A2706" s="181"/>
      <c r="B2706" s="188" t="s">
        <v>5113</v>
      </c>
      <c r="C2706" s="189" t="s">
        <v>124</v>
      </c>
      <c r="D2706" s="189" t="s">
        <v>123</v>
      </c>
      <c r="E2706" s="190" t="s">
        <v>5114</v>
      </c>
      <c r="F2706" s="191">
        <f t="shared" si="44"/>
        <v>248.31666666666666</v>
      </c>
      <c r="G2706" s="185"/>
      <c r="H2706" s="181"/>
      <c r="I2706" s="74"/>
      <c r="J2706" s="74"/>
      <c r="M2706" s="185"/>
      <c r="N2706" s="185"/>
      <c r="O2706" s="185"/>
      <c r="P2706" s="185"/>
      <c r="Q2706" s="185"/>
      <c r="R2706" s="185"/>
    </row>
    <row r="2707" spans="1:18" s="197" customFormat="1" ht="12.75" x14ac:dyDescent="0.2">
      <c r="A2707" s="181"/>
      <c r="B2707" s="188" t="s">
        <v>193</v>
      </c>
      <c r="C2707" s="189" t="s">
        <v>142</v>
      </c>
      <c r="D2707" s="189" t="s">
        <v>263</v>
      </c>
      <c r="E2707" s="190" t="s">
        <v>1829</v>
      </c>
      <c r="F2707" s="191">
        <f t="shared" si="44"/>
        <v>262.8</v>
      </c>
      <c r="G2707" s="185"/>
      <c r="H2707" s="181"/>
      <c r="I2707" s="74"/>
      <c r="J2707" s="74"/>
      <c r="M2707" s="185"/>
      <c r="N2707" s="185"/>
      <c r="O2707" s="185"/>
      <c r="P2707" s="185"/>
      <c r="Q2707" s="185"/>
      <c r="R2707" s="185"/>
    </row>
    <row r="2708" spans="1:18" s="197" customFormat="1" ht="12.75" x14ac:dyDescent="0.2">
      <c r="A2708" s="181"/>
      <c r="B2708" s="188" t="s">
        <v>5115</v>
      </c>
      <c r="C2708" s="189" t="s">
        <v>135</v>
      </c>
      <c r="D2708" s="189" t="s">
        <v>123</v>
      </c>
      <c r="E2708" s="190" t="s">
        <v>5116</v>
      </c>
      <c r="F2708" s="191">
        <f t="shared" si="44"/>
        <v>253.51666666666668</v>
      </c>
      <c r="G2708" s="185"/>
      <c r="H2708" s="181"/>
      <c r="I2708" s="74"/>
      <c r="J2708" s="74"/>
      <c r="M2708" s="185"/>
      <c r="N2708" s="185"/>
      <c r="O2708" s="185"/>
      <c r="P2708" s="185"/>
      <c r="Q2708" s="185"/>
      <c r="R2708" s="185"/>
    </row>
    <row r="2709" spans="1:18" s="197" customFormat="1" ht="12.75" x14ac:dyDescent="0.2">
      <c r="A2709" s="181"/>
      <c r="B2709" s="188" t="s">
        <v>2998</v>
      </c>
      <c r="C2709" s="189" t="s">
        <v>125</v>
      </c>
      <c r="D2709" s="189" t="s">
        <v>123</v>
      </c>
      <c r="E2709" s="190" t="s">
        <v>2999</v>
      </c>
      <c r="F2709" s="191">
        <f t="shared" si="44"/>
        <v>203.33333333333334</v>
      </c>
      <c r="G2709" s="185"/>
      <c r="H2709" s="181"/>
      <c r="I2709" s="74"/>
      <c r="J2709" s="74"/>
      <c r="M2709" s="185"/>
      <c r="N2709" s="185"/>
      <c r="O2709" s="185"/>
      <c r="P2709" s="185"/>
      <c r="Q2709" s="185"/>
      <c r="R2709" s="185"/>
    </row>
    <row r="2710" spans="1:18" s="197" customFormat="1" ht="12.75" x14ac:dyDescent="0.2">
      <c r="A2710" s="181"/>
      <c r="B2710" s="188" t="s">
        <v>5117</v>
      </c>
      <c r="C2710" s="189" t="s">
        <v>134</v>
      </c>
      <c r="D2710" s="189" t="s">
        <v>141</v>
      </c>
      <c r="E2710" s="190" t="s">
        <v>5118</v>
      </c>
      <c r="F2710" s="191">
        <f t="shared" si="44"/>
        <v>247.65</v>
      </c>
      <c r="G2710" s="185"/>
      <c r="H2710" s="181"/>
      <c r="I2710" s="74"/>
      <c r="J2710" s="74"/>
      <c r="M2710" s="185"/>
      <c r="N2710" s="185"/>
      <c r="O2710" s="185"/>
      <c r="P2710" s="185"/>
      <c r="Q2710" s="185"/>
      <c r="R2710" s="185"/>
    </row>
    <row r="2711" spans="1:18" s="197" customFormat="1" ht="12.75" x14ac:dyDescent="0.2">
      <c r="A2711" s="181"/>
      <c r="B2711" s="188" t="s">
        <v>5119</v>
      </c>
      <c r="C2711" s="189" t="s">
        <v>124</v>
      </c>
      <c r="D2711" s="189" t="s">
        <v>131</v>
      </c>
      <c r="E2711" s="190" t="s">
        <v>5120</v>
      </c>
      <c r="F2711" s="191">
        <f t="shared" si="44"/>
        <v>239.18333333333334</v>
      </c>
      <c r="G2711" s="185"/>
      <c r="H2711" s="181"/>
      <c r="I2711" s="74"/>
      <c r="J2711" s="74"/>
      <c r="M2711" s="185"/>
      <c r="N2711" s="185"/>
      <c r="O2711" s="185"/>
      <c r="P2711" s="185"/>
      <c r="Q2711" s="185"/>
      <c r="R2711" s="185"/>
    </row>
    <row r="2712" spans="1:18" s="197" customFormat="1" ht="12.75" x14ac:dyDescent="0.2">
      <c r="A2712" s="181"/>
      <c r="B2712" s="188" t="s">
        <v>5121</v>
      </c>
      <c r="C2712" s="189" t="s">
        <v>130</v>
      </c>
      <c r="D2712" s="189" t="s">
        <v>123</v>
      </c>
      <c r="E2712" s="190" t="s">
        <v>3173</v>
      </c>
      <c r="F2712" s="191">
        <f t="shared" si="44"/>
        <v>313.33333333333331</v>
      </c>
      <c r="G2712" s="185"/>
      <c r="H2712" s="181"/>
      <c r="I2712" s="74"/>
      <c r="M2712" s="185"/>
      <c r="N2712" s="185"/>
      <c r="O2712" s="185"/>
      <c r="P2712" s="185"/>
      <c r="Q2712" s="185"/>
      <c r="R2712" s="185"/>
    </row>
    <row r="2713" spans="1:18" s="197" customFormat="1" ht="12.75" x14ac:dyDescent="0.2">
      <c r="A2713" s="181"/>
      <c r="B2713" s="188" t="s">
        <v>5122</v>
      </c>
      <c r="C2713" s="189" t="s">
        <v>126</v>
      </c>
      <c r="D2713" s="189" t="s">
        <v>123</v>
      </c>
      <c r="E2713" s="190" t="s">
        <v>5123</v>
      </c>
      <c r="F2713" s="191">
        <f t="shared" si="44"/>
        <v>330.88333333333333</v>
      </c>
      <c r="G2713" s="185"/>
      <c r="H2713" s="181"/>
      <c r="I2713" s="74"/>
      <c r="M2713" s="185"/>
      <c r="N2713" s="185"/>
      <c r="O2713" s="185"/>
      <c r="P2713" s="185"/>
      <c r="Q2713" s="185"/>
      <c r="R2713" s="185"/>
    </row>
    <row r="2714" spans="1:18" s="197" customFormat="1" ht="12.75" x14ac:dyDescent="0.2">
      <c r="A2714" s="181"/>
      <c r="B2714" s="188" t="s">
        <v>5124</v>
      </c>
      <c r="C2714" s="189" t="s">
        <v>126</v>
      </c>
      <c r="D2714" s="189" t="s">
        <v>123</v>
      </c>
      <c r="E2714" s="190" t="s">
        <v>5125</v>
      </c>
      <c r="F2714" s="191">
        <f t="shared" si="44"/>
        <v>207.21666666666667</v>
      </c>
      <c r="G2714" s="185"/>
      <c r="H2714" s="181"/>
      <c r="I2714" s="74"/>
      <c r="M2714" s="185"/>
      <c r="N2714" s="185"/>
      <c r="O2714" s="185"/>
      <c r="P2714" s="185"/>
      <c r="Q2714" s="185"/>
      <c r="R2714" s="185"/>
    </row>
    <row r="2715" spans="1:18" s="197" customFormat="1" ht="12.75" x14ac:dyDescent="0.2">
      <c r="A2715" s="181"/>
      <c r="B2715" s="188" t="s">
        <v>5126</v>
      </c>
      <c r="C2715" s="189" t="s">
        <v>130</v>
      </c>
      <c r="D2715" s="189" t="s">
        <v>123</v>
      </c>
      <c r="E2715" s="190" t="s">
        <v>5127</v>
      </c>
      <c r="F2715" s="191">
        <f t="shared" si="44"/>
        <v>227.2</v>
      </c>
      <c r="G2715" s="185"/>
      <c r="H2715" s="181"/>
      <c r="I2715" s="74"/>
      <c r="M2715" s="185"/>
      <c r="N2715" s="185"/>
      <c r="O2715" s="185"/>
      <c r="P2715" s="185"/>
      <c r="Q2715" s="185"/>
      <c r="R2715" s="185"/>
    </row>
    <row r="2716" spans="1:18" s="197" customFormat="1" ht="12.75" x14ac:dyDescent="0.2">
      <c r="A2716" s="181"/>
      <c r="B2716" s="188" t="s">
        <v>1027</v>
      </c>
      <c r="C2716" s="189" t="s">
        <v>126</v>
      </c>
      <c r="D2716" s="189" t="s">
        <v>123</v>
      </c>
      <c r="E2716" s="190" t="s">
        <v>1028</v>
      </c>
      <c r="F2716" s="191">
        <f t="shared" si="44"/>
        <v>243.48333333333332</v>
      </c>
      <c r="G2716" s="185"/>
      <c r="H2716" s="181"/>
      <c r="I2716" s="74"/>
      <c r="M2716" s="185"/>
      <c r="N2716" s="185"/>
      <c r="O2716" s="185"/>
      <c r="P2716" s="185"/>
      <c r="Q2716" s="185"/>
      <c r="R2716" s="185"/>
    </row>
    <row r="2717" spans="1:18" s="197" customFormat="1" ht="12.75" x14ac:dyDescent="0.2">
      <c r="A2717" s="181"/>
      <c r="B2717" s="188" t="s">
        <v>5128</v>
      </c>
      <c r="C2717" s="189" t="s">
        <v>142</v>
      </c>
      <c r="D2717" s="189" t="s">
        <v>169</v>
      </c>
      <c r="E2717" s="190" t="s">
        <v>3483</v>
      </c>
      <c r="F2717" s="191">
        <f t="shared" si="44"/>
        <v>267.56666666666666</v>
      </c>
      <c r="G2717" s="185"/>
      <c r="H2717" s="181"/>
      <c r="I2717" s="74"/>
      <c r="M2717" s="185"/>
      <c r="N2717" s="185"/>
      <c r="O2717" s="185"/>
      <c r="P2717" s="185"/>
      <c r="Q2717" s="185"/>
      <c r="R2717" s="185"/>
    </row>
    <row r="2718" spans="1:18" s="197" customFormat="1" ht="12.75" x14ac:dyDescent="0.2">
      <c r="A2718" s="181"/>
      <c r="B2718" s="188" t="s">
        <v>439</v>
      </c>
      <c r="C2718" s="189" t="s">
        <v>125</v>
      </c>
      <c r="D2718" s="189" t="s">
        <v>132</v>
      </c>
      <c r="E2718" s="190" t="s">
        <v>5129</v>
      </c>
      <c r="F2718" s="191">
        <f t="shared" si="44"/>
        <v>289.35000000000002</v>
      </c>
      <c r="G2718" s="185"/>
      <c r="H2718" s="181"/>
      <c r="I2718" s="74"/>
      <c r="M2718" s="185"/>
      <c r="N2718" s="185"/>
      <c r="O2718" s="185"/>
      <c r="P2718" s="185"/>
      <c r="Q2718" s="185"/>
      <c r="R2718" s="185"/>
    </row>
    <row r="2719" spans="1:18" s="197" customFormat="1" ht="12.75" x14ac:dyDescent="0.2">
      <c r="A2719" s="181"/>
      <c r="B2719" s="188" t="s">
        <v>5130</v>
      </c>
      <c r="C2719" s="189" t="s">
        <v>134</v>
      </c>
      <c r="D2719" s="189" t="s">
        <v>132</v>
      </c>
      <c r="E2719" s="190" t="s">
        <v>4300</v>
      </c>
      <c r="F2719" s="191">
        <f t="shared" si="44"/>
        <v>298.64999999999998</v>
      </c>
      <c r="G2719" s="185"/>
      <c r="H2719" s="181"/>
      <c r="I2719" s="74"/>
      <c r="M2719" s="185"/>
      <c r="N2719" s="185"/>
      <c r="O2719" s="185"/>
      <c r="P2719" s="185"/>
      <c r="Q2719" s="185"/>
      <c r="R2719" s="185"/>
    </row>
    <row r="2720" spans="1:18" s="197" customFormat="1" ht="12.75" x14ac:dyDescent="0.2">
      <c r="A2720" s="181"/>
      <c r="B2720" s="188" t="s">
        <v>5131</v>
      </c>
      <c r="C2720" s="189" t="s">
        <v>126</v>
      </c>
      <c r="D2720" s="189" t="s">
        <v>157</v>
      </c>
      <c r="E2720" s="190" t="s">
        <v>5132</v>
      </c>
      <c r="F2720" s="191">
        <f t="shared" si="44"/>
        <v>259.11666666666667</v>
      </c>
      <c r="G2720" s="185"/>
      <c r="H2720" s="181"/>
      <c r="I2720" s="74"/>
      <c r="M2720" s="185"/>
      <c r="N2720" s="185"/>
      <c r="O2720" s="185"/>
      <c r="P2720" s="185"/>
      <c r="Q2720" s="185"/>
      <c r="R2720" s="185"/>
    </row>
    <row r="2721" spans="2:9" ht="12.75" x14ac:dyDescent="0.2">
      <c r="B2721" s="188" t="s">
        <v>5133</v>
      </c>
      <c r="C2721" s="189" t="s">
        <v>249</v>
      </c>
      <c r="D2721" s="189" t="s">
        <v>123</v>
      </c>
      <c r="E2721" s="190" t="s">
        <v>4559</v>
      </c>
      <c r="F2721" s="191">
        <f t="shared" si="44"/>
        <v>225</v>
      </c>
      <c r="I2721" s="74"/>
    </row>
    <row r="2722" spans="2:9" ht="12.75" x14ac:dyDescent="0.2">
      <c r="B2722" s="188" t="s">
        <v>5134</v>
      </c>
      <c r="C2722" s="189" t="s">
        <v>128</v>
      </c>
      <c r="D2722" s="189" t="s">
        <v>123</v>
      </c>
      <c r="E2722" s="190" t="s">
        <v>5135</v>
      </c>
      <c r="F2722" s="191">
        <f t="shared" si="44"/>
        <v>278.16666666666669</v>
      </c>
      <c r="I2722" s="74"/>
    </row>
    <row r="2723" spans="2:9" ht="12.75" x14ac:dyDescent="0.2">
      <c r="B2723" s="188" t="s">
        <v>5136</v>
      </c>
      <c r="C2723" s="189" t="s">
        <v>126</v>
      </c>
      <c r="D2723" s="189" t="s">
        <v>123</v>
      </c>
      <c r="E2723" s="190" t="s">
        <v>5137</v>
      </c>
      <c r="F2723" s="191">
        <f t="shared" si="44"/>
        <v>217.91666666666666</v>
      </c>
      <c r="I2723" s="74"/>
    </row>
    <row r="2724" spans="2:9" ht="12.75" x14ac:dyDescent="0.2">
      <c r="B2724" s="188" t="s">
        <v>5138</v>
      </c>
      <c r="C2724" s="189" t="s">
        <v>126</v>
      </c>
      <c r="D2724" s="189" t="s">
        <v>260</v>
      </c>
      <c r="E2724" s="190" t="s">
        <v>5139</v>
      </c>
      <c r="F2724" s="191">
        <f t="shared" si="44"/>
        <v>169.86666666666667</v>
      </c>
      <c r="I2724" s="74"/>
    </row>
    <row r="2725" spans="2:9" ht="12.75" x14ac:dyDescent="0.2">
      <c r="B2725" s="188" t="s">
        <v>5140</v>
      </c>
      <c r="C2725" s="189" t="s">
        <v>128</v>
      </c>
      <c r="D2725" s="189" t="s">
        <v>157</v>
      </c>
      <c r="E2725" s="190" t="s">
        <v>3413</v>
      </c>
      <c r="F2725" s="191">
        <f t="shared" si="44"/>
        <v>194.35</v>
      </c>
      <c r="I2725" s="74"/>
    </row>
    <row r="2726" spans="2:9" ht="12.75" x14ac:dyDescent="0.2">
      <c r="B2726" s="188" t="s">
        <v>5141</v>
      </c>
      <c r="C2726" s="189" t="s">
        <v>130</v>
      </c>
      <c r="D2726" s="189" t="s">
        <v>141</v>
      </c>
      <c r="E2726" s="190" t="s">
        <v>5142</v>
      </c>
      <c r="F2726" s="191">
        <f t="shared" si="44"/>
        <v>318.7</v>
      </c>
      <c r="I2726" s="74"/>
    </row>
    <row r="2727" spans="2:9" ht="12.75" x14ac:dyDescent="0.2">
      <c r="B2727" s="188" t="s">
        <v>5143</v>
      </c>
      <c r="C2727" s="189" t="s">
        <v>125</v>
      </c>
      <c r="D2727" s="189" t="s">
        <v>123</v>
      </c>
      <c r="E2727" s="190" t="s">
        <v>3812</v>
      </c>
      <c r="F2727" s="191">
        <f t="shared" si="44"/>
        <v>236.25</v>
      </c>
      <c r="I2727" s="74"/>
    </row>
    <row r="2728" spans="2:9" ht="12.75" x14ac:dyDescent="0.2">
      <c r="B2728" s="188" t="s">
        <v>5144</v>
      </c>
      <c r="C2728" s="189" t="s">
        <v>128</v>
      </c>
      <c r="D2728" s="189" t="s">
        <v>123</v>
      </c>
      <c r="E2728" s="190" t="s">
        <v>1101</v>
      </c>
      <c r="F2728" s="191">
        <f t="shared" si="44"/>
        <v>330.48333333333335</v>
      </c>
      <c r="I2728" s="74"/>
    </row>
    <row r="2729" spans="2:9" ht="12.75" x14ac:dyDescent="0.2">
      <c r="B2729" s="188" t="s">
        <v>183</v>
      </c>
      <c r="C2729" s="189" t="s">
        <v>142</v>
      </c>
      <c r="D2729" s="189" t="s">
        <v>157</v>
      </c>
      <c r="E2729" s="190" t="s">
        <v>5145</v>
      </c>
      <c r="F2729" s="191">
        <f t="shared" si="44"/>
        <v>261</v>
      </c>
      <c r="I2729" s="74"/>
    </row>
    <row r="2730" spans="2:9" ht="12.75" x14ac:dyDescent="0.2">
      <c r="B2730" s="188" t="s">
        <v>5146</v>
      </c>
      <c r="C2730" s="189" t="s">
        <v>130</v>
      </c>
      <c r="D2730" s="189" t="s">
        <v>123</v>
      </c>
      <c r="E2730" s="190" t="s">
        <v>5147</v>
      </c>
      <c r="F2730" s="191">
        <f t="shared" si="44"/>
        <v>275.78333333333336</v>
      </c>
      <c r="I2730" s="74"/>
    </row>
    <row r="2731" spans="2:9" ht="12.75" x14ac:dyDescent="0.2">
      <c r="B2731" s="188" t="s">
        <v>5148</v>
      </c>
      <c r="C2731" s="189" t="s">
        <v>142</v>
      </c>
      <c r="D2731" s="189" t="s">
        <v>123</v>
      </c>
      <c r="E2731" s="190" t="s">
        <v>5149</v>
      </c>
      <c r="F2731" s="191">
        <f t="shared" si="44"/>
        <v>210.41666666666666</v>
      </c>
      <c r="I2731" s="74"/>
    </row>
    <row r="2732" spans="2:9" ht="12.75" x14ac:dyDescent="0.2">
      <c r="B2732" s="188" t="s">
        <v>520</v>
      </c>
      <c r="C2732" s="189" t="s">
        <v>125</v>
      </c>
      <c r="D2732" s="189" t="s">
        <v>123</v>
      </c>
      <c r="E2732" s="190" t="s">
        <v>5150</v>
      </c>
      <c r="F2732" s="191">
        <f t="shared" si="44"/>
        <v>235.58333333333334</v>
      </c>
      <c r="I2732" s="74"/>
    </row>
    <row r="2733" spans="2:9" ht="12.75" x14ac:dyDescent="0.2">
      <c r="B2733" s="188" t="s">
        <v>5151</v>
      </c>
      <c r="C2733" s="189" t="s">
        <v>130</v>
      </c>
      <c r="D2733" s="189" t="s">
        <v>123</v>
      </c>
      <c r="E2733" s="190" t="s">
        <v>5152</v>
      </c>
      <c r="F2733" s="191">
        <f t="shared" si="44"/>
        <v>261.18333333333334</v>
      </c>
      <c r="I2733" s="74"/>
    </row>
    <row r="2734" spans="2:9" ht="12.75" x14ac:dyDescent="0.2">
      <c r="B2734" s="188" t="s">
        <v>5153</v>
      </c>
      <c r="C2734" s="189" t="s">
        <v>134</v>
      </c>
      <c r="D2734" s="189" t="s">
        <v>152</v>
      </c>
      <c r="E2734" s="190" t="s">
        <v>5154</v>
      </c>
      <c r="F2734" s="191">
        <f t="shared" si="44"/>
        <v>296.36666666666667</v>
      </c>
      <c r="I2734" s="74"/>
    </row>
    <row r="2735" spans="2:9" ht="12.75" x14ac:dyDescent="0.2">
      <c r="B2735" s="188" t="s">
        <v>4856</v>
      </c>
      <c r="C2735" s="189" t="s">
        <v>130</v>
      </c>
      <c r="D2735" s="189" t="s">
        <v>123</v>
      </c>
      <c r="E2735" s="190" t="s">
        <v>832</v>
      </c>
      <c r="F2735" s="191">
        <f t="shared" si="44"/>
        <v>203.53333333333333</v>
      </c>
      <c r="I2735" s="74"/>
    </row>
    <row r="2736" spans="2:9" ht="12.75" x14ac:dyDescent="0.2">
      <c r="B2736" s="188" t="s">
        <v>2418</v>
      </c>
      <c r="C2736" s="189" t="s">
        <v>126</v>
      </c>
      <c r="D2736" s="189" t="s">
        <v>160</v>
      </c>
      <c r="E2736" s="190" t="s">
        <v>2419</v>
      </c>
      <c r="F2736" s="191">
        <f t="shared" si="44"/>
        <v>243.75</v>
      </c>
      <c r="I2736" s="74"/>
    </row>
    <row r="2737" spans="2:9" ht="12.75" x14ac:dyDescent="0.2">
      <c r="B2737" s="188" t="s">
        <v>5155</v>
      </c>
      <c r="C2737" s="189" t="s">
        <v>130</v>
      </c>
      <c r="D2737" s="189" t="s">
        <v>123</v>
      </c>
      <c r="E2737" s="190" t="s">
        <v>5156</v>
      </c>
      <c r="F2737" s="191">
        <f t="shared" si="44"/>
        <v>161.66666666666666</v>
      </c>
      <c r="I2737" s="74"/>
    </row>
    <row r="2738" spans="2:9" ht="12.75" x14ac:dyDescent="0.2">
      <c r="B2738" s="188" t="s">
        <v>5157</v>
      </c>
      <c r="C2738" s="189" t="s">
        <v>135</v>
      </c>
      <c r="D2738" s="189" t="s">
        <v>123</v>
      </c>
      <c r="E2738" s="190" t="s">
        <v>3601</v>
      </c>
      <c r="F2738" s="191">
        <f t="shared" si="44"/>
        <v>249.71666666666667</v>
      </c>
      <c r="I2738" s="74"/>
    </row>
    <row r="2739" spans="2:9" ht="12.75" x14ac:dyDescent="0.2">
      <c r="B2739" s="188" t="s">
        <v>5158</v>
      </c>
      <c r="C2739" s="189" t="s">
        <v>130</v>
      </c>
      <c r="D2739" s="189" t="s">
        <v>123</v>
      </c>
      <c r="E2739" s="190" t="s">
        <v>5159</v>
      </c>
      <c r="F2739" s="191">
        <f t="shared" si="44"/>
        <v>176.41666666666666</v>
      </c>
      <c r="I2739" s="74"/>
    </row>
    <row r="2740" spans="2:9" ht="12.75" x14ac:dyDescent="0.2">
      <c r="B2740" s="188" t="s">
        <v>5160</v>
      </c>
      <c r="C2740" s="189" t="s">
        <v>126</v>
      </c>
      <c r="D2740" s="189" t="s">
        <v>169</v>
      </c>
      <c r="E2740" s="190" t="s">
        <v>3446</v>
      </c>
      <c r="F2740" s="191">
        <f t="shared" si="44"/>
        <v>279.68333333333334</v>
      </c>
      <c r="I2740" s="74"/>
    </row>
    <row r="2741" spans="2:9" ht="12.75" x14ac:dyDescent="0.2">
      <c r="B2741" s="188" t="s">
        <v>5161</v>
      </c>
      <c r="C2741" s="189" t="s">
        <v>124</v>
      </c>
      <c r="D2741" s="189" t="s">
        <v>123</v>
      </c>
      <c r="E2741" s="190" t="s">
        <v>5162</v>
      </c>
      <c r="F2741" s="191">
        <f t="shared" si="44"/>
        <v>279.16666666666669</v>
      </c>
      <c r="I2741" s="74"/>
    </row>
    <row r="2742" spans="2:9" ht="12.75" x14ac:dyDescent="0.2">
      <c r="B2742" s="188" t="s">
        <v>5163</v>
      </c>
      <c r="C2742" s="189" t="s">
        <v>134</v>
      </c>
      <c r="D2742" s="189" t="s">
        <v>129</v>
      </c>
      <c r="E2742" s="190" t="s">
        <v>5164</v>
      </c>
      <c r="F2742" s="191">
        <f t="shared" si="44"/>
        <v>265.71666666666664</v>
      </c>
      <c r="I2742" s="74"/>
    </row>
    <row r="2743" spans="2:9" ht="12.75" x14ac:dyDescent="0.2">
      <c r="B2743" s="188" t="s">
        <v>435</v>
      </c>
      <c r="C2743" s="189" t="s">
        <v>130</v>
      </c>
      <c r="D2743" s="189" t="s">
        <v>132</v>
      </c>
      <c r="E2743" s="190" t="s">
        <v>5165</v>
      </c>
      <c r="F2743" s="191">
        <f t="shared" si="44"/>
        <v>185.03333333333333</v>
      </c>
      <c r="I2743" s="74"/>
    </row>
    <row r="2744" spans="2:9" ht="12.75" x14ac:dyDescent="0.2">
      <c r="B2744" s="188" t="s">
        <v>386</v>
      </c>
      <c r="C2744" s="189" t="s">
        <v>130</v>
      </c>
      <c r="D2744" s="189" t="s">
        <v>157</v>
      </c>
      <c r="E2744" s="190" t="s">
        <v>2650</v>
      </c>
      <c r="F2744" s="191">
        <f t="shared" si="44"/>
        <v>189.33333333333334</v>
      </c>
      <c r="I2744" s="74"/>
    </row>
    <row r="2745" spans="2:9" ht="12.75" x14ac:dyDescent="0.2">
      <c r="B2745" s="188" t="s">
        <v>4766</v>
      </c>
      <c r="C2745" s="189" t="s">
        <v>124</v>
      </c>
      <c r="D2745" s="189" t="s">
        <v>123</v>
      </c>
      <c r="E2745" s="190" t="s">
        <v>2080</v>
      </c>
      <c r="F2745" s="191">
        <f t="shared" si="44"/>
        <v>298.89999999999998</v>
      </c>
      <c r="I2745" s="74"/>
    </row>
    <row r="2746" spans="2:9" ht="12.75" x14ac:dyDescent="0.2">
      <c r="B2746" s="188" t="s">
        <v>5166</v>
      </c>
      <c r="C2746" s="189" t="s">
        <v>125</v>
      </c>
      <c r="D2746" s="189" t="s">
        <v>131</v>
      </c>
      <c r="E2746" s="190" t="s">
        <v>5167</v>
      </c>
      <c r="F2746" s="191">
        <f t="shared" si="44"/>
        <v>270.53333333333336</v>
      </c>
      <c r="I2746" s="74"/>
    </row>
    <row r="2747" spans="2:9" ht="12.75" x14ac:dyDescent="0.2">
      <c r="B2747" s="188" t="s">
        <v>5168</v>
      </c>
      <c r="C2747" s="189" t="s">
        <v>126</v>
      </c>
      <c r="D2747" s="189" t="s">
        <v>123</v>
      </c>
      <c r="E2747" s="190" t="s">
        <v>5169</v>
      </c>
      <c r="F2747" s="191">
        <f t="shared" si="44"/>
        <v>201.06666666666666</v>
      </c>
      <c r="I2747" s="74"/>
    </row>
    <row r="2748" spans="2:9" ht="12.75" x14ac:dyDescent="0.2">
      <c r="B2748" s="188" t="s">
        <v>4181</v>
      </c>
      <c r="C2748" s="189" t="s">
        <v>128</v>
      </c>
      <c r="D2748" s="189" t="s">
        <v>223</v>
      </c>
      <c r="E2748" s="190" t="s">
        <v>1617</v>
      </c>
      <c r="F2748" s="191">
        <f t="shared" si="44"/>
        <v>243.63333333333333</v>
      </c>
      <c r="I2748" s="74"/>
    </row>
    <row r="2749" spans="2:9" ht="12.75" x14ac:dyDescent="0.2">
      <c r="B2749" s="188" t="s">
        <v>5170</v>
      </c>
      <c r="C2749" s="189" t="s">
        <v>124</v>
      </c>
      <c r="D2749" s="189" t="s">
        <v>123</v>
      </c>
      <c r="E2749" s="190" t="s">
        <v>3231</v>
      </c>
      <c r="F2749" s="191">
        <f t="shared" si="44"/>
        <v>280.06666666666666</v>
      </c>
      <c r="I2749" s="74"/>
    </row>
    <row r="2750" spans="2:9" ht="12.75" x14ac:dyDescent="0.2">
      <c r="B2750" s="188" t="s">
        <v>5171</v>
      </c>
      <c r="C2750" s="189" t="s">
        <v>130</v>
      </c>
      <c r="D2750" s="189" t="s">
        <v>171</v>
      </c>
      <c r="E2750" s="190" t="s">
        <v>3763</v>
      </c>
      <c r="F2750" s="191">
        <f t="shared" si="44"/>
        <v>250.6</v>
      </c>
      <c r="I2750" s="74"/>
    </row>
    <row r="2751" spans="2:9" ht="12.75" x14ac:dyDescent="0.2">
      <c r="B2751" s="188" t="s">
        <v>5172</v>
      </c>
      <c r="C2751" s="189" t="s">
        <v>124</v>
      </c>
      <c r="D2751" s="189" t="s">
        <v>123</v>
      </c>
      <c r="E2751" s="190" t="s">
        <v>1407</v>
      </c>
      <c r="F2751" s="191">
        <f t="shared" si="44"/>
        <v>191.01666666666668</v>
      </c>
      <c r="I2751" s="74"/>
    </row>
    <row r="2752" spans="2:9" ht="12.75" x14ac:dyDescent="0.2">
      <c r="B2752" s="188" t="s">
        <v>5173</v>
      </c>
      <c r="C2752" s="189" t="s">
        <v>134</v>
      </c>
      <c r="D2752" s="189" t="s">
        <v>145</v>
      </c>
      <c r="E2752" s="190" t="s">
        <v>950</v>
      </c>
      <c r="F2752" s="191">
        <f t="shared" si="44"/>
        <v>234.65</v>
      </c>
      <c r="I2752" s="74"/>
    </row>
    <row r="2753" spans="2:9" ht="12.75" x14ac:dyDescent="0.2">
      <c r="B2753" s="188" t="s">
        <v>5174</v>
      </c>
      <c r="C2753" s="189" t="s">
        <v>142</v>
      </c>
      <c r="D2753" s="189" t="s">
        <v>152</v>
      </c>
      <c r="E2753" s="190" t="s">
        <v>5175</v>
      </c>
      <c r="F2753" s="191">
        <f t="shared" si="44"/>
        <v>250.25</v>
      </c>
      <c r="I2753" s="74"/>
    </row>
    <row r="2754" spans="2:9" ht="12.75" x14ac:dyDescent="0.2">
      <c r="B2754" s="188" t="s">
        <v>4293</v>
      </c>
      <c r="C2754" s="189" t="s">
        <v>128</v>
      </c>
      <c r="D2754" s="189" t="s">
        <v>165</v>
      </c>
      <c r="E2754" s="190" t="s">
        <v>4294</v>
      </c>
      <c r="F2754" s="191">
        <f t="shared" si="44"/>
        <v>222.1</v>
      </c>
      <c r="I2754" s="74"/>
    </row>
    <row r="2755" spans="2:9" ht="12.75" x14ac:dyDescent="0.2">
      <c r="B2755" s="188" t="s">
        <v>5176</v>
      </c>
      <c r="C2755" s="189" t="s">
        <v>125</v>
      </c>
      <c r="D2755" s="189" t="s">
        <v>123</v>
      </c>
      <c r="E2755" s="190" t="s">
        <v>1470</v>
      </c>
      <c r="F2755" s="191">
        <f t="shared" si="44"/>
        <v>188.76666666666668</v>
      </c>
      <c r="I2755" s="74"/>
    </row>
    <row r="2756" spans="2:9" ht="12.75" x14ac:dyDescent="0.2">
      <c r="B2756" s="188" t="s">
        <v>3427</v>
      </c>
      <c r="C2756" s="189" t="s">
        <v>142</v>
      </c>
      <c r="D2756" s="189" t="s">
        <v>123</v>
      </c>
      <c r="E2756" s="190" t="s">
        <v>2108</v>
      </c>
      <c r="F2756" s="191">
        <f t="shared" si="44"/>
        <v>244.08333333333334</v>
      </c>
      <c r="I2756" s="74"/>
    </row>
    <row r="2757" spans="2:9" ht="12.75" x14ac:dyDescent="0.2">
      <c r="B2757" s="188" t="s">
        <v>5177</v>
      </c>
      <c r="C2757" s="189" t="s">
        <v>125</v>
      </c>
      <c r="D2757" s="189" t="s">
        <v>132</v>
      </c>
      <c r="E2757" s="190" t="s">
        <v>5178</v>
      </c>
      <c r="F2757" s="191">
        <f t="shared" si="44"/>
        <v>256.91666666666669</v>
      </c>
      <c r="I2757" s="74"/>
    </row>
    <row r="2758" spans="2:9" ht="12.75" x14ac:dyDescent="0.2">
      <c r="B2758" s="188" t="s">
        <v>5179</v>
      </c>
      <c r="C2758" s="189" t="s">
        <v>125</v>
      </c>
      <c r="D2758" s="189" t="s">
        <v>123</v>
      </c>
      <c r="E2758" s="190" t="s">
        <v>5180</v>
      </c>
      <c r="F2758" s="191">
        <f t="shared" si="44"/>
        <v>236.3</v>
      </c>
      <c r="I2758" s="74"/>
    </row>
    <row r="2759" spans="2:9" ht="12.75" x14ac:dyDescent="0.2">
      <c r="B2759" s="188" t="s">
        <v>5181</v>
      </c>
      <c r="C2759" s="189" t="s">
        <v>126</v>
      </c>
      <c r="D2759" s="189" t="s">
        <v>123</v>
      </c>
      <c r="E2759" s="190" t="s">
        <v>2826</v>
      </c>
      <c r="F2759" s="191">
        <f t="shared" si="44"/>
        <v>231.53333333333333</v>
      </c>
      <c r="I2759" s="74"/>
    </row>
    <row r="2760" spans="2:9" ht="12.75" x14ac:dyDescent="0.2">
      <c r="B2760" s="188" t="s">
        <v>5182</v>
      </c>
      <c r="C2760" s="189" t="s">
        <v>125</v>
      </c>
      <c r="D2760" s="189" t="s">
        <v>141</v>
      </c>
      <c r="E2760" s="190" t="s">
        <v>1319</v>
      </c>
      <c r="F2760" s="191">
        <f t="shared" si="44"/>
        <v>253.66666666666666</v>
      </c>
      <c r="I2760" s="74"/>
    </row>
    <row r="2761" spans="2:9" ht="12.75" x14ac:dyDescent="0.2">
      <c r="B2761" s="188" t="s">
        <v>5183</v>
      </c>
      <c r="C2761" s="189" t="s">
        <v>134</v>
      </c>
      <c r="D2761" s="189" t="s">
        <v>123</v>
      </c>
      <c r="E2761" s="190" t="s">
        <v>5184</v>
      </c>
      <c r="F2761" s="191">
        <f t="shared" si="44"/>
        <v>222.23333333333332</v>
      </c>
      <c r="I2761" s="74"/>
    </row>
    <row r="2762" spans="2:9" ht="12.75" x14ac:dyDescent="0.2">
      <c r="B2762" s="188" t="s">
        <v>5185</v>
      </c>
      <c r="C2762" s="189" t="s">
        <v>128</v>
      </c>
      <c r="D2762" s="189" t="s">
        <v>131</v>
      </c>
      <c r="E2762" s="190" t="s">
        <v>950</v>
      </c>
      <c r="F2762" s="191">
        <f t="shared" si="44"/>
        <v>234.65</v>
      </c>
      <c r="I2762" s="74"/>
    </row>
    <row r="2763" spans="2:9" ht="12.75" x14ac:dyDescent="0.2">
      <c r="B2763" s="188" t="s">
        <v>5186</v>
      </c>
      <c r="C2763" s="189" t="s">
        <v>124</v>
      </c>
      <c r="D2763" s="189" t="s">
        <v>123</v>
      </c>
      <c r="E2763" s="190" t="s">
        <v>5187</v>
      </c>
      <c r="F2763" s="191">
        <f t="shared" ref="F2763:F2826" si="45">HOUR(E2763)*60+MINUTE(E2763)+SECOND(E2763)/60</f>
        <v>291.25</v>
      </c>
      <c r="I2763" s="74"/>
    </row>
    <row r="2764" spans="2:9" ht="12.75" x14ac:dyDescent="0.2">
      <c r="B2764" s="188" t="s">
        <v>5188</v>
      </c>
      <c r="C2764" s="189" t="s">
        <v>142</v>
      </c>
      <c r="D2764" s="189" t="s">
        <v>123</v>
      </c>
      <c r="E2764" s="190" t="s">
        <v>5189</v>
      </c>
      <c r="F2764" s="191">
        <f t="shared" si="45"/>
        <v>326.36666666666667</v>
      </c>
      <c r="I2764" s="74"/>
    </row>
    <row r="2765" spans="2:9" ht="12.75" x14ac:dyDescent="0.2">
      <c r="B2765" s="188" t="s">
        <v>5190</v>
      </c>
      <c r="C2765" s="189" t="s">
        <v>134</v>
      </c>
      <c r="D2765" s="189" t="s">
        <v>123</v>
      </c>
      <c r="E2765" s="190" t="s">
        <v>5191</v>
      </c>
      <c r="F2765" s="191">
        <f t="shared" si="45"/>
        <v>295.23333333333335</v>
      </c>
      <c r="I2765" s="74"/>
    </row>
    <row r="2766" spans="2:9" ht="12.75" x14ac:dyDescent="0.2">
      <c r="B2766" s="188" t="s">
        <v>5028</v>
      </c>
      <c r="C2766" s="189" t="s">
        <v>128</v>
      </c>
      <c r="D2766" s="189" t="s">
        <v>123</v>
      </c>
      <c r="E2766" s="190" t="s">
        <v>5029</v>
      </c>
      <c r="F2766" s="191">
        <f t="shared" si="45"/>
        <v>232.31666666666666</v>
      </c>
      <c r="I2766" s="74"/>
    </row>
    <row r="2767" spans="2:9" ht="12.75" x14ac:dyDescent="0.2">
      <c r="B2767" s="188" t="s">
        <v>5192</v>
      </c>
      <c r="C2767" s="189" t="s">
        <v>126</v>
      </c>
      <c r="D2767" s="189" t="s">
        <v>123</v>
      </c>
      <c r="E2767" s="190" t="s">
        <v>1534</v>
      </c>
      <c r="F2767" s="191">
        <f t="shared" si="45"/>
        <v>272.25</v>
      </c>
      <c r="I2767" s="74"/>
    </row>
    <row r="2768" spans="2:9" ht="15" customHeight="1" x14ac:dyDescent="0.2">
      <c r="B2768" s="188" t="s">
        <v>5193</v>
      </c>
      <c r="C2768" s="189" t="s">
        <v>134</v>
      </c>
      <c r="D2768" s="189" t="s">
        <v>123</v>
      </c>
      <c r="E2768" s="190" t="s">
        <v>3383</v>
      </c>
      <c r="F2768" s="191">
        <f t="shared" si="45"/>
        <v>236.78333333333333</v>
      </c>
    </row>
    <row r="2769" spans="2:6" ht="15" customHeight="1" x14ac:dyDescent="0.2">
      <c r="B2769" s="188" t="s">
        <v>5194</v>
      </c>
      <c r="C2769" s="189" t="s">
        <v>128</v>
      </c>
      <c r="D2769" s="189" t="s">
        <v>123</v>
      </c>
      <c r="E2769" s="190" t="s">
        <v>805</v>
      </c>
      <c r="F2769" s="191">
        <f t="shared" si="45"/>
        <v>240.73333333333332</v>
      </c>
    </row>
    <row r="2770" spans="2:6" ht="15" customHeight="1" x14ac:dyDescent="0.2">
      <c r="B2770" s="188" t="s">
        <v>3826</v>
      </c>
      <c r="C2770" s="189" t="s">
        <v>135</v>
      </c>
      <c r="D2770" s="189" t="s">
        <v>123</v>
      </c>
      <c r="E2770" s="190" t="s">
        <v>3827</v>
      </c>
      <c r="F2770" s="191">
        <f t="shared" si="45"/>
        <v>243.68333333333334</v>
      </c>
    </row>
    <row r="2771" spans="2:6" ht="15" customHeight="1" x14ac:dyDescent="0.2">
      <c r="B2771" s="188" t="s">
        <v>5195</v>
      </c>
      <c r="C2771" s="189" t="s">
        <v>135</v>
      </c>
      <c r="D2771" s="189" t="s">
        <v>212</v>
      </c>
      <c r="E2771" s="190" t="s">
        <v>5178</v>
      </c>
      <c r="F2771" s="191">
        <f t="shared" si="45"/>
        <v>256.91666666666669</v>
      </c>
    </row>
    <row r="2772" spans="2:6" ht="15" customHeight="1" x14ac:dyDescent="0.2">
      <c r="B2772" s="188" t="s">
        <v>5196</v>
      </c>
      <c r="C2772" s="189" t="s">
        <v>126</v>
      </c>
      <c r="D2772" s="189" t="s">
        <v>123</v>
      </c>
      <c r="E2772" s="190" t="s">
        <v>1882</v>
      </c>
      <c r="F2772" s="191">
        <f t="shared" si="45"/>
        <v>212.35</v>
      </c>
    </row>
    <row r="2773" spans="2:6" ht="15" customHeight="1" x14ac:dyDescent="0.2">
      <c r="B2773" s="188" t="s">
        <v>5197</v>
      </c>
      <c r="C2773" s="189" t="s">
        <v>124</v>
      </c>
      <c r="D2773" s="189" t="s">
        <v>169</v>
      </c>
      <c r="E2773" s="190" t="s">
        <v>3540</v>
      </c>
      <c r="F2773" s="191">
        <f t="shared" si="45"/>
        <v>263.55</v>
      </c>
    </row>
    <row r="2774" spans="2:6" ht="15" customHeight="1" x14ac:dyDescent="0.2">
      <c r="B2774" s="188" t="s">
        <v>5198</v>
      </c>
      <c r="C2774" s="189" t="s">
        <v>142</v>
      </c>
      <c r="D2774" s="189" t="s">
        <v>155</v>
      </c>
      <c r="E2774" s="190" t="s">
        <v>5199</v>
      </c>
      <c r="F2774" s="191">
        <f t="shared" si="45"/>
        <v>206.08333333333334</v>
      </c>
    </row>
    <row r="2775" spans="2:6" ht="15" customHeight="1" x14ac:dyDescent="0.2">
      <c r="B2775" s="188" t="s">
        <v>5200</v>
      </c>
      <c r="C2775" s="189" t="s">
        <v>142</v>
      </c>
      <c r="D2775" s="189" t="s">
        <v>123</v>
      </c>
      <c r="E2775" s="190" t="s">
        <v>5201</v>
      </c>
      <c r="F2775" s="191">
        <f t="shared" si="45"/>
        <v>285.11666666666667</v>
      </c>
    </row>
    <row r="2776" spans="2:6" ht="15" customHeight="1" x14ac:dyDescent="0.2">
      <c r="B2776" s="188" t="s">
        <v>441</v>
      </c>
      <c r="C2776" s="189" t="s">
        <v>142</v>
      </c>
      <c r="D2776" s="189" t="s">
        <v>123</v>
      </c>
      <c r="E2776" s="190" t="s">
        <v>5202</v>
      </c>
      <c r="F2776" s="191">
        <f t="shared" si="45"/>
        <v>265.13333333333333</v>
      </c>
    </row>
    <row r="2777" spans="2:6" ht="15" customHeight="1" x14ac:dyDescent="0.2">
      <c r="B2777" s="188" t="s">
        <v>5203</v>
      </c>
      <c r="C2777" s="189" t="s">
        <v>128</v>
      </c>
      <c r="D2777" s="189" t="s">
        <v>123</v>
      </c>
      <c r="E2777" s="190" t="s">
        <v>5204</v>
      </c>
      <c r="F2777" s="191">
        <f t="shared" si="45"/>
        <v>252.8</v>
      </c>
    </row>
    <row r="2778" spans="2:6" ht="15" customHeight="1" x14ac:dyDescent="0.2">
      <c r="B2778" s="188" t="s">
        <v>5205</v>
      </c>
      <c r="C2778" s="189" t="s">
        <v>134</v>
      </c>
      <c r="D2778" s="189" t="s">
        <v>123</v>
      </c>
      <c r="E2778" s="190" t="s">
        <v>5206</v>
      </c>
      <c r="F2778" s="191">
        <f t="shared" si="45"/>
        <v>201.88333333333333</v>
      </c>
    </row>
    <row r="2779" spans="2:6" ht="15" customHeight="1" x14ac:dyDescent="0.2">
      <c r="B2779" s="188" t="s">
        <v>5207</v>
      </c>
      <c r="C2779" s="189" t="s">
        <v>142</v>
      </c>
      <c r="D2779" s="189" t="s">
        <v>123</v>
      </c>
      <c r="E2779" s="190" t="s">
        <v>5208</v>
      </c>
      <c r="F2779" s="191">
        <f t="shared" si="45"/>
        <v>218.55</v>
      </c>
    </row>
    <row r="2780" spans="2:6" ht="15" customHeight="1" x14ac:dyDescent="0.2">
      <c r="B2780" s="188" t="s">
        <v>5209</v>
      </c>
      <c r="C2780" s="189" t="s">
        <v>128</v>
      </c>
      <c r="D2780" s="189" t="s">
        <v>123</v>
      </c>
      <c r="E2780" s="190" t="s">
        <v>5210</v>
      </c>
      <c r="F2780" s="191">
        <f t="shared" si="45"/>
        <v>285.03333333333336</v>
      </c>
    </row>
    <row r="2781" spans="2:6" ht="15" customHeight="1" x14ac:dyDescent="0.2">
      <c r="B2781" s="188" t="s">
        <v>5211</v>
      </c>
      <c r="C2781" s="189" t="s">
        <v>130</v>
      </c>
      <c r="D2781" s="189" t="s">
        <v>123</v>
      </c>
      <c r="E2781" s="190" t="s">
        <v>3779</v>
      </c>
      <c r="F2781" s="191">
        <f t="shared" si="45"/>
        <v>253.61666666666667</v>
      </c>
    </row>
    <row r="2782" spans="2:6" ht="15" customHeight="1" x14ac:dyDescent="0.2">
      <c r="B2782" s="188" t="s">
        <v>5212</v>
      </c>
      <c r="C2782" s="189" t="s">
        <v>124</v>
      </c>
      <c r="D2782" s="189" t="s">
        <v>123</v>
      </c>
      <c r="E2782" s="190" t="s">
        <v>5213</v>
      </c>
      <c r="F2782" s="191">
        <f t="shared" si="45"/>
        <v>257.55</v>
      </c>
    </row>
    <row r="2783" spans="2:6" ht="15" customHeight="1" x14ac:dyDescent="0.2">
      <c r="B2783" s="188" t="s">
        <v>5214</v>
      </c>
      <c r="C2783" s="189" t="s">
        <v>124</v>
      </c>
      <c r="D2783" s="189" t="s">
        <v>123</v>
      </c>
      <c r="E2783" s="190" t="s">
        <v>5215</v>
      </c>
      <c r="F2783" s="191">
        <f t="shared" si="45"/>
        <v>269.16666666666669</v>
      </c>
    </row>
    <row r="2784" spans="2:6" ht="15" customHeight="1" x14ac:dyDescent="0.2">
      <c r="B2784" s="188" t="s">
        <v>5216</v>
      </c>
      <c r="C2784" s="189" t="s">
        <v>124</v>
      </c>
      <c r="D2784" s="189" t="s">
        <v>123</v>
      </c>
      <c r="E2784" s="190" t="s">
        <v>5217</v>
      </c>
      <c r="F2784" s="191">
        <f t="shared" si="45"/>
        <v>270.11666666666667</v>
      </c>
    </row>
    <row r="2785" spans="2:6" ht="15" customHeight="1" x14ac:dyDescent="0.2">
      <c r="B2785" s="188" t="s">
        <v>5218</v>
      </c>
      <c r="C2785" s="189" t="s">
        <v>135</v>
      </c>
      <c r="D2785" s="189" t="s">
        <v>123</v>
      </c>
      <c r="E2785" s="190" t="s">
        <v>1389</v>
      </c>
      <c r="F2785" s="191">
        <f t="shared" si="45"/>
        <v>237.81666666666666</v>
      </c>
    </row>
    <row r="2786" spans="2:6" ht="15" customHeight="1" x14ac:dyDescent="0.2">
      <c r="B2786" s="188" t="s">
        <v>5219</v>
      </c>
      <c r="C2786" s="189" t="s">
        <v>128</v>
      </c>
      <c r="D2786" s="189" t="s">
        <v>123</v>
      </c>
      <c r="E2786" s="190" t="s">
        <v>5220</v>
      </c>
      <c r="F2786" s="191">
        <f t="shared" si="45"/>
        <v>301.64999999999998</v>
      </c>
    </row>
    <row r="2787" spans="2:6" ht="15" customHeight="1" x14ac:dyDescent="0.2">
      <c r="B2787" s="188" t="s">
        <v>5221</v>
      </c>
      <c r="C2787" s="189" t="s">
        <v>135</v>
      </c>
      <c r="D2787" s="189" t="s">
        <v>169</v>
      </c>
      <c r="E2787" s="190" t="s">
        <v>5222</v>
      </c>
      <c r="F2787" s="191">
        <f t="shared" si="45"/>
        <v>261.61666666666667</v>
      </c>
    </row>
    <row r="2788" spans="2:6" ht="15" customHeight="1" x14ac:dyDescent="0.2">
      <c r="B2788" s="188" t="s">
        <v>5223</v>
      </c>
      <c r="C2788" s="189" t="s">
        <v>134</v>
      </c>
      <c r="D2788" s="189" t="s">
        <v>171</v>
      </c>
      <c r="E2788" s="190" t="s">
        <v>3725</v>
      </c>
      <c r="F2788" s="191">
        <f t="shared" si="45"/>
        <v>210.2</v>
      </c>
    </row>
    <row r="2789" spans="2:6" ht="15" customHeight="1" x14ac:dyDescent="0.2">
      <c r="B2789" s="188" t="s">
        <v>3698</v>
      </c>
      <c r="C2789" s="189" t="s">
        <v>126</v>
      </c>
      <c r="D2789" s="189" t="s">
        <v>132</v>
      </c>
      <c r="E2789" s="190" t="s">
        <v>3699</v>
      </c>
      <c r="F2789" s="191">
        <f t="shared" si="45"/>
        <v>243.16666666666666</v>
      </c>
    </row>
    <row r="2790" spans="2:6" ht="15" customHeight="1" x14ac:dyDescent="0.2">
      <c r="B2790" s="188" t="s">
        <v>5224</v>
      </c>
      <c r="C2790" s="189" t="s">
        <v>130</v>
      </c>
      <c r="D2790" s="189" t="s">
        <v>131</v>
      </c>
      <c r="E2790" s="190" t="s">
        <v>5225</v>
      </c>
      <c r="F2790" s="191">
        <f t="shared" si="45"/>
        <v>168.93333333333334</v>
      </c>
    </row>
    <row r="2791" spans="2:6" ht="15" customHeight="1" x14ac:dyDescent="0.2">
      <c r="B2791" s="188" t="s">
        <v>5226</v>
      </c>
      <c r="C2791" s="189" t="s">
        <v>126</v>
      </c>
      <c r="D2791" s="189" t="s">
        <v>123</v>
      </c>
      <c r="E2791" s="190" t="s">
        <v>5045</v>
      </c>
      <c r="F2791" s="191">
        <f t="shared" si="45"/>
        <v>257.73333333333335</v>
      </c>
    </row>
    <row r="2792" spans="2:6" ht="15" customHeight="1" x14ac:dyDescent="0.2">
      <c r="B2792" s="188" t="s">
        <v>5227</v>
      </c>
      <c r="C2792" s="189" t="s">
        <v>130</v>
      </c>
      <c r="D2792" s="189" t="s">
        <v>123</v>
      </c>
      <c r="E2792" s="190" t="s">
        <v>5228</v>
      </c>
      <c r="F2792" s="191">
        <f t="shared" si="45"/>
        <v>258.06666666666666</v>
      </c>
    </row>
    <row r="2793" spans="2:6" ht="15" customHeight="1" x14ac:dyDescent="0.2">
      <c r="B2793" s="188" t="s">
        <v>5229</v>
      </c>
      <c r="C2793" s="189" t="s">
        <v>125</v>
      </c>
      <c r="D2793" s="189" t="s">
        <v>123</v>
      </c>
      <c r="E2793" s="190" t="s">
        <v>3364</v>
      </c>
      <c r="F2793" s="191">
        <f t="shared" si="45"/>
        <v>264.95</v>
      </c>
    </row>
    <row r="2794" spans="2:6" ht="15" customHeight="1" x14ac:dyDescent="0.2">
      <c r="B2794" s="188" t="s">
        <v>5230</v>
      </c>
      <c r="C2794" s="189" t="s">
        <v>125</v>
      </c>
      <c r="D2794" s="189" t="s">
        <v>123</v>
      </c>
      <c r="E2794" s="190" t="s">
        <v>5231</v>
      </c>
      <c r="F2794" s="191">
        <f t="shared" si="45"/>
        <v>211.01666666666668</v>
      </c>
    </row>
    <row r="2795" spans="2:6" ht="15" customHeight="1" x14ac:dyDescent="0.2">
      <c r="B2795" s="188" t="s">
        <v>5232</v>
      </c>
      <c r="C2795" s="189" t="s">
        <v>128</v>
      </c>
      <c r="D2795" s="189" t="s">
        <v>131</v>
      </c>
      <c r="E2795" s="190" t="s">
        <v>5233</v>
      </c>
      <c r="F2795" s="191">
        <f t="shared" si="45"/>
        <v>208.25</v>
      </c>
    </row>
    <row r="2796" spans="2:6" ht="15" customHeight="1" x14ac:dyDescent="0.2">
      <c r="B2796" s="188" t="s">
        <v>5234</v>
      </c>
      <c r="C2796" s="189" t="s">
        <v>124</v>
      </c>
      <c r="D2796" s="189" t="s">
        <v>123</v>
      </c>
      <c r="E2796" s="190" t="s">
        <v>5235</v>
      </c>
      <c r="F2796" s="191">
        <f t="shared" si="45"/>
        <v>221.18333333333334</v>
      </c>
    </row>
    <row r="2797" spans="2:6" ht="15" customHeight="1" x14ac:dyDescent="0.2">
      <c r="B2797" s="188" t="s">
        <v>5236</v>
      </c>
      <c r="C2797" s="189" t="s">
        <v>134</v>
      </c>
      <c r="D2797" s="189" t="s">
        <v>123</v>
      </c>
      <c r="E2797" s="190" t="s">
        <v>5237</v>
      </c>
      <c r="F2797" s="191">
        <f t="shared" si="45"/>
        <v>217.86666666666667</v>
      </c>
    </row>
    <row r="2798" spans="2:6" ht="15" customHeight="1" x14ac:dyDescent="0.2">
      <c r="B2798" s="188" t="s">
        <v>5238</v>
      </c>
      <c r="C2798" s="189" t="s">
        <v>134</v>
      </c>
      <c r="D2798" s="189" t="s">
        <v>123</v>
      </c>
      <c r="E2798" s="190" t="s">
        <v>4279</v>
      </c>
      <c r="F2798" s="191">
        <f t="shared" si="45"/>
        <v>228.56666666666666</v>
      </c>
    </row>
    <row r="2799" spans="2:6" ht="15" customHeight="1" x14ac:dyDescent="0.2">
      <c r="B2799" s="188" t="s">
        <v>5239</v>
      </c>
      <c r="C2799" s="189" t="s">
        <v>126</v>
      </c>
      <c r="D2799" s="189" t="s">
        <v>139</v>
      </c>
      <c r="E2799" s="190" t="s">
        <v>5240</v>
      </c>
      <c r="F2799" s="191">
        <f t="shared" si="45"/>
        <v>263.81666666666666</v>
      </c>
    </row>
    <row r="2800" spans="2:6" ht="15" customHeight="1" x14ac:dyDescent="0.2">
      <c r="B2800" s="188" t="s">
        <v>5241</v>
      </c>
      <c r="C2800" s="189" t="s">
        <v>128</v>
      </c>
      <c r="D2800" s="189" t="s">
        <v>123</v>
      </c>
      <c r="E2800" s="190" t="s">
        <v>5242</v>
      </c>
      <c r="F2800" s="191">
        <f t="shared" si="45"/>
        <v>297.51666666666665</v>
      </c>
    </row>
    <row r="2801" spans="2:6" ht="15" customHeight="1" x14ac:dyDescent="0.2">
      <c r="B2801" s="188" t="s">
        <v>5243</v>
      </c>
      <c r="C2801" s="189" t="s">
        <v>125</v>
      </c>
      <c r="D2801" s="189" t="s">
        <v>129</v>
      </c>
      <c r="E2801" s="190" t="s">
        <v>5244</v>
      </c>
      <c r="F2801" s="191">
        <f t="shared" si="45"/>
        <v>245.91666666666666</v>
      </c>
    </row>
    <row r="2802" spans="2:6" ht="15" customHeight="1" x14ac:dyDescent="0.2">
      <c r="B2802" s="188" t="s">
        <v>5245</v>
      </c>
      <c r="C2802" s="189" t="s">
        <v>134</v>
      </c>
      <c r="D2802" s="189" t="s">
        <v>141</v>
      </c>
      <c r="E2802" s="190" t="s">
        <v>5246</v>
      </c>
      <c r="F2802" s="191">
        <f t="shared" si="45"/>
        <v>221.6</v>
      </c>
    </row>
    <row r="2803" spans="2:6" ht="15" customHeight="1" x14ac:dyDescent="0.2">
      <c r="B2803" s="188" t="s">
        <v>5247</v>
      </c>
      <c r="C2803" s="189" t="s">
        <v>126</v>
      </c>
      <c r="D2803" s="189" t="s">
        <v>123</v>
      </c>
      <c r="E2803" s="190" t="s">
        <v>5248</v>
      </c>
      <c r="F2803" s="191">
        <f t="shared" si="45"/>
        <v>239.11666666666667</v>
      </c>
    </row>
    <row r="2804" spans="2:6" ht="15" customHeight="1" x14ac:dyDescent="0.2">
      <c r="B2804" s="188" t="s">
        <v>5249</v>
      </c>
      <c r="C2804" s="189" t="s">
        <v>140</v>
      </c>
      <c r="D2804" s="189" t="s">
        <v>123</v>
      </c>
      <c r="E2804" s="190" t="s">
        <v>1754</v>
      </c>
      <c r="F2804" s="191">
        <f t="shared" si="45"/>
        <v>254.43333333333334</v>
      </c>
    </row>
    <row r="2805" spans="2:6" ht="15" customHeight="1" x14ac:dyDescent="0.2">
      <c r="B2805" s="188" t="s">
        <v>5250</v>
      </c>
      <c r="C2805" s="189" t="s">
        <v>135</v>
      </c>
      <c r="D2805" s="189" t="s">
        <v>123</v>
      </c>
      <c r="E2805" s="190" t="s">
        <v>5251</v>
      </c>
      <c r="F2805" s="191">
        <f t="shared" si="45"/>
        <v>264.43333333333334</v>
      </c>
    </row>
    <row r="2806" spans="2:6" ht="15" customHeight="1" x14ac:dyDescent="0.2">
      <c r="B2806" s="188" t="s">
        <v>5252</v>
      </c>
      <c r="C2806" s="189" t="s">
        <v>135</v>
      </c>
      <c r="D2806" s="189" t="s">
        <v>123</v>
      </c>
      <c r="E2806" s="190" t="s">
        <v>5253</v>
      </c>
      <c r="F2806" s="191">
        <f t="shared" si="45"/>
        <v>224.43333333333334</v>
      </c>
    </row>
    <row r="2807" spans="2:6" ht="15" customHeight="1" x14ac:dyDescent="0.2">
      <c r="B2807" s="188" t="s">
        <v>5254</v>
      </c>
      <c r="C2807" s="189" t="s">
        <v>124</v>
      </c>
      <c r="D2807" s="189" t="s">
        <v>123</v>
      </c>
      <c r="E2807" s="190" t="s">
        <v>5255</v>
      </c>
      <c r="F2807" s="191">
        <f t="shared" si="45"/>
        <v>228.63333333333333</v>
      </c>
    </row>
    <row r="2808" spans="2:6" ht="15" customHeight="1" x14ac:dyDescent="0.2">
      <c r="B2808" s="188" t="s">
        <v>5256</v>
      </c>
      <c r="C2808" s="189" t="s">
        <v>249</v>
      </c>
      <c r="D2808" s="189" t="s">
        <v>133</v>
      </c>
      <c r="E2808" s="190" t="s">
        <v>5257</v>
      </c>
      <c r="F2808" s="191">
        <f t="shared" si="45"/>
        <v>233.78333333333333</v>
      </c>
    </row>
    <row r="2809" spans="2:6" ht="15" customHeight="1" x14ac:dyDescent="0.2">
      <c r="B2809" s="188" t="s">
        <v>5258</v>
      </c>
      <c r="C2809" s="189" t="s">
        <v>135</v>
      </c>
      <c r="D2809" s="189" t="s">
        <v>157</v>
      </c>
      <c r="E2809" s="190" t="s">
        <v>805</v>
      </c>
      <c r="F2809" s="191">
        <f t="shared" si="45"/>
        <v>240.73333333333332</v>
      </c>
    </row>
    <row r="2810" spans="2:6" ht="15" customHeight="1" x14ac:dyDescent="0.2">
      <c r="B2810" s="188" t="s">
        <v>5259</v>
      </c>
      <c r="C2810" s="189" t="s">
        <v>126</v>
      </c>
      <c r="D2810" s="189" t="s">
        <v>133</v>
      </c>
      <c r="E2810" s="190" t="s">
        <v>2114</v>
      </c>
      <c r="F2810" s="191">
        <f t="shared" si="45"/>
        <v>190.26666666666668</v>
      </c>
    </row>
    <row r="2811" spans="2:6" ht="15" customHeight="1" x14ac:dyDescent="0.2">
      <c r="B2811" s="188" t="s">
        <v>5260</v>
      </c>
      <c r="C2811" s="189" t="s">
        <v>124</v>
      </c>
      <c r="D2811" s="189" t="s">
        <v>123</v>
      </c>
      <c r="E2811" s="190" t="s">
        <v>4049</v>
      </c>
      <c r="F2811" s="191">
        <f t="shared" si="45"/>
        <v>279.3</v>
      </c>
    </row>
    <row r="2812" spans="2:6" ht="15" customHeight="1" x14ac:dyDescent="0.2">
      <c r="B2812" s="188" t="s">
        <v>5261</v>
      </c>
      <c r="C2812" s="189" t="s">
        <v>135</v>
      </c>
      <c r="D2812" s="189" t="s">
        <v>131</v>
      </c>
      <c r="E2812" s="190" t="s">
        <v>3886</v>
      </c>
      <c r="F2812" s="191">
        <f t="shared" si="45"/>
        <v>208</v>
      </c>
    </row>
    <row r="2813" spans="2:6" ht="15" customHeight="1" x14ac:dyDescent="0.2">
      <c r="B2813" s="188" t="s">
        <v>224</v>
      </c>
      <c r="C2813" s="189" t="s">
        <v>135</v>
      </c>
      <c r="D2813" s="189" t="s">
        <v>123</v>
      </c>
      <c r="E2813" s="190" t="s">
        <v>5262</v>
      </c>
      <c r="F2813" s="191">
        <f t="shared" si="45"/>
        <v>288.98333333333335</v>
      </c>
    </row>
    <row r="2814" spans="2:6" ht="15" customHeight="1" x14ac:dyDescent="0.2">
      <c r="B2814" s="188" t="s">
        <v>5263</v>
      </c>
      <c r="C2814" s="189" t="s">
        <v>128</v>
      </c>
      <c r="D2814" s="189" t="s">
        <v>123</v>
      </c>
      <c r="E2814" s="190" t="s">
        <v>1368</v>
      </c>
      <c r="F2814" s="191">
        <f t="shared" si="45"/>
        <v>224.35</v>
      </c>
    </row>
    <row r="2815" spans="2:6" ht="15" customHeight="1" x14ac:dyDescent="0.2">
      <c r="B2815" s="188" t="s">
        <v>1265</v>
      </c>
      <c r="C2815" s="189" t="s">
        <v>134</v>
      </c>
      <c r="D2815" s="189" t="s">
        <v>131</v>
      </c>
      <c r="E2815" s="190" t="s">
        <v>1266</v>
      </c>
      <c r="F2815" s="191">
        <f t="shared" si="45"/>
        <v>231.88333333333333</v>
      </c>
    </row>
    <row r="2816" spans="2:6" ht="15" customHeight="1" x14ac:dyDescent="0.2">
      <c r="B2816" s="188" t="s">
        <v>5264</v>
      </c>
      <c r="C2816" s="189" t="s">
        <v>130</v>
      </c>
      <c r="D2816" s="189" t="s">
        <v>123</v>
      </c>
      <c r="E2816" s="190" t="s">
        <v>5265</v>
      </c>
      <c r="F2816" s="191">
        <f t="shared" si="45"/>
        <v>233.9</v>
      </c>
    </row>
    <row r="2817" spans="2:6" ht="15" customHeight="1" x14ac:dyDescent="0.2">
      <c r="B2817" s="188" t="s">
        <v>5266</v>
      </c>
      <c r="C2817" s="189" t="s">
        <v>125</v>
      </c>
      <c r="D2817" s="189" t="s">
        <v>123</v>
      </c>
      <c r="E2817" s="190" t="s">
        <v>5267</v>
      </c>
      <c r="F2817" s="191">
        <f t="shared" si="45"/>
        <v>288.48333333333335</v>
      </c>
    </row>
    <row r="2818" spans="2:6" ht="15" customHeight="1" x14ac:dyDescent="0.2">
      <c r="B2818" s="188" t="s">
        <v>5268</v>
      </c>
      <c r="C2818" s="189" t="s">
        <v>130</v>
      </c>
      <c r="D2818" s="189" t="s">
        <v>132</v>
      </c>
      <c r="E2818" s="190" t="s">
        <v>5269</v>
      </c>
      <c r="F2818" s="191">
        <f t="shared" si="45"/>
        <v>198.01666666666668</v>
      </c>
    </row>
    <row r="2819" spans="2:6" ht="15" customHeight="1" x14ac:dyDescent="0.2">
      <c r="B2819" s="188" t="s">
        <v>5270</v>
      </c>
      <c r="C2819" s="189" t="s">
        <v>142</v>
      </c>
      <c r="D2819" s="189" t="s">
        <v>157</v>
      </c>
      <c r="E2819" s="190" t="s">
        <v>5271</v>
      </c>
      <c r="F2819" s="191">
        <f t="shared" si="45"/>
        <v>260.35000000000002</v>
      </c>
    </row>
    <row r="2820" spans="2:6" ht="15" customHeight="1" x14ac:dyDescent="0.2">
      <c r="B2820" s="188" t="s">
        <v>288</v>
      </c>
      <c r="C2820" s="189" t="s">
        <v>140</v>
      </c>
      <c r="D2820" s="189" t="s">
        <v>155</v>
      </c>
      <c r="E2820" s="190" t="s">
        <v>5272</v>
      </c>
      <c r="F2820" s="191">
        <f t="shared" si="45"/>
        <v>241.5</v>
      </c>
    </row>
    <row r="2821" spans="2:6" ht="15" customHeight="1" x14ac:dyDescent="0.2">
      <c r="B2821" s="188" t="s">
        <v>5273</v>
      </c>
      <c r="C2821" s="189" t="s">
        <v>130</v>
      </c>
      <c r="D2821" s="189" t="s">
        <v>123</v>
      </c>
      <c r="E2821" s="190" t="s">
        <v>5274</v>
      </c>
      <c r="F2821" s="191">
        <f t="shared" si="45"/>
        <v>274.71666666666664</v>
      </c>
    </row>
    <row r="2822" spans="2:6" ht="15" customHeight="1" x14ac:dyDescent="0.2">
      <c r="B2822" s="188" t="s">
        <v>5275</v>
      </c>
      <c r="C2822" s="189" t="s">
        <v>130</v>
      </c>
      <c r="D2822" s="189" t="s">
        <v>123</v>
      </c>
      <c r="E2822" s="190" t="s">
        <v>5276</v>
      </c>
      <c r="F2822" s="191">
        <f t="shared" si="45"/>
        <v>273.21666666666664</v>
      </c>
    </row>
    <row r="2823" spans="2:6" ht="15" customHeight="1" x14ac:dyDescent="0.2">
      <c r="B2823" s="188" t="s">
        <v>5277</v>
      </c>
      <c r="C2823" s="189" t="s">
        <v>142</v>
      </c>
      <c r="D2823" s="189" t="s">
        <v>123</v>
      </c>
      <c r="E2823" s="190" t="s">
        <v>3169</v>
      </c>
      <c r="F2823" s="191">
        <f t="shared" si="45"/>
        <v>213.43333333333334</v>
      </c>
    </row>
    <row r="2824" spans="2:6" ht="15" customHeight="1" x14ac:dyDescent="0.2">
      <c r="B2824" s="188" t="s">
        <v>5278</v>
      </c>
      <c r="C2824" s="189" t="s">
        <v>126</v>
      </c>
      <c r="D2824" s="189" t="s">
        <v>123</v>
      </c>
      <c r="E2824" s="190" t="s">
        <v>3802</v>
      </c>
      <c r="F2824" s="191">
        <f t="shared" si="45"/>
        <v>272.76666666666665</v>
      </c>
    </row>
    <row r="2825" spans="2:6" ht="15" customHeight="1" x14ac:dyDescent="0.2">
      <c r="B2825" s="188" t="s">
        <v>5279</v>
      </c>
      <c r="C2825" s="189" t="s">
        <v>134</v>
      </c>
      <c r="D2825" s="189" t="s">
        <v>147</v>
      </c>
      <c r="E2825" s="190" t="s">
        <v>5280</v>
      </c>
      <c r="F2825" s="191">
        <f t="shared" si="45"/>
        <v>206.8</v>
      </c>
    </row>
    <row r="2826" spans="2:6" ht="15" customHeight="1" x14ac:dyDescent="0.2">
      <c r="B2826" s="188" t="s">
        <v>5281</v>
      </c>
      <c r="C2826" s="189" t="s">
        <v>136</v>
      </c>
      <c r="D2826" s="189" t="s">
        <v>123</v>
      </c>
      <c r="E2826" s="190" t="s">
        <v>5282</v>
      </c>
      <c r="F2826" s="191">
        <f t="shared" si="45"/>
        <v>292.36666666666667</v>
      </c>
    </row>
    <row r="2827" spans="2:6" ht="15" customHeight="1" x14ac:dyDescent="0.2">
      <c r="B2827" s="188" t="s">
        <v>5283</v>
      </c>
      <c r="C2827" s="189" t="s">
        <v>135</v>
      </c>
      <c r="D2827" s="189" t="s">
        <v>123</v>
      </c>
      <c r="E2827" s="190" t="s">
        <v>5284</v>
      </c>
      <c r="F2827" s="191">
        <f t="shared" ref="F2827:F2890" si="46">HOUR(E2827)*60+MINUTE(E2827)+SECOND(E2827)/60</f>
        <v>211.45</v>
      </c>
    </row>
    <row r="2828" spans="2:6" ht="15" customHeight="1" x14ac:dyDescent="0.2">
      <c r="B2828" s="188" t="s">
        <v>5285</v>
      </c>
      <c r="C2828" s="189" t="s">
        <v>142</v>
      </c>
      <c r="D2828" s="189" t="s">
        <v>123</v>
      </c>
      <c r="E2828" s="190" t="s">
        <v>3676</v>
      </c>
      <c r="F2828" s="191">
        <f t="shared" si="46"/>
        <v>299.28333333333336</v>
      </c>
    </row>
    <row r="2829" spans="2:6" ht="15" customHeight="1" x14ac:dyDescent="0.2">
      <c r="B2829" s="188" t="s">
        <v>347</v>
      </c>
      <c r="C2829" s="189" t="s">
        <v>142</v>
      </c>
      <c r="D2829" s="189" t="s">
        <v>123</v>
      </c>
      <c r="E2829" s="190" t="s">
        <v>5286</v>
      </c>
      <c r="F2829" s="191">
        <f t="shared" si="46"/>
        <v>319.60000000000002</v>
      </c>
    </row>
    <row r="2830" spans="2:6" ht="15" customHeight="1" x14ac:dyDescent="0.2">
      <c r="B2830" s="188" t="s">
        <v>5287</v>
      </c>
      <c r="C2830" s="189" t="s">
        <v>124</v>
      </c>
      <c r="D2830" s="189" t="s">
        <v>123</v>
      </c>
      <c r="E2830" s="190" t="s">
        <v>3360</v>
      </c>
      <c r="F2830" s="191">
        <f t="shared" si="46"/>
        <v>206.11666666666667</v>
      </c>
    </row>
    <row r="2831" spans="2:6" ht="15" customHeight="1" x14ac:dyDescent="0.2">
      <c r="B2831" s="188" t="s">
        <v>5288</v>
      </c>
      <c r="C2831" s="189" t="s">
        <v>142</v>
      </c>
      <c r="D2831" s="189" t="s">
        <v>123</v>
      </c>
      <c r="E2831" s="190" t="s">
        <v>5289</v>
      </c>
      <c r="F2831" s="191">
        <f t="shared" si="46"/>
        <v>240.41666666666666</v>
      </c>
    </row>
    <row r="2832" spans="2:6" ht="15" customHeight="1" x14ac:dyDescent="0.2">
      <c r="B2832" s="188" t="s">
        <v>5290</v>
      </c>
      <c r="C2832" s="189" t="s">
        <v>124</v>
      </c>
      <c r="D2832" s="189" t="s">
        <v>132</v>
      </c>
      <c r="E2832" s="190" t="s">
        <v>5291</v>
      </c>
      <c r="F2832" s="191">
        <f t="shared" si="46"/>
        <v>265.98333333333335</v>
      </c>
    </row>
    <row r="2833" spans="2:6" ht="15" customHeight="1" x14ac:dyDescent="0.2">
      <c r="B2833" s="188" t="s">
        <v>5292</v>
      </c>
      <c r="C2833" s="189" t="s">
        <v>124</v>
      </c>
      <c r="D2833" s="189" t="s">
        <v>132</v>
      </c>
      <c r="E2833" s="190" t="s">
        <v>5293</v>
      </c>
      <c r="F2833" s="191">
        <f t="shared" si="46"/>
        <v>268.75</v>
      </c>
    </row>
    <row r="2834" spans="2:6" ht="15" customHeight="1" x14ac:dyDescent="0.2">
      <c r="B2834" s="188" t="s">
        <v>5294</v>
      </c>
      <c r="C2834" s="189" t="s">
        <v>142</v>
      </c>
      <c r="D2834" s="189" t="s">
        <v>129</v>
      </c>
      <c r="E2834" s="190" t="s">
        <v>5295</v>
      </c>
      <c r="F2834" s="191">
        <f t="shared" si="46"/>
        <v>209.53333333333333</v>
      </c>
    </row>
    <row r="2835" spans="2:6" ht="15" customHeight="1" x14ac:dyDescent="0.2">
      <c r="B2835" s="188" t="s">
        <v>518</v>
      </c>
      <c r="C2835" s="189" t="s">
        <v>125</v>
      </c>
      <c r="D2835" s="189" t="s">
        <v>123</v>
      </c>
      <c r="E2835" s="190" t="s">
        <v>5296</v>
      </c>
      <c r="F2835" s="191">
        <f t="shared" si="46"/>
        <v>269.98333333333335</v>
      </c>
    </row>
    <row r="2836" spans="2:6" ht="15" customHeight="1" x14ac:dyDescent="0.2">
      <c r="B2836" s="188" t="s">
        <v>5297</v>
      </c>
      <c r="C2836" s="189" t="s">
        <v>142</v>
      </c>
      <c r="D2836" s="189" t="s">
        <v>157</v>
      </c>
      <c r="E2836" s="190" t="s">
        <v>5298</v>
      </c>
      <c r="F2836" s="191">
        <f t="shared" si="46"/>
        <v>245.38333333333333</v>
      </c>
    </row>
    <row r="2837" spans="2:6" ht="15" customHeight="1" x14ac:dyDescent="0.2">
      <c r="B2837" s="188" t="s">
        <v>5299</v>
      </c>
      <c r="C2837" s="189" t="s">
        <v>125</v>
      </c>
      <c r="D2837" s="189" t="s">
        <v>123</v>
      </c>
      <c r="E2837" s="190" t="s">
        <v>5300</v>
      </c>
      <c r="F2837" s="191">
        <f t="shared" si="46"/>
        <v>228.76666666666668</v>
      </c>
    </row>
    <row r="2838" spans="2:6" ht="15" customHeight="1" x14ac:dyDescent="0.2">
      <c r="B2838" s="188" t="s">
        <v>259</v>
      </c>
      <c r="C2838" s="189" t="s">
        <v>124</v>
      </c>
      <c r="D2838" s="189" t="s">
        <v>160</v>
      </c>
      <c r="E2838" s="190" t="s">
        <v>4324</v>
      </c>
      <c r="F2838" s="191">
        <f t="shared" si="46"/>
        <v>221.41666666666666</v>
      </c>
    </row>
    <row r="2839" spans="2:6" ht="15" customHeight="1" x14ac:dyDescent="0.2">
      <c r="B2839" s="188" t="s">
        <v>2825</v>
      </c>
      <c r="C2839" s="189" t="s">
        <v>124</v>
      </c>
      <c r="D2839" s="189" t="s">
        <v>123</v>
      </c>
      <c r="E2839" s="190" t="s">
        <v>2826</v>
      </c>
      <c r="F2839" s="191">
        <f t="shared" si="46"/>
        <v>231.53333333333333</v>
      </c>
    </row>
    <row r="2840" spans="2:6" ht="15" customHeight="1" x14ac:dyDescent="0.2">
      <c r="B2840" s="188" t="s">
        <v>4877</v>
      </c>
      <c r="C2840" s="189" t="s">
        <v>126</v>
      </c>
      <c r="D2840" s="189" t="s">
        <v>141</v>
      </c>
      <c r="E2840" s="190" t="s">
        <v>1266</v>
      </c>
      <c r="F2840" s="191">
        <f t="shared" si="46"/>
        <v>231.88333333333333</v>
      </c>
    </row>
    <row r="2841" spans="2:6" ht="15" customHeight="1" x14ac:dyDescent="0.2">
      <c r="B2841" s="188" t="s">
        <v>5301</v>
      </c>
      <c r="C2841" s="189" t="s">
        <v>134</v>
      </c>
      <c r="D2841" s="189" t="s">
        <v>127</v>
      </c>
      <c r="E2841" s="190" t="s">
        <v>5302</v>
      </c>
      <c r="F2841" s="191">
        <f t="shared" si="46"/>
        <v>262.83333333333331</v>
      </c>
    </row>
    <row r="2842" spans="2:6" ht="15" customHeight="1" x14ac:dyDescent="0.2">
      <c r="B2842" s="188" t="s">
        <v>5303</v>
      </c>
      <c r="C2842" s="189" t="s">
        <v>128</v>
      </c>
      <c r="D2842" s="189" t="s">
        <v>240</v>
      </c>
      <c r="E2842" s="190" t="s">
        <v>5304</v>
      </c>
      <c r="F2842" s="191">
        <f t="shared" si="46"/>
        <v>293.53333333333336</v>
      </c>
    </row>
    <row r="2843" spans="2:6" ht="15" customHeight="1" x14ac:dyDescent="0.2">
      <c r="B2843" s="188" t="s">
        <v>5305</v>
      </c>
      <c r="C2843" s="189" t="s">
        <v>125</v>
      </c>
      <c r="D2843" s="189" t="s">
        <v>127</v>
      </c>
      <c r="E2843" s="190" t="s">
        <v>5306</v>
      </c>
      <c r="F2843" s="191">
        <f t="shared" si="46"/>
        <v>292.14999999999998</v>
      </c>
    </row>
    <row r="2844" spans="2:6" ht="15" customHeight="1" x14ac:dyDescent="0.2">
      <c r="B2844" s="188" t="s">
        <v>5307</v>
      </c>
      <c r="C2844" s="189" t="s">
        <v>125</v>
      </c>
      <c r="D2844" s="189" t="s">
        <v>123</v>
      </c>
      <c r="E2844" s="190" t="s">
        <v>5308</v>
      </c>
      <c r="F2844" s="191">
        <f t="shared" si="46"/>
        <v>207.2</v>
      </c>
    </row>
    <row r="2845" spans="2:6" ht="15" customHeight="1" x14ac:dyDescent="0.2">
      <c r="B2845" s="188" t="s">
        <v>5309</v>
      </c>
      <c r="C2845" s="189" t="s">
        <v>130</v>
      </c>
      <c r="D2845" s="189" t="s">
        <v>133</v>
      </c>
      <c r="E2845" s="190" t="s">
        <v>2951</v>
      </c>
      <c r="F2845" s="191">
        <f t="shared" si="46"/>
        <v>225.06666666666666</v>
      </c>
    </row>
    <row r="2846" spans="2:6" ht="15" customHeight="1" x14ac:dyDescent="0.2">
      <c r="B2846" s="188" t="s">
        <v>5310</v>
      </c>
      <c r="C2846" s="189" t="s">
        <v>134</v>
      </c>
      <c r="D2846" s="189" t="s">
        <v>123</v>
      </c>
      <c r="E2846" s="190" t="s">
        <v>5311</v>
      </c>
      <c r="F2846" s="191">
        <f t="shared" si="46"/>
        <v>274.39999999999998</v>
      </c>
    </row>
    <row r="2847" spans="2:6" ht="15" customHeight="1" x14ac:dyDescent="0.2">
      <c r="B2847" s="188" t="s">
        <v>5312</v>
      </c>
      <c r="C2847" s="189" t="s">
        <v>125</v>
      </c>
      <c r="D2847" s="189" t="s">
        <v>123</v>
      </c>
      <c r="E2847" s="190" t="s">
        <v>5313</v>
      </c>
      <c r="F2847" s="191">
        <f t="shared" si="46"/>
        <v>213.33333333333334</v>
      </c>
    </row>
    <row r="2848" spans="2:6" ht="15" customHeight="1" x14ac:dyDescent="0.2">
      <c r="B2848" s="188" t="s">
        <v>351</v>
      </c>
      <c r="C2848" s="189" t="s">
        <v>142</v>
      </c>
      <c r="D2848" s="189" t="s">
        <v>157</v>
      </c>
      <c r="E2848" s="190" t="s">
        <v>2543</v>
      </c>
      <c r="F2848" s="191">
        <f t="shared" si="46"/>
        <v>205.91666666666666</v>
      </c>
    </row>
    <row r="2849" spans="2:6" ht="15" customHeight="1" x14ac:dyDescent="0.2">
      <c r="B2849" s="188" t="s">
        <v>5314</v>
      </c>
      <c r="C2849" s="189" t="s">
        <v>142</v>
      </c>
      <c r="D2849" s="189" t="s">
        <v>160</v>
      </c>
      <c r="E2849" s="190" t="s">
        <v>1145</v>
      </c>
      <c r="F2849" s="191">
        <f t="shared" si="46"/>
        <v>216.56666666666666</v>
      </c>
    </row>
    <row r="2850" spans="2:6" ht="15" customHeight="1" x14ac:dyDescent="0.2">
      <c r="B2850" s="188" t="s">
        <v>5315</v>
      </c>
      <c r="C2850" s="189" t="s">
        <v>128</v>
      </c>
      <c r="D2850" s="189" t="s">
        <v>123</v>
      </c>
      <c r="E2850" s="190" t="s">
        <v>5316</v>
      </c>
      <c r="F2850" s="191">
        <f t="shared" si="46"/>
        <v>282.61666666666667</v>
      </c>
    </row>
    <row r="2851" spans="2:6" ht="15" customHeight="1" x14ac:dyDescent="0.2">
      <c r="B2851" s="188" t="s">
        <v>5317</v>
      </c>
      <c r="C2851" s="189" t="s">
        <v>126</v>
      </c>
      <c r="D2851" s="189" t="s">
        <v>123</v>
      </c>
      <c r="E2851" s="190" t="s">
        <v>5152</v>
      </c>
      <c r="F2851" s="191">
        <f t="shared" si="46"/>
        <v>261.18333333333334</v>
      </c>
    </row>
    <row r="2852" spans="2:6" ht="15" customHeight="1" x14ac:dyDescent="0.2">
      <c r="B2852" s="188" t="s">
        <v>5318</v>
      </c>
      <c r="C2852" s="189" t="s">
        <v>128</v>
      </c>
      <c r="D2852" s="189" t="s">
        <v>123</v>
      </c>
      <c r="E2852" s="190" t="s">
        <v>4811</v>
      </c>
      <c r="F2852" s="191">
        <f t="shared" si="46"/>
        <v>296.76666666666665</v>
      </c>
    </row>
    <row r="2853" spans="2:6" ht="15" customHeight="1" x14ac:dyDescent="0.2">
      <c r="B2853" s="188" t="s">
        <v>5319</v>
      </c>
      <c r="C2853" s="189" t="s">
        <v>142</v>
      </c>
      <c r="D2853" s="189" t="s">
        <v>123</v>
      </c>
      <c r="E2853" s="190" t="s">
        <v>4167</v>
      </c>
      <c r="F2853" s="191">
        <f t="shared" si="46"/>
        <v>207.91666666666666</v>
      </c>
    </row>
    <row r="2854" spans="2:6" ht="15" customHeight="1" x14ac:dyDescent="0.2">
      <c r="B2854" s="188" t="s">
        <v>298</v>
      </c>
      <c r="C2854" s="189" t="s">
        <v>135</v>
      </c>
      <c r="D2854" s="189" t="s">
        <v>123</v>
      </c>
      <c r="E2854" s="190" t="s">
        <v>5320</v>
      </c>
      <c r="F2854" s="191">
        <f t="shared" si="46"/>
        <v>276.81666666666666</v>
      </c>
    </row>
    <row r="2855" spans="2:6" ht="15" customHeight="1" x14ac:dyDescent="0.2">
      <c r="B2855" s="188" t="s">
        <v>3250</v>
      </c>
      <c r="C2855" s="189" t="s">
        <v>125</v>
      </c>
      <c r="D2855" s="189" t="s">
        <v>129</v>
      </c>
      <c r="E2855" s="190" t="s">
        <v>3251</v>
      </c>
      <c r="F2855" s="191">
        <f t="shared" si="46"/>
        <v>203.06666666666666</v>
      </c>
    </row>
    <row r="2856" spans="2:6" ht="15" customHeight="1" x14ac:dyDescent="0.2">
      <c r="B2856" s="188" t="s">
        <v>5321</v>
      </c>
      <c r="C2856" s="189" t="s">
        <v>125</v>
      </c>
      <c r="D2856" s="189" t="s">
        <v>123</v>
      </c>
      <c r="E2856" s="190" t="s">
        <v>5322</v>
      </c>
      <c r="F2856" s="191">
        <f t="shared" si="46"/>
        <v>240.4</v>
      </c>
    </row>
    <row r="2857" spans="2:6" ht="15" customHeight="1" x14ac:dyDescent="0.2">
      <c r="B2857" s="188" t="s">
        <v>5323</v>
      </c>
      <c r="C2857" s="189" t="s">
        <v>134</v>
      </c>
      <c r="D2857" s="189" t="s">
        <v>123</v>
      </c>
      <c r="E2857" s="190" t="s">
        <v>5324</v>
      </c>
      <c r="F2857" s="191">
        <f t="shared" si="46"/>
        <v>249.73333333333332</v>
      </c>
    </row>
    <row r="2858" spans="2:6" ht="15" customHeight="1" x14ac:dyDescent="0.2">
      <c r="B2858" s="188" t="s">
        <v>5325</v>
      </c>
      <c r="C2858" s="189" t="s">
        <v>128</v>
      </c>
      <c r="D2858" s="189" t="s">
        <v>123</v>
      </c>
      <c r="E2858" s="190" t="s">
        <v>5326</v>
      </c>
      <c r="F2858" s="191">
        <f t="shared" si="46"/>
        <v>242.43333333333334</v>
      </c>
    </row>
    <row r="2859" spans="2:6" ht="15" customHeight="1" x14ac:dyDescent="0.2">
      <c r="B2859" s="188" t="s">
        <v>5327</v>
      </c>
      <c r="C2859" s="189" t="s">
        <v>134</v>
      </c>
      <c r="D2859" s="189" t="s">
        <v>123</v>
      </c>
      <c r="E2859" s="190" t="s">
        <v>3349</v>
      </c>
      <c r="F2859" s="191">
        <f t="shared" si="46"/>
        <v>293.5</v>
      </c>
    </row>
    <row r="2860" spans="2:6" ht="15" customHeight="1" x14ac:dyDescent="0.2">
      <c r="B2860" s="188" t="s">
        <v>5328</v>
      </c>
      <c r="C2860" s="189" t="s">
        <v>126</v>
      </c>
      <c r="D2860" s="189" t="s">
        <v>131</v>
      </c>
      <c r="E2860" s="190" t="s">
        <v>778</v>
      </c>
      <c r="F2860" s="191">
        <f t="shared" si="46"/>
        <v>206.58333333333334</v>
      </c>
    </row>
    <row r="2861" spans="2:6" ht="15" customHeight="1" x14ac:dyDescent="0.2">
      <c r="B2861" s="188" t="s">
        <v>5329</v>
      </c>
      <c r="C2861" s="189" t="s">
        <v>130</v>
      </c>
      <c r="D2861" s="189" t="s">
        <v>129</v>
      </c>
      <c r="E2861" s="190" t="s">
        <v>5330</v>
      </c>
      <c r="F2861" s="191">
        <f t="shared" si="46"/>
        <v>242.05</v>
      </c>
    </row>
    <row r="2862" spans="2:6" ht="15" customHeight="1" x14ac:dyDescent="0.2">
      <c r="B2862" s="188" t="s">
        <v>5331</v>
      </c>
      <c r="C2862" s="189" t="s">
        <v>128</v>
      </c>
      <c r="D2862" s="189" t="s">
        <v>152</v>
      </c>
      <c r="E2862" s="190" t="s">
        <v>2476</v>
      </c>
      <c r="F2862" s="191">
        <f t="shared" si="46"/>
        <v>236.76666666666668</v>
      </c>
    </row>
    <row r="2863" spans="2:6" ht="15" customHeight="1" x14ac:dyDescent="0.2">
      <c r="B2863" s="188" t="s">
        <v>5332</v>
      </c>
      <c r="C2863" s="189" t="s">
        <v>142</v>
      </c>
      <c r="D2863" s="189" t="s">
        <v>157</v>
      </c>
      <c r="E2863" s="190" t="s">
        <v>5333</v>
      </c>
      <c r="F2863" s="191">
        <f t="shared" si="46"/>
        <v>284.61666666666667</v>
      </c>
    </row>
    <row r="2864" spans="2:6" ht="15" customHeight="1" x14ac:dyDescent="0.2">
      <c r="B2864" s="188" t="s">
        <v>367</v>
      </c>
      <c r="C2864" s="189" t="s">
        <v>130</v>
      </c>
      <c r="D2864" s="189" t="s">
        <v>123</v>
      </c>
      <c r="E2864" s="190" t="s">
        <v>5334</v>
      </c>
      <c r="F2864" s="191">
        <f t="shared" si="46"/>
        <v>181.9</v>
      </c>
    </row>
    <row r="2865" spans="2:6" ht="15" customHeight="1" x14ac:dyDescent="0.2">
      <c r="B2865" s="188" t="s">
        <v>5335</v>
      </c>
      <c r="C2865" s="189" t="s">
        <v>124</v>
      </c>
      <c r="D2865" s="189" t="s">
        <v>144</v>
      </c>
      <c r="E2865" s="190" t="s">
        <v>5178</v>
      </c>
      <c r="F2865" s="191">
        <f t="shared" si="46"/>
        <v>256.91666666666669</v>
      </c>
    </row>
    <row r="2866" spans="2:6" ht="15" customHeight="1" x14ac:dyDescent="0.2">
      <c r="B2866" s="188" t="s">
        <v>5336</v>
      </c>
      <c r="C2866" s="189" t="s">
        <v>135</v>
      </c>
      <c r="D2866" s="189" t="s">
        <v>127</v>
      </c>
      <c r="E2866" s="190" t="s">
        <v>5337</v>
      </c>
      <c r="F2866" s="191">
        <f t="shared" si="46"/>
        <v>212.8</v>
      </c>
    </row>
    <row r="2867" spans="2:6" ht="15" customHeight="1" x14ac:dyDescent="0.2">
      <c r="B2867" s="188" t="s">
        <v>5245</v>
      </c>
      <c r="C2867" s="189" t="s">
        <v>134</v>
      </c>
      <c r="D2867" s="189" t="s">
        <v>123</v>
      </c>
      <c r="E2867" s="190" t="s">
        <v>5246</v>
      </c>
      <c r="F2867" s="191">
        <f t="shared" si="46"/>
        <v>221.6</v>
      </c>
    </row>
    <row r="2868" spans="2:6" ht="15" customHeight="1" x14ac:dyDescent="0.2">
      <c r="B2868" s="188" t="s">
        <v>5338</v>
      </c>
      <c r="C2868" s="189" t="s">
        <v>130</v>
      </c>
      <c r="D2868" s="189" t="s">
        <v>123</v>
      </c>
      <c r="E2868" s="190" t="s">
        <v>3613</v>
      </c>
      <c r="F2868" s="191">
        <f t="shared" si="46"/>
        <v>238.15</v>
      </c>
    </row>
    <row r="2869" spans="2:6" ht="15" customHeight="1" x14ac:dyDescent="0.2">
      <c r="B2869" s="188" t="s">
        <v>5339</v>
      </c>
      <c r="C2869" s="189" t="s">
        <v>126</v>
      </c>
      <c r="D2869" s="189" t="s">
        <v>123</v>
      </c>
      <c r="E2869" s="190" t="s">
        <v>5340</v>
      </c>
      <c r="F2869" s="191">
        <f t="shared" si="46"/>
        <v>252.36666666666667</v>
      </c>
    </row>
    <row r="2870" spans="2:6" ht="15" customHeight="1" x14ac:dyDescent="0.2">
      <c r="B2870" s="188" t="s">
        <v>5341</v>
      </c>
      <c r="C2870" s="189" t="s">
        <v>125</v>
      </c>
      <c r="D2870" s="189" t="s">
        <v>123</v>
      </c>
      <c r="E2870" s="190" t="s">
        <v>5342</v>
      </c>
      <c r="F2870" s="191">
        <f t="shared" si="46"/>
        <v>212.58333333333334</v>
      </c>
    </row>
    <row r="2871" spans="2:6" ht="15" customHeight="1" x14ac:dyDescent="0.2">
      <c r="B2871" s="188" t="s">
        <v>5343</v>
      </c>
      <c r="C2871" s="189" t="s">
        <v>128</v>
      </c>
      <c r="D2871" s="189" t="s">
        <v>123</v>
      </c>
      <c r="E2871" s="190" t="s">
        <v>5344</v>
      </c>
      <c r="F2871" s="191">
        <f t="shared" si="46"/>
        <v>252.45</v>
      </c>
    </row>
    <row r="2872" spans="2:6" ht="15" customHeight="1" x14ac:dyDescent="0.2">
      <c r="B2872" s="188" t="s">
        <v>5345</v>
      </c>
      <c r="C2872" s="189" t="s">
        <v>130</v>
      </c>
      <c r="D2872" s="189" t="s">
        <v>123</v>
      </c>
      <c r="E2872" s="190" t="s">
        <v>5346</v>
      </c>
      <c r="F2872" s="191">
        <f t="shared" si="46"/>
        <v>274.41666666666669</v>
      </c>
    </row>
    <row r="2873" spans="2:6" ht="15" customHeight="1" x14ac:dyDescent="0.2">
      <c r="B2873" s="188" t="s">
        <v>467</v>
      </c>
      <c r="C2873" s="189" t="s">
        <v>125</v>
      </c>
      <c r="D2873" s="189" t="s">
        <v>141</v>
      </c>
      <c r="E2873" s="190" t="s">
        <v>2294</v>
      </c>
      <c r="F2873" s="191">
        <f t="shared" si="46"/>
        <v>229.51666666666668</v>
      </c>
    </row>
    <row r="2874" spans="2:6" ht="15" customHeight="1" x14ac:dyDescent="0.2">
      <c r="B2874" s="188" t="s">
        <v>5347</v>
      </c>
      <c r="C2874" s="189" t="s">
        <v>142</v>
      </c>
      <c r="D2874" s="189" t="s">
        <v>123</v>
      </c>
      <c r="E2874" s="190" t="s">
        <v>5348</v>
      </c>
      <c r="F2874" s="191">
        <f t="shared" si="46"/>
        <v>268.14999999999998</v>
      </c>
    </row>
    <row r="2875" spans="2:6" ht="15" customHeight="1" x14ac:dyDescent="0.2">
      <c r="B2875" s="188" t="s">
        <v>5349</v>
      </c>
      <c r="C2875" s="189" t="s">
        <v>142</v>
      </c>
      <c r="D2875" s="189" t="s">
        <v>171</v>
      </c>
      <c r="E2875" s="190" t="s">
        <v>5350</v>
      </c>
      <c r="F2875" s="191">
        <f t="shared" si="46"/>
        <v>278.64999999999998</v>
      </c>
    </row>
    <row r="2876" spans="2:6" ht="15" customHeight="1" x14ac:dyDescent="0.2">
      <c r="B2876" s="188" t="s">
        <v>2113</v>
      </c>
      <c r="C2876" s="189" t="s">
        <v>134</v>
      </c>
      <c r="D2876" s="189" t="s">
        <v>123</v>
      </c>
      <c r="E2876" s="190" t="s">
        <v>2114</v>
      </c>
      <c r="F2876" s="191">
        <f t="shared" si="46"/>
        <v>190.26666666666668</v>
      </c>
    </row>
    <row r="2877" spans="2:6" ht="15" customHeight="1" x14ac:dyDescent="0.2">
      <c r="B2877" s="188" t="s">
        <v>5351</v>
      </c>
      <c r="C2877" s="189" t="s">
        <v>128</v>
      </c>
      <c r="D2877" s="189" t="s">
        <v>123</v>
      </c>
      <c r="E2877" s="190" t="s">
        <v>5352</v>
      </c>
      <c r="F2877" s="191">
        <f t="shared" si="46"/>
        <v>288.45</v>
      </c>
    </row>
    <row r="2878" spans="2:6" ht="15" customHeight="1" x14ac:dyDescent="0.2">
      <c r="B2878" s="188" t="s">
        <v>1161</v>
      </c>
      <c r="C2878" s="189" t="s">
        <v>130</v>
      </c>
      <c r="D2878" s="189" t="s">
        <v>123</v>
      </c>
      <c r="E2878" s="190" t="s">
        <v>1162</v>
      </c>
      <c r="F2878" s="191">
        <f t="shared" si="46"/>
        <v>190.83333333333334</v>
      </c>
    </row>
    <row r="2879" spans="2:6" ht="15" customHeight="1" x14ac:dyDescent="0.2">
      <c r="B2879" s="188" t="s">
        <v>5353</v>
      </c>
      <c r="C2879" s="189" t="s">
        <v>126</v>
      </c>
      <c r="D2879" s="189" t="s">
        <v>123</v>
      </c>
      <c r="E2879" s="190" t="s">
        <v>5354</v>
      </c>
      <c r="F2879" s="191">
        <f t="shared" si="46"/>
        <v>335.16666666666669</v>
      </c>
    </row>
    <row r="2880" spans="2:6" ht="15" customHeight="1" x14ac:dyDescent="0.2">
      <c r="B2880" s="188" t="s">
        <v>5355</v>
      </c>
      <c r="C2880" s="189" t="s">
        <v>142</v>
      </c>
      <c r="D2880" s="189" t="s">
        <v>123</v>
      </c>
      <c r="E2880" s="190" t="s">
        <v>5356</v>
      </c>
      <c r="F2880" s="191">
        <f t="shared" si="46"/>
        <v>262.06666666666666</v>
      </c>
    </row>
    <row r="2881" spans="2:6" ht="15" customHeight="1" x14ac:dyDescent="0.2">
      <c r="B2881" s="188" t="s">
        <v>478</v>
      </c>
      <c r="C2881" s="189" t="s">
        <v>136</v>
      </c>
      <c r="D2881" s="189" t="s">
        <v>133</v>
      </c>
      <c r="E2881" s="190" t="s">
        <v>5357</v>
      </c>
      <c r="F2881" s="191">
        <f t="shared" si="46"/>
        <v>322.64999999999998</v>
      </c>
    </row>
    <row r="2882" spans="2:6" ht="15" customHeight="1" x14ac:dyDescent="0.2">
      <c r="B2882" s="188" t="s">
        <v>264</v>
      </c>
      <c r="C2882" s="189" t="s">
        <v>124</v>
      </c>
      <c r="D2882" s="189" t="s">
        <v>131</v>
      </c>
      <c r="E2882" s="190" t="s">
        <v>5358</v>
      </c>
      <c r="F2882" s="191">
        <f t="shared" si="46"/>
        <v>279.28333333333336</v>
      </c>
    </row>
    <row r="2883" spans="2:6" ht="15" customHeight="1" x14ac:dyDescent="0.2">
      <c r="B2883" s="188" t="s">
        <v>4375</v>
      </c>
      <c r="C2883" s="189" t="s">
        <v>128</v>
      </c>
      <c r="D2883" s="189" t="s">
        <v>132</v>
      </c>
      <c r="E2883" s="190" t="s">
        <v>4376</v>
      </c>
      <c r="F2883" s="191">
        <f t="shared" si="46"/>
        <v>232.28333333333333</v>
      </c>
    </row>
    <row r="2884" spans="2:6" ht="15" customHeight="1" x14ac:dyDescent="0.2">
      <c r="B2884" s="188" t="s">
        <v>5163</v>
      </c>
      <c r="C2884" s="189" t="s">
        <v>134</v>
      </c>
      <c r="D2884" s="189" t="s">
        <v>149</v>
      </c>
      <c r="E2884" s="190" t="s">
        <v>5164</v>
      </c>
      <c r="F2884" s="191">
        <f t="shared" si="46"/>
        <v>265.71666666666664</v>
      </c>
    </row>
    <row r="2885" spans="2:6" ht="15" customHeight="1" x14ac:dyDescent="0.2">
      <c r="B2885" s="188" t="s">
        <v>5359</v>
      </c>
      <c r="C2885" s="189" t="s">
        <v>249</v>
      </c>
      <c r="D2885" s="189" t="s">
        <v>133</v>
      </c>
      <c r="E2885" s="190" t="s">
        <v>5360</v>
      </c>
      <c r="F2885" s="191">
        <f t="shared" si="46"/>
        <v>269.86666666666667</v>
      </c>
    </row>
    <row r="2886" spans="2:6" ht="15" customHeight="1" x14ac:dyDescent="0.2">
      <c r="B2886" s="188" t="s">
        <v>5361</v>
      </c>
      <c r="C2886" s="189" t="s">
        <v>140</v>
      </c>
      <c r="D2886" s="189" t="s">
        <v>123</v>
      </c>
      <c r="E2886" s="190" t="s">
        <v>2973</v>
      </c>
      <c r="F2886" s="191">
        <f t="shared" si="46"/>
        <v>250.35</v>
      </c>
    </row>
    <row r="2887" spans="2:6" ht="15" customHeight="1" x14ac:dyDescent="0.2">
      <c r="B2887" s="188" t="s">
        <v>355</v>
      </c>
      <c r="C2887" s="189" t="s">
        <v>136</v>
      </c>
      <c r="D2887" s="189" t="s">
        <v>123</v>
      </c>
      <c r="E2887" s="190" t="s">
        <v>5362</v>
      </c>
      <c r="F2887" s="191">
        <f t="shared" si="46"/>
        <v>229.95</v>
      </c>
    </row>
    <row r="2888" spans="2:6" ht="15" customHeight="1" x14ac:dyDescent="0.2">
      <c r="B2888" s="188" t="s">
        <v>5363</v>
      </c>
      <c r="C2888" s="189" t="s">
        <v>134</v>
      </c>
      <c r="D2888" s="189" t="s">
        <v>132</v>
      </c>
      <c r="E2888" s="190" t="s">
        <v>5364</v>
      </c>
      <c r="F2888" s="191">
        <f t="shared" si="46"/>
        <v>210.71666666666667</v>
      </c>
    </row>
    <row r="2889" spans="2:6" ht="15" customHeight="1" x14ac:dyDescent="0.2">
      <c r="B2889" s="188" t="s">
        <v>5365</v>
      </c>
      <c r="C2889" s="189" t="s">
        <v>134</v>
      </c>
      <c r="D2889" s="189" t="s">
        <v>123</v>
      </c>
      <c r="E2889" s="190" t="s">
        <v>5366</v>
      </c>
      <c r="F2889" s="191">
        <f t="shared" si="46"/>
        <v>249.58333333333334</v>
      </c>
    </row>
    <row r="2890" spans="2:6" ht="15" customHeight="1" x14ac:dyDescent="0.2">
      <c r="B2890" s="188" t="s">
        <v>5367</v>
      </c>
      <c r="C2890" s="189" t="s">
        <v>135</v>
      </c>
      <c r="D2890" s="189" t="s">
        <v>123</v>
      </c>
      <c r="E2890" s="190" t="s">
        <v>1292</v>
      </c>
      <c r="F2890" s="191">
        <f t="shared" si="46"/>
        <v>216.51666666666668</v>
      </c>
    </row>
    <row r="2891" spans="2:6" ht="15" customHeight="1" x14ac:dyDescent="0.2">
      <c r="B2891" s="188" t="s">
        <v>5368</v>
      </c>
      <c r="C2891" s="189" t="s">
        <v>128</v>
      </c>
      <c r="D2891" s="189" t="s">
        <v>123</v>
      </c>
      <c r="E2891" s="190" t="s">
        <v>2230</v>
      </c>
      <c r="F2891" s="191">
        <f t="shared" ref="F2891:F2954" si="47">HOUR(E2891)*60+MINUTE(E2891)+SECOND(E2891)/60</f>
        <v>233.31666666666666</v>
      </c>
    </row>
    <row r="2892" spans="2:6" ht="15" customHeight="1" x14ac:dyDescent="0.2">
      <c r="B2892" s="188" t="s">
        <v>246</v>
      </c>
      <c r="C2892" s="189" t="s">
        <v>124</v>
      </c>
      <c r="D2892" s="189" t="s">
        <v>210</v>
      </c>
      <c r="E2892" s="190" t="s">
        <v>5369</v>
      </c>
      <c r="F2892" s="191">
        <f t="shared" si="47"/>
        <v>260.3</v>
      </c>
    </row>
    <row r="2893" spans="2:6" ht="15" customHeight="1" x14ac:dyDescent="0.2">
      <c r="B2893" s="188" t="s">
        <v>5370</v>
      </c>
      <c r="C2893" s="189" t="s">
        <v>125</v>
      </c>
      <c r="D2893" s="189" t="s">
        <v>141</v>
      </c>
      <c r="E2893" s="190" t="s">
        <v>5371</v>
      </c>
      <c r="F2893" s="191">
        <f t="shared" si="47"/>
        <v>265.05</v>
      </c>
    </row>
    <row r="2894" spans="2:6" ht="15" customHeight="1" x14ac:dyDescent="0.2">
      <c r="B2894" s="188" t="s">
        <v>5372</v>
      </c>
      <c r="C2894" s="189" t="s">
        <v>130</v>
      </c>
      <c r="D2894" s="189" t="s">
        <v>148</v>
      </c>
      <c r="E2894" s="190" t="s">
        <v>5373</v>
      </c>
      <c r="F2894" s="191">
        <f t="shared" si="47"/>
        <v>289.13333333333333</v>
      </c>
    </row>
    <row r="2895" spans="2:6" ht="15" customHeight="1" x14ac:dyDescent="0.2">
      <c r="B2895" s="188" t="s">
        <v>3417</v>
      </c>
      <c r="C2895" s="189" t="s">
        <v>124</v>
      </c>
      <c r="D2895" s="189" t="s">
        <v>123</v>
      </c>
      <c r="E2895" s="190" t="s">
        <v>3418</v>
      </c>
      <c r="F2895" s="191">
        <f t="shared" si="47"/>
        <v>231.86666666666667</v>
      </c>
    </row>
    <row r="2896" spans="2:6" ht="15" customHeight="1" x14ac:dyDescent="0.2">
      <c r="B2896" s="188" t="s">
        <v>5374</v>
      </c>
      <c r="C2896" s="189" t="s">
        <v>142</v>
      </c>
      <c r="D2896" s="189" t="s">
        <v>123</v>
      </c>
      <c r="E2896" s="190" t="s">
        <v>1177</v>
      </c>
      <c r="F2896" s="191">
        <f t="shared" si="47"/>
        <v>237.76666666666668</v>
      </c>
    </row>
    <row r="2897" spans="2:6" ht="15" customHeight="1" x14ac:dyDescent="0.2">
      <c r="B2897" s="188" t="s">
        <v>5375</v>
      </c>
      <c r="C2897" s="189" t="s">
        <v>135</v>
      </c>
      <c r="D2897" s="189" t="s">
        <v>123</v>
      </c>
      <c r="E2897" s="190" t="s">
        <v>5376</v>
      </c>
      <c r="F2897" s="191">
        <f t="shared" si="47"/>
        <v>196.95</v>
      </c>
    </row>
    <row r="2898" spans="2:6" ht="15" customHeight="1" x14ac:dyDescent="0.2">
      <c r="B2898" s="188" t="s">
        <v>5377</v>
      </c>
      <c r="C2898" s="189" t="s">
        <v>130</v>
      </c>
      <c r="D2898" s="189" t="s">
        <v>138</v>
      </c>
      <c r="E2898" s="190" t="s">
        <v>5378</v>
      </c>
      <c r="F2898" s="191">
        <f t="shared" si="47"/>
        <v>207.88333333333333</v>
      </c>
    </row>
    <row r="2899" spans="2:6" ht="15" customHeight="1" x14ac:dyDescent="0.2">
      <c r="B2899" s="188" t="s">
        <v>5379</v>
      </c>
      <c r="C2899" s="189" t="s">
        <v>135</v>
      </c>
      <c r="D2899" s="189" t="s">
        <v>155</v>
      </c>
      <c r="E2899" s="190" t="s">
        <v>4243</v>
      </c>
      <c r="F2899" s="191">
        <f t="shared" si="47"/>
        <v>284.78333333333336</v>
      </c>
    </row>
    <row r="2900" spans="2:6" ht="15" customHeight="1" x14ac:dyDescent="0.2">
      <c r="B2900" s="188" t="s">
        <v>3285</v>
      </c>
      <c r="C2900" s="189" t="s">
        <v>142</v>
      </c>
      <c r="D2900" s="189" t="s">
        <v>129</v>
      </c>
      <c r="E2900" s="190" t="s">
        <v>3286</v>
      </c>
      <c r="F2900" s="191">
        <f t="shared" si="47"/>
        <v>231.96666666666667</v>
      </c>
    </row>
    <row r="2901" spans="2:6" ht="15" customHeight="1" x14ac:dyDescent="0.2">
      <c r="B2901" s="188" t="s">
        <v>5380</v>
      </c>
      <c r="C2901" s="189" t="s">
        <v>126</v>
      </c>
      <c r="D2901" s="189" t="s">
        <v>123</v>
      </c>
      <c r="E2901" s="190" t="s">
        <v>1475</v>
      </c>
      <c r="F2901" s="191">
        <f t="shared" si="47"/>
        <v>256.51666666666665</v>
      </c>
    </row>
    <row r="2902" spans="2:6" ht="15" customHeight="1" x14ac:dyDescent="0.2">
      <c r="B2902" s="188" t="s">
        <v>5381</v>
      </c>
      <c r="C2902" s="189" t="s">
        <v>128</v>
      </c>
      <c r="D2902" s="189" t="s">
        <v>157</v>
      </c>
      <c r="E2902" s="190" t="s">
        <v>5382</v>
      </c>
      <c r="F2902" s="191">
        <f t="shared" si="47"/>
        <v>290.88333333333333</v>
      </c>
    </row>
    <row r="2903" spans="2:6" ht="15" customHeight="1" x14ac:dyDescent="0.2">
      <c r="B2903" s="188" t="s">
        <v>5383</v>
      </c>
      <c r="C2903" s="189" t="s">
        <v>125</v>
      </c>
      <c r="D2903" s="189" t="s">
        <v>160</v>
      </c>
      <c r="E2903" s="190" t="s">
        <v>1592</v>
      </c>
      <c r="F2903" s="191">
        <f t="shared" si="47"/>
        <v>217.06666666666666</v>
      </c>
    </row>
    <row r="2904" spans="2:6" ht="15" customHeight="1" x14ac:dyDescent="0.2">
      <c r="B2904" s="188" t="s">
        <v>5384</v>
      </c>
      <c r="C2904" s="189" t="s">
        <v>136</v>
      </c>
      <c r="D2904" s="189" t="s">
        <v>123</v>
      </c>
      <c r="E2904" s="190" t="s">
        <v>1786</v>
      </c>
      <c r="F2904" s="191">
        <f t="shared" si="47"/>
        <v>293.43333333333334</v>
      </c>
    </row>
    <row r="2905" spans="2:6" ht="15" customHeight="1" x14ac:dyDescent="0.2">
      <c r="B2905" s="188" t="s">
        <v>5385</v>
      </c>
      <c r="C2905" s="189" t="s">
        <v>135</v>
      </c>
      <c r="D2905" s="189" t="s">
        <v>123</v>
      </c>
      <c r="E2905" s="190" t="s">
        <v>5386</v>
      </c>
      <c r="F2905" s="191">
        <f t="shared" si="47"/>
        <v>249.85</v>
      </c>
    </row>
    <row r="2906" spans="2:6" ht="15" customHeight="1" x14ac:dyDescent="0.2">
      <c r="B2906" s="188" t="s">
        <v>5387</v>
      </c>
      <c r="C2906" s="189" t="s">
        <v>249</v>
      </c>
      <c r="D2906" s="189" t="s">
        <v>123</v>
      </c>
      <c r="E2906" s="190" t="s">
        <v>5388</v>
      </c>
      <c r="F2906" s="191">
        <f t="shared" si="47"/>
        <v>342.35</v>
      </c>
    </row>
    <row r="2907" spans="2:6" ht="15" customHeight="1" x14ac:dyDescent="0.2">
      <c r="B2907" s="188" t="s">
        <v>254</v>
      </c>
      <c r="C2907" s="189" t="s">
        <v>125</v>
      </c>
      <c r="D2907" s="189" t="s">
        <v>123</v>
      </c>
      <c r="E2907" s="190" t="s">
        <v>1374</v>
      </c>
      <c r="F2907" s="191">
        <f t="shared" si="47"/>
        <v>265.28333333333336</v>
      </c>
    </row>
    <row r="2908" spans="2:6" ht="15" customHeight="1" x14ac:dyDescent="0.2">
      <c r="B2908" s="188" t="s">
        <v>5389</v>
      </c>
      <c r="C2908" s="189" t="s">
        <v>135</v>
      </c>
      <c r="D2908" s="189" t="s">
        <v>123</v>
      </c>
      <c r="E2908" s="190" t="s">
        <v>5390</v>
      </c>
      <c r="F2908" s="191">
        <f t="shared" si="47"/>
        <v>250.05</v>
      </c>
    </row>
    <row r="2909" spans="2:6" ht="15" customHeight="1" x14ac:dyDescent="0.2">
      <c r="B2909" s="188" t="s">
        <v>5391</v>
      </c>
      <c r="C2909" s="189" t="s">
        <v>124</v>
      </c>
      <c r="D2909" s="189" t="s">
        <v>141</v>
      </c>
      <c r="E2909" s="190" t="s">
        <v>4389</v>
      </c>
      <c r="F2909" s="191">
        <f t="shared" si="47"/>
        <v>249.35</v>
      </c>
    </row>
    <row r="2910" spans="2:6" ht="15" customHeight="1" x14ac:dyDescent="0.2">
      <c r="B2910" s="188" t="s">
        <v>433</v>
      </c>
      <c r="C2910" s="189" t="s">
        <v>135</v>
      </c>
      <c r="D2910" s="189" t="s">
        <v>148</v>
      </c>
      <c r="E2910" s="190" t="s">
        <v>5392</v>
      </c>
      <c r="F2910" s="191">
        <f t="shared" si="47"/>
        <v>276.78333333333336</v>
      </c>
    </row>
    <row r="2911" spans="2:6" ht="15" customHeight="1" x14ac:dyDescent="0.2">
      <c r="B2911" s="188" t="s">
        <v>5393</v>
      </c>
      <c r="C2911" s="189" t="s">
        <v>124</v>
      </c>
      <c r="D2911" s="189" t="s">
        <v>123</v>
      </c>
      <c r="E2911" s="190" t="s">
        <v>5070</v>
      </c>
      <c r="F2911" s="191">
        <f t="shared" si="47"/>
        <v>294.81666666666666</v>
      </c>
    </row>
    <row r="2912" spans="2:6" ht="15" customHeight="1" x14ac:dyDescent="0.2">
      <c r="B2912" s="188" t="s">
        <v>5172</v>
      </c>
      <c r="C2912" s="189" t="s">
        <v>124</v>
      </c>
      <c r="D2912" s="189" t="s">
        <v>123</v>
      </c>
      <c r="E2912" s="190" t="s">
        <v>1407</v>
      </c>
      <c r="F2912" s="191">
        <f t="shared" si="47"/>
        <v>191.01666666666668</v>
      </c>
    </row>
    <row r="2913" spans="2:6" ht="15" customHeight="1" x14ac:dyDescent="0.2">
      <c r="B2913" s="188" t="s">
        <v>5394</v>
      </c>
      <c r="C2913" s="189" t="s">
        <v>128</v>
      </c>
      <c r="D2913" s="189" t="s">
        <v>123</v>
      </c>
      <c r="E2913" s="190" t="s">
        <v>5395</v>
      </c>
      <c r="F2913" s="191">
        <f t="shared" si="47"/>
        <v>261.16666666666669</v>
      </c>
    </row>
    <row r="2914" spans="2:6" ht="15" customHeight="1" x14ac:dyDescent="0.2">
      <c r="B2914" s="188" t="s">
        <v>224</v>
      </c>
      <c r="C2914" s="189" t="s">
        <v>130</v>
      </c>
      <c r="D2914" s="189" t="s">
        <v>223</v>
      </c>
      <c r="E2914" s="190" t="s">
        <v>5396</v>
      </c>
      <c r="F2914" s="191">
        <f t="shared" si="47"/>
        <v>234.48333333333332</v>
      </c>
    </row>
    <row r="2915" spans="2:6" ht="15" customHeight="1" x14ac:dyDescent="0.2">
      <c r="B2915" s="188" t="s">
        <v>5397</v>
      </c>
      <c r="C2915" s="189" t="s">
        <v>124</v>
      </c>
      <c r="D2915" s="189" t="s">
        <v>160</v>
      </c>
      <c r="E2915" s="190" t="s">
        <v>1194</v>
      </c>
      <c r="F2915" s="191">
        <f t="shared" si="47"/>
        <v>219.75</v>
      </c>
    </row>
    <row r="2916" spans="2:6" ht="15" customHeight="1" x14ac:dyDescent="0.2">
      <c r="B2916" s="188" t="s">
        <v>5398</v>
      </c>
      <c r="C2916" s="189" t="s">
        <v>126</v>
      </c>
      <c r="D2916" s="189" t="s">
        <v>143</v>
      </c>
      <c r="E2916" s="190" t="s">
        <v>4429</v>
      </c>
      <c r="F2916" s="191">
        <f t="shared" si="47"/>
        <v>211.4</v>
      </c>
    </row>
    <row r="2917" spans="2:6" ht="15" customHeight="1" x14ac:dyDescent="0.2">
      <c r="B2917" s="188" t="s">
        <v>5399</v>
      </c>
      <c r="C2917" s="189" t="s">
        <v>128</v>
      </c>
      <c r="D2917" s="189" t="s">
        <v>123</v>
      </c>
      <c r="E2917" s="190" t="s">
        <v>5400</v>
      </c>
      <c r="F2917" s="191">
        <f t="shared" si="47"/>
        <v>257.06666666666666</v>
      </c>
    </row>
    <row r="2918" spans="2:6" ht="15" customHeight="1" x14ac:dyDescent="0.2">
      <c r="B2918" s="188" t="s">
        <v>1614</v>
      </c>
      <c r="C2918" s="189" t="s">
        <v>126</v>
      </c>
      <c r="D2918" s="189" t="s">
        <v>123</v>
      </c>
      <c r="E2918" s="190" t="s">
        <v>1615</v>
      </c>
      <c r="F2918" s="191">
        <f t="shared" si="47"/>
        <v>190.76666666666668</v>
      </c>
    </row>
    <row r="2919" spans="2:6" ht="15" customHeight="1" x14ac:dyDescent="0.2">
      <c r="B2919" s="188" t="s">
        <v>3109</v>
      </c>
      <c r="C2919" s="189" t="s">
        <v>136</v>
      </c>
      <c r="D2919" s="189" t="s">
        <v>123</v>
      </c>
      <c r="E2919" s="190" t="s">
        <v>2471</v>
      </c>
      <c r="F2919" s="191">
        <f t="shared" si="47"/>
        <v>266.26666666666665</v>
      </c>
    </row>
    <row r="2920" spans="2:6" ht="15" customHeight="1" x14ac:dyDescent="0.2">
      <c r="B2920" s="188" t="s">
        <v>5401</v>
      </c>
      <c r="C2920" s="189" t="s">
        <v>124</v>
      </c>
      <c r="D2920" s="189" t="s">
        <v>123</v>
      </c>
      <c r="E2920" s="190" t="s">
        <v>5402</v>
      </c>
      <c r="F2920" s="191">
        <f t="shared" si="47"/>
        <v>239.25</v>
      </c>
    </row>
    <row r="2921" spans="2:6" ht="15" customHeight="1" x14ac:dyDescent="0.2">
      <c r="B2921" s="188" t="s">
        <v>5403</v>
      </c>
      <c r="C2921" s="189" t="s">
        <v>124</v>
      </c>
      <c r="D2921" s="189" t="s">
        <v>123</v>
      </c>
      <c r="E2921" s="190" t="s">
        <v>5404</v>
      </c>
      <c r="F2921" s="191">
        <f t="shared" si="47"/>
        <v>257.53333333333336</v>
      </c>
    </row>
    <row r="2922" spans="2:6" ht="15" customHeight="1" x14ac:dyDescent="0.2">
      <c r="B2922" s="188" t="s">
        <v>5405</v>
      </c>
      <c r="C2922" s="189" t="s">
        <v>142</v>
      </c>
      <c r="D2922" s="189" t="s">
        <v>123</v>
      </c>
      <c r="E2922" s="190" t="s">
        <v>4544</v>
      </c>
      <c r="F2922" s="191">
        <f t="shared" si="47"/>
        <v>239.9</v>
      </c>
    </row>
    <row r="2923" spans="2:6" ht="15" customHeight="1" x14ac:dyDescent="0.2">
      <c r="B2923" s="188" t="s">
        <v>5406</v>
      </c>
      <c r="C2923" s="189" t="s">
        <v>126</v>
      </c>
      <c r="D2923" s="189" t="s">
        <v>123</v>
      </c>
      <c r="E2923" s="190" t="s">
        <v>2890</v>
      </c>
      <c r="F2923" s="191">
        <f t="shared" si="47"/>
        <v>298.10000000000002</v>
      </c>
    </row>
    <row r="2924" spans="2:6" ht="15" customHeight="1" x14ac:dyDescent="0.2">
      <c r="B2924" s="188" t="s">
        <v>5407</v>
      </c>
      <c r="C2924" s="189" t="s">
        <v>125</v>
      </c>
      <c r="D2924" s="189" t="s">
        <v>123</v>
      </c>
      <c r="E2924" s="190" t="s">
        <v>5408</v>
      </c>
      <c r="F2924" s="191">
        <f t="shared" si="47"/>
        <v>292.10000000000002</v>
      </c>
    </row>
    <row r="2925" spans="2:6" ht="15" customHeight="1" x14ac:dyDescent="0.2">
      <c r="B2925" s="188" t="s">
        <v>5409</v>
      </c>
      <c r="C2925" s="189" t="s">
        <v>126</v>
      </c>
      <c r="D2925" s="189" t="s">
        <v>123</v>
      </c>
      <c r="E2925" s="190" t="s">
        <v>2985</v>
      </c>
      <c r="F2925" s="191">
        <f t="shared" si="47"/>
        <v>227.88333333333333</v>
      </c>
    </row>
    <row r="2926" spans="2:6" ht="15" customHeight="1" x14ac:dyDescent="0.2">
      <c r="B2926" s="188" t="s">
        <v>5410</v>
      </c>
      <c r="C2926" s="189" t="s">
        <v>135</v>
      </c>
      <c r="D2926" s="189" t="s">
        <v>123</v>
      </c>
      <c r="E2926" s="190" t="s">
        <v>5411</v>
      </c>
      <c r="F2926" s="191">
        <f t="shared" si="47"/>
        <v>231.8</v>
      </c>
    </row>
    <row r="2927" spans="2:6" ht="15" customHeight="1" x14ac:dyDescent="0.2">
      <c r="B2927" s="188" t="s">
        <v>5412</v>
      </c>
      <c r="C2927" s="189" t="s">
        <v>142</v>
      </c>
      <c r="D2927" s="189" t="s">
        <v>123</v>
      </c>
      <c r="E2927" s="190" t="s">
        <v>5413</v>
      </c>
      <c r="F2927" s="191">
        <f t="shared" si="47"/>
        <v>262.60000000000002</v>
      </c>
    </row>
    <row r="2928" spans="2:6" ht="15" customHeight="1" x14ac:dyDescent="0.2">
      <c r="B2928" s="188" t="s">
        <v>5414</v>
      </c>
      <c r="C2928" s="189" t="s">
        <v>125</v>
      </c>
      <c r="D2928" s="189" t="s">
        <v>151</v>
      </c>
      <c r="E2928" s="190" t="s">
        <v>4536</v>
      </c>
      <c r="F2928" s="191">
        <f t="shared" si="47"/>
        <v>278.08333333333331</v>
      </c>
    </row>
    <row r="2929" spans="2:6" ht="15" customHeight="1" x14ac:dyDescent="0.2">
      <c r="B2929" s="188" t="s">
        <v>5368</v>
      </c>
      <c r="C2929" s="189" t="s">
        <v>125</v>
      </c>
      <c r="D2929" s="189" t="s">
        <v>171</v>
      </c>
      <c r="E2929" s="190" t="s">
        <v>1907</v>
      </c>
      <c r="F2929" s="191">
        <f t="shared" si="47"/>
        <v>233.33333333333334</v>
      </c>
    </row>
    <row r="2930" spans="2:6" ht="15" customHeight="1" x14ac:dyDescent="0.2">
      <c r="B2930" s="188" t="s">
        <v>5415</v>
      </c>
      <c r="C2930" s="189" t="s">
        <v>125</v>
      </c>
      <c r="D2930" s="189" t="s">
        <v>131</v>
      </c>
      <c r="E2930" s="190" t="s">
        <v>5416</v>
      </c>
      <c r="F2930" s="191">
        <f t="shared" si="47"/>
        <v>277.3</v>
      </c>
    </row>
    <row r="2931" spans="2:6" ht="15" customHeight="1" x14ac:dyDescent="0.2">
      <c r="B2931" s="188" t="s">
        <v>4142</v>
      </c>
      <c r="C2931" s="189" t="s">
        <v>130</v>
      </c>
      <c r="D2931" s="189" t="s">
        <v>169</v>
      </c>
      <c r="E2931" s="190" t="s">
        <v>4143</v>
      </c>
      <c r="F2931" s="191">
        <f t="shared" si="47"/>
        <v>190.03333333333333</v>
      </c>
    </row>
    <row r="2932" spans="2:6" ht="15" customHeight="1" x14ac:dyDescent="0.2">
      <c r="B2932" s="188" t="s">
        <v>1968</v>
      </c>
      <c r="C2932" s="189" t="s">
        <v>134</v>
      </c>
      <c r="D2932" s="189" t="s">
        <v>148</v>
      </c>
      <c r="E2932" s="190" t="s">
        <v>1969</v>
      </c>
      <c r="F2932" s="191">
        <f t="shared" si="47"/>
        <v>203.38333333333333</v>
      </c>
    </row>
    <row r="2933" spans="2:6" ht="15" customHeight="1" x14ac:dyDescent="0.2">
      <c r="B2933" s="188" t="s">
        <v>5417</v>
      </c>
      <c r="C2933" s="189" t="s">
        <v>130</v>
      </c>
      <c r="D2933" s="189" t="s">
        <v>123</v>
      </c>
      <c r="E2933" s="190" t="s">
        <v>5418</v>
      </c>
      <c r="F2933" s="191">
        <f t="shared" si="47"/>
        <v>248.55</v>
      </c>
    </row>
    <row r="2934" spans="2:6" ht="15" customHeight="1" x14ac:dyDescent="0.2">
      <c r="B2934" s="188" t="s">
        <v>5419</v>
      </c>
      <c r="C2934" s="189" t="s">
        <v>130</v>
      </c>
      <c r="D2934" s="189" t="s">
        <v>123</v>
      </c>
      <c r="E2934" s="190" t="s">
        <v>5420</v>
      </c>
      <c r="F2934" s="191">
        <f t="shared" si="47"/>
        <v>237.71666666666667</v>
      </c>
    </row>
    <row r="2935" spans="2:6" ht="15" customHeight="1" x14ac:dyDescent="0.2">
      <c r="B2935" s="188" t="s">
        <v>5421</v>
      </c>
      <c r="C2935" s="189" t="s">
        <v>126</v>
      </c>
      <c r="D2935" s="189" t="s">
        <v>123</v>
      </c>
      <c r="E2935" s="190" t="s">
        <v>5422</v>
      </c>
      <c r="F2935" s="191">
        <f t="shared" si="47"/>
        <v>179.51666666666668</v>
      </c>
    </row>
    <row r="2936" spans="2:6" ht="15" customHeight="1" x14ac:dyDescent="0.2">
      <c r="B2936" s="188" t="s">
        <v>5423</v>
      </c>
      <c r="C2936" s="189" t="s">
        <v>249</v>
      </c>
      <c r="D2936" s="189" t="s">
        <v>123</v>
      </c>
      <c r="E2936" s="190" t="s">
        <v>5424</v>
      </c>
      <c r="F2936" s="191">
        <f t="shared" si="47"/>
        <v>277.21666666666664</v>
      </c>
    </row>
    <row r="2937" spans="2:6" ht="15" customHeight="1" x14ac:dyDescent="0.2">
      <c r="B2937" s="188" t="s">
        <v>5425</v>
      </c>
      <c r="C2937" s="189" t="s">
        <v>142</v>
      </c>
      <c r="D2937" s="189" t="s">
        <v>123</v>
      </c>
      <c r="E2937" s="190" t="s">
        <v>5426</v>
      </c>
      <c r="F2937" s="191">
        <f t="shared" si="47"/>
        <v>209.63333333333333</v>
      </c>
    </row>
    <row r="2938" spans="2:6" ht="15" customHeight="1" x14ac:dyDescent="0.2">
      <c r="B2938" s="188" t="s">
        <v>271</v>
      </c>
      <c r="C2938" s="189" t="s">
        <v>126</v>
      </c>
      <c r="D2938" s="189" t="s">
        <v>133</v>
      </c>
      <c r="E2938" s="190" t="s">
        <v>5427</v>
      </c>
      <c r="F2938" s="191">
        <f t="shared" si="47"/>
        <v>268.08333333333331</v>
      </c>
    </row>
    <row r="2939" spans="2:6" ht="15" customHeight="1" x14ac:dyDescent="0.2">
      <c r="B2939" s="188" t="s">
        <v>5428</v>
      </c>
      <c r="C2939" s="189" t="s">
        <v>142</v>
      </c>
      <c r="D2939" s="189" t="s">
        <v>169</v>
      </c>
      <c r="E2939" s="190" t="s">
        <v>4765</v>
      </c>
      <c r="F2939" s="191">
        <f t="shared" si="47"/>
        <v>212.25</v>
      </c>
    </row>
    <row r="2940" spans="2:6" ht="15" customHeight="1" x14ac:dyDescent="0.2">
      <c r="B2940" s="188" t="s">
        <v>5429</v>
      </c>
      <c r="C2940" s="189" t="s">
        <v>142</v>
      </c>
      <c r="D2940" s="189" t="s">
        <v>123</v>
      </c>
      <c r="E2940" s="190" t="s">
        <v>5430</v>
      </c>
      <c r="F2940" s="191">
        <f t="shared" si="47"/>
        <v>280.8</v>
      </c>
    </row>
    <row r="2941" spans="2:6" ht="15" customHeight="1" x14ac:dyDescent="0.2">
      <c r="B2941" s="188" t="s">
        <v>956</v>
      </c>
      <c r="C2941" s="189" t="s">
        <v>126</v>
      </c>
      <c r="D2941" s="189" t="s">
        <v>147</v>
      </c>
      <c r="E2941" s="190" t="s">
        <v>957</v>
      </c>
      <c r="F2941" s="191">
        <f t="shared" si="47"/>
        <v>203.08333333333334</v>
      </c>
    </row>
    <row r="2942" spans="2:6" ht="15" customHeight="1" x14ac:dyDescent="0.2">
      <c r="B2942" s="188" t="s">
        <v>5431</v>
      </c>
      <c r="C2942" s="189" t="s">
        <v>124</v>
      </c>
      <c r="D2942" s="189" t="s">
        <v>123</v>
      </c>
      <c r="E2942" s="190" t="s">
        <v>5432</v>
      </c>
      <c r="F2942" s="191">
        <f t="shared" si="47"/>
        <v>278.05</v>
      </c>
    </row>
    <row r="2943" spans="2:6" ht="15" customHeight="1" x14ac:dyDescent="0.2">
      <c r="B2943" s="188" t="s">
        <v>644</v>
      </c>
      <c r="C2943" s="189" t="s">
        <v>124</v>
      </c>
      <c r="D2943" s="189" t="s">
        <v>171</v>
      </c>
      <c r="E2943" s="190" t="s">
        <v>1030</v>
      </c>
      <c r="F2943" s="191">
        <f t="shared" si="47"/>
        <v>262.51666666666665</v>
      </c>
    </row>
    <row r="2944" spans="2:6" ht="15" customHeight="1" x14ac:dyDescent="0.2">
      <c r="B2944" s="188" t="s">
        <v>562</v>
      </c>
      <c r="C2944" s="189" t="s">
        <v>125</v>
      </c>
      <c r="D2944" s="189" t="s">
        <v>123</v>
      </c>
      <c r="E2944" s="190" t="s">
        <v>1432</v>
      </c>
      <c r="F2944" s="191">
        <f t="shared" si="47"/>
        <v>221.3</v>
      </c>
    </row>
    <row r="2945" spans="2:6" ht="15" customHeight="1" x14ac:dyDescent="0.2">
      <c r="B2945" s="188" t="s">
        <v>5433</v>
      </c>
      <c r="C2945" s="189" t="s">
        <v>134</v>
      </c>
      <c r="D2945" s="189" t="s">
        <v>123</v>
      </c>
      <c r="E2945" s="190" t="s">
        <v>5434</v>
      </c>
      <c r="F2945" s="191">
        <f t="shared" si="47"/>
        <v>267.88333333333333</v>
      </c>
    </row>
    <row r="2946" spans="2:6" ht="15" customHeight="1" x14ac:dyDescent="0.2">
      <c r="B2946" s="188" t="s">
        <v>5435</v>
      </c>
      <c r="C2946" s="189" t="s">
        <v>142</v>
      </c>
      <c r="D2946" s="189" t="s">
        <v>123</v>
      </c>
      <c r="E2946" s="190" t="s">
        <v>2447</v>
      </c>
      <c r="F2946" s="191">
        <f t="shared" si="47"/>
        <v>248.9</v>
      </c>
    </row>
    <row r="2947" spans="2:6" ht="15" customHeight="1" x14ac:dyDescent="0.2">
      <c r="B2947" s="188" t="s">
        <v>5436</v>
      </c>
      <c r="C2947" s="189" t="s">
        <v>125</v>
      </c>
      <c r="D2947" s="189" t="s">
        <v>223</v>
      </c>
      <c r="E2947" s="190" t="s">
        <v>3231</v>
      </c>
      <c r="F2947" s="191">
        <f t="shared" si="47"/>
        <v>280.06666666666666</v>
      </c>
    </row>
    <row r="2948" spans="2:6" ht="15" customHeight="1" x14ac:dyDescent="0.2">
      <c r="B2948" s="188" t="s">
        <v>5437</v>
      </c>
      <c r="C2948" s="189" t="s">
        <v>135</v>
      </c>
      <c r="D2948" s="189" t="s">
        <v>131</v>
      </c>
      <c r="E2948" s="190" t="s">
        <v>5438</v>
      </c>
      <c r="F2948" s="191">
        <f t="shared" si="47"/>
        <v>231</v>
      </c>
    </row>
    <row r="2949" spans="2:6" ht="15" customHeight="1" x14ac:dyDescent="0.2">
      <c r="B2949" s="188" t="s">
        <v>5439</v>
      </c>
      <c r="C2949" s="189" t="s">
        <v>135</v>
      </c>
      <c r="D2949" s="189" t="s">
        <v>147</v>
      </c>
      <c r="E2949" s="190" t="s">
        <v>2491</v>
      </c>
      <c r="F2949" s="191">
        <f t="shared" si="47"/>
        <v>238.13333333333333</v>
      </c>
    </row>
    <row r="2950" spans="2:6" ht="15" customHeight="1" x14ac:dyDescent="0.2">
      <c r="B2950" s="188" t="s">
        <v>5440</v>
      </c>
      <c r="C2950" s="189" t="s">
        <v>125</v>
      </c>
      <c r="D2950" s="189" t="s">
        <v>123</v>
      </c>
      <c r="E2950" s="190" t="s">
        <v>1790</v>
      </c>
      <c r="F2950" s="191">
        <f t="shared" si="47"/>
        <v>257.93333333333334</v>
      </c>
    </row>
    <row r="2951" spans="2:6" ht="15" customHeight="1" x14ac:dyDescent="0.2">
      <c r="B2951" s="188" t="s">
        <v>5441</v>
      </c>
      <c r="C2951" s="189" t="s">
        <v>135</v>
      </c>
      <c r="D2951" s="189" t="s">
        <v>133</v>
      </c>
      <c r="E2951" s="190" t="s">
        <v>5442</v>
      </c>
      <c r="F2951" s="191">
        <f t="shared" si="47"/>
        <v>298.21666666666664</v>
      </c>
    </row>
    <row r="2952" spans="2:6" ht="15" customHeight="1" x14ac:dyDescent="0.2">
      <c r="B2952" s="188" t="s">
        <v>5443</v>
      </c>
      <c r="C2952" s="189" t="s">
        <v>142</v>
      </c>
      <c r="D2952" s="189" t="s">
        <v>123</v>
      </c>
      <c r="E2952" s="190" t="s">
        <v>5444</v>
      </c>
      <c r="F2952" s="191">
        <f t="shared" si="47"/>
        <v>290.11666666666667</v>
      </c>
    </row>
    <row r="2953" spans="2:6" ht="15" customHeight="1" x14ac:dyDescent="0.2">
      <c r="B2953" s="188" t="s">
        <v>5445</v>
      </c>
      <c r="C2953" s="189" t="s">
        <v>142</v>
      </c>
      <c r="D2953" s="189" t="s">
        <v>123</v>
      </c>
      <c r="E2953" s="190" t="s">
        <v>5446</v>
      </c>
      <c r="F2953" s="191">
        <f t="shared" si="47"/>
        <v>202.25</v>
      </c>
    </row>
    <row r="2954" spans="2:6" ht="15" customHeight="1" x14ac:dyDescent="0.2">
      <c r="B2954" s="188" t="s">
        <v>3442</v>
      </c>
      <c r="C2954" s="189" t="s">
        <v>142</v>
      </c>
      <c r="D2954" s="189" t="s">
        <v>123</v>
      </c>
      <c r="E2954" s="190" t="s">
        <v>3443</v>
      </c>
      <c r="F2954" s="191">
        <f t="shared" si="47"/>
        <v>302.68333333333334</v>
      </c>
    </row>
    <row r="2955" spans="2:6" ht="15" customHeight="1" x14ac:dyDescent="0.2">
      <c r="B2955" s="188" t="s">
        <v>5447</v>
      </c>
      <c r="C2955" s="189" t="s">
        <v>134</v>
      </c>
      <c r="D2955" s="189" t="s">
        <v>123</v>
      </c>
      <c r="E2955" s="190" t="s">
        <v>5448</v>
      </c>
      <c r="F2955" s="191">
        <f t="shared" ref="F2955:F3018" si="48">HOUR(E2955)*60+MINUTE(E2955)+SECOND(E2955)/60</f>
        <v>219.56666666666666</v>
      </c>
    </row>
    <row r="2956" spans="2:6" ht="15" customHeight="1" x14ac:dyDescent="0.2">
      <c r="B2956" s="188" t="s">
        <v>5449</v>
      </c>
      <c r="C2956" s="189" t="s">
        <v>125</v>
      </c>
      <c r="D2956" s="189" t="s">
        <v>210</v>
      </c>
      <c r="E2956" s="190" t="s">
        <v>5450</v>
      </c>
      <c r="F2956" s="191">
        <f t="shared" si="48"/>
        <v>300.28333333333336</v>
      </c>
    </row>
    <row r="2957" spans="2:6" ht="15" customHeight="1" x14ac:dyDescent="0.2">
      <c r="B2957" s="188" t="s">
        <v>5451</v>
      </c>
      <c r="C2957" s="189" t="s">
        <v>130</v>
      </c>
      <c r="D2957" s="189" t="s">
        <v>123</v>
      </c>
      <c r="E2957" s="190" t="s">
        <v>1530</v>
      </c>
      <c r="F2957" s="191">
        <f t="shared" si="48"/>
        <v>231.55</v>
      </c>
    </row>
    <row r="2958" spans="2:6" ht="15" customHeight="1" x14ac:dyDescent="0.2">
      <c r="B2958" s="188" t="s">
        <v>5452</v>
      </c>
      <c r="C2958" s="189" t="s">
        <v>134</v>
      </c>
      <c r="D2958" s="189" t="s">
        <v>123</v>
      </c>
      <c r="E2958" s="190" t="s">
        <v>5453</v>
      </c>
      <c r="F2958" s="191">
        <f t="shared" si="48"/>
        <v>277.78333333333336</v>
      </c>
    </row>
    <row r="2959" spans="2:6" ht="15" customHeight="1" x14ac:dyDescent="0.2">
      <c r="B2959" s="188" t="s">
        <v>634</v>
      </c>
      <c r="C2959" s="189" t="s">
        <v>130</v>
      </c>
      <c r="D2959" s="189" t="s">
        <v>123</v>
      </c>
      <c r="E2959" s="190" t="s">
        <v>3352</v>
      </c>
      <c r="F2959" s="191">
        <f t="shared" si="48"/>
        <v>237.08333333333334</v>
      </c>
    </row>
    <row r="2960" spans="2:6" ht="15" customHeight="1" x14ac:dyDescent="0.2">
      <c r="B2960" s="188" t="s">
        <v>498</v>
      </c>
      <c r="C2960" s="189" t="s">
        <v>124</v>
      </c>
      <c r="D2960" s="189" t="s">
        <v>132</v>
      </c>
      <c r="E2960" s="190" t="s">
        <v>5454</v>
      </c>
      <c r="F2960" s="191">
        <f t="shared" si="48"/>
        <v>231.28333333333333</v>
      </c>
    </row>
    <row r="2961" spans="2:6" ht="15" customHeight="1" x14ac:dyDescent="0.2">
      <c r="B2961" s="188" t="s">
        <v>5455</v>
      </c>
      <c r="C2961" s="189" t="s">
        <v>142</v>
      </c>
      <c r="D2961" s="189" t="s">
        <v>188</v>
      </c>
      <c r="E2961" s="190" t="s">
        <v>5456</v>
      </c>
      <c r="F2961" s="191">
        <f t="shared" si="48"/>
        <v>211.11666666666667</v>
      </c>
    </row>
    <row r="2962" spans="2:6" ht="15" customHeight="1" x14ac:dyDescent="0.2">
      <c r="B2962" s="188" t="s">
        <v>5457</v>
      </c>
      <c r="C2962" s="189" t="s">
        <v>130</v>
      </c>
      <c r="D2962" s="189" t="s">
        <v>155</v>
      </c>
      <c r="E2962" s="190" t="s">
        <v>5458</v>
      </c>
      <c r="F2962" s="191">
        <f t="shared" si="48"/>
        <v>235.6</v>
      </c>
    </row>
    <row r="2963" spans="2:6" ht="15" customHeight="1" x14ac:dyDescent="0.2">
      <c r="B2963" s="188" t="s">
        <v>5459</v>
      </c>
      <c r="C2963" s="189" t="s">
        <v>130</v>
      </c>
      <c r="D2963" s="189" t="s">
        <v>155</v>
      </c>
      <c r="E2963" s="190" t="s">
        <v>970</v>
      </c>
      <c r="F2963" s="191">
        <f t="shared" si="48"/>
        <v>253.05</v>
      </c>
    </row>
    <row r="2964" spans="2:6" ht="15" customHeight="1" x14ac:dyDescent="0.2">
      <c r="B2964" s="188" t="s">
        <v>5460</v>
      </c>
      <c r="C2964" s="189" t="s">
        <v>130</v>
      </c>
      <c r="D2964" s="189" t="s">
        <v>132</v>
      </c>
      <c r="E2964" s="190" t="s">
        <v>970</v>
      </c>
      <c r="F2964" s="191">
        <f t="shared" si="48"/>
        <v>253.05</v>
      </c>
    </row>
    <row r="2965" spans="2:6" ht="15" customHeight="1" x14ac:dyDescent="0.2">
      <c r="B2965" s="188" t="s">
        <v>5461</v>
      </c>
      <c r="C2965" s="189" t="s">
        <v>128</v>
      </c>
      <c r="D2965" s="189" t="s">
        <v>171</v>
      </c>
      <c r="E2965" s="190" t="s">
        <v>1874</v>
      </c>
      <c r="F2965" s="191">
        <f t="shared" si="48"/>
        <v>268.38333333333333</v>
      </c>
    </row>
    <row r="2966" spans="2:6" ht="15" customHeight="1" x14ac:dyDescent="0.2">
      <c r="B2966" s="188" t="s">
        <v>5462</v>
      </c>
      <c r="C2966" s="189" t="s">
        <v>124</v>
      </c>
      <c r="D2966" s="189" t="s">
        <v>218</v>
      </c>
      <c r="E2966" s="190" t="s">
        <v>5463</v>
      </c>
      <c r="F2966" s="191">
        <f t="shared" si="48"/>
        <v>224.15</v>
      </c>
    </row>
    <row r="2967" spans="2:6" ht="15" customHeight="1" x14ac:dyDescent="0.2">
      <c r="B2967" s="188" t="s">
        <v>5464</v>
      </c>
      <c r="C2967" s="189" t="s">
        <v>126</v>
      </c>
      <c r="D2967" s="189" t="s">
        <v>133</v>
      </c>
      <c r="E2967" s="190" t="s">
        <v>2896</v>
      </c>
      <c r="F2967" s="191">
        <f t="shared" si="48"/>
        <v>247.33333333333334</v>
      </c>
    </row>
    <row r="2968" spans="2:6" ht="15" customHeight="1" x14ac:dyDescent="0.2">
      <c r="B2968" s="188" t="s">
        <v>594</v>
      </c>
      <c r="C2968" s="189" t="s">
        <v>130</v>
      </c>
      <c r="D2968" s="189" t="s">
        <v>123</v>
      </c>
      <c r="E2968" s="190" t="s">
        <v>5465</v>
      </c>
      <c r="F2968" s="191">
        <f t="shared" si="48"/>
        <v>294.91666666666669</v>
      </c>
    </row>
    <row r="2969" spans="2:6" ht="15" customHeight="1" x14ac:dyDescent="0.2">
      <c r="B2969" s="188" t="s">
        <v>5466</v>
      </c>
      <c r="C2969" s="189" t="s">
        <v>125</v>
      </c>
      <c r="D2969" s="189" t="s">
        <v>208</v>
      </c>
      <c r="E2969" s="190" t="s">
        <v>5467</v>
      </c>
      <c r="F2969" s="191">
        <f t="shared" si="48"/>
        <v>210.61666666666667</v>
      </c>
    </row>
    <row r="2970" spans="2:6" ht="15" customHeight="1" x14ac:dyDescent="0.2">
      <c r="B2970" s="188" t="s">
        <v>5468</v>
      </c>
      <c r="C2970" s="189" t="s">
        <v>128</v>
      </c>
      <c r="D2970" s="189" t="s">
        <v>123</v>
      </c>
      <c r="E2970" s="190" t="s">
        <v>5469</v>
      </c>
      <c r="F2970" s="191">
        <f t="shared" si="48"/>
        <v>231.95</v>
      </c>
    </row>
    <row r="2971" spans="2:6" ht="15" customHeight="1" x14ac:dyDescent="0.2">
      <c r="B2971" s="188" t="s">
        <v>550</v>
      </c>
      <c r="C2971" s="189" t="s">
        <v>130</v>
      </c>
      <c r="D2971" s="189" t="s">
        <v>123</v>
      </c>
      <c r="E2971" s="190" t="s">
        <v>5420</v>
      </c>
      <c r="F2971" s="191">
        <f t="shared" si="48"/>
        <v>237.71666666666667</v>
      </c>
    </row>
    <row r="2972" spans="2:6" ht="15" customHeight="1" x14ac:dyDescent="0.2">
      <c r="B2972" s="188" t="s">
        <v>5470</v>
      </c>
      <c r="C2972" s="189" t="s">
        <v>134</v>
      </c>
      <c r="D2972" s="189" t="s">
        <v>131</v>
      </c>
      <c r="E2972" s="190" t="s">
        <v>1364</v>
      </c>
      <c r="F2972" s="191">
        <f t="shared" si="48"/>
        <v>251.93333333333334</v>
      </c>
    </row>
    <row r="2973" spans="2:6" ht="15" customHeight="1" x14ac:dyDescent="0.2">
      <c r="B2973" s="188" t="s">
        <v>5471</v>
      </c>
      <c r="C2973" s="189" t="s">
        <v>128</v>
      </c>
      <c r="D2973" s="189" t="s">
        <v>123</v>
      </c>
      <c r="E2973" s="190" t="s">
        <v>5472</v>
      </c>
      <c r="F2973" s="191">
        <f t="shared" si="48"/>
        <v>215.6</v>
      </c>
    </row>
    <row r="2974" spans="2:6" ht="15" customHeight="1" x14ac:dyDescent="0.2">
      <c r="B2974" s="188" t="s">
        <v>5473</v>
      </c>
      <c r="C2974" s="189" t="s">
        <v>249</v>
      </c>
      <c r="D2974" s="189" t="s">
        <v>123</v>
      </c>
      <c r="E2974" s="190" t="s">
        <v>5474</v>
      </c>
      <c r="F2974" s="191">
        <f t="shared" si="48"/>
        <v>227.38333333333333</v>
      </c>
    </row>
    <row r="2975" spans="2:6" ht="15" customHeight="1" x14ac:dyDescent="0.2">
      <c r="B2975" s="188" t="s">
        <v>5475</v>
      </c>
      <c r="C2975" s="189" t="s">
        <v>126</v>
      </c>
      <c r="D2975" s="189" t="s">
        <v>123</v>
      </c>
      <c r="E2975" s="190" t="s">
        <v>5476</v>
      </c>
      <c r="F2975" s="191">
        <f t="shared" si="48"/>
        <v>198.03333333333333</v>
      </c>
    </row>
    <row r="2976" spans="2:6" ht="15" customHeight="1" x14ac:dyDescent="0.2">
      <c r="B2976" s="188" t="s">
        <v>5477</v>
      </c>
      <c r="C2976" s="189" t="s">
        <v>125</v>
      </c>
      <c r="D2976" s="189" t="s">
        <v>123</v>
      </c>
      <c r="E2976" s="190" t="s">
        <v>5478</v>
      </c>
      <c r="F2976" s="191">
        <f t="shared" si="48"/>
        <v>254.71666666666667</v>
      </c>
    </row>
    <row r="2977" spans="2:6" ht="15" customHeight="1" x14ac:dyDescent="0.2">
      <c r="B2977" s="188" t="s">
        <v>926</v>
      </c>
      <c r="C2977" s="189" t="s">
        <v>130</v>
      </c>
      <c r="D2977" s="189" t="s">
        <v>187</v>
      </c>
      <c r="E2977" s="190" t="s">
        <v>927</v>
      </c>
      <c r="F2977" s="191">
        <f t="shared" si="48"/>
        <v>189.88333333333333</v>
      </c>
    </row>
    <row r="2978" spans="2:6" ht="15" customHeight="1" x14ac:dyDescent="0.2">
      <c r="B2978" s="188" t="s">
        <v>1396</v>
      </c>
      <c r="C2978" s="189" t="s">
        <v>130</v>
      </c>
      <c r="D2978" s="189" t="s">
        <v>144</v>
      </c>
      <c r="E2978" s="190" t="s">
        <v>1397</v>
      </c>
      <c r="F2978" s="191">
        <f t="shared" si="48"/>
        <v>221.8</v>
      </c>
    </row>
    <row r="2979" spans="2:6" ht="15" customHeight="1" x14ac:dyDescent="0.2">
      <c r="B2979" s="188" t="s">
        <v>664</v>
      </c>
      <c r="C2979" s="189" t="s">
        <v>130</v>
      </c>
      <c r="D2979" s="189" t="s">
        <v>160</v>
      </c>
      <c r="E2979" s="190" t="s">
        <v>4973</v>
      </c>
      <c r="F2979" s="191">
        <f t="shared" si="48"/>
        <v>300.23333333333335</v>
      </c>
    </row>
    <row r="2980" spans="2:6" ht="15" customHeight="1" x14ac:dyDescent="0.2">
      <c r="B2980" s="188" t="s">
        <v>5479</v>
      </c>
      <c r="C2980" s="189" t="s">
        <v>124</v>
      </c>
      <c r="D2980" s="189" t="s">
        <v>123</v>
      </c>
      <c r="E2980" s="190" t="s">
        <v>5480</v>
      </c>
      <c r="F2980" s="191">
        <f t="shared" si="48"/>
        <v>239.38333333333333</v>
      </c>
    </row>
    <row r="2981" spans="2:6" ht="15" customHeight="1" x14ac:dyDescent="0.2">
      <c r="B2981" s="188" t="s">
        <v>5481</v>
      </c>
      <c r="C2981" s="189" t="s">
        <v>130</v>
      </c>
      <c r="D2981" s="189" t="s">
        <v>123</v>
      </c>
      <c r="E2981" s="190" t="s">
        <v>5482</v>
      </c>
      <c r="F2981" s="191">
        <f t="shared" si="48"/>
        <v>202.03333333333333</v>
      </c>
    </row>
    <row r="2982" spans="2:6" ht="15" customHeight="1" x14ac:dyDescent="0.2">
      <c r="B2982" s="188" t="s">
        <v>5483</v>
      </c>
      <c r="C2982" s="189" t="s">
        <v>134</v>
      </c>
      <c r="D2982" s="189" t="s">
        <v>131</v>
      </c>
      <c r="E2982" s="190" t="s">
        <v>5484</v>
      </c>
      <c r="F2982" s="191">
        <f t="shared" si="48"/>
        <v>186.46666666666667</v>
      </c>
    </row>
    <row r="2983" spans="2:6" ht="15" customHeight="1" x14ac:dyDescent="0.2">
      <c r="B2983" s="188" t="s">
        <v>5485</v>
      </c>
      <c r="C2983" s="189" t="s">
        <v>135</v>
      </c>
      <c r="D2983" s="189" t="s">
        <v>123</v>
      </c>
      <c r="E2983" s="190" t="s">
        <v>5486</v>
      </c>
      <c r="F2983" s="191">
        <f t="shared" si="48"/>
        <v>262.89999999999998</v>
      </c>
    </row>
    <row r="2984" spans="2:6" ht="15" customHeight="1" x14ac:dyDescent="0.2">
      <c r="B2984" s="188" t="s">
        <v>5487</v>
      </c>
      <c r="C2984" s="189" t="s">
        <v>249</v>
      </c>
      <c r="D2984" s="189" t="s">
        <v>123</v>
      </c>
      <c r="E2984" s="190" t="s">
        <v>5488</v>
      </c>
      <c r="F2984" s="191">
        <f t="shared" si="48"/>
        <v>319.23333333333335</v>
      </c>
    </row>
    <row r="2985" spans="2:6" ht="15" customHeight="1" x14ac:dyDescent="0.2">
      <c r="B2985" s="188" t="s">
        <v>5489</v>
      </c>
      <c r="C2985" s="189" t="s">
        <v>126</v>
      </c>
      <c r="D2985" s="189" t="s">
        <v>123</v>
      </c>
      <c r="E2985" s="190" t="s">
        <v>5490</v>
      </c>
      <c r="F2985" s="191">
        <f t="shared" si="48"/>
        <v>311.33333333333331</v>
      </c>
    </row>
    <row r="2986" spans="2:6" ht="15" customHeight="1" x14ac:dyDescent="0.2">
      <c r="B2986" s="188" t="s">
        <v>5491</v>
      </c>
      <c r="C2986" s="189" t="s">
        <v>126</v>
      </c>
      <c r="D2986" s="189" t="s">
        <v>123</v>
      </c>
      <c r="E2986" s="190" t="s">
        <v>5492</v>
      </c>
      <c r="F2986" s="191">
        <f t="shared" si="48"/>
        <v>235.9</v>
      </c>
    </row>
    <row r="2987" spans="2:6" ht="15" customHeight="1" x14ac:dyDescent="0.2">
      <c r="B2987" s="188" t="s">
        <v>5493</v>
      </c>
      <c r="C2987" s="189" t="s">
        <v>126</v>
      </c>
      <c r="D2987" s="189" t="s">
        <v>129</v>
      </c>
      <c r="E2987" s="190" t="s">
        <v>5494</v>
      </c>
      <c r="F2987" s="191">
        <f t="shared" si="48"/>
        <v>208.96666666666667</v>
      </c>
    </row>
    <row r="2988" spans="2:6" ht="15" customHeight="1" x14ac:dyDescent="0.2">
      <c r="B2988" s="188" t="s">
        <v>5495</v>
      </c>
      <c r="C2988" s="189" t="s">
        <v>142</v>
      </c>
      <c r="D2988" s="189" t="s">
        <v>123</v>
      </c>
      <c r="E2988" s="190" t="s">
        <v>5496</v>
      </c>
      <c r="F2988" s="191">
        <f t="shared" si="48"/>
        <v>313.56666666666666</v>
      </c>
    </row>
    <row r="2989" spans="2:6" ht="15" customHeight="1" x14ac:dyDescent="0.2">
      <c r="B2989" s="188" t="s">
        <v>5497</v>
      </c>
      <c r="C2989" s="189" t="s">
        <v>134</v>
      </c>
      <c r="D2989" s="189" t="s">
        <v>123</v>
      </c>
      <c r="E2989" s="190" t="s">
        <v>2501</v>
      </c>
      <c r="F2989" s="191">
        <f t="shared" si="48"/>
        <v>206.71666666666667</v>
      </c>
    </row>
    <row r="2990" spans="2:6" ht="15" customHeight="1" x14ac:dyDescent="0.2">
      <c r="B2990" s="188" t="s">
        <v>5498</v>
      </c>
      <c r="C2990" s="189" t="s">
        <v>134</v>
      </c>
      <c r="D2990" s="189" t="s">
        <v>123</v>
      </c>
      <c r="E2990" s="190" t="s">
        <v>3256</v>
      </c>
      <c r="F2990" s="191">
        <f t="shared" si="48"/>
        <v>190.38333333333333</v>
      </c>
    </row>
    <row r="2991" spans="2:6" ht="15" customHeight="1" x14ac:dyDescent="0.2">
      <c r="B2991" s="188" t="s">
        <v>5499</v>
      </c>
      <c r="C2991" s="189" t="s">
        <v>128</v>
      </c>
      <c r="D2991" s="189" t="s">
        <v>123</v>
      </c>
      <c r="E2991" s="190" t="s">
        <v>5500</v>
      </c>
      <c r="F2991" s="191">
        <f t="shared" si="48"/>
        <v>255.4</v>
      </c>
    </row>
    <row r="2992" spans="2:6" ht="15" customHeight="1" x14ac:dyDescent="0.2">
      <c r="B2992" s="188" t="s">
        <v>5501</v>
      </c>
      <c r="C2992" s="189" t="s">
        <v>142</v>
      </c>
      <c r="D2992" s="189" t="s">
        <v>212</v>
      </c>
      <c r="E2992" s="190" t="s">
        <v>5502</v>
      </c>
      <c r="F2992" s="191">
        <f t="shared" si="48"/>
        <v>195.26666666666668</v>
      </c>
    </row>
    <row r="2993" spans="2:6" ht="15" customHeight="1" x14ac:dyDescent="0.2">
      <c r="B2993" s="188" t="s">
        <v>5503</v>
      </c>
      <c r="C2993" s="189" t="s">
        <v>126</v>
      </c>
      <c r="D2993" s="189" t="s">
        <v>176</v>
      </c>
      <c r="E2993" s="190" t="s">
        <v>5504</v>
      </c>
      <c r="F2993" s="191">
        <f t="shared" si="48"/>
        <v>206.6</v>
      </c>
    </row>
    <row r="2994" spans="2:6" ht="15" customHeight="1" x14ac:dyDescent="0.2">
      <c r="B2994" s="188" t="s">
        <v>5505</v>
      </c>
      <c r="C2994" s="189" t="s">
        <v>124</v>
      </c>
      <c r="D2994" s="189" t="s">
        <v>123</v>
      </c>
      <c r="E2994" s="190" t="s">
        <v>5506</v>
      </c>
      <c r="F2994" s="191">
        <f t="shared" si="48"/>
        <v>249.76666666666668</v>
      </c>
    </row>
    <row r="2995" spans="2:6" ht="15" customHeight="1" x14ac:dyDescent="0.2">
      <c r="B2995" s="188" t="s">
        <v>5507</v>
      </c>
      <c r="C2995" s="189" t="s">
        <v>130</v>
      </c>
      <c r="D2995" s="189" t="s">
        <v>155</v>
      </c>
      <c r="E2995" s="190" t="s">
        <v>5508</v>
      </c>
      <c r="F2995" s="191">
        <f t="shared" si="48"/>
        <v>179.53333333333333</v>
      </c>
    </row>
    <row r="2996" spans="2:6" ht="15" customHeight="1" x14ac:dyDescent="0.2">
      <c r="B2996" s="188" t="s">
        <v>5509</v>
      </c>
      <c r="C2996" s="189" t="s">
        <v>124</v>
      </c>
      <c r="D2996" s="189" t="s">
        <v>155</v>
      </c>
      <c r="E2996" s="190" t="s">
        <v>1890</v>
      </c>
      <c r="F2996" s="191">
        <f t="shared" si="48"/>
        <v>235.05</v>
      </c>
    </row>
    <row r="2997" spans="2:6" ht="15" customHeight="1" x14ac:dyDescent="0.2">
      <c r="B2997" s="188" t="s">
        <v>5510</v>
      </c>
      <c r="C2997" s="189" t="s">
        <v>125</v>
      </c>
      <c r="D2997" s="189" t="s">
        <v>123</v>
      </c>
      <c r="E2997" s="190" t="s">
        <v>5511</v>
      </c>
      <c r="F2997" s="191">
        <f t="shared" si="48"/>
        <v>308.10000000000002</v>
      </c>
    </row>
    <row r="2998" spans="2:6" ht="15" customHeight="1" x14ac:dyDescent="0.2">
      <c r="B2998" s="188" t="s">
        <v>5512</v>
      </c>
      <c r="C2998" s="189" t="s">
        <v>125</v>
      </c>
      <c r="D2998" s="189" t="s">
        <v>144</v>
      </c>
      <c r="E2998" s="190" t="s">
        <v>5513</v>
      </c>
      <c r="F2998" s="191">
        <f t="shared" si="48"/>
        <v>250.41666666666666</v>
      </c>
    </row>
    <row r="2999" spans="2:6" ht="15" customHeight="1" x14ac:dyDescent="0.2">
      <c r="B2999" s="188" t="s">
        <v>5514</v>
      </c>
      <c r="C2999" s="189" t="s">
        <v>134</v>
      </c>
      <c r="D2999" s="189" t="s">
        <v>123</v>
      </c>
      <c r="E2999" s="190" t="s">
        <v>5515</v>
      </c>
      <c r="F2999" s="191">
        <f t="shared" si="48"/>
        <v>270.5</v>
      </c>
    </row>
    <row r="3000" spans="2:6" ht="15" customHeight="1" x14ac:dyDescent="0.2">
      <c r="B3000" s="188" t="s">
        <v>5516</v>
      </c>
      <c r="C3000" s="189" t="s">
        <v>126</v>
      </c>
      <c r="D3000" s="189" t="s">
        <v>210</v>
      </c>
      <c r="E3000" s="190" t="s">
        <v>5517</v>
      </c>
      <c r="F3000" s="191">
        <f t="shared" si="48"/>
        <v>227.76666666666668</v>
      </c>
    </row>
    <row r="3001" spans="2:6" ht="15" customHeight="1" x14ac:dyDescent="0.2">
      <c r="B3001" s="188" t="s">
        <v>5518</v>
      </c>
      <c r="C3001" s="189" t="s">
        <v>126</v>
      </c>
      <c r="D3001" s="189" t="s">
        <v>123</v>
      </c>
      <c r="E3001" s="190" t="s">
        <v>5519</v>
      </c>
      <c r="F3001" s="191">
        <f t="shared" si="48"/>
        <v>206.75</v>
      </c>
    </row>
    <row r="3002" spans="2:6" ht="15" customHeight="1" x14ac:dyDescent="0.2">
      <c r="B3002" s="188" t="s">
        <v>5520</v>
      </c>
      <c r="C3002" s="189" t="s">
        <v>249</v>
      </c>
      <c r="D3002" s="189" t="s">
        <v>123</v>
      </c>
      <c r="E3002" s="190" t="s">
        <v>5521</v>
      </c>
      <c r="F3002" s="191">
        <f t="shared" si="48"/>
        <v>250.26666666666668</v>
      </c>
    </row>
    <row r="3003" spans="2:6" ht="15" customHeight="1" x14ac:dyDescent="0.2">
      <c r="B3003" s="188" t="s">
        <v>5522</v>
      </c>
      <c r="C3003" s="189" t="s">
        <v>124</v>
      </c>
      <c r="D3003" s="189" t="s">
        <v>123</v>
      </c>
      <c r="E3003" s="190" t="s">
        <v>5523</v>
      </c>
      <c r="F3003" s="191">
        <f t="shared" si="48"/>
        <v>226.7</v>
      </c>
    </row>
    <row r="3004" spans="2:6" ht="15" customHeight="1" x14ac:dyDescent="0.2">
      <c r="B3004" s="188" t="s">
        <v>337</v>
      </c>
      <c r="C3004" s="189" t="s">
        <v>124</v>
      </c>
      <c r="D3004" s="189" t="s">
        <v>123</v>
      </c>
      <c r="E3004" s="190" t="s">
        <v>1453</v>
      </c>
      <c r="F3004" s="191">
        <f t="shared" si="48"/>
        <v>267.8</v>
      </c>
    </row>
    <row r="3005" spans="2:6" ht="15" customHeight="1" x14ac:dyDescent="0.2">
      <c r="B3005" s="188" t="s">
        <v>5524</v>
      </c>
      <c r="C3005" s="189" t="s">
        <v>128</v>
      </c>
      <c r="D3005" s="189" t="s">
        <v>208</v>
      </c>
      <c r="E3005" s="190" t="s">
        <v>5525</v>
      </c>
      <c r="F3005" s="191">
        <f t="shared" si="48"/>
        <v>209.23333333333332</v>
      </c>
    </row>
    <row r="3006" spans="2:6" ht="15" customHeight="1" x14ac:dyDescent="0.2">
      <c r="B3006" s="188" t="s">
        <v>5526</v>
      </c>
      <c r="C3006" s="189" t="s">
        <v>130</v>
      </c>
      <c r="D3006" s="189" t="s">
        <v>132</v>
      </c>
      <c r="E3006" s="190" t="s">
        <v>4504</v>
      </c>
      <c r="F3006" s="191">
        <f t="shared" si="48"/>
        <v>239.43333333333334</v>
      </c>
    </row>
    <row r="3007" spans="2:6" ht="15" customHeight="1" x14ac:dyDescent="0.2">
      <c r="B3007" s="188" t="s">
        <v>5527</v>
      </c>
      <c r="C3007" s="189" t="s">
        <v>125</v>
      </c>
      <c r="D3007" s="189" t="s">
        <v>157</v>
      </c>
      <c r="E3007" s="190" t="s">
        <v>5528</v>
      </c>
      <c r="F3007" s="191">
        <f t="shared" si="48"/>
        <v>252.75</v>
      </c>
    </row>
    <row r="3008" spans="2:6" ht="15" customHeight="1" x14ac:dyDescent="0.2">
      <c r="B3008" s="188" t="s">
        <v>5529</v>
      </c>
      <c r="C3008" s="189" t="s">
        <v>124</v>
      </c>
      <c r="D3008" s="189" t="s">
        <v>123</v>
      </c>
      <c r="E3008" s="190" t="s">
        <v>5530</v>
      </c>
      <c r="F3008" s="191">
        <f t="shared" si="48"/>
        <v>184.61666666666667</v>
      </c>
    </row>
    <row r="3009" spans="2:6" ht="15" customHeight="1" x14ac:dyDescent="0.2">
      <c r="B3009" s="188" t="s">
        <v>5531</v>
      </c>
      <c r="C3009" s="189" t="s">
        <v>128</v>
      </c>
      <c r="D3009" s="189" t="s">
        <v>169</v>
      </c>
      <c r="E3009" s="190" t="s">
        <v>1401</v>
      </c>
      <c r="F3009" s="191">
        <f t="shared" si="48"/>
        <v>209.26666666666668</v>
      </c>
    </row>
    <row r="3010" spans="2:6" ht="15" customHeight="1" x14ac:dyDescent="0.2">
      <c r="B3010" s="188" t="s">
        <v>5532</v>
      </c>
      <c r="C3010" s="189" t="s">
        <v>135</v>
      </c>
      <c r="D3010" s="189" t="s">
        <v>123</v>
      </c>
      <c r="E3010" s="190" t="s">
        <v>5533</v>
      </c>
      <c r="F3010" s="191">
        <f t="shared" si="48"/>
        <v>258.33333333333331</v>
      </c>
    </row>
    <row r="3011" spans="2:6" ht="15" customHeight="1" x14ac:dyDescent="0.2">
      <c r="B3011" s="188" t="s">
        <v>5534</v>
      </c>
      <c r="C3011" s="189" t="s">
        <v>130</v>
      </c>
      <c r="D3011" s="189" t="s">
        <v>141</v>
      </c>
      <c r="E3011" s="190" t="s">
        <v>5535</v>
      </c>
      <c r="F3011" s="191">
        <f t="shared" si="48"/>
        <v>264.61666666666667</v>
      </c>
    </row>
    <row r="3012" spans="2:6" ht="15" customHeight="1" x14ac:dyDescent="0.2">
      <c r="B3012" s="188" t="s">
        <v>5536</v>
      </c>
      <c r="C3012" s="189" t="s">
        <v>134</v>
      </c>
      <c r="D3012" s="189" t="s">
        <v>148</v>
      </c>
      <c r="E3012" s="190" t="s">
        <v>5537</v>
      </c>
      <c r="F3012" s="191">
        <f t="shared" si="48"/>
        <v>285.05</v>
      </c>
    </row>
    <row r="3013" spans="2:6" ht="15" customHeight="1" x14ac:dyDescent="0.2">
      <c r="B3013" s="188" t="s">
        <v>1171</v>
      </c>
      <c r="C3013" s="189" t="s">
        <v>130</v>
      </c>
      <c r="D3013" s="189" t="s">
        <v>123</v>
      </c>
      <c r="E3013" s="190" t="s">
        <v>1172</v>
      </c>
      <c r="F3013" s="191">
        <f t="shared" si="48"/>
        <v>303.78333333333336</v>
      </c>
    </row>
    <row r="3014" spans="2:6" ht="15" customHeight="1" x14ac:dyDescent="0.2">
      <c r="B3014" s="188" t="s">
        <v>5538</v>
      </c>
      <c r="C3014" s="189" t="s">
        <v>125</v>
      </c>
      <c r="D3014" s="189" t="s">
        <v>123</v>
      </c>
      <c r="E3014" s="190" t="s">
        <v>3693</v>
      </c>
      <c r="F3014" s="191">
        <f t="shared" si="48"/>
        <v>256.89999999999998</v>
      </c>
    </row>
    <row r="3015" spans="2:6" ht="15" customHeight="1" x14ac:dyDescent="0.2">
      <c r="B3015" s="188" t="s">
        <v>5539</v>
      </c>
      <c r="C3015" s="189" t="s">
        <v>128</v>
      </c>
      <c r="D3015" s="189" t="s">
        <v>123</v>
      </c>
      <c r="E3015" s="190" t="s">
        <v>5540</v>
      </c>
      <c r="F3015" s="191">
        <f t="shared" si="48"/>
        <v>328.28333333333336</v>
      </c>
    </row>
    <row r="3016" spans="2:6" ht="15" customHeight="1" x14ac:dyDescent="0.2">
      <c r="B3016" s="188" t="s">
        <v>5541</v>
      </c>
      <c r="C3016" s="189" t="s">
        <v>135</v>
      </c>
      <c r="D3016" s="189" t="s">
        <v>155</v>
      </c>
      <c r="E3016" s="190" t="s">
        <v>2296</v>
      </c>
      <c r="F3016" s="191">
        <f t="shared" si="48"/>
        <v>267.46666666666664</v>
      </c>
    </row>
    <row r="3017" spans="2:6" ht="15" customHeight="1" x14ac:dyDescent="0.2">
      <c r="B3017" s="188" t="s">
        <v>268</v>
      </c>
      <c r="C3017" s="189" t="s">
        <v>128</v>
      </c>
      <c r="D3017" s="189" t="s">
        <v>129</v>
      </c>
      <c r="E3017" s="190" t="s">
        <v>5542</v>
      </c>
      <c r="F3017" s="191">
        <f t="shared" si="48"/>
        <v>314.16666666666669</v>
      </c>
    </row>
    <row r="3018" spans="2:6" ht="15" customHeight="1" x14ac:dyDescent="0.2">
      <c r="B3018" s="188" t="s">
        <v>5543</v>
      </c>
      <c r="C3018" s="189" t="s">
        <v>128</v>
      </c>
      <c r="D3018" s="189" t="s">
        <v>123</v>
      </c>
      <c r="E3018" s="190" t="s">
        <v>2195</v>
      </c>
      <c r="F3018" s="191">
        <f t="shared" si="48"/>
        <v>229.91666666666666</v>
      </c>
    </row>
    <row r="3019" spans="2:6" ht="15" customHeight="1" x14ac:dyDescent="0.2">
      <c r="B3019" s="188" t="s">
        <v>5544</v>
      </c>
      <c r="C3019" s="189" t="s">
        <v>124</v>
      </c>
      <c r="D3019" s="189" t="s">
        <v>123</v>
      </c>
      <c r="E3019" s="190" t="s">
        <v>2080</v>
      </c>
      <c r="F3019" s="191">
        <f t="shared" ref="F3019:F3082" si="49">HOUR(E3019)*60+MINUTE(E3019)+SECOND(E3019)/60</f>
        <v>298.89999999999998</v>
      </c>
    </row>
    <row r="3020" spans="2:6" ht="15" customHeight="1" x14ac:dyDescent="0.2">
      <c r="B3020" s="188" t="s">
        <v>5545</v>
      </c>
      <c r="C3020" s="189" t="s">
        <v>134</v>
      </c>
      <c r="D3020" s="189" t="s">
        <v>123</v>
      </c>
      <c r="E3020" s="190" t="s">
        <v>5546</v>
      </c>
      <c r="F3020" s="191">
        <f t="shared" si="49"/>
        <v>283</v>
      </c>
    </row>
    <row r="3021" spans="2:6" ht="15" customHeight="1" x14ac:dyDescent="0.2">
      <c r="B3021" s="188" t="s">
        <v>5547</v>
      </c>
      <c r="C3021" s="189" t="s">
        <v>140</v>
      </c>
      <c r="D3021" s="189" t="s">
        <v>207</v>
      </c>
      <c r="E3021" s="190" t="s">
        <v>2546</v>
      </c>
      <c r="F3021" s="191">
        <f t="shared" si="49"/>
        <v>208.4</v>
      </c>
    </row>
    <row r="3022" spans="2:6" ht="15" customHeight="1" x14ac:dyDescent="0.2">
      <c r="B3022" s="188" t="s">
        <v>162</v>
      </c>
      <c r="C3022" s="189" t="s">
        <v>130</v>
      </c>
      <c r="D3022" s="189" t="s">
        <v>123</v>
      </c>
      <c r="E3022" s="190" t="s">
        <v>5548</v>
      </c>
      <c r="F3022" s="191">
        <f t="shared" si="49"/>
        <v>226.25</v>
      </c>
    </row>
    <row r="3023" spans="2:6" ht="15" customHeight="1" x14ac:dyDescent="0.2">
      <c r="B3023" s="188" t="s">
        <v>5549</v>
      </c>
      <c r="C3023" s="189" t="s">
        <v>126</v>
      </c>
      <c r="D3023" s="189" t="s">
        <v>123</v>
      </c>
      <c r="E3023" s="190" t="s">
        <v>5291</v>
      </c>
      <c r="F3023" s="191">
        <f t="shared" si="49"/>
        <v>265.98333333333335</v>
      </c>
    </row>
    <row r="3024" spans="2:6" ht="15" customHeight="1" x14ac:dyDescent="0.2">
      <c r="B3024" s="188" t="s">
        <v>5550</v>
      </c>
      <c r="C3024" s="189" t="s">
        <v>124</v>
      </c>
      <c r="D3024" s="189" t="s">
        <v>123</v>
      </c>
      <c r="E3024" s="190" t="s">
        <v>5551</v>
      </c>
      <c r="F3024" s="191">
        <f t="shared" si="49"/>
        <v>199.76666666666668</v>
      </c>
    </row>
    <row r="3025" spans="2:6" ht="15" customHeight="1" x14ac:dyDescent="0.2">
      <c r="B3025" s="188" t="s">
        <v>5552</v>
      </c>
      <c r="C3025" s="189" t="s">
        <v>130</v>
      </c>
      <c r="D3025" s="189" t="s">
        <v>123</v>
      </c>
      <c r="E3025" s="190" t="s">
        <v>5553</v>
      </c>
      <c r="F3025" s="191">
        <f t="shared" si="49"/>
        <v>195.23333333333332</v>
      </c>
    </row>
    <row r="3026" spans="2:6" ht="15" customHeight="1" x14ac:dyDescent="0.2">
      <c r="B3026" s="188" t="s">
        <v>5554</v>
      </c>
      <c r="C3026" s="189" t="s">
        <v>130</v>
      </c>
      <c r="D3026" s="189" t="s">
        <v>132</v>
      </c>
      <c r="E3026" s="190" t="s">
        <v>5555</v>
      </c>
      <c r="F3026" s="191">
        <f t="shared" si="49"/>
        <v>200.13333333333333</v>
      </c>
    </row>
    <row r="3027" spans="2:6" ht="15" customHeight="1" x14ac:dyDescent="0.2">
      <c r="B3027" s="188" t="s">
        <v>4970</v>
      </c>
      <c r="C3027" s="189" t="s">
        <v>125</v>
      </c>
      <c r="D3027" s="189" t="s">
        <v>123</v>
      </c>
      <c r="E3027" s="190" t="s">
        <v>4971</v>
      </c>
      <c r="F3027" s="191">
        <f t="shared" si="49"/>
        <v>243.85</v>
      </c>
    </row>
    <row r="3028" spans="2:6" ht="15" customHeight="1" x14ac:dyDescent="0.2">
      <c r="B3028" s="188" t="s">
        <v>581</v>
      </c>
      <c r="C3028" s="189" t="s">
        <v>130</v>
      </c>
      <c r="D3028" s="189" t="s">
        <v>123</v>
      </c>
      <c r="E3028" s="190" t="s">
        <v>5556</v>
      </c>
      <c r="F3028" s="191">
        <f t="shared" si="49"/>
        <v>217.45</v>
      </c>
    </row>
    <row r="3029" spans="2:6" ht="15" customHeight="1" x14ac:dyDescent="0.2">
      <c r="B3029" s="188" t="s">
        <v>5557</v>
      </c>
      <c r="C3029" s="189" t="s">
        <v>124</v>
      </c>
      <c r="D3029" s="189" t="s">
        <v>155</v>
      </c>
      <c r="E3029" s="190" t="s">
        <v>2618</v>
      </c>
      <c r="F3029" s="191">
        <f t="shared" si="49"/>
        <v>221.81666666666666</v>
      </c>
    </row>
    <row r="3030" spans="2:6" ht="15" customHeight="1" x14ac:dyDescent="0.2">
      <c r="B3030" s="188" t="s">
        <v>5558</v>
      </c>
      <c r="C3030" s="189" t="s">
        <v>134</v>
      </c>
      <c r="D3030" s="189" t="s">
        <v>123</v>
      </c>
      <c r="E3030" s="190" t="s">
        <v>5559</v>
      </c>
      <c r="F3030" s="191">
        <f t="shared" si="49"/>
        <v>284.03333333333336</v>
      </c>
    </row>
    <row r="3031" spans="2:6" ht="15" customHeight="1" x14ac:dyDescent="0.2">
      <c r="B3031" s="188" t="s">
        <v>5560</v>
      </c>
      <c r="C3031" s="189" t="s">
        <v>124</v>
      </c>
      <c r="D3031" s="189" t="s">
        <v>148</v>
      </c>
      <c r="E3031" s="190" t="s">
        <v>5561</v>
      </c>
      <c r="F3031" s="191">
        <f t="shared" si="49"/>
        <v>251.53333333333333</v>
      </c>
    </row>
    <row r="3032" spans="2:6" ht="15" customHeight="1" x14ac:dyDescent="0.2">
      <c r="B3032" s="188" t="s">
        <v>5562</v>
      </c>
      <c r="C3032" s="189" t="s">
        <v>130</v>
      </c>
      <c r="D3032" s="189" t="s">
        <v>123</v>
      </c>
      <c r="E3032" s="190" t="s">
        <v>5563</v>
      </c>
      <c r="F3032" s="191">
        <f t="shared" si="49"/>
        <v>225.01666666666668</v>
      </c>
    </row>
    <row r="3033" spans="2:6" ht="15" customHeight="1" x14ac:dyDescent="0.2">
      <c r="B3033" s="188" t="s">
        <v>3468</v>
      </c>
      <c r="C3033" s="189" t="s">
        <v>124</v>
      </c>
      <c r="D3033" s="189" t="s">
        <v>123</v>
      </c>
      <c r="E3033" s="190" t="s">
        <v>3469</v>
      </c>
      <c r="F3033" s="191">
        <f t="shared" si="49"/>
        <v>222.11666666666667</v>
      </c>
    </row>
    <row r="3034" spans="2:6" ht="15" customHeight="1" x14ac:dyDescent="0.2">
      <c r="B3034" s="188" t="s">
        <v>606</v>
      </c>
      <c r="C3034" s="189" t="s">
        <v>124</v>
      </c>
      <c r="D3034" s="189" t="s">
        <v>133</v>
      </c>
      <c r="E3034" s="190" t="s">
        <v>5564</v>
      </c>
      <c r="F3034" s="191">
        <f t="shared" si="49"/>
        <v>315.35000000000002</v>
      </c>
    </row>
    <row r="3035" spans="2:6" ht="15" customHeight="1" x14ac:dyDescent="0.2">
      <c r="B3035" s="188" t="s">
        <v>5565</v>
      </c>
      <c r="C3035" s="189" t="s">
        <v>124</v>
      </c>
      <c r="D3035" s="189" t="s">
        <v>165</v>
      </c>
      <c r="E3035" s="190" t="s">
        <v>4015</v>
      </c>
      <c r="F3035" s="191">
        <f t="shared" si="49"/>
        <v>203.4</v>
      </c>
    </row>
    <row r="3036" spans="2:6" ht="15" customHeight="1" x14ac:dyDescent="0.2">
      <c r="B3036" s="188" t="s">
        <v>5566</v>
      </c>
      <c r="C3036" s="189" t="s">
        <v>130</v>
      </c>
      <c r="D3036" s="189" t="s">
        <v>129</v>
      </c>
      <c r="E3036" s="190" t="s">
        <v>854</v>
      </c>
      <c r="F3036" s="191">
        <f t="shared" si="49"/>
        <v>215.7</v>
      </c>
    </row>
    <row r="3037" spans="2:6" ht="15" customHeight="1" x14ac:dyDescent="0.2">
      <c r="B3037" s="188" t="s">
        <v>5567</v>
      </c>
      <c r="C3037" s="189" t="s">
        <v>125</v>
      </c>
      <c r="D3037" s="189" t="s">
        <v>123</v>
      </c>
      <c r="E3037" s="190" t="s">
        <v>4167</v>
      </c>
      <c r="F3037" s="191">
        <f t="shared" si="49"/>
        <v>207.91666666666666</v>
      </c>
    </row>
    <row r="3038" spans="2:6" ht="15" customHeight="1" x14ac:dyDescent="0.2">
      <c r="B3038" s="188" t="s">
        <v>5568</v>
      </c>
      <c r="C3038" s="189" t="s">
        <v>126</v>
      </c>
      <c r="D3038" s="189" t="s">
        <v>123</v>
      </c>
      <c r="E3038" s="190" t="s">
        <v>3772</v>
      </c>
      <c r="F3038" s="191">
        <f t="shared" si="49"/>
        <v>205.35</v>
      </c>
    </row>
    <row r="3039" spans="2:6" ht="15" customHeight="1" x14ac:dyDescent="0.2">
      <c r="B3039" s="188" t="s">
        <v>515</v>
      </c>
      <c r="C3039" s="189" t="s">
        <v>142</v>
      </c>
      <c r="D3039" s="189" t="s">
        <v>148</v>
      </c>
      <c r="E3039" s="190" t="s">
        <v>2155</v>
      </c>
      <c r="F3039" s="191">
        <f t="shared" si="49"/>
        <v>203.03333333333333</v>
      </c>
    </row>
    <row r="3040" spans="2:6" ht="15" customHeight="1" x14ac:dyDescent="0.2">
      <c r="B3040" s="188" t="s">
        <v>5569</v>
      </c>
      <c r="C3040" s="189" t="s">
        <v>126</v>
      </c>
      <c r="D3040" s="189" t="s">
        <v>205</v>
      </c>
      <c r="E3040" s="190" t="s">
        <v>5570</v>
      </c>
      <c r="F3040" s="191">
        <f t="shared" si="49"/>
        <v>214.58333333333334</v>
      </c>
    </row>
    <row r="3041" spans="2:6" ht="15" customHeight="1" x14ac:dyDescent="0.2">
      <c r="B3041" s="188" t="s">
        <v>5571</v>
      </c>
      <c r="C3041" s="189" t="s">
        <v>130</v>
      </c>
      <c r="D3041" s="189" t="s">
        <v>123</v>
      </c>
      <c r="E3041" s="190" t="s">
        <v>5572</v>
      </c>
      <c r="F3041" s="191">
        <f t="shared" si="49"/>
        <v>186.98333333333332</v>
      </c>
    </row>
    <row r="3042" spans="2:6" ht="15" customHeight="1" x14ac:dyDescent="0.2">
      <c r="B3042" s="188" t="s">
        <v>5573</v>
      </c>
      <c r="C3042" s="189" t="s">
        <v>126</v>
      </c>
      <c r="D3042" s="189" t="s">
        <v>132</v>
      </c>
      <c r="E3042" s="190" t="s">
        <v>5574</v>
      </c>
      <c r="F3042" s="191">
        <f t="shared" si="49"/>
        <v>209.81666666666666</v>
      </c>
    </row>
    <row r="3043" spans="2:6" ht="15" customHeight="1" x14ac:dyDescent="0.2">
      <c r="B3043" s="188" t="s">
        <v>192</v>
      </c>
      <c r="C3043" s="189" t="s">
        <v>124</v>
      </c>
      <c r="D3043" s="189" t="s">
        <v>152</v>
      </c>
      <c r="E3043" s="190" t="s">
        <v>5575</v>
      </c>
      <c r="F3043" s="191">
        <f t="shared" si="49"/>
        <v>245.71666666666667</v>
      </c>
    </row>
    <row r="3044" spans="2:6" ht="15" customHeight="1" x14ac:dyDescent="0.2">
      <c r="B3044" s="188" t="s">
        <v>4228</v>
      </c>
      <c r="C3044" s="189" t="s">
        <v>125</v>
      </c>
      <c r="D3044" s="189" t="s">
        <v>123</v>
      </c>
      <c r="E3044" s="190" t="s">
        <v>4229</v>
      </c>
      <c r="F3044" s="191">
        <f t="shared" si="49"/>
        <v>266.21666666666664</v>
      </c>
    </row>
    <row r="3045" spans="2:6" ht="15" customHeight="1" x14ac:dyDescent="0.2">
      <c r="B3045" s="188" t="s">
        <v>5576</v>
      </c>
      <c r="C3045" s="189" t="s">
        <v>130</v>
      </c>
      <c r="D3045" s="189" t="s">
        <v>123</v>
      </c>
      <c r="E3045" s="190" t="s">
        <v>5577</v>
      </c>
      <c r="F3045" s="191">
        <f t="shared" si="49"/>
        <v>211.73333333333332</v>
      </c>
    </row>
    <row r="3046" spans="2:6" ht="15" customHeight="1" x14ac:dyDescent="0.2">
      <c r="B3046" s="188" t="s">
        <v>182</v>
      </c>
      <c r="C3046" s="189" t="s">
        <v>124</v>
      </c>
      <c r="D3046" s="189" t="s">
        <v>123</v>
      </c>
      <c r="E3046" s="190" t="s">
        <v>5578</v>
      </c>
      <c r="F3046" s="191">
        <f t="shared" si="49"/>
        <v>269.11666666666667</v>
      </c>
    </row>
    <row r="3047" spans="2:6" ht="15" customHeight="1" x14ac:dyDescent="0.2">
      <c r="B3047" s="188" t="s">
        <v>5579</v>
      </c>
      <c r="C3047" s="189" t="s">
        <v>249</v>
      </c>
      <c r="D3047" s="189" t="s">
        <v>171</v>
      </c>
      <c r="E3047" s="190" t="s">
        <v>5580</v>
      </c>
      <c r="F3047" s="191">
        <f t="shared" si="49"/>
        <v>300.16666666666669</v>
      </c>
    </row>
    <row r="3048" spans="2:6" ht="15" customHeight="1" x14ac:dyDescent="0.2">
      <c r="B3048" s="188" t="s">
        <v>5581</v>
      </c>
      <c r="C3048" s="189" t="s">
        <v>142</v>
      </c>
      <c r="D3048" s="189" t="s">
        <v>157</v>
      </c>
      <c r="E3048" s="190" t="s">
        <v>5582</v>
      </c>
      <c r="F3048" s="191">
        <f t="shared" si="49"/>
        <v>275.11666666666667</v>
      </c>
    </row>
    <row r="3049" spans="2:6" ht="15" customHeight="1" x14ac:dyDescent="0.2">
      <c r="B3049" s="188" t="s">
        <v>153</v>
      </c>
      <c r="C3049" s="189" t="s">
        <v>222</v>
      </c>
      <c r="D3049" s="189" t="s">
        <v>123</v>
      </c>
      <c r="E3049" s="190" t="s">
        <v>5583</v>
      </c>
      <c r="F3049" s="191">
        <f t="shared" si="49"/>
        <v>264.11666666666667</v>
      </c>
    </row>
    <row r="3050" spans="2:6" ht="15" customHeight="1" x14ac:dyDescent="0.2">
      <c r="B3050" s="188" t="s">
        <v>519</v>
      </c>
      <c r="C3050" s="189" t="s">
        <v>125</v>
      </c>
      <c r="D3050" s="189" t="s">
        <v>123</v>
      </c>
      <c r="E3050" s="190" t="s">
        <v>3578</v>
      </c>
      <c r="F3050" s="191">
        <f t="shared" si="49"/>
        <v>269.31666666666666</v>
      </c>
    </row>
    <row r="3051" spans="2:6" ht="15" customHeight="1" x14ac:dyDescent="0.2">
      <c r="B3051" s="188" t="s">
        <v>5584</v>
      </c>
      <c r="C3051" s="189" t="s">
        <v>125</v>
      </c>
      <c r="D3051" s="189" t="s">
        <v>123</v>
      </c>
      <c r="E3051" s="190" t="s">
        <v>5585</v>
      </c>
      <c r="F3051" s="191">
        <f t="shared" si="49"/>
        <v>189.3</v>
      </c>
    </row>
    <row r="3052" spans="2:6" ht="15" customHeight="1" x14ac:dyDescent="0.2">
      <c r="B3052" s="188" t="s">
        <v>5498</v>
      </c>
      <c r="C3052" s="189" t="s">
        <v>134</v>
      </c>
      <c r="D3052" s="189" t="s">
        <v>123</v>
      </c>
      <c r="E3052" s="190" t="s">
        <v>3256</v>
      </c>
      <c r="F3052" s="191">
        <f t="shared" si="49"/>
        <v>190.38333333333333</v>
      </c>
    </row>
    <row r="3053" spans="2:6" ht="15" customHeight="1" x14ac:dyDescent="0.2">
      <c r="B3053" s="188" t="s">
        <v>5586</v>
      </c>
      <c r="C3053" s="189" t="s">
        <v>125</v>
      </c>
      <c r="D3053" s="189" t="s">
        <v>123</v>
      </c>
      <c r="E3053" s="190" t="s">
        <v>5587</v>
      </c>
      <c r="F3053" s="191">
        <f t="shared" si="49"/>
        <v>270.93333333333334</v>
      </c>
    </row>
    <row r="3054" spans="2:6" ht="15" customHeight="1" x14ac:dyDescent="0.2">
      <c r="B3054" s="188" t="s">
        <v>5588</v>
      </c>
      <c r="C3054" s="189" t="s">
        <v>142</v>
      </c>
      <c r="D3054" s="189" t="s">
        <v>123</v>
      </c>
      <c r="E3054" s="190" t="s">
        <v>5589</v>
      </c>
      <c r="F3054" s="191">
        <f t="shared" si="49"/>
        <v>273.25</v>
      </c>
    </row>
    <row r="3055" spans="2:6" ht="15" customHeight="1" x14ac:dyDescent="0.2">
      <c r="B3055" s="188" t="s">
        <v>5590</v>
      </c>
      <c r="C3055" s="189" t="s">
        <v>128</v>
      </c>
      <c r="D3055" s="189" t="s">
        <v>123</v>
      </c>
      <c r="E3055" s="190" t="s">
        <v>5591</v>
      </c>
      <c r="F3055" s="191">
        <f t="shared" si="49"/>
        <v>254.15</v>
      </c>
    </row>
    <row r="3056" spans="2:6" ht="15" customHeight="1" x14ac:dyDescent="0.2">
      <c r="B3056" s="188" t="s">
        <v>5592</v>
      </c>
      <c r="C3056" s="189" t="s">
        <v>130</v>
      </c>
      <c r="D3056" s="189" t="s">
        <v>129</v>
      </c>
      <c r="E3056" s="190" t="s">
        <v>1897</v>
      </c>
      <c r="F3056" s="191">
        <f t="shared" si="49"/>
        <v>258.45</v>
      </c>
    </row>
    <row r="3057" spans="2:6" ht="15" customHeight="1" x14ac:dyDescent="0.2">
      <c r="B3057" s="188" t="s">
        <v>5593</v>
      </c>
      <c r="C3057" s="189" t="s">
        <v>130</v>
      </c>
      <c r="D3057" s="189" t="s">
        <v>123</v>
      </c>
      <c r="E3057" s="190" t="s">
        <v>2965</v>
      </c>
      <c r="F3057" s="191">
        <f t="shared" si="49"/>
        <v>320.78333333333336</v>
      </c>
    </row>
    <row r="3058" spans="2:6" ht="15" customHeight="1" x14ac:dyDescent="0.2">
      <c r="B3058" s="188" t="s">
        <v>535</v>
      </c>
      <c r="C3058" s="189" t="s">
        <v>136</v>
      </c>
      <c r="D3058" s="189" t="s">
        <v>187</v>
      </c>
      <c r="E3058" s="190" t="s">
        <v>3855</v>
      </c>
      <c r="F3058" s="191">
        <f t="shared" si="49"/>
        <v>243.55</v>
      </c>
    </row>
    <row r="3059" spans="2:6" ht="15" customHeight="1" x14ac:dyDescent="0.2">
      <c r="B3059" s="188" t="s">
        <v>5594</v>
      </c>
      <c r="C3059" s="189" t="s">
        <v>126</v>
      </c>
      <c r="D3059" s="189" t="s">
        <v>160</v>
      </c>
      <c r="E3059" s="190" t="s">
        <v>5595</v>
      </c>
      <c r="F3059" s="191">
        <f t="shared" si="49"/>
        <v>301.71666666666664</v>
      </c>
    </row>
    <row r="3060" spans="2:6" ht="15" customHeight="1" x14ac:dyDescent="0.2">
      <c r="B3060" s="188" t="s">
        <v>5596</v>
      </c>
      <c r="C3060" s="189" t="s">
        <v>125</v>
      </c>
      <c r="D3060" s="189" t="s">
        <v>200</v>
      </c>
      <c r="E3060" s="190" t="s">
        <v>5597</v>
      </c>
      <c r="F3060" s="191">
        <f t="shared" si="49"/>
        <v>283.26666666666665</v>
      </c>
    </row>
    <row r="3061" spans="2:6" ht="15" customHeight="1" x14ac:dyDescent="0.2">
      <c r="B3061" s="188" t="s">
        <v>5598</v>
      </c>
      <c r="C3061" s="189" t="s">
        <v>130</v>
      </c>
      <c r="D3061" s="189" t="s">
        <v>123</v>
      </c>
      <c r="E3061" s="190" t="s">
        <v>2971</v>
      </c>
      <c r="F3061" s="191">
        <f t="shared" si="49"/>
        <v>250.18333333333334</v>
      </c>
    </row>
    <row r="3062" spans="2:6" ht="15" customHeight="1" x14ac:dyDescent="0.2">
      <c r="B3062" s="188" t="s">
        <v>5599</v>
      </c>
      <c r="C3062" s="189" t="s">
        <v>124</v>
      </c>
      <c r="D3062" s="189" t="s">
        <v>123</v>
      </c>
      <c r="E3062" s="190" t="s">
        <v>817</v>
      </c>
      <c r="F3062" s="191">
        <f t="shared" si="49"/>
        <v>221.23333333333332</v>
      </c>
    </row>
    <row r="3063" spans="2:6" ht="15" customHeight="1" x14ac:dyDescent="0.2">
      <c r="B3063" s="188" t="s">
        <v>5600</v>
      </c>
      <c r="C3063" s="189" t="s">
        <v>124</v>
      </c>
      <c r="D3063" s="189" t="s">
        <v>123</v>
      </c>
      <c r="E3063" s="190" t="s">
        <v>5601</v>
      </c>
      <c r="F3063" s="191">
        <f t="shared" si="49"/>
        <v>246.3</v>
      </c>
    </row>
    <row r="3064" spans="2:6" ht="15" customHeight="1" x14ac:dyDescent="0.2">
      <c r="B3064" s="188" t="s">
        <v>3059</v>
      </c>
      <c r="C3064" s="189" t="s">
        <v>128</v>
      </c>
      <c r="D3064" s="189" t="s">
        <v>123</v>
      </c>
      <c r="E3064" s="190" t="s">
        <v>3060</v>
      </c>
      <c r="F3064" s="191">
        <f t="shared" si="49"/>
        <v>221.38333333333333</v>
      </c>
    </row>
    <row r="3065" spans="2:6" ht="15" customHeight="1" x14ac:dyDescent="0.2">
      <c r="B3065" s="188" t="s">
        <v>5602</v>
      </c>
      <c r="C3065" s="189" t="s">
        <v>134</v>
      </c>
      <c r="D3065" s="189" t="s">
        <v>123</v>
      </c>
      <c r="E3065" s="190" t="s">
        <v>5603</v>
      </c>
      <c r="F3065" s="191">
        <f t="shared" si="49"/>
        <v>225.5</v>
      </c>
    </row>
    <row r="3066" spans="2:6" ht="15" customHeight="1" x14ac:dyDescent="0.2">
      <c r="B3066" s="188" t="s">
        <v>5604</v>
      </c>
      <c r="C3066" s="189" t="s">
        <v>134</v>
      </c>
      <c r="D3066" s="189" t="s">
        <v>127</v>
      </c>
      <c r="E3066" s="190" t="s">
        <v>5605</v>
      </c>
      <c r="F3066" s="191">
        <f t="shared" si="49"/>
        <v>225.15</v>
      </c>
    </row>
    <row r="3067" spans="2:6" ht="15" customHeight="1" x14ac:dyDescent="0.2">
      <c r="B3067" s="188" t="s">
        <v>340</v>
      </c>
      <c r="C3067" s="189" t="s">
        <v>136</v>
      </c>
      <c r="D3067" s="189" t="s">
        <v>123</v>
      </c>
      <c r="E3067" s="190" t="s">
        <v>5606</v>
      </c>
      <c r="F3067" s="191">
        <f t="shared" si="49"/>
        <v>293.98333333333335</v>
      </c>
    </row>
    <row r="3068" spans="2:6" ht="15" customHeight="1" x14ac:dyDescent="0.2">
      <c r="B3068" s="188" t="s">
        <v>5607</v>
      </c>
      <c r="C3068" s="189" t="s">
        <v>135</v>
      </c>
      <c r="D3068" s="189" t="s">
        <v>155</v>
      </c>
      <c r="E3068" s="190" t="s">
        <v>2006</v>
      </c>
      <c r="F3068" s="191">
        <f t="shared" si="49"/>
        <v>249.21666666666667</v>
      </c>
    </row>
    <row r="3069" spans="2:6" ht="15" customHeight="1" x14ac:dyDescent="0.2">
      <c r="B3069" s="188" t="s">
        <v>5608</v>
      </c>
      <c r="C3069" s="189" t="s">
        <v>142</v>
      </c>
      <c r="D3069" s="189" t="s">
        <v>131</v>
      </c>
      <c r="E3069" s="190" t="s">
        <v>5609</v>
      </c>
      <c r="F3069" s="191">
        <f t="shared" si="49"/>
        <v>230.45</v>
      </c>
    </row>
    <row r="3070" spans="2:6" ht="15" customHeight="1" x14ac:dyDescent="0.2">
      <c r="B3070" s="188" t="s">
        <v>358</v>
      </c>
      <c r="C3070" s="189" t="s">
        <v>142</v>
      </c>
      <c r="D3070" s="189" t="s">
        <v>148</v>
      </c>
      <c r="E3070" s="190" t="s">
        <v>5610</v>
      </c>
      <c r="F3070" s="191">
        <f t="shared" si="49"/>
        <v>250.21666666666667</v>
      </c>
    </row>
    <row r="3071" spans="2:6" ht="15" customHeight="1" x14ac:dyDescent="0.2">
      <c r="B3071" s="188" t="s">
        <v>409</v>
      </c>
      <c r="C3071" s="189" t="s">
        <v>125</v>
      </c>
      <c r="D3071" s="189" t="s">
        <v>123</v>
      </c>
      <c r="E3071" s="190" t="s">
        <v>5611</v>
      </c>
      <c r="F3071" s="191">
        <f t="shared" si="49"/>
        <v>211.95</v>
      </c>
    </row>
    <row r="3072" spans="2:6" ht="15" customHeight="1" x14ac:dyDescent="0.2">
      <c r="B3072" s="188" t="s">
        <v>5612</v>
      </c>
      <c r="C3072" s="189" t="s">
        <v>125</v>
      </c>
      <c r="D3072" s="189" t="s">
        <v>132</v>
      </c>
      <c r="E3072" s="190" t="s">
        <v>5613</v>
      </c>
      <c r="F3072" s="191">
        <f t="shared" si="49"/>
        <v>259.81666666666666</v>
      </c>
    </row>
    <row r="3073" spans="2:6" ht="15" customHeight="1" x14ac:dyDescent="0.2">
      <c r="B3073" s="188" t="s">
        <v>595</v>
      </c>
      <c r="C3073" s="189" t="s">
        <v>130</v>
      </c>
      <c r="D3073" s="189" t="s">
        <v>123</v>
      </c>
      <c r="E3073" s="190" t="s">
        <v>1224</v>
      </c>
      <c r="F3073" s="191">
        <f t="shared" si="49"/>
        <v>296.61666666666667</v>
      </c>
    </row>
    <row r="3074" spans="2:6" ht="15" customHeight="1" x14ac:dyDescent="0.2">
      <c r="B3074" s="188" t="s">
        <v>5614</v>
      </c>
      <c r="C3074" s="189" t="s">
        <v>128</v>
      </c>
      <c r="D3074" s="189" t="s">
        <v>123</v>
      </c>
      <c r="E3074" s="190" t="s">
        <v>5615</v>
      </c>
      <c r="F3074" s="191">
        <f t="shared" si="49"/>
        <v>238.83333333333334</v>
      </c>
    </row>
    <row r="3075" spans="2:6" ht="15" customHeight="1" x14ac:dyDescent="0.2">
      <c r="B3075" s="188" t="s">
        <v>5616</v>
      </c>
      <c r="C3075" s="189" t="s">
        <v>125</v>
      </c>
      <c r="D3075" s="189" t="s">
        <v>123</v>
      </c>
      <c r="E3075" s="190" t="s">
        <v>2688</v>
      </c>
      <c r="F3075" s="191">
        <f t="shared" si="49"/>
        <v>194.01666666666668</v>
      </c>
    </row>
    <row r="3076" spans="2:6" ht="15" customHeight="1" x14ac:dyDescent="0.2">
      <c r="B3076" s="188" t="s">
        <v>5181</v>
      </c>
      <c r="C3076" s="189" t="s">
        <v>126</v>
      </c>
      <c r="D3076" s="189" t="s">
        <v>169</v>
      </c>
      <c r="E3076" s="190" t="s">
        <v>2826</v>
      </c>
      <c r="F3076" s="191">
        <f t="shared" si="49"/>
        <v>231.53333333333333</v>
      </c>
    </row>
    <row r="3077" spans="2:6" ht="15" customHeight="1" x14ac:dyDescent="0.2">
      <c r="B3077" s="188" t="s">
        <v>5617</v>
      </c>
      <c r="C3077" s="189" t="s">
        <v>142</v>
      </c>
      <c r="D3077" s="189" t="s">
        <v>123</v>
      </c>
      <c r="E3077" s="190" t="s">
        <v>5618</v>
      </c>
      <c r="F3077" s="191">
        <f t="shared" si="49"/>
        <v>245.55</v>
      </c>
    </row>
    <row r="3078" spans="2:6" ht="15" customHeight="1" x14ac:dyDescent="0.2">
      <c r="B3078" s="188" t="s">
        <v>250</v>
      </c>
      <c r="C3078" s="189" t="s">
        <v>126</v>
      </c>
      <c r="D3078" s="189" t="s">
        <v>123</v>
      </c>
      <c r="E3078" s="190" t="s">
        <v>5619</v>
      </c>
      <c r="F3078" s="191">
        <f t="shared" si="49"/>
        <v>256.86666666666667</v>
      </c>
    </row>
    <row r="3079" spans="2:6" ht="15" customHeight="1" x14ac:dyDescent="0.2">
      <c r="B3079" s="188" t="s">
        <v>5620</v>
      </c>
      <c r="C3079" s="189" t="s">
        <v>128</v>
      </c>
      <c r="D3079" s="189" t="s">
        <v>123</v>
      </c>
      <c r="E3079" s="190" t="s">
        <v>5621</v>
      </c>
      <c r="F3079" s="191">
        <f t="shared" si="49"/>
        <v>292.64999999999998</v>
      </c>
    </row>
    <row r="3080" spans="2:6" ht="15" customHeight="1" x14ac:dyDescent="0.2">
      <c r="B3080" s="188" t="s">
        <v>2348</v>
      </c>
      <c r="C3080" s="189" t="s">
        <v>130</v>
      </c>
      <c r="D3080" s="189" t="s">
        <v>123</v>
      </c>
      <c r="E3080" s="190" t="s">
        <v>2349</v>
      </c>
      <c r="F3080" s="191">
        <f t="shared" si="49"/>
        <v>221.93333333333334</v>
      </c>
    </row>
    <row r="3081" spans="2:6" ht="15" customHeight="1" x14ac:dyDescent="0.2">
      <c r="B3081" s="188" t="s">
        <v>541</v>
      </c>
      <c r="C3081" s="189" t="s">
        <v>124</v>
      </c>
      <c r="D3081" s="189" t="s">
        <v>123</v>
      </c>
      <c r="E3081" s="190" t="s">
        <v>5622</v>
      </c>
      <c r="F3081" s="191">
        <f t="shared" si="49"/>
        <v>317.73333333333335</v>
      </c>
    </row>
    <row r="3082" spans="2:6" ht="15" customHeight="1" x14ac:dyDescent="0.2">
      <c r="B3082" s="188" t="s">
        <v>5623</v>
      </c>
      <c r="C3082" s="189" t="s">
        <v>140</v>
      </c>
      <c r="D3082" s="189" t="s">
        <v>123</v>
      </c>
      <c r="E3082" s="190" t="s">
        <v>4669</v>
      </c>
      <c r="F3082" s="191">
        <f t="shared" si="49"/>
        <v>223.2</v>
      </c>
    </row>
    <row r="3083" spans="2:6" ht="15" customHeight="1" x14ac:dyDescent="0.2">
      <c r="B3083" s="188" t="s">
        <v>5624</v>
      </c>
      <c r="C3083" s="189" t="s">
        <v>142</v>
      </c>
      <c r="D3083" s="189" t="s">
        <v>123</v>
      </c>
      <c r="E3083" s="190" t="s">
        <v>5625</v>
      </c>
      <c r="F3083" s="191">
        <f t="shared" ref="F3083:F3146" si="50">HOUR(E3083)*60+MINUTE(E3083)+SECOND(E3083)/60</f>
        <v>269.43333333333334</v>
      </c>
    </row>
    <row r="3084" spans="2:6" ht="15" customHeight="1" x14ac:dyDescent="0.2">
      <c r="B3084" s="188" t="s">
        <v>5626</v>
      </c>
      <c r="C3084" s="189" t="s">
        <v>134</v>
      </c>
      <c r="D3084" s="189" t="s">
        <v>123</v>
      </c>
      <c r="E3084" s="190" t="s">
        <v>5627</v>
      </c>
      <c r="F3084" s="191">
        <f t="shared" si="50"/>
        <v>306.81666666666666</v>
      </c>
    </row>
    <row r="3085" spans="2:6" ht="15" customHeight="1" x14ac:dyDescent="0.2">
      <c r="B3085" s="188" t="s">
        <v>5628</v>
      </c>
      <c r="C3085" s="189" t="s">
        <v>142</v>
      </c>
      <c r="D3085" s="189" t="s">
        <v>157</v>
      </c>
      <c r="E3085" s="190" t="s">
        <v>5629</v>
      </c>
      <c r="F3085" s="191">
        <f t="shared" si="50"/>
        <v>273.64999999999998</v>
      </c>
    </row>
    <row r="3086" spans="2:6" ht="15" customHeight="1" x14ac:dyDescent="0.2">
      <c r="B3086" s="188" t="s">
        <v>291</v>
      </c>
      <c r="C3086" s="189" t="s">
        <v>130</v>
      </c>
      <c r="D3086" s="189" t="s">
        <v>132</v>
      </c>
      <c r="E3086" s="190" t="s">
        <v>1230</v>
      </c>
      <c r="F3086" s="191">
        <f t="shared" si="50"/>
        <v>189.1</v>
      </c>
    </row>
    <row r="3087" spans="2:6" ht="15" customHeight="1" x14ac:dyDescent="0.2">
      <c r="B3087" s="188" t="s">
        <v>5630</v>
      </c>
      <c r="C3087" s="189" t="s">
        <v>126</v>
      </c>
      <c r="D3087" s="189" t="s">
        <v>131</v>
      </c>
      <c r="E3087" s="190" t="s">
        <v>5631</v>
      </c>
      <c r="F3087" s="191">
        <f t="shared" si="50"/>
        <v>175.75</v>
      </c>
    </row>
    <row r="3088" spans="2:6" ht="15" customHeight="1" x14ac:dyDescent="0.2">
      <c r="B3088" s="188" t="s">
        <v>5632</v>
      </c>
      <c r="C3088" s="189" t="s">
        <v>126</v>
      </c>
      <c r="D3088" s="189" t="s">
        <v>123</v>
      </c>
      <c r="E3088" s="190" t="s">
        <v>5633</v>
      </c>
      <c r="F3088" s="191">
        <f t="shared" si="50"/>
        <v>216.05</v>
      </c>
    </row>
    <row r="3089" spans="2:6" ht="15" customHeight="1" x14ac:dyDescent="0.2">
      <c r="B3089" s="188" t="s">
        <v>5634</v>
      </c>
      <c r="C3089" s="189" t="s">
        <v>126</v>
      </c>
      <c r="D3089" s="189" t="s">
        <v>141</v>
      </c>
      <c r="E3089" s="190" t="s">
        <v>5635</v>
      </c>
      <c r="F3089" s="191">
        <f t="shared" si="50"/>
        <v>280.88333333333333</v>
      </c>
    </row>
    <row r="3090" spans="2:6" ht="15" customHeight="1" x14ac:dyDescent="0.2">
      <c r="B3090" s="188" t="s">
        <v>5636</v>
      </c>
      <c r="C3090" s="189" t="s">
        <v>142</v>
      </c>
      <c r="D3090" s="189" t="s">
        <v>147</v>
      </c>
      <c r="E3090" s="190" t="s">
        <v>5637</v>
      </c>
      <c r="F3090" s="191">
        <f t="shared" si="50"/>
        <v>213.48333333333332</v>
      </c>
    </row>
    <row r="3091" spans="2:6" ht="15" customHeight="1" x14ac:dyDescent="0.2">
      <c r="B3091" s="188" t="s">
        <v>4736</v>
      </c>
      <c r="C3091" s="189" t="s">
        <v>142</v>
      </c>
      <c r="D3091" s="189" t="s">
        <v>123</v>
      </c>
      <c r="E3091" s="190" t="s">
        <v>5638</v>
      </c>
      <c r="F3091" s="191">
        <f t="shared" si="50"/>
        <v>286.51666666666665</v>
      </c>
    </row>
    <row r="3092" spans="2:6" ht="15" customHeight="1" x14ac:dyDescent="0.2">
      <c r="B3092" s="188" t="s">
        <v>5639</v>
      </c>
      <c r="C3092" s="189" t="s">
        <v>142</v>
      </c>
      <c r="D3092" s="189" t="s">
        <v>123</v>
      </c>
      <c r="E3092" s="190" t="s">
        <v>5640</v>
      </c>
      <c r="F3092" s="191">
        <f t="shared" si="50"/>
        <v>230.63333333333333</v>
      </c>
    </row>
    <row r="3093" spans="2:6" ht="15" customHeight="1" x14ac:dyDescent="0.2">
      <c r="B3093" s="188" t="s">
        <v>4515</v>
      </c>
      <c r="C3093" s="189" t="s">
        <v>125</v>
      </c>
      <c r="D3093" s="189" t="s">
        <v>123</v>
      </c>
      <c r="E3093" s="190" t="s">
        <v>4229</v>
      </c>
      <c r="F3093" s="191">
        <f t="shared" si="50"/>
        <v>266.21666666666664</v>
      </c>
    </row>
    <row r="3094" spans="2:6" ht="15" customHeight="1" x14ac:dyDescent="0.2">
      <c r="B3094" s="188" t="s">
        <v>610</v>
      </c>
      <c r="C3094" s="189" t="s">
        <v>142</v>
      </c>
      <c r="D3094" s="189" t="s">
        <v>132</v>
      </c>
      <c r="E3094" s="190" t="s">
        <v>4547</v>
      </c>
      <c r="F3094" s="191">
        <f t="shared" si="50"/>
        <v>314.01666666666665</v>
      </c>
    </row>
    <row r="3095" spans="2:6" ht="15" customHeight="1" x14ac:dyDescent="0.2">
      <c r="B3095" s="188" t="s">
        <v>5641</v>
      </c>
      <c r="C3095" s="189" t="s">
        <v>134</v>
      </c>
      <c r="D3095" s="189" t="s">
        <v>169</v>
      </c>
      <c r="E3095" s="190" t="s">
        <v>1182</v>
      </c>
      <c r="F3095" s="191">
        <f t="shared" si="50"/>
        <v>224.88333333333333</v>
      </c>
    </row>
    <row r="3096" spans="2:6" ht="15" customHeight="1" x14ac:dyDescent="0.2">
      <c r="B3096" s="188" t="s">
        <v>401</v>
      </c>
      <c r="C3096" s="189" t="s">
        <v>125</v>
      </c>
      <c r="D3096" s="189" t="s">
        <v>123</v>
      </c>
      <c r="E3096" s="190" t="s">
        <v>2692</v>
      </c>
      <c r="F3096" s="191">
        <f t="shared" si="50"/>
        <v>283.98333333333335</v>
      </c>
    </row>
    <row r="3097" spans="2:6" ht="15" customHeight="1" x14ac:dyDescent="0.2">
      <c r="B3097" s="188" t="s">
        <v>3334</v>
      </c>
      <c r="C3097" s="189" t="s">
        <v>130</v>
      </c>
      <c r="D3097" s="189" t="s">
        <v>139</v>
      </c>
      <c r="E3097" s="190" t="s">
        <v>3335</v>
      </c>
      <c r="F3097" s="191">
        <f t="shared" si="50"/>
        <v>231.98333333333332</v>
      </c>
    </row>
    <row r="3098" spans="2:6" ht="15" customHeight="1" x14ac:dyDescent="0.2">
      <c r="B3098" s="188" t="s">
        <v>5642</v>
      </c>
      <c r="C3098" s="189" t="s">
        <v>134</v>
      </c>
      <c r="D3098" s="189" t="s">
        <v>141</v>
      </c>
      <c r="E3098" s="190" t="s">
        <v>878</v>
      </c>
      <c r="F3098" s="191">
        <f t="shared" si="50"/>
        <v>227.45</v>
      </c>
    </row>
    <row r="3099" spans="2:6" ht="15" customHeight="1" x14ac:dyDescent="0.2">
      <c r="B3099" s="188" t="s">
        <v>5643</v>
      </c>
      <c r="C3099" s="189" t="s">
        <v>228</v>
      </c>
      <c r="D3099" s="189" t="s">
        <v>123</v>
      </c>
      <c r="E3099" s="190" t="s">
        <v>5644</v>
      </c>
      <c r="F3099" s="191">
        <f t="shared" si="50"/>
        <v>319.64999999999998</v>
      </c>
    </row>
    <row r="3100" spans="2:6" ht="15" customHeight="1" x14ac:dyDescent="0.2">
      <c r="B3100" s="188" t="s">
        <v>5645</v>
      </c>
      <c r="C3100" s="189" t="s">
        <v>124</v>
      </c>
      <c r="D3100" s="189" t="s">
        <v>123</v>
      </c>
      <c r="E3100" s="190" t="s">
        <v>5646</v>
      </c>
      <c r="F3100" s="191">
        <f t="shared" si="50"/>
        <v>211.21666666666667</v>
      </c>
    </row>
    <row r="3101" spans="2:6" ht="15" customHeight="1" x14ac:dyDescent="0.2">
      <c r="B3101" s="188" t="s">
        <v>5647</v>
      </c>
      <c r="C3101" s="189" t="s">
        <v>134</v>
      </c>
      <c r="D3101" s="189" t="s">
        <v>123</v>
      </c>
      <c r="E3101" s="190" t="s">
        <v>4180</v>
      </c>
      <c r="F3101" s="191">
        <f t="shared" si="50"/>
        <v>243.51666666666668</v>
      </c>
    </row>
    <row r="3102" spans="2:6" ht="15" customHeight="1" x14ac:dyDescent="0.2">
      <c r="B3102" s="188" t="s">
        <v>5648</v>
      </c>
      <c r="C3102" s="189" t="s">
        <v>124</v>
      </c>
      <c r="D3102" s="189" t="s">
        <v>123</v>
      </c>
      <c r="E3102" s="190" t="s">
        <v>5649</v>
      </c>
      <c r="F3102" s="191">
        <f t="shared" si="50"/>
        <v>281.10000000000002</v>
      </c>
    </row>
    <row r="3103" spans="2:6" ht="15" customHeight="1" x14ac:dyDescent="0.2">
      <c r="B3103" s="188" t="s">
        <v>5650</v>
      </c>
      <c r="C3103" s="189" t="s">
        <v>125</v>
      </c>
      <c r="D3103" s="189" t="s">
        <v>149</v>
      </c>
      <c r="E3103" s="190" t="s">
        <v>2287</v>
      </c>
      <c r="F3103" s="191">
        <f t="shared" si="50"/>
        <v>264.13333333333333</v>
      </c>
    </row>
    <row r="3104" spans="2:6" ht="15" customHeight="1" x14ac:dyDescent="0.2">
      <c r="B3104" s="188" t="s">
        <v>5651</v>
      </c>
      <c r="C3104" s="189" t="s">
        <v>125</v>
      </c>
      <c r="D3104" s="189" t="s">
        <v>123</v>
      </c>
      <c r="E3104" s="190" t="s">
        <v>5652</v>
      </c>
      <c r="F3104" s="191">
        <f t="shared" si="50"/>
        <v>233.73333333333332</v>
      </c>
    </row>
    <row r="3105" spans="2:6" ht="15" customHeight="1" x14ac:dyDescent="0.2">
      <c r="B3105" s="188" t="s">
        <v>5653</v>
      </c>
      <c r="C3105" s="189" t="s">
        <v>126</v>
      </c>
      <c r="D3105" s="189" t="s">
        <v>123</v>
      </c>
      <c r="E3105" s="190" t="s">
        <v>5654</v>
      </c>
      <c r="F3105" s="191">
        <f t="shared" si="50"/>
        <v>237.38333333333333</v>
      </c>
    </row>
    <row r="3106" spans="2:6" ht="15" customHeight="1" x14ac:dyDescent="0.2">
      <c r="B3106" s="188" t="s">
        <v>5655</v>
      </c>
      <c r="C3106" s="189" t="s">
        <v>128</v>
      </c>
      <c r="D3106" s="189" t="s">
        <v>123</v>
      </c>
      <c r="E3106" s="190" t="s">
        <v>5656</v>
      </c>
      <c r="F3106" s="191">
        <f t="shared" si="50"/>
        <v>228.93333333333334</v>
      </c>
    </row>
    <row r="3107" spans="2:6" ht="15" customHeight="1" x14ac:dyDescent="0.2">
      <c r="B3107" s="188" t="s">
        <v>5657</v>
      </c>
      <c r="C3107" s="189" t="s">
        <v>124</v>
      </c>
      <c r="D3107" s="189" t="s">
        <v>129</v>
      </c>
      <c r="E3107" s="190" t="s">
        <v>5658</v>
      </c>
      <c r="F3107" s="191">
        <f t="shared" si="50"/>
        <v>168.76666666666668</v>
      </c>
    </row>
    <row r="3108" spans="2:6" ht="15" customHeight="1" x14ac:dyDescent="0.2">
      <c r="B3108" s="188" t="s">
        <v>4403</v>
      </c>
      <c r="C3108" s="189" t="s">
        <v>124</v>
      </c>
      <c r="D3108" s="189" t="s">
        <v>171</v>
      </c>
      <c r="E3108" s="190" t="s">
        <v>2548</v>
      </c>
      <c r="F3108" s="191">
        <f t="shared" si="50"/>
        <v>203.63333333333333</v>
      </c>
    </row>
    <row r="3109" spans="2:6" ht="15" customHeight="1" x14ac:dyDescent="0.2">
      <c r="B3109" s="188" t="s">
        <v>5659</v>
      </c>
      <c r="C3109" s="189" t="s">
        <v>125</v>
      </c>
      <c r="D3109" s="189" t="s">
        <v>132</v>
      </c>
      <c r="E3109" s="190" t="s">
        <v>4982</v>
      </c>
      <c r="F3109" s="191">
        <f t="shared" si="50"/>
        <v>234</v>
      </c>
    </row>
    <row r="3110" spans="2:6" ht="15" customHeight="1" x14ac:dyDescent="0.2">
      <c r="B3110" s="188" t="s">
        <v>5660</v>
      </c>
      <c r="C3110" s="189" t="s">
        <v>134</v>
      </c>
      <c r="D3110" s="189" t="s">
        <v>132</v>
      </c>
      <c r="E3110" s="190" t="s">
        <v>2013</v>
      </c>
      <c r="F3110" s="191">
        <f t="shared" si="50"/>
        <v>268.28333333333336</v>
      </c>
    </row>
    <row r="3111" spans="2:6" ht="15" customHeight="1" x14ac:dyDescent="0.2">
      <c r="B3111" s="188" t="s">
        <v>5661</v>
      </c>
      <c r="C3111" s="189" t="s">
        <v>128</v>
      </c>
      <c r="D3111" s="189" t="s">
        <v>123</v>
      </c>
      <c r="E3111" s="190" t="s">
        <v>5167</v>
      </c>
      <c r="F3111" s="191">
        <f t="shared" si="50"/>
        <v>270.53333333333336</v>
      </c>
    </row>
    <row r="3112" spans="2:6" ht="15" customHeight="1" x14ac:dyDescent="0.2">
      <c r="B3112" s="188" t="s">
        <v>5662</v>
      </c>
      <c r="C3112" s="189" t="s">
        <v>128</v>
      </c>
      <c r="D3112" s="189" t="s">
        <v>123</v>
      </c>
      <c r="E3112" s="190" t="s">
        <v>5663</v>
      </c>
      <c r="F3112" s="191">
        <f t="shared" si="50"/>
        <v>300.64999999999998</v>
      </c>
    </row>
    <row r="3113" spans="2:6" ht="15" customHeight="1" x14ac:dyDescent="0.2">
      <c r="B3113" s="188" t="s">
        <v>5664</v>
      </c>
      <c r="C3113" s="189" t="s">
        <v>128</v>
      </c>
      <c r="D3113" s="189" t="s">
        <v>123</v>
      </c>
      <c r="E3113" s="190" t="s">
        <v>3584</v>
      </c>
      <c r="F3113" s="191">
        <f t="shared" si="50"/>
        <v>224.4</v>
      </c>
    </row>
    <row r="3114" spans="2:6" ht="15" customHeight="1" x14ac:dyDescent="0.2">
      <c r="B3114" s="188" t="s">
        <v>5665</v>
      </c>
      <c r="C3114" s="189" t="s">
        <v>128</v>
      </c>
      <c r="D3114" s="189" t="s">
        <v>123</v>
      </c>
      <c r="E3114" s="190" t="s">
        <v>5666</v>
      </c>
      <c r="F3114" s="191">
        <f t="shared" si="50"/>
        <v>263.85000000000002</v>
      </c>
    </row>
    <row r="3115" spans="2:6" ht="15" customHeight="1" x14ac:dyDescent="0.2">
      <c r="B3115" s="188" t="s">
        <v>5667</v>
      </c>
      <c r="C3115" s="189" t="s">
        <v>125</v>
      </c>
      <c r="D3115" s="189" t="s">
        <v>123</v>
      </c>
      <c r="E3115" s="190" t="s">
        <v>5668</v>
      </c>
      <c r="F3115" s="191">
        <f t="shared" si="50"/>
        <v>201.98333333333332</v>
      </c>
    </row>
    <row r="3116" spans="2:6" ht="15" customHeight="1" x14ac:dyDescent="0.2">
      <c r="B3116" s="188" t="s">
        <v>5669</v>
      </c>
      <c r="C3116" s="189" t="s">
        <v>125</v>
      </c>
      <c r="D3116" s="189" t="s">
        <v>188</v>
      </c>
      <c r="E3116" s="190" t="s">
        <v>5670</v>
      </c>
      <c r="F3116" s="191">
        <f t="shared" si="50"/>
        <v>240.71666666666667</v>
      </c>
    </row>
    <row r="3117" spans="2:6" ht="15" customHeight="1" x14ac:dyDescent="0.2">
      <c r="B3117" s="188" t="s">
        <v>5671</v>
      </c>
      <c r="C3117" s="189" t="s">
        <v>142</v>
      </c>
      <c r="D3117" s="189" t="s">
        <v>187</v>
      </c>
      <c r="E3117" s="190" t="s">
        <v>5672</v>
      </c>
      <c r="F3117" s="191">
        <f t="shared" si="50"/>
        <v>212.23333333333332</v>
      </c>
    </row>
    <row r="3118" spans="2:6" ht="15" customHeight="1" x14ac:dyDescent="0.2">
      <c r="B3118" s="188" t="s">
        <v>5673</v>
      </c>
      <c r="C3118" s="189" t="s">
        <v>124</v>
      </c>
      <c r="D3118" s="189" t="s">
        <v>123</v>
      </c>
      <c r="E3118" s="190" t="s">
        <v>2193</v>
      </c>
      <c r="F3118" s="191">
        <f t="shared" si="50"/>
        <v>279.36666666666667</v>
      </c>
    </row>
    <row r="3119" spans="2:6" ht="15" customHeight="1" x14ac:dyDescent="0.2">
      <c r="B3119" s="188" t="s">
        <v>3753</v>
      </c>
      <c r="C3119" s="189" t="s">
        <v>135</v>
      </c>
      <c r="D3119" s="189" t="s">
        <v>123</v>
      </c>
      <c r="E3119" s="190" t="s">
        <v>2879</v>
      </c>
      <c r="F3119" s="191">
        <f t="shared" si="50"/>
        <v>203.05</v>
      </c>
    </row>
    <row r="3120" spans="2:6" ht="15" customHeight="1" x14ac:dyDescent="0.2">
      <c r="B3120" s="188" t="s">
        <v>311</v>
      </c>
      <c r="C3120" s="189" t="s">
        <v>125</v>
      </c>
      <c r="D3120" s="189" t="s">
        <v>131</v>
      </c>
      <c r="E3120" s="190" t="s">
        <v>5601</v>
      </c>
      <c r="F3120" s="191">
        <f t="shared" si="50"/>
        <v>246.3</v>
      </c>
    </row>
    <row r="3121" spans="2:6" ht="15" customHeight="1" x14ac:dyDescent="0.2">
      <c r="B3121" s="188" t="s">
        <v>5674</v>
      </c>
      <c r="C3121" s="189" t="s">
        <v>142</v>
      </c>
      <c r="D3121" s="189" t="s">
        <v>148</v>
      </c>
      <c r="E3121" s="190" t="s">
        <v>1035</v>
      </c>
      <c r="F3121" s="191">
        <f t="shared" si="50"/>
        <v>239.6</v>
      </c>
    </row>
    <row r="3122" spans="2:6" ht="15" customHeight="1" x14ac:dyDescent="0.2">
      <c r="B3122" s="188" t="s">
        <v>5675</v>
      </c>
      <c r="C3122" s="189" t="s">
        <v>134</v>
      </c>
      <c r="D3122" s="189" t="s">
        <v>131</v>
      </c>
      <c r="E3122" s="190" t="s">
        <v>5676</v>
      </c>
      <c r="F3122" s="191">
        <f t="shared" si="50"/>
        <v>250.16666666666666</v>
      </c>
    </row>
    <row r="3123" spans="2:6" ht="15" customHeight="1" x14ac:dyDescent="0.2">
      <c r="B3123" s="188" t="s">
        <v>5677</v>
      </c>
      <c r="C3123" s="189" t="s">
        <v>135</v>
      </c>
      <c r="D3123" s="189" t="s">
        <v>123</v>
      </c>
      <c r="E3123" s="190" t="s">
        <v>5678</v>
      </c>
      <c r="F3123" s="191">
        <f t="shared" si="50"/>
        <v>230.91666666666666</v>
      </c>
    </row>
    <row r="3124" spans="2:6" ht="15" customHeight="1" x14ac:dyDescent="0.2">
      <c r="B3124" s="188" t="s">
        <v>5679</v>
      </c>
      <c r="C3124" s="189" t="s">
        <v>142</v>
      </c>
      <c r="D3124" s="189" t="s">
        <v>123</v>
      </c>
      <c r="E3124" s="190" t="s">
        <v>5680</v>
      </c>
      <c r="F3124" s="191">
        <f t="shared" si="50"/>
        <v>262.48333333333335</v>
      </c>
    </row>
    <row r="3125" spans="2:6" ht="15" customHeight="1" x14ac:dyDescent="0.2">
      <c r="B3125" s="188" t="s">
        <v>5681</v>
      </c>
      <c r="C3125" s="189" t="s">
        <v>142</v>
      </c>
      <c r="D3125" s="189" t="s">
        <v>123</v>
      </c>
      <c r="E3125" s="190" t="s">
        <v>5682</v>
      </c>
      <c r="F3125" s="191">
        <f t="shared" si="50"/>
        <v>259.43333333333334</v>
      </c>
    </row>
    <row r="3126" spans="2:6" ht="15" customHeight="1" x14ac:dyDescent="0.2">
      <c r="B3126" s="188" t="s">
        <v>5683</v>
      </c>
      <c r="C3126" s="189" t="s">
        <v>134</v>
      </c>
      <c r="D3126" s="189" t="s">
        <v>123</v>
      </c>
      <c r="E3126" s="190" t="s">
        <v>5684</v>
      </c>
      <c r="F3126" s="191">
        <f t="shared" si="50"/>
        <v>321.16666666666669</v>
      </c>
    </row>
    <row r="3127" spans="2:6" ht="15" customHeight="1" x14ac:dyDescent="0.2">
      <c r="B3127" s="188" t="s">
        <v>5685</v>
      </c>
      <c r="C3127" s="189" t="s">
        <v>130</v>
      </c>
      <c r="D3127" s="189" t="s">
        <v>148</v>
      </c>
      <c r="E3127" s="190" t="s">
        <v>1177</v>
      </c>
      <c r="F3127" s="191">
        <f t="shared" si="50"/>
        <v>237.76666666666668</v>
      </c>
    </row>
    <row r="3128" spans="2:6" ht="15" customHeight="1" x14ac:dyDescent="0.2">
      <c r="B3128" s="188" t="s">
        <v>5686</v>
      </c>
      <c r="C3128" s="189" t="s">
        <v>125</v>
      </c>
      <c r="D3128" s="189" t="s">
        <v>123</v>
      </c>
      <c r="E3128" s="190" t="s">
        <v>5687</v>
      </c>
      <c r="F3128" s="191">
        <f t="shared" si="50"/>
        <v>316.75</v>
      </c>
    </row>
    <row r="3129" spans="2:6" ht="15" customHeight="1" x14ac:dyDescent="0.2">
      <c r="B3129" s="188" t="s">
        <v>5688</v>
      </c>
      <c r="C3129" s="189" t="s">
        <v>142</v>
      </c>
      <c r="D3129" s="189" t="s">
        <v>123</v>
      </c>
      <c r="E3129" s="190" t="s">
        <v>1208</v>
      </c>
      <c r="F3129" s="191">
        <f t="shared" si="50"/>
        <v>221.28333333333333</v>
      </c>
    </row>
    <row r="3130" spans="2:6" ht="15" customHeight="1" x14ac:dyDescent="0.2">
      <c r="B3130" s="188" t="s">
        <v>578</v>
      </c>
      <c r="C3130" s="189" t="s">
        <v>124</v>
      </c>
      <c r="D3130" s="189" t="s">
        <v>169</v>
      </c>
      <c r="E3130" s="190" t="s">
        <v>5689</v>
      </c>
      <c r="F3130" s="191">
        <f t="shared" si="50"/>
        <v>198.35</v>
      </c>
    </row>
    <row r="3131" spans="2:6" ht="15" customHeight="1" x14ac:dyDescent="0.2">
      <c r="B3131" s="188" t="s">
        <v>5690</v>
      </c>
      <c r="C3131" s="189" t="s">
        <v>125</v>
      </c>
      <c r="D3131" s="189" t="s">
        <v>123</v>
      </c>
      <c r="E3131" s="190" t="s">
        <v>4434</v>
      </c>
      <c r="F3131" s="191">
        <f t="shared" si="50"/>
        <v>214.43333333333334</v>
      </c>
    </row>
    <row r="3132" spans="2:6" ht="15" customHeight="1" x14ac:dyDescent="0.2">
      <c r="B3132" s="188" t="s">
        <v>5691</v>
      </c>
      <c r="C3132" s="189" t="s">
        <v>140</v>
      </c>
      <c r="D3132" s="189" t="s">
        <v>123</v>
      </c>
      <c r="E3132" s="190" t="s">
        <v>5692</v>
      </c>
      <c r="F3132" s="191">
        <f t="shared" si="50"/>
        <v>269.38333333333333</v>
      </c>
    </row>
    <row r="3133" spans="2:6" ht="15" customHeight="1" x14ac:dyDescent="0.2">
      <c r="B3133" s="188" t="s">
        <v>5693</v>
      </c>
      <c r="C3133" s="189" t="s">
        <v>142</v>
      </c>
      <c r="D3133" s="189" t="s">
        <v>123</v>
      </c>
      <c r="E3133" s="190" t="s">
        <v>4092</v>
      </c>
      <c r="F3133" s="191">
        <f t="shared" si="50"/>
        <v>209.11666666666667</v>
      </c>
    </row>
    <row r="3134" spans="2:6" ht="15" customHeight="1" x14ac:dyDescent="0.2">
      <c r="B3134" s="188" t="s">
        <v>418</v>
      </c>
      <c r="C3134" s="189" t="s">
        <v>124</v>
      </c>
      <c r="D3134" s="189" t="s">
        <v>152</v>
      </c>
      <c r="E3134" s="190" t="s">
        <v>5694</v>
      </c>
      <c r="F3134" s="191">
        <f t="shared" si="50"/>
        <v>223.38333333333333</v>
      </c>
    </row>
    <row r="3135" spans="2:6" ht="15" customHeight="1" x14ac:dyDescent="0.2">
      <c r="B3135" s="188" t="s">
        <v>221</v>
      </c>
      <c r="C3135" s="189" t="s">
        <v>128</v>
      </c>
      <c r="D3135" s="189" t="s">
        <v>123</v>
      </c>
      <c r="E3135" s="190" t="s">
        <v>5695</v>
      </c>
      <c r="F3135" s="191">
        <f t="shared" si="50"/>
        <v>227.93333333333334</v>
      </c>
    </row>
    <row r="3136" spans="2:6" ht="15" customHeight="1" x14ac:dyDescent="0.2">
      <c r="B3136" s="188" t="s">
        <v>1745</v>
      </c>
      <c r="C3136" s="189" t="s">
        <v>130</v>
      </c>
      <c r="D3136" s="189" t="s">
        <v>132</v>
      </c>
      <c r="E3136" s="190" t="s">
        <v>1746</v>
      </c>
      <c r="F3136" s="191">
        <f t="shared" si="50"/>
        <v>190.1</v>
      </c>
    </row>
    <row r="3137" spans="2:6" ht="15" customHeight="1" x14ac:dyDescent="0.2">
      <c r="B3137" s="188" t="s">
        <v>390</v>
      </c>
      <c r="C3137" s="189" t="s">
        <v>125</v>
      </c>
      <c r="D3137" s="189" t="s">
        <v>149</v>
      </c>
      <c r="E3137" s="190" t="s">
        <v>5696</v>
      </c>
      <c r="F3137" s="191">
        <f t="shared" si="50"/>
        <v>163.16666666666666</v>
      </c>
    </row>
    <row r="3138" spans="2:6" ht="15" customHeight="1" x14ac:dyDescent="0.2">
      <c r="B3138" s="188" t="s">
        <v>5697</v>
      </c>
      <c r="C3138" s="189" t="s">
        <v>128</v>
      </c>
      <c r="D3138" s="189" t="s">
        <v>123</v>
      </c>
      <c r="E3138" s="190" t="s">
        <v>3763</v>
      </c>
      <c r="F3138" s="191">
        <f t="shared" si="50"/>
        <v>250.6</v>
      </c>
    </row>
    <row r="3139" spans="2:6" ht="15" customHeight="1" x14ac:dyDescent="0.2">
      <c r="B3139" s="188" t="s">
        <v>5698</v>
      </c>
      <c r="C3139" s="189" t="s">
        <v>124</v>
      </c>
      <c r="D3139" s="189" t="s">
        <v>155</v>
      </c>
      <c r="E3139" s="190" t="s">
        <v>2020</v>
      </c>
      <c r="F3139" s="191">
        <f t="shared" si="50"/>
        <v>280.25</v>
      </c>
    </row>
    <row r="3140" spans="2:6" ht="15" customHeight="1" x14ac:dyDescent="0.2">
      <c r="B3140" s="188" t="s">
        <v>5699</v>
      </c>
      <c r="C3140" s="189" t="s">
        <v>142</v>
      </c>
      <c r="D3140" s="189" t="s">
        <v>123</v>
      </c>
      <c r="E3140" s="190" t="s">
        <v>2782</v>
      </c>
      <c r="F3140" s="191">
        <f t="shared" si="50"/>
        <v>308.45</v>
      </c>
    </row>
    <row r="3141" spans="2:6" ht="15" customHeight="1" x14ac:dyDescent="0.2">
      <c r="B3141" s="188" t="s">
        <v>5700</v>
      </c>
      <c r="C3141" s="189" t="s">
        <v>134</v>
      </c>
      <c r="D3141" s="189" t="s">
        <v>132</v>
      </c>
      <c r="E3141" s="190" t="s">
        <v>3127</v>
      </c>
      <c r="F3141" s="191">
        <f t="shared" si="50"/>
        <v>237.93333333333334</v>
      </c>
    </row>
    <row r="3142" spans="2:6" ht="15" customHeight="1" x14ac:dyDescent="0.2">
      <c r="B3142" s="188" t="s">
        <v>5701</v>
      </c>
      <c r="C3142" s="189" t="s">
        <v>142</v>
      </c>
      <c r="D3142" s="189" t="s">
        <v>123</v>
      </c>
      <c r="E3142" s="190" t="s">
        <v>5702</v>
      </c>
      <c r="F3142" s="191">
        <f t="shared" si="50"/>
        <v>208.03333333333333</v>
      </c>
    </row>
    <row r="3143" spans="2:6" ht="15" customHeight="1" x14ac:dyDescent="0.2">
      <c r="B3143" s="188" t="s">
        <v>516</v>
      </c>
      <c r="C3143" s="189" t="s">
        <v>136</v>
      </c>
      <c r="D3143" s="189" t="s">
        <v>123</v>
      </c>
      <c r="E3143" s="190" t="s">
        <v>3419</v>
      </c>
      <c r="F3143" s="191">
        <f t="shared" si="50"/>
        <v>298.26666666666665</v>
      </c>
    </row>
    <row r="3144" spans="2:6" ht="15" customHeight="1" x14ac:dyDescent="0.2">
      <c r="B3144" s="188" t="s">
        <v>5703</v>
      </c>
      <c r="C3144" s="189" t="s">
        <v>124</v>
      </c>
      <c r="D3144" s="189" t="s">
        <v>123</v>
      </c>
      <c r="E3144" s="190" t="s">
        <v>5704</v>
      </c>
      <c r="F3144" s="191">
        <f t="shared" si="50"/>
        <v>189</v>
      </c>
    </row>
    <row r="3145" spans="2:6" ht="15" customHeight="1" x14ac:dyDescent="0.2">
      <c r="B3145" s="188" t="s">
        <v>5705</v>
      </c>
      <c r="C3145" s="189" t="s">
        <v>134</v>
      </c>
      <c r="D3145" s="189" t="s">
        <v>123</v>
      </c>
      <c r="E3145" s="190" t="s">
        <v>1214</v>
      </c>
      <c r="F3145" s="191">
        <f t="shared" si="50"/>
        <v>265.95</v>
      </c>
    </row>
    <row r="3146" spans="2:6" ht="15" customHeight="1" x14ac:dyDescent="0.2">
      <c r="B3146" s="188" t="s">
        <v>5706</v>
      </c>
      <c r="C3146" s="189" t="s">
        <v>125</v>
      </c>
      <c r="D3146" s="189" t="s">
        <v>123</v>
      </c>
      <c r="E3146" s="190" t="s">
        <v>1271</v>
      </c>
      <c r="F3146" s="191">
        <f t="shared" si="50"/>
        <v>172.11666666666667</v>
      </c>
    </row>
    <row r="3147" spans="2:6" ht="15" customHeight="1" x14ac:dyDescent="0.2">
      <c r="B3147" s="188" t="s">
        <v>5707</v>
      </c>
      <c r="C3147" s="189" t="s">
        <v>134</v>
      </c>
      <c r="D3147" s="189" t="s">
        <v>123</v>
      </c>
      <c r="E3147" s="190" t="s">
        <v>5708</v>
      </c>
      <c r="F3147" s="191">
        <f t="shared" ref="F3147:F3210" si="51">HOUR(E3147)*60+MINUTE(E3147)+SECOND(E3147)/60</f>
        <v>226.63333333333333</v>
      </c>
    </row>
    <row r="3148" spans="2:6" ht="15" customHeight="1" x14ac:dyDescent="0.2">
      <c r="B3148" s="188" t="s">
        <v>5709</v>
      </c>
      <c r="C3148" s="189" t="s">
        <v>134</v>
      </c>
      <c r="D3148" s="189" t="s">
        <v>123</v>
      </c>
      <c r="E3148" s="190" t="s">
        <v>3693</v>
      </c>
      <c r="F3148" s="191">
        <f t="shared" si="51"/>
        <v>256.89999999999998</v>
      </c>
    </row>
    <row r="3149" spans="2:6" ht="15" customHeight="1" x14ac:dyDescent="0.2">
      <c r="B3149" s="188" t="s">
        <v>417</v>
      </c>
      <c r="C3149" s="189" t="s">
        <v>124</v>
      </c>
      <c r="D3149" s="189" t="s">
        <v>123</v>
      </c>
      <c r="E3149" s="190" t="s">
        <v>5710</v>
      </c>
      <c r="F3149" s="191">
        <f t="shared" si="51"/>
        <v>284.91666666666669</v>
      </c>
    </row>
    <row r="3150" spans="2:6" ht="15" customHeight="1" x14ac:dyDescent="0.2">
      <c r="B3150" s="188" t="s">
        <v>338</v>
      </c>
      <c r="C3150" s="189" t="s">
        <v>124</v>
      </c>
      <c r="D3150" s="189" t="s">
        <v>123</v>
      </c>
      <c r="E3150" s="190" t="s">
        <v>5711</v>
      </c>
      <c r="F3150" s="191">
        <f t="shared" si="51"/>
        <v>261.76666666666665</v>
      </c>
    </row>
    <row r="3151" spans="2:6" ht="15" customHeight="1" x14ac:dyDescent="0.2">
      <c r="B3151" s="188" t="s">
        <v>5712</v>
      </c>
      <c r="C3151" s="189" t="s">
        <v>142</v>
      </c>
      <c r="D3151" s="189" t="s">
        <v>123</v>
      </c>
      <c r="E3151" s="190" t="s">
        <v>5711</v>
      </c>
      <c r="F3151" s="191">
        <f t="shared" si="51"/>
        <v>261.76666666666665</v>
      </c>
    </row>
    <row r="3152" spans="2:6" ht="15" customHeight="1" x14ac:dyDescent="0.2">
      <c r="B3152" s="188" t="s">
        <v>891</v>
      </c>
      <c r="C3152" s="189" t="s">
        <v>134</v>
      </c>
      <c r="D3152" s="189" t="s">
        <v>123</v>
      </c>
      <c r="E3152" s="190" t="s">
        <v>892</v>
      </c>
      <c r="F3152" s="191">
        <f t="shared" si="51"/>
        <v>244.01666666666668</v>
      </c>
    </row>
    <row r="3153" spans="2:6" ht="15" customHeight="1" x14ac:dyDescent="0.2">
      <c r="B3153" s="188" t="s">
        <v>5713</v>
      </c>
      <c r="C3153" s="189" t="s">
        <v>130</v>
      </c>
      <c r="D3153" s="189" t="s">
        <v>123</v>
      </c>
      <c r="E3153" s="190" t="s">
        <v>5082</v>
      </c>
      <c r="F3153" s="191">
        <f t="shared" si="51"/>
        <v>208.48333333333332</v>
      </c>
    </row>
    <row r="3154" spans="2:6" ht="15" customHeight="1" x14ac:dyDescent="0.2">
      <c r="B3154" s="188" t="s">
        <v>4511</v>
      </c>
      <c r="C3154" s="189" t="s">
        <v>130</v>
      </c>
      <c r="D3154" s="189" t="s">
        <v>169</v>
      </c>
      <c r="E3154" s="190" t="s">
        <v>4512</v>
      </c>
      <c r="F3154" s="191">
        <f t="shared" si="51"/>
        <v>243.65</v>
      </c>
    </row>
    <row r="3155" spans="2:6" ht="15" customHeight="1" x14ac:dyDescent="0.2">
      <c r="B3155" s="188" t="s">
        <v>5714</v>
      </c>
      <c r="C3155" s="189" t="s">
        <v>125</v>
      </c>
      <c r="D3155" s="189" t="s">
        <v>123</v>
      </c>
      <c r="E3155" s="190" t="s">
        <v>5715</v>
      </c>
      <c r="F3155" s="191">
        <f t="shared" si="51"/>
        <v>177.66666666666666</v>
      </c>
    </row>
    <row r="3156" spans="2:6" ht="15" customHeight="1" x14ac:dyDescent="0.2">
      <c r="B3156" s="188" t="s">
        <v>5716</v>
      </c>
      <c r="C3156" s="189" t="s">
        <v>124</v>
      </c>
      <c r="D3156" s="189" t="s">
        <v>123</v>
      </c>
      <c r="E3156" s="190" t="s">
        <v>4304</v>
      </c>
      <c r="F3156" s="191">
        <f t="shared" si="51"/>
        <v>260.36666666666667</v>
      </c>
    </row>
    <row r="3157" spans="2:6" ht="15" customHeight="1" x14ac:dyDescent="0.2">
      <c r="B3157" s="188" t="s">
        <v>412</v>
      </c>
      <c r="C3157" s="189" t="s">
        <v>134</v>
      </c>
      <c r="D3157" s="189" t="s">
        <v>169</v>
      </c>
      <c r="E3157" s="190" t="s">
        <v>1986</v>
      </c>
      <c r="F3157" s="191">
        <f t="shared" si="51"/>
        <v>303.7</v>
      </c>
    </row>
    <row r="3158" spans="2:6" ht="15" customHeight="1" x14ac:dyDescent="0.2">
      <c r="B3158" s="188" t="s">
        <v>5717</v>
      </c>
      <c r="C3158" s="189" t="s">
        <v>126</v>
      </c>
      <c r="D3158" s="189" t="s">
        <v>123</v>
      </c>
      <c r="E3158" s="190" t="s">
        <v>5718</v>
      </c>
      <c r="F3158" s="191">
        <f t="shared" si="51"/>
        <v>238.08333333333334</v>
      </c>
    </row>
    <row r="3159" spans="2:6" ht="15" customHeight="1" x14ac:dyDescent="0.2">
      <c r="B3159" s="188" t="s">
        <v>5719</v>
      </c>
      <c r="C3159" s="189" t="s">
        <v>126</v>
      </c>
      <c r="D3159" s="189" t="s">
        <v>148</v>
      </c>
      <c r="E3159" s="190" t="s">
        <v>5720</v>
      </c>
      <c r="F3159" s="191">
        <f t="shared" si="51"/>
        <v>221.88333333333333</v>
      </c>
    </row>
    <row r="3160" spans="2:6" ht="15" customHeight="1" x14ac:dyDescent="0.2">
      <c r="B3160" s="188" t="s">
        <v>5721</v>
      </c>
      <c r="C3160" s="189" t="s">
        <v>134</v>
      </c>
      <c r="D3160" s="189" t="s">
        <v>123</v>
      </c>
      <c r="E3160" s="190" t="s">
        <v>5722</v>
      </c>
      <c r="F3160" s="191">
        <f t="shared" si="51"/>
        <v>230.35</v>
      </c>
    </row>
    <row r="3161" spans="2:6" ht="15" customHeight="1" x14ac:dyDescent="0.2">
      <c r="B3161" s="188" t="s">
        <v>5723</v>
      </c>
      <c r="C3161" s="189" t="s">
        <v>135</v>
      </c>
      <c r="D3161" s="189" t="s">
        <v>123</v>
      </c>
      <c r="E3161" s="190" t="s">
        <v>5724</v>
      </c>
      <c r="F3161" s="191">
        <f t="shared" si="51"/>
        <v>297.64999999999998</v>
      </c>
    </row>
    <row r="3162" spans="2:6" ht="15" customHeight="1" x14ac:dyDescent="0.2">
      <c r="B3162" s="188" t="s">
        <v>5725</v>
      </c>
      <c r="C3162" s="189" t="s">
        <v>130</v>
      </c>
      <c r="D3162" s="189" t="s">
        <v>123</v>
      </c>
      <c r="E3162" s="190" t="s">
        <v>3461</v>
      </c>
      <c r="F3162" s="191">
        <f t="shared" si="51"/>
        <v>235.21666666666667</v>
      </c>
    </row>
    <row r="3163" spans="2:6" ht="15" customHeight="1" x14ac:dyDescent="0.2">
      <c r="B3163" s="188" t="s">
        <v>2759</v>
      </c>
      <c r="C3163" s="189" t="s">
        <v>134</v>
      </c>
      <c r="D3163" s="189" t="s">
        <v>123</v>
      </c>
      <c r="E3163" s="190" t="s">
        <v>2760</v>
      </c>
      <c r="F3163" s="191">
        <f t="shared" si="51"/>
        <v>221.7</v>
      </c>
    </row>
    <row r="3164" spans="2:6" ht="15" customHeight="1" x14ac:dyDescent="0.2">
      <c r="B3164" s="188" t="s">
        <v>5726</v>
      </c>
      <c r="C3164" s="189" t="s">
        <v>134</v>
      </c>
      <c r="D3164" s="189" t="s">
        <v>171</v>
      </c>
      <c r="E3164" s="190" t="s">
        <v>2018</v>
      </c>
      <c r="F3164" s="191">
        <f t="shared" si="51"/>
        <v>236.66666666666666</v>
      </c>
    </row>
    <row r="3165" spans="2:6" ht="15" customHeight="1" x14ac:dyDescent="0.2">
      <c r="B3165" s="188" t="s">
        <v>5727</v>
      </c>
      <c r="C3165" s="189" t="s">
        <v>125</v>
      </c>
      <c r="D3165" s="189" t="s">
        <v>123</v>
      </c>
      <c r="E3165" s="190" t="s">
        <v>5728</v>
      </c>
      <c r="F3165" s="191">
        <f t="shared" si="51"/>
        <v>188.86666666666667</v>
      </c>
    </row>
    <row r="3166" spans="2:6" ht="15" customHeight="1" x14ac:dyDescent="0.2">
      <c r="B3166" s="188" t="s">
        <v>5729</v>
      </c>
      <c r="C3166" s="189" t="s">
        <v>124</v>
      </c>
      <c r="D3166" s="189" t="s">
        <v>139</v>
      </c>
      <c r="E3166" s="190" t="s">
        <v>5730</v>
      </c>
      <c r="F3166" s="191">
        <f t="shared" si="51"/>
        <v>201.18333333333334</v>
      </c>
    </row>
    <row r="3167" spans="2:6" ht="15" customHeight="1" x14ac:dyDescent="0.2">
      <c r="B3167" s="188" t="s">
        <v>5731</v>
      </c>
      <c r="C3167" s="189" t="s">
        <v>124</v>
      </c>
      <c r="D3167" s="189" t="s">
        <v>123</v>
      </c>
      <c r="E3167" s="190" t="s">
        <v>5732</v>
      </c>
      <c r="F3167" s="191">
        <f t="shared" si="51"/>
        <v>318.83333333333331</v>
      </c>
    </row>
    <row r="3168" spans="2:6" ht="15" customHeight="1" x14ac:dyDescent="0.2">
      <c r="B3168" s="188" t="s">
        <v>5565</v>
      </c>
      <c r="C3168" s="189" t="s">
        <v>124</v>
      </c>
      <c r="D3168" s="189" t="s">
        <v>123</v>
      </c>
      <c r="E3168" s="190" t="s">
        <v>4015</v>
      </c>
      <c r="F3168" s="191">
        <f t="shared" si="51"/>
        <v>203.4</v>
      </c>
    </row>
    <row r="3169" spans="2:6" ht="15" customHeight="1" x14ac:dyDescent="0.2">
      <c r="B3169" s="188" t="s">
        <v>5733</v>
      </c>
      <c r="C3169" s="189" t="s">
        <v>142</v>
      </c>
      <c r="D3169" s="189" t="s">
        <v>123</v>
      </c>
      <c r="E3169" s="190" t="s">
        <v>1115</v>
      </c>
      <c r="F3169" s="191">
        <f t="shared" si="51"/>
        <v>248.91666666666666</v>
      </c>
    </row>
    <row r="3170" spans="2:6" ht="15" customHeight="1" x14ac:dyDescent="0.2">
      <c r="B3170" s="188" t="s">
        <v>5734</v>
      </c>
      <c r="C3170" s="189" t="s">
        <v>128</v>
      </c>
      <c r="D3170" s="189" t="s">
        <v>123</v>
      </c>
      <c r="E3170" s="190" t="s">
        <v>5735</v>
      </c>
      <c r="F3170" s="191">
        <f t="shared" si="51"/>
        <v>308.08333333333331</v>
      </c>
    </row>
    <row r="3171" spans="2:6" ht="15" customHeight="1" x14ac:dyDescent="0.2">
      <c r="B3171" s="188" t="s">
        <v>5584</v>
      </c>
      <c r="C3171" s="189" t="s">
        <v>125</v>
      </c>
      <c r="D3171" s="189" t="s">
        <v>160</v>
      </c>
      <c r="E3171" s="190" t="s">
        <v>5585</v>
      </c>
      <c r="F3171" s="191">
        <f t="shared" si="51"/>
        <v>189.3</v>
      </c>
    </row>
    <row r="3172" spans="2:6" ht="15" customHeight="1" x14ac:dyDescent="0.2">
      <c r="B3172" s="188" t="s">
        <v>5736</v>
      </c>
      <c r="C3172" s="189" t="s">
        <v>126</v>
      </c>
      <c r="D3172" s="189" t="s">
        <v>123</v>
      </c>
      <c r="E3172" s="190" t="s">
        <v>5737</v>
      </c>
      <c r="F3172" s="191">
        <f t="shared" si="51"/>
        <v>212.01666666666668</v>
      </c>
    </row>
    <row r="3173" spans="2:6" ht="15" customHeight="1" x14ac:dyDescent="0.2">
      <c r="B3173" s="188" t="s">
        <v>5738</v>
      </c>
      <c r="C3173" s="189" t="s">
        <v>134</v>
      </c>
      <c r="D3173" s="189" t="s">
        <v>123</v>
      </c>
      <c r="E3173" s="190" t="s">
        <v>1254</v>
      </c>
      <c r="F3173" s="191">
        <f t="shared" si="51"/>
        <v>234.06666666666666</v>
      </c>
    </row>
    <row r="3174" spans="2:6" ht="15" customHeight="1" x14ac:dyDescent="0.2">
      <c r="B3174" s="188" t="s">
        <v>5739</v>
      </c>
      <c r="C3174" s="189" t="s">
        <v>128</v>
      </c>
      <c r="D3174" s="189" t="s">
        <v>123</v>
      </c>
      <c r="E3174" s="190" t="s">
        <v>5575</v>
      </c>
      <c r="F3174" s="191">
        <f t="shared" si="51"/>
        <v>245.71666666666667</v>
      </c>
    </row>
    <row r="3175" spans="2:6" ht="15" customHeight="1" x14ac:dyDescent="0.2">
      <c r="B3175" s="188" t="s">
        <v>5740</v>
      </c>
      <c r="C3175" s="189" t="s">
        <v>126</v>
      </c>
      <c r="D3175" s="189" t="s">
        <v>123</v>
      </c>
      <c r="E3175" s="190" t="s">
        <v>5741</v>
      </c>
      <c r="F3175" s="191">
        <f t="shared" si="51"/>
        <v>174.58333333333334</v>
      </c>
    </row>
    <row r="3176" spans="2:6" ht="15" customHeight="1" x14ac:dyDescent="0.2">
      <c r="B3176" s="188" t="s">
        <v>5742</v>
      </c>
      <c r="C3176" s="189" t="s">
        <v>130</v>
      </c>
      <c r="D3176" s="189" t="s">
        <v>123</v>
      </c>
      <c r="E3176" s="190" t="s">
        <v>1899</v>
      </c>
      <c r="F3176" s="191">
        <f t="shared" si="51"/>
        <v>219.51666666666668</v>
      </c>
    </row>
    <row r="3177" spans="2:6" ht="15" customHeight="1" x14ac:dyDescent="0.2">
      <c r="B3177" s="188" t="s">
        <v>5743</v>
      </c>
      <c r="C3177" s="189" t="s">
        <v>128</v>
      </c>
      <c r="D3177" s="189" t="s">
        <v>176</v>
      </c>
      <c r="E3177" s="190" t="s">
        <v>5744</v>
      </c>
      <c r="F3177" s="191">
        <f t="shared" si="51"/>
        <v>253.18333333333334</v>
      </c>
    </row>
    <row r="3178" spans="2:6" ht="15" customHeight="1" x14ac:dyDescent="0.2">
      <c r="B3178" s="188" t="s">
        <v>5745</v>
      </c>
      <c r="C3178" s="189" t="s">
        <v>135</v>
      </c>
      <c r="D3178" s="189" t="s">
        <v>123</v>
      </c>
      <c r="E3178" s="190" t="s">
        <v>5746</v>
      </c>
      <c r="F3178" s="191">
        <f t="shared" si="51"/>
        <v>256.5</v>
      </c>
    </row>
    <row r="3179" spans="2:6" ht="15" customHeight="1" x14ac:dyDescent="0.2">
      <c r="B3179" s="188" t="s">
        <v>5747</v>
      </c>
      <c r="C3179" s="189" t="s">
        <v>128</v>
      </c>
      <c r="D3179" s="189" t="s">
        <v>175</v>
      </c>
      <c r="E3179" s="190" t="s">
        <v>5748</v>
      </c>
      <c r="F3179" s="191">
        <f t="shared" si="51"/>
        <v>223.55</v>
      </c>
    </row>
    <row r="3180" spans="2:6" ht="15" customHeight="1" x14ac:dyDescent="0.2">
      <c r="B3180" s="188" t="s">
        <v>5749</v>
      </c>
      <c r="C3180" s="189" t="s">
        <v>124</v>
      </c>
      <c r="D3180" s="189" t="s">
        <v>131</v>
      </c>
      <c r="E3180" s="190" t="s">
        <v>3832</v>
      </c>
      <c r="F3180" s="191">
        <f t="shared" si="51"/>
        <v>249.75</v>
      </c>
    </row>
    <row r="3181" spans="2:6" ht="15" customHeight="1" x14ac:dyDescent="0.2">
      <c r="B3181" s="188" t="s">
        <v>5750</v>
      </c>
      <c r="C3181" s="189" t="s">
        <v>128</v>
      </c>
      <c r="D3181" s="189" t="s">
        <v>123</v>
      </c>
      <c r="E3181" s="190" t="s">
        <v>5751</v>
      </c>
      <c r="F3181" s="191">
        <f t="shared" si="51"/>
        <v>222.91666666666666</v>
      </c>
    </row>
    <row r="3182" spans="2:6" ht="15" customHeight="1" x14ac:dyDescent="0.2">
      <c r="B3182" s="188" t="s">
        <v>638</v>
      </c>
      <c r="C3182" s="189" t="s">
        <v>125</v>
      </c>
      <c r="D3182" s="189" t="s">
        <v>123</v>
      </c>
      <c r="E3182" s="190" t="s">
        <v>4580</v>
      </c>
      <c r="F3182" s="191">
        <f t="shared" si="51"/>
        <v>283.23333333333335</v>
      </c>
    </row>
    <row r="3183" spans="2:6" ht="15" customHeight="1" x14ac:dyDescent="0.2">
      <c r="B3183" s="188" t="s">
        <v>5752</v>
      </c>
      <c r="C3183" s="189" t="s">
        <v>249</v>
      </c>
      <c r="D3183" s="189" t="s">
        <v>123</v>
      </c>
      <c r="E3183" s="190" t="s">
        <v>5656</v>
      </c>
      <c r="F3183" s="191">
        <f t="shared" si="51"/>
        <v>228.93333333333334</v>
      </c>
    </row>
    <row r="3184" spans="2:6" ht="15" customHeight="1" x14ac:dyDescent="0.2">
      <c r="B3184" s="188" t="s">
        <v>5753</v>
      </c>
      <c r="C3184" s="189" t="s">
        <v>142</v>
      </c>
      <c r="D3184" s="189" t="s">
        <v>174</v>
      </c>
      <c r="E3184" s="190" t="s">
        <v>5257</v>
      </c>
      <c r="F3184" s="191">
        <f t="shared" si="51"/>
        <v>233.78333333333333</v>
      </c>
    </row>
    <row r="3185" spans="2:6" ht="15" customHeight="1" x14ac:dyDescent="0.2">
      <c r="B3185" s="188" t="s">
        <v>5754</v>
      </c>
      <c r="C3185" s="189" t="s">
        <v>125</v>
      </c>
      <c r="D3185" s="189" t="s">
        <v>133</v>
      </c>
      <c r="E3185" s="190" t="s">
        <v>5755</v>
      </c>
      <c r="F3185" s="191">
        <f t="shared" si="51"/>
        <v>238.63333333333333</v>
      </c>
    </row>
    <row r="3186" spans="2:6" ht="15" customHeight="1" x14ac:dyDescent="0.2">
      <c r="B3186" s="188" t="s">
        <v>5756</v>
      </c>
      <c r="C3186" s="189" t="s">
        <v>134</v>
      </c>
      <c r="D3186" s="189" t="s">
        <v>169</v>
      </c>
      <c r="E3186" s="190" t="s">
        <v>739</v>
      </c>
      <c r="F3186" s="191">
        <f t="shared" si="51"/>
        <v>245.63333333333333</v>
      </c>
    </row>
    <row r="3187" spans="2:6" ht="15" customHeight="1" x14ac:dyDescent="0.2">
      <c r="B3187" s="188" t="s">
        <v>5757</v>
      </c>
      <c r="C3187" s="189" t="s">
        <v>124</v>
      </c>
      <c r="D3187" s="189" t="s">
        <v>173</v>
      </c>
      <c r="E3187" s="190" t="s">
        <v>5758</v>
      </c>
      <c r="F3187" s="191">
        <f t="shared" si="51"/>
        <v>260.25</v>
      </c>
    </row>
    <row r="3188" spans="2:6" ht="15" customHeight="1" x14ac:dyDescent="0.2">
      <c r="B3188" s="188" t="s">
        <v>342</v>
      </c>
      <c r="C3188" s="189" t="s">
        <v>142</v>
      </c>
      <c r="D3188" s="189" t="s">
        <v>131</v>
      </c>
      <c r="E3188" s="190" t="s">
        <v>4110</v>
      </c>
      <c r="F3188" s="191">
        <f t="shared" si="51"/>
        <v>236.98333333333332</v>
      </c>
    </row>
    <row r="3189" spans="2:6" ht="15" customHeight="1" x14ac:dyDescent="0.2">
      <c r="B3189" s="188" t="s">
        <v>392</v>
      </c>
      <c r="C3189" s="189" t="s">
        <v>135</v>
      </c>
      <c r="D3189" s="189" t="s">
        <v>132</v>
      </c>
      <c r="E3189" s="190" t="s">
        <v>5759</v>
      </c>
      <c r="F3189" s="191">
        <f t="shared" si="51"/>
        <v>238.51666666666668</v>
      </c>
    </row>
    <row r="3190" spans="2:6" ht="15" customHeight="1" x14ac:dyDescent="0.2">
      <c r="B3190" s="188" t="s">
        <v>5760</v>
      </c>
      <c r="C3190" s="189" t="s">
        <v>126</v>
      </c>
      <c r="D3190" s="189" t="s">
        <v>160</v>
      </c>
      <c r="E3190" s="190" t="s">
        <v>5761</v>
      </c>
      <c r="F3190" s="191">
        <f t="shared" si="51"/>
        <v>235.18333333333334</v>
      </c>
    </row>
    <row r="3191" spans="2:6" ht="15" customHeight="1" x14ac:dyDescent="0.2">
      <c r="B3191" s="188" t="s">
        <v>5762</v>
      </c>
      <c r="C3191" s="189" t="s">
        <v>124</v>
      </c>
      <c r="D3191" s="189" t="s">
        <v>123</v>
      </c>
      <c r="E3191" s="190" t="s">
        <v>5763</v>
      </c>
      <c r="F3191" s="191">
        <f t="shared" si="51"/>
        <v>262.38333333333333</v>
      </c>
    </row>
    <row r="3192" spans="2:6" ht="15" customHeight="1" x14ac:dyDescent="0.2">
      <c r="B3192" s="188" t="s">
        <v>5764</v>
      </c>
      <c r="C3192" s="189" t="s">
        <v>136</v>
      </c>
      <c r="D3192" s="189" t="s">
        <v>172</v>
      </c>
      <c r="E3192" s="190" t="s">
        <v>2024</v>
      </c>
      <c r="F3192" s="191">
        <f t="shared" si="51"/>
        <v>207</v>
      </c>
    </row>
    <row r="3193" spans="2:6" ht="15" customHeight="1" x14ac:dyDescent="0.2">
      <c r="B3193" s="188" t="s">
        <v>5259</v>
      </c>
      <c r="C3193" s="189" t="s">
        <v>126</v>
      </c>
      <c r="D3193" s="189" t="s">
        <v>123</v>
      </c>
      <c r="E3193" s="190" t="s">
        <v>2114</v>
      </c>
      <c r="F3193" s="191">
        <f t="shared" si="51"/>
        <v>190.26666666666668</v>
      </c>
    </row>
    <row r="3194" spans="2:6" ht="15" customHeight="1" x14ac:dyDescent="0.2">
      <c r="B3194" s="188" t="s">
        <v>258</v>
      </c>
      <c r="C3194" s="189" t="s">
        <v>126</v>
      </c>
      <c r="D3194" s="189" t="s">
        <v>133</v>
      </c>
      <c r="E3194" s="190" t="s">
        <v>5765</v>
      </c>
      <c r="F3194" s="191">
        <f t="shared" si="51"/>
        <v>223.36666666666667</v>
      </c>
    </row>
    <row r="3195" spans="2:6" ht="15" customHeight="1" x14ac:dyDescent="0.2">
      <c r="B3195" s="188" t="s">
        <v>194</v>
      </c>
      <c r="C3195" s="189" t="s">
        <v>135</v>
      </c>
      <c r="D3195" s="189" t="s">
        <v>123</v>
      </c>
      <c r="E3195" s="190" t="s">
        <v>5766</v>
      </c>
      <c r="F3195" s="191">
        <f t="shared" si="51"/>
        <v>287.53333333333336</v>
      </c>
    </row>
    <row r="3196" spans="2:6" ht="15" customHeight="1" x14ac:dyDescent="0.2">
      <c r="B3196" s="188" t="s">
        <v>316</v>
      </c>
      <c r="C3196" s="189" t="s">
        <v>124</v>
      </c>
      <c r="D3196" s="189" t="s">
        <v>148</v>
      </c>
      <c r="E3196" s="190" t="s">
        <v>5015</v>
      </c>
      <c r="F3196" s="191">
        <f t="shared" si="51"/>
        <v>226.23333333333332</v>
      </c>
    </row>
    <row r="3197" spans="2:6" ht="15" customHeight="1" x14ac:dyDescent="0.2">
      <c r="B3197" s="188" t="s">
        <v>303</v>
      </c>
      <c r="C3197" s="189" t="s">
        <v>142</v>
      </c>
      <c r="D3197" s="189" t="s">
        <v>171</v>
      </c>
      <c r="E3197" s="190" t="s">
        <v>2367</v>
      </c>
      <c r="F3197" s="191">
        <f t="shared" si="51"/>
        <v>250.01666666666668</v>
      </c>
    </row>
    <row r="3198" spans="2:6" ht="15" customHeight="1" x14ac:dyDescent="0.2">
      <c r="B3198" s="188" t="s">
        <v>5767</v>
      </c>
      <c r="C3198" s="189" t="s">
        <v>142</v>
      </c>
      <c r="D3198" s="189" t="s">
        <v>123</v>
      </c>
      <c r="E3198" s="190" t="s">
        <v>5768</v>
      </c>
      <c r="F3198" s="191">
        <f t="shared" si="51"/>
        <v>328.06666666666666</v>
      </c>
    </row>
    <row r="3199" spans="2:6" ht="15" customHeight="1" x14ac:dyDescent="0.2">
      <c r="B3199" s="188" t="s">
        <v>5769</v>
      </c>
      <c r="C3199" s="189" t="s">
        <v>126</v>
      </c>
      <c r="D3199" s="189" t="s">
        <v>169</v>
      </c>
      <c r="E3199" s="190" t="s">
        <v>3127</v>
      </c>
      <c r="F3199" s="191">
        <f t="shared" si="51"/>
        <v>237.93333333333334</v>
      </c>
    </row>
    <row r="3200" spans="2:6" ht="15" customHeight="1" x14ac:dyDescent="0.2">
      <c r="B3200" s="188" t="s">
        <v>5770</v>
      </c>
      <c r="C3200" s="189" t="s">
        <v>126</v>
      </c>
      <c r="D3200" s="189" t="s">
        <v>131</v>
      </c>
      <c r="E3200" s="190" t="s">
        <v>5771</v>
      </c>
      <c r="F3200" s="191">
        <f t="shared" si="51"/>
        <v>351.25</v>
      </c>
    </row>
    <row r="3201" spans="2:6" ht="15" customHeight="1" x14ac:dyDescent="0.2">
      <c r="B3201" s="188" t="s">
        <v>5772</v>
      </c>
      <c r="C3201" s="189" t="s">
        <v>124</v>
      </c>
      <c r="D3201" s="189" t="s">
        <v>168</v>
      </c>
      <c r="E3201" s="190" t="s">
        <v>5773</v>
      </c>
      <c r="F3201" s="191">
        <f t="shared" si="51"/>
        <v>270.16666666666669</v>
      </c>
    </row>
    <row r="3202" spans="2:6" ht="15" customHeight="1" x14ac:dyDescent="0.2">
      <c r="B3202" s="188" t="s">
        <v>5774</v>
      </c>
      <c r="C3202" s="189" t="s">
        <v>134</v>
      </c>
      <c r="D3202" s="189" t="s">
        <v>144</v>
      </c>
      <c r="E3202" s="190" t="s">
        <v>5775</v>
      </c>
      <c r="F3202" s="191">
        <f t="shared" si="51"/>
        <v>280.68333333333334</v>
      </c>
    </row>
    <row r="3203" spans="2:6" ht="15" customHeight="1" x14ac:dyDescent="0.2">
      <c r="B3203" s="188" t="s">
        <v>5776</v>
      </c>
      <c r="C3203" s="189" t="s">
        <v>130</v>
      </c>
      <c r="D3203" s="189" t="s">
        <v>123</v>
      </c>
      <c r="E3203" s="190" t="s">
        <v>5777</v>
      </c>
      <c r="F3203" s="191">
        <f t="shared" si="51"/>
        <v>224.48333333333332</v>
      </c>
    </row>
    <row r="3204" spans="2:6" ht="15" customHeight="1" x14ac:dyDescent="0.2">
      <c r="B3204" s="188" t="s">
        <v>5778</v>
      </c>
      <c r="C3204" s="189" t="s">
        <v>126</v>
      </c>
      <c r="D3204" s="189" t="s">
        <v>131</v>
      </c>
      <c r="E3204" s="190" t="s">
        <v>5779</v>
      </c>
      <c r="F3204" s="191">
        <f t="shared" si="51"/>
        <v>219.63333333333333</v>
      </c>
    </row>
    <row r="3205" spans="2:6" ht="15" customHeight="1" x14ac:dyDescent="0.2">
      <c r="B3205" s="188" t="s">
        <v>5780</v>
      </c>
      <c r="C3205" s="189" t="s">
        <v>125</v>
      </c>
      <c r="D3205" s="189" t="s">
        <v>144</v>
      </c>
      <c r="E3205" s="190" t="s">
        <v>5781</v>
      </c>
      <c r="F3205" s="191">
        <f t="shared" si="51"/>
        <v>239.53333333333333</v>
      </c>
    </row>
    <row r="3206" spans="2:6" ht="15" customHeight="1" x14ac:dyDescent="0.2">
      <c r="B3206" s="188" t="s">
        <v>5782</v>
      </c>
      <c r="C3206" s="189" t="s">
        <v>128</v>
      </c>
      <c r="D3206" s="189" t="s">
        <v>123</v>
      </c>
      <c r="E3206" s="190" t="s">
        <v>5783</v>
      </c>
      <c r="F3206" s="191">
        <f t="shared" si="51"/>
        <v>309.38333333333333</v>
      </c>
    </row>
    <row r="3207" spans="2:6" ht="15" customHeight="1" x14ac:dyDescent="0.2">
      <c r="B3207" s="188" t="s">
        <v>5784</v>
      </c>
      <c r="C3207" s="189" t="s">
        <v>134</v>
      </c>
      <c r="D3207" s="189" t="s">
        <v>147</v>
      </c>
      <c r="E3207" s="190" t="s">
        <v>5785</v>
      </c>
      <c r="F3207" s="191">
        <f t="shared" si="51"/>
        <v>228.68333333333334</v>
      </c>
    </row>
    <row r="3208" spans="2:6" ht="15" customHeight="1" x14ac:dyDescent="0.2">
      <c r="B3208" s="188" t="s">
        <v>425</v>
      </c>
      <c r="C3208" s="189" t="s">
        <v>126</v>
      </c>
      <c r="D3208" s="189" t="s">
        <v>123</v>
      </c>
      <c r="E3208" s="190" t="s">
        <v>5786</v>
      </c>
      <c r="F3208" s="191">
        <f t="shared" si="51"/>
        <v>259.7</v>
      </c>
    </row>
    <row r="3209" spans="2:6" ht="15" customHeight="1" x14ac:dyDescent="0.2">
      <c r="B3209" s="188" t="s">
        <v>5787</v>
      </c>
      <c r="C3209" s="189" t="s">
        <v>142</v>
      </c>
      <c r="D3209" s="189" t="s">
        <v>123</v>
      </c>
      <c r="E3209" s="190" t="s">
        <v>5788</v>
      </c>
      <c r="F3209" s="191">
        <f t="shared" si="51"/>
        <v>287.43333333333334</v>
      </c>
    </row>
    <row r="3210" spans="2:6" ht="15" customHeight="1" x14ac:dyDescent="0.2">
      <c r="B3210" s="188" t="s">
        <v>5789</v>
      </c>
      <c r="C3210" s="189" t="s">
        <v>128</v>
      </c>
      <c r="D3210" s="189" t="s">
        <v>123</v>
      </c>
      <c r="E3210" s="190" t="s">
        <v>2504</v>
      </c>
      <c r="F3210" s="191">
        <f t="shared" si="51"/>
        <v>298.63333333333333</v>
      </c>
    </row>
    <row r="3211" spans="2:6" ht="15" customHeight="1" x14ac:dyDescent="0.2">
      <c r="B3211" s="188" t="s">
        <v>5790</v>
      </c>
      <c r="C3211" s="189" t="s">
        <v>126</v>
      </c>
      <c r="D3211" s="189" t="s">
        <v>165</v>
      </c>
      <c r="E3211" s="190" t="s">
        <v>1919</v>
      </c>
      <c r="F3211" s="191">
        <f t="shared" ref="F3211:F3274" si="52">HOUR(E3211)*60+MINUTE(E3211)+SECOND(E3211)/60</f>
        <v>201.46666666666667</v>
      </c>
    </row>
    <row r="3212" spans="2:6" ht="15" customHeight="1" x14ac:dyDescent="0.2">
      <c r="B3212" s="188" t="s">
        <v>5791</v>
      </c>
      <c r="C3212" s="189" t="s">
        <v>124</v>
      </c>
      <c r="D3212" s="189" t="s">
        <v>123</v>
      </c>
      <c r="E3212" s="190" t="s">
        <v>4264</v>
      </c>
      <c r="F3212" s="191">
        <f t="shared" si="52"/>
        <v>241.68333333333334</v>
      </c>
    </row>
    <row r="3213" spans="2:6" ht="15" customHeight="1" x14ac:dyDescent="0.2">
      <c r="B3213" s="188" t="s">
        <v>5792</v>
      </c>
      <c r="C3213" s="189" t="s">
        <v>124</v>
      </c>
      <c r="D3213" s="189" t="s">
        <v>123</v>
      </c>
      <c r="E3213" s="190" t="s">
        <v>5793</v>
      </c>
      <c r="F3213" s="191">
        <f t="shared" si="52"/>
        <v>287.26666666666665</v>
      </c>
    </row>
    <row r="3214" spans="2:6" ht="15" customHeight="1" x14ac:dyDescent="0.2">
      <c r="B3214" s="188" t="s">
        <v>5794</v>
      </c>
      <c r="C3214" s="189" t="s">
        <v>134</v>
      </c>
      <c r="D3214" s="189" t="s">
        <v>123</v>
      </c>
      <c r="E3214" s="190" t="s">
        <v>2478</v>
      </c>
      <c r="F3214" s="191">
        <f t="shared" si="52"/>
        <v>245.31666666666666</v>
      </c>
    </row>
    <row r="3215" spans="2:6" ht="15" customHeight="1" x14ac:dyDescent="0.2">
      <c r="B3215" s="188" t="s">
        <v>5795</v>
      </c>
      <c r="C3215" s="189" t="s">
        <v>134</v>
      </c>
      <c r="D3215" s="189" t="s">
        <v>123</v>
      </c>
      <c r="E3215" s="190" t="s">
        <v>5796</v>
      </c>
      <c r="F3215" s="191">
        <f t="shared" si="52"/>
        <v>249.86666666666667</v>
      </c>
    </row>
    <row r="3216" spans="2:6" ht="15" customHeight="1" x14ac:dyDescent="0.2">
      <c r="B3216" s="188" t="s">
        <v>5797</v>
      </c>
      <c r="C3216" s="189" t="s">
        <v>124</v>
      </c>
      <c r="D3216" s="189" t="s">
        <v>139</v>
      </c>
      <c r="E3216" s="190" t="s">
        <v>5798</v>
      </c>
      <c r="F3216" s="191">
        <f t="shared" si="52"/>
        <v>264.08333333333331</v>
      </c>
    </row>
    <row r="3217" spans="2:6" ht="15" customHeight="1" x14ac:dyDescent="0.2">
      <c r="B3217" s="188" t="s">
        <v>5799</v>
      </c>
      <c r="C3217" s="189" t="s">
        <v>125</v>
      </c>
      <c r="D3217" s="189" t="s">
        <v>123</v>
      </c>
      <c r="E3217" s="190" t="s">
        <v>5800</v>
      </c>
      <c r="F3217" s="191">
        <f t="shared" si="52"/>
        <v>280.31666666666666</v>
      </c>
    </row>
    <row r="3218" spans="2:6" ht="15" customHeight="1" x14ac:dyDescent="0.2">
      <c r="B3218" s="188" t="s">
        <v>5801</v>
      </c>
      <c r="C3218" s="189" t="s">
        <v>130</v>
      </c>
      <c r="D3218" s="189" t="s">
        <v>123</v>
      </c>
      <c r="E3218" s="190" t="s">
        <v>5802</v>
      </c>
      <c r="F3218" s="191">
        <f t="shared" si="52"/>
        <v>268.25</v>
      </c>
    </row>
    <row r="3219" spans="2:6" ht="15" customHeight="1" x14ac:dyDescent="0.2">
      <c r="B3219" s="188" t="s">
        <v>5803</v>
      </c>
      <c r="C3219" s="189" t="s">
        <v>134</v>
      </c>
      <c r="D3219" s="189" t="s">
        <v>123</v>
      </c>
      <c r="E3219" s="190" t="s">
        <v>2331</v>
      </c>
      <c r="F3219" s="191">
        <f t="shared" si="52"/>
        <v>282</v>
      </c>
    </row>
    <row r="3220" spans="2:6" ht="15" customHeight="1" x14ac:dyDescent="0.2">
      <c r="B3220" s="188" t="s">
        <v>5804</v>
      </c>
      <c r="C3220" s="189" t="s">
        <v>130</v>
      </c>
      <c r="D3220" s="189" t="s">
        <v>123</v>
      </c>
      <c r="E3220" s="190" t="s">
        <v>3321</v>
      </c>
      <c r="F3220" s="191">
        <f t="shared" si="52"/>
        <v>238.16666666666666</v>
      </c>
    </row>
    <row r="3221" spans="2:6" ht="15" customHeight="1" x14ac:dyDescent="0.2">
      <c r="B3221" s="188" t="s">
        <v>5805</v>
      </c>
      <c r="C3221" s="189" t="s">
        <v>124</v>
      </c>
      <c r="D3221" s="189" t="s">
        <v>123</v>
      </c>
      <c r="E3221" s="190" t="s">
        <v>5806</v>
      </c>
      <c r="F3221" s="191">
        <f t="shared" si="52"/>
        <v>289.05</v>
      </c>
    </row>
    <row r="3222" spans="2:6" ht="15" customHeight="1" x14ac:dyDescent="0.2">
      <c r="B3222" s="188" t="s">
        <v>5807</v>
      </c>
      <c r="C3222" s="189" t="s">
        <v>130</v>
      </c>
      <c r="D3222" s="189" t="s">
        <v>123</v>
      </c>
      <c r="E3222" s="190" t="s">
        <v>5808</v>
      </c>
      <c r="F3222" s="191">
        <f t="shared" si="52"/>
        <v>295.08333333333331</v>
      </c>
    </row>
    <row r="3223" spans="2:6" ht="15" customHeight="1" x14ac:dyDescent="0.2">
      <c r="B3223" s="188" t="s">
        <v>5809</v>
      </c>
      <c r="C3223" s="189" t="s">
        <v>134</v>
      </c>
      <c r="D3223" s="189" t="s">
        <v>123</v>
      </c>
      <c r="E3223" s="190" t="s">
        <v>2635</v>
      </c>
      <c r="F3223" s="191">
        <f t="shared" si="52"/>
        <v>284.23333333333335</v>
      </c>
    </row>
    <row r="3224" spans="2:6" ht="15" customHeight="1" x14ac:dyDescent="0.2">
      <c r="B3224" s="188" t="s">
        <v>3107</v>
      </c>
      <c r="C3224" s="189" t="s">
        <v>125</v>
      </c>
      <c r="D3224" s="189" t="s">
        <v>123</v>
      </c>
      <c r="E3224" s="190" t="s">
        <v>3108</v>
      </c>
      <c r="F3224" s="191">
        <f t="shared" si="52"/>
        <v>190.45</v>
      </c>
    </row>
    <row r="3225" spans="2:6" ht="15" customHeight="1" x14ac:dyDescent="0.2">
      <c r="B3225" s="188" t="s">
        <v>5810</v>
      </c>
      <c r="C3225" s="189" t="s">
        <v>124</v>
      </c>
      <c r="D3225" s="189"/>
      <c r="E3225" s="190" t="s">
        <v>5811</v>
      </c>
      <c r="F3225" s="191">
        <f t="shared" si="52"/>
        <v>257.81666666666666</v>
      </c>
    </row>
    <row r="3226" spans="2:6" ht="15" customHeight="1" x14ac:dyDescent="0.2">
      <c r="B3226" s="188" t="s">
        <v>366</v>
      </c>
      <c r="C3226" s="189" t="s">
        <v>125</v>
      </c>
      <c r="D3226" s="189"/>
      <c r="E3226" s="190" t="s">
        <v>5812</v>
      </c>
      <c r="F3226" s="191">
        <f t="shared" si="52"/>
        <v>197.45</v>
      </c>
    </row>
    <row r="3227" spans="2:6" ht="15" customHeight="1" x14ac:dyDescent="0.2">
      <c r="B3227" s="188" t="s">
        <v>5813</v>
      </c>
      <c r="C3227" s="189" t="s">
        <v>125</v>
      </c>
      <c r="D3227" s="189"/>
      <c r="E3227" s="190" t="s">
        <v>5814</v>
      </c>
      <c r="F3227" s="191">
        <f t="shared" si="52"/>
        <v>225.16666666666666</v>
      </c>
    </row>
    <row r="3228" spans="2:6" ht="15" customHeight="1" x14ac:dyDescent="0.2">
      <c r="B3228" s="188" t="s">
        <v>5815</v>
      </c>
      <c r="C3228" s="189" t="s">
        <v>130</v>
      </c>
      <c r="D3228" s="189"/>
      <c r="E3228" s="190" t="s">
        <v>5816</v>
      </c>
      <c r="F3228" s="191">
        <f t="shared" si="52"/>
        <v>195.41666666666666</v>
      </c>
    </row>
    <row r="3229" spans="2:6" ht="15" customHeight="1" x14ac:dyDescent="0.2">
      <c r="B3229" s="188" t="s">
        <v>5817</v>
      </c>
      <c r="C3229" s="189" t="s">
        <v>124</v>
      </c>
      <c r="D3229" s="189"/>
      <c r="E3229" s="190" t="s">
        <v>5751</v>
      </c>
      <c r="F3229" s="191">
        <f t="shared" si="52"/>
        <v>222.91666666666666</v>
      </c>
    </row>
    <row r="3230" spans="2:6" ht="15" customHeight="1" x14ac:dyDescent="0.2">
      <c r="B3230" s="188" t="s">
        <v>5818</v>
      </c>
      <c r="C3230" s="189" t="s">
        <v>142</v>
      </c>
      <c r="D3230" s="189"/>
      <c r="E3230" s="190" t="s">
        <v>5819</v>
      </c>
      <c r="F3230" s="191">
        <f t="shared" si="52"/>
        <v>227</v>
      </c>
    </row>
    <row r="3231" spans="2:6" ht="15" customHeight="1" x14ac:dyDescent="0.2">
      <c r="B3231" s="188" t="s">
        <v>5820</v>
      </c>
      <c r="C3231" s="189" t="s">
        <v>134</v>
      </c>
      <c r="D3231" s="189"/>
      <c r="E3231" s="190" t="s">
        <v>3224</v>
      </c>
      <c r="F3231" s="191">
        <f t="shared" si="52"/>
        <v>280.01666666666665</v>
      </c>
    </row>
    <row r="3232" spans="2:6" ht="15" customHeight="1" x14ac:dyDescent="0.2">
      <c r="B3232" s="188" t="s">
        <v>5821</v>
      </c>
      <c r="C3232" s="189" t="s">
        <v>135</v>
      </c>
      <c r="D3232" s="189"/>
      <c r="E3232" s="190" t="s">
        <v>4841</v>
      </c>
      <c r="F3232" s="191">
        <f t="shared" si="52"/>
        <v>209.61666666666667</v>
      </c>
    </row>
    <row r="3233" spans="2:6" ht="15" customHeight="1" x14ac:dyDescent="0.2">
      <c r="B3233" s="188" t="s">
        <v>5822</v>
      </c>
      <c r="C3233" s="189" t="s">
        <v>142</v>
      </c>
      <c r="D3233" s="189"/>
      <c r="E3233" s="190" t="s">
        <v>3726</v>
      </c>
      <c r="F3233" s="191">
        <f t="shared" si="52"/>
        <v>295.55</v>
      </c>
    </row>
    <row r="3234" spans="2:6" ht="15" customHeight="1" x14ac:dyDescent="0.2">
      <c r="B3234" s="188" t="s">
        <v>5823</v>
      </c>
      <c r="C3234" s="189" t="s">
        <v>130</v>
      </c>
      <c r="D3234" s="189"/>
      <c r="E3234" s="190" t="s">
        <v>5824</v>
      </c>
      <c r="F3234" s="191">
        <f t="shared" si="52"/>
        <v>234.3</v>
      </c>
    </row>
    <row r="3235" spans="2:6" ht="15" customHeight="1" x14ac:dyDescent="0.2">
      <c r="B3235" s="188" t="s">
        <v>5825</v>
      </c>
      <c r="C3235" s="189" t="s">
        <v>142</v>
      </c>
      <c r="D3235" s="189"/>
      <c r="E3235" s="190" t="s">
        <v>5826</v>
      </c>
      <c r="F3235" s="191">
        <f t="shared" si="52"/>
        <v>258.78333333333336</v>
      </c>
    </row>
    <row r="3236" spans="2:6" ht="15" customHeight="1" x14ac:dyDescent="0.2">
      <c r="B3236" s="188" t="s">
        <v>497</v>
      </c>
      <c r="C3236" s="189" t="s">
        <v>142</v>
      </c>
      <c r="D3236" s="189"/>
      <c r="E3236" s="190" t="s">
        <v>5827</v>
      </c>
      <c r="F3236" s="191">
        <f t="shared" si="52"/>
        <v>327.26666666666665</v>
      </c>
    </row>
    <row r="3237" spans="2:6" ht="15" customHeight="1" x14ac:dyDescent="0.2">
      <c r="B3237" s="188" t="s">
        <v>5719</v>
      </c>
      <c r="C3237" s="189" t="s">
        <v>126</v>
      </c>
      <c r="D3237" s="189"/>
      <c r="E3237" s="190" t="s">
        <v>5720</v>
      </c>
      <c r="F3237" s="191">
        <f t="shared" si="52"/>
        <v>221.88333333333333</v>
      </c>
    </row>
    <row r="3238" spans="2:6" ht="15" customHeight="1" x14ac:dyDescent="0.2">
      <c r="B3238" s="188" t="s">
        <v>5828</v>
      </c>
      <c r="C3238" s="189" t="s">
        <v>126</v>
      </c>
      <c r="D3238" s="189"/>
      <c r="E3238" s="190" t="s">
        <v>3683</v>
      </c>
      <c r="F3238" s="191">
        <f t="shared" si="52"/>
        <v>235.51666666666668</v>
      </c>
    </row>
    <row r="3239" spans="2:6" ht="15" customHeight="1" x14ac:dyDescent="0.2">
      <c r="B3239" s="188" t="s">
        <v>5829</v>
      </c>
      <c r="C3239" s="189" t="s">
        <v>134</v>
      </c>
      <c r="D3239" s="189"/>
      <c r="E3239" s="190" t="s">
        <v>5830</v>
      </c>
      <c r="F3239" s="191">
        <f t="shared" si="52"/>
        <v>254.6</v>
      </c>
    </row>
    <row r="3240" spans="2:6" ht="15" customHeight="1" x14ac:dyDescent="0.2">
      <c r="B3240" s="188" t="s">
        <v>5831</v>
      </c>
      <c r="C3240" s="189" t="s">
        <v>134</v>
      </c>
      <c r="D3240" s="189"/>
      <c r="E3240" s="190" t="s">
        <v>5832</v>
      </c>
      <c r="F3240" s="191">
        <f t="shared" si="52"/>
        <v>261.71666666666664</v>
      </c>
    </row>
    <row r="3241" spans="2:6" ht="15" customHeight="1" x14ac:dyDescent="0.2">
      <c r="B3241" s="188" t="s">
        <v>464</v>
      </c>
      <c r="C3241" s="189" t="s">
        <v>124</v>
      </c>
      <c r="D3241" s="189"/>
      <c r="E3241" s="190" t="s">
        <v>5833</v>
      </c>
      <c r="F3241" s="191">
        <f t="shared" si="52"/>
        <v>257.8</v>
      </c>
    </row>
    <row r="3242" spans="2:6" ht="15" customHeight="1" x14ac:dyDescent="0.2">
      <c r="B3242" s="188" t="s">
        <v>5834</v>
      </c>
      <c r="C3242" s="189" t="s">
        <v>125</v>
      </c>
      <c r="D3242" s="189"/>
      <c r="E3242" s="190" t="s">
        <v>5835</v>
      </c>
      <c r="F3242" s="191">
        <f t="shared" si="52"/>
        <v>206.23333333333332</v>
      </c>
    </row>
    <row r="3243" spans="2:6" ht="15" customHeight="1" x14ac:dyDescent="0.2">
      <c r="B3243" s="188" t="s">
        <v>5836</v>
      </c>
      <c r="C3243" s="189" t="s">
        <v>135</v>
      </c>
      <c r="D3243" s="189"/>
      <c r="E3243" s="190" t="s">
        <v>1097</v>
      </c>
      <c r="F3243" s="191">
        <f t="shared" si="52"/>
        <v>296.14999999999998</v>
      </c>
    </row>
    <row r="3244" spans="2:6" ht="15" customHeight="1" x14ac:dyDescent="0.2">
      <c r="B3244" s="188" t="s">
        <v>5837</v>
      </c>
      <c r="C3244" s="189" t="s">
        <v>130</v>
      </c>
      <c r="D3244" s="189"/>
      <c r="E3244" s="190" t="s">
        <v>5838</v>
      </c>
      <c r="F3244" s="191">
        <f t="shared" si="52"/>
        <v>188.93333333333334</v>
      </c>
    </row>
    <row r="3245" spans="2:6" ht="15" customHeight="1" x14ac:dyDescent="0.2">
      <c r="B3245" s="188" t="s">
        <v>5839</v>
      </c>
      <c r="C3245" s="189" t="s">
        <v>126</v>
      </c>
      <c r="D3245" s="189"/>
      <c r="E3245" s="190" t="s">
        <v>1423</v>
      </c>
      <c r="F3245" s="191">
        <f t="shared" si="52"/>
        <v>238.43333333333334</v>
      </c>
    </row>
    <row r="3246" spans="2:6" ht="15" customHeight="1" x14ac:dyDescent="0.2">
      <c r="B3246" s="188" t="s">
        <v>5840</v>
      </c>
      <c r="C3246" s="189" t="s">
        <v>142</v>
      </c>
      <c r="D3246" s="189"/>
      <c r="E3246" s="190" t="s">
        <v>3635</v>
      </c>
      <c r="F3246" s="191">
        <f t="shared" si="52"/>
        <v>196.55</v>
      </c>
    </row>
    <row r="3247" spans="2:6" ht="15" customHeight="1" x14ac:dyDescent="0.2">
      <c r="B3247" s="188" t="s">
        <v>307</v>
      </c>
      <c r="C3247" s="189" t="s">
        <v>142</v>
      </c>
      <c r="D3247" s="189"/>
      <c r="E3247" s="190" t="s">
        <v>5551</v>
      </c>
      <c r="F3247" s="191">
        <f t="shared" si="52"/>
        <v>199.76666666666668</v>
      </c>
    </row>
    <row r="3248" spans="2:6" ht="15" customHeight="1" x14ac:dyDescent="0.2">
      <c r="B3248" s="188" t="s">
        <v>5841</v>
      </c>
      <c r="C3248" s="189" t="s">
        <v>126</v>
      </c>
      <c r="D3248" s="189"/>
      <c r="E3248" s="190" t="s">
        <v>5842</v>
      </c>
      <c r="F3248" s="191">
        <f t="shared" si="52"/>
        <v>227.05</v>
      </c>
    </row>
    <row r="3249" spans="2:6" ht="15" customHeight="1" x14ac:dyDescent="0.2">
      <c r="B3249" s="188" t="s">
        <v>5843</v>
      </c>
      <c r="C3249" s="189" t="s">
        <v>128</v>
      </c>
      <c r="D3249" s="189"/>
      <c r="E3249" s="190" t="s">
        <v>2623</v>
      </c>
      <c r="F3249" s="191">
        <f t="shared" si="52"/>
        <v>270.25</v>
      </c>
    </row>
    <row r="3250" spans="2:6" ht="15" customHeight="1" x14ac:dyDescent="0.2">
      <c r="B3250" s="188" t="s">
        <v>5844</v>
      </c>
      <c r="C3250" s="189" t="s">
        <v>124</v>
      </c>
      <c r="D3250" s="189"/>
      <c r="E3250" s="190" t="s">
        <v>1177</v>
      </c>
      <c r="F3250" s="191">
        <f t="shared" si="52"/>
        <v>237.76666666666668</v>
      </c>
    </row>
    <row r="3251" spans="2:6" ht="15" customHeight="1" x14ac:dyDescent="0.2">
      <c r="B3251" s="188" t="s">
        <v>5845</v>
      </c>
      <c r="C3251" s="189" t="s">
        <v>126</v>
      </c>
      <c r="D3251" s="189"/>
      <c r="E3251" s="190" t="s">
        <v>1447</v>
      </c>
      <c r="F3251" s="191">
        <f t="shared" si="52"/>
        <v>207.46666666666667</v>
      </c>
    </row>
    <row r="3252" spans="2:6" ht="15" customHeight="1" x14ac:dyDescent="0.2">
      <c r="B3252" s="188" t="s">
        <v>5846</v>
      </c>
      <c r="C3252" s="189" t="s">
        <v>126</v>
      </c>
      <c r="D3252" s="189"/>
      <c r="E3252" s="190" t="s">
        <v>3967</v>
      </c>
      <c r="F3252" s="191">
        <f t="shared" si="52"/>
        <v>215.68333333333334</v>
      </c>
    </row>
    <row r="3253" spans="2:6" ht="15" customHeight="1" x14ac:dyDescent="0.2">
      <c r="B3253" s="188" t="s">
        <v>402</v>
      </c>
      <c r="C3253" s="189" t="s">
        <v>125</v>
      </c>
      <c r="D3253" s="189"/>
      <c r="E3253" s="190" t="s">
        <v>1167</v>
      </c>
      <c r="F3253" s="191">
        <f t="shared" si="52"/>
        <v>195.73333333333332</v>
      </c>
    </row>
    <row r="3254" spans="2:6" ht="15" customHeight="1" x14ac:dyDescent="0.2">
      <c r="B3254" s="188" t="s">
        <v>5847</v>
      </c>
      <c r="C3254" s="189" t="s">
        <v>124</v>
      </c>
      <c r="D3254" s="189"/>
      <c r="E3254" s="190" t="s">
        <v>5848</v>
      </c>
      <c r="F3254" s="191">
        <f t="shared" si="52"/>
        <v>271.76666666666665</v>
      </c>
    </row>
    <row r="3255" spans="2:6" ht="15" customHeight="1" x14ac:dyDescent="0.2">
      <c r="B3255" s="188" t="s">
        <v>5849</v>
      </c>
      <c r="C3255" s="189" t="s">
        <v>134</v>
      </c>
      <c r="D3255" s="189"/>
      <c r="E3255" s="190" t="s">
        <v>5850</v>
      </c>
      <c r="F3255" s="191">
        <f t="shared" si="52"/>
        <v>281.26666666666665</v>
      </c>
    </row>
    <row r="3256" spans="2:6" ht="15" customHeight="1" x14ac:dyDescent="0.2">
      <c r="B3256" s="188" t="s">
        <v>5851</v>
      </c>
      <c r="C3256" s="189" t="s">
        <v>134</v>
      </c>
      <c r="D3256" s="189"/>
      <c r="E3256" s="190" t="s">
        <v>5852</v>
      </c>
      <c r="F3256" s="191">
        <f t="shared" si="52"/>
        <v>323.81666666666666</v>
      </c>
    </row>
    <row r="3257" spans="2:6" ht="15" customHeight="1" x14ac:dyDescent="0.2">
      <c r="B3257" s="188" t="s">
        <v>5853</v>
      </c>
      <c r="C3257" s="189" t="s">
        <v>125</v>
      </c>
      <c r="D3257" s="189"/>
      <c r="E3257" s="190" t="s">
        <v>5854</v>
      </c>
      <c r="F3257" s="191">
        <f t="shared" si="52"/>
        <v>197.63333333333333</v>
      </c>
    </row>
    <row r="3258" spans="2:6" ht="15" customHeight="1" x14ac:dyDescent="0.2">
      <c r="B3258" s="188" t="s">
        <v>5855</v>
      </c>
      <c r="C3258" s="189" t="s">
        <v>142</v>
      </c>
      <c r="D3258" s="189"/>
      <c r="E3258" s="190" t="s">
        <v>4563</v>
      </c>
      <c r="F3258" s="191">
        <f t="shared" si="52"/>
        <v>272.41666666666669</v>
      </c>
    </row>
    <row r="3259" spans="2:6" ht="15" customHeight="1" x14ac:dyDescent="0.2">
      <c r="B3259" s="188" t="s">
        <v>5856</v>
      </c>
      <c r="C3259" s="189" t="s">
        <v>125</v>
      </c>
      <c r="D3259" s="189"/>
      <c r="E3259" s="190" t="s">
        <v>5857</v>
      </c>
      <c r="F3259" s="191">
        <f t="shared" si="52"/>
        <v>254.18333333333334</v>
      </c>
    </row>
    <row r="3260" spans="2:6" ht="15" customHeight="1" x14ac:dyDescent="0.2">
      <c r="B3260" s="188" t="s">
        <v>5858</v>
      </c>
      <c r="C3260" s="189" t="s">
        <v>128</v>
      </c>
      <c r="D3260" s="189"/>
      <c r="E3260" s="190" t="s">
        <v>5859</v>
      </c>
      <c r="F3260" s="191">
        <f t="shared" si="52"/>
        <v>247.71666666666667</v>
      </c>
    </row>
    <row r="3261" spans="2:6" ht="15" customHeight="1" x14ac:dyDescent="0.2">
      <c r="B3261" s="188" t="s">
        <v>2067</v>
      </c>
      <c r="C3261" s="189" t="s">
        <v>125</v>
      </c>
      <c r="D3261" s="189"/>
      <c r="E3261" s="190" t="s">
        <v>2068</v>
      </c>
      <c r="F3261" s="191">
        <f t="shared" si="52"/>
        <v>265.73333333333335</v>
      </c>
    </row>
    <row r="3262" spans="2:6" ht="15" customHeight="1" x14ac:dyDescent="0.2">
      <c r="B3262" s="188" t="s">
        <v>5860</v>
      </c>
      <c r="C3262" s="189" t="s">
        <v>124</v>
      </c>
      <c r="D3262" s="189"/>
      <c r="E3262" s="190" t="s">
        <v>5861</v>
      </c>
      <c r="F3262" s="191">
        <f t="shared" si="52"/>
        <v>198.4</v>
      </c>
    </row>
    <row r="3263" spans="2:6" ht="15" customHeight="1" x14ac:dyDescent="0.2">
      <c r="B3263" s="188" t="s">
        <v>5862</v>
      </c>
      <c r="C3263" s="189" t="s">
        <v>134</v>
      </c>
      <c r="D3263" s="189"/>
      <c r="E3263" s="190" t="s">
        <v>744</v>
      </c>
      <c r="F3263" s="191">
        <f t="shared" si="52"/>
        <v>231.48333333333332</v>
      </c>
    </row>
    <row r="3264" spans="2:6" ht="15" customHeight="1" x14ac:dyDescent="0.2">
      <c r="B3264" s="188" t="s">
        <v>5863</v>
      </c>
      <c r="C3264" s="189" t="s">
        <v>125</v>
      </c>
      <c r="D3264" s="189"/>
      <c r="E3264" s="190" t="s">
        <v>4431</v>
      </c>
      <c r="F3264" s="191">
        <f t="shared" si="52"/>
        <v>233.83333333333334</v>
      </c>
    </row>
    <row r="3265" spans="2:6" ht="15" customHeight="1" x14ac:dyDescent="0.2">
      <c r="B3265" s="188" t="s">
        <v>4009</v>
      </c>
      <c r="C3265" s="189" t="s">
        <v>135</v>
      </c>
      <c r="D3265" s="189"/>
      <c r="E3265" s="190" t="s">
        <v>4010</v>
      </c>
      <c r="F3265" s="191">
        <f t="shared" si="52"/>
        <v>303.21666666666664</v>
      </c>
    </row>
    <row r="3266" spans="2:6" ht="15" customHeight="1" x14ac:dyDescent="0.2">
      <c r="B3266" s="188" t="s">
        <v>5864</v>
      </c>
      <c r="C3266" s="189" t="s">
        <v>125</v>
      </c>
      <c r="D3266" s="189"/>
      <c r="E3266" s="190" t="s">
        <v>5865</v>
      </c>
      <c r="F3266" s="191">
        <f t="shared" si="52"/>
        <v>330.8</v>
      </c>
    </row>
    <row r="3267" spans="2:6" ht="15" customHeight="1" x14ac:dyDescent="0.2">
      <c r="B3267" s="188" t="s">
        <v>5866</v>
      </c>
      <c r="C3267" s="189" t="s">
        <v>125</v>
      </c>
      <c r="D3267" s="189"/>
      <c r="E3267" s="190" t="s">
        <v>5867</v>
      </c>
      <c r="F3267" s="191">
        <f t="shared" si="52"/>
        <v>227.55</v>
      </c>
    </row>
    <row r="3268" spans="2:6" ht="15" customHeight="1" x14ac:dyDescent="0.2">
      <c r="B3268" s="188" t="s">
        <v>5868</v>
      </c>
      <c r="C3268" s="189" t="s">
        <v>142</v>
      </c>
      <c r="D3268" s="189"/>
      <c r="E3268" s="190" t="s">
        <v>5869</v>
      </c>
      <c r="F3268" s="191">
        <f t="shared" si="52"/>
        <v>287.56666666666666</v>
      </c>
    </row>
    <row r="3269" spans="2:6" ht="15" customHeight="1" x14ac:dyDescent="0.2">
      <c r="B3269" s="188" t="s">
        <v>334</v>
      </c>
      <c r="C3269" s="189" t="s">
        <v>135</v>
      </c>
      <c r="D3269" s="189"/>
      <c r="E3269" s="190" t="s">
        <v>5870</v>
      </c>
      <c r="F3269" s="191">
        <f t="shared" si="52"/>
        <v>221.25</v>
      </c>
    </row>
    <row r="3270" spans="2:6" ht="15" customHeight="1" x14ac:dyDescent="0.2">
      <c r="B3270" s="188" t="s">
        <v>5871</v>
      </c>
      <c r="C3270" s="189" t="s">
        <v>126</v>
      </c>
      <c r="D3270" s="189"/>
      <c r="E3270" s="190" t="s">
        <v>5872</v>
      </c>
      <c r="F3270" s="191">
        <f t="shared" si="52"/>
        <v>188.56666666666666</v>
      </c>
    </row>
    <row r="3271" spans="2:6" ht="15" customHeight="1" x14ac:dyDescent="0.2">
      <c r="B3271" s="188" t="s">
        <v>5873</v>
      </c>
      <c r="C3271" s="189" t="s">
        <v>142</v>
      </c>
      <c r="D3271" s="189"/>
      <c r="E3271" s="190" t="s">
        <v>3601</v>
      </c>
      <c r="F3271" s="191">
        <f t="shared" si="52"/>
        <v>249.71666666666667</v>
      </c>
    </row>
    <row r="3272" spans="2:6" ht="15" customHeight="1" x14ac:dyDescent="0.2">
      <c r="B3272" s="188" t="s">
        <v>5874</v>
      </c>
      <c r="C3272" s="189" t="s">
        <v>130</v>
      </c>
      <c r="D3272" s="189"/>
      <c r="E3272" s="190" t="s">
        <v>5875</v>
      </c>
      <c r="F3272" s="191">
        <f t="shared" si="52"/>
        <v>201.8</v>
      </c>
    </row>
    <row r="3273" spans="2:6" ht="15" customHeight="1" x14ac:dyDescent="0.2">
      <c r="B3273" s="188" t="s">
        <v>5876</v>
      </c>
      <c r="C3273" s="189" t="s">
        <v>126</v>
      </c>
      <c r="D3273" s="189"/>
      <c r="E3273" s="190" t="s">
        <v>5877</v>
      </c>
      <c r="F3273" s="191">
        <f t="shared" si="52"/>
        <v>221.95</v>
      </c>
    </row>
    <row r="3274" spans="2:6" ht="15" customHeight="1" x14ac:dyDescent="0.2">
      <c r="B3274" s="188" t="s">
        <v>5410</v>
      </c>
      <c r="C3274" s="189" t="s">
        <v>135</v>
      </c>
      <c r="D3274" s="189"/>
      <c r="E3274" s="190" t="s">
        <v>5411</v>
      </c>
      <c r="F3274" s="191">
        <f t="shared" si="52"/>
        <v>231.8</v>
      </c>
    </row>
    <row r="3275" spans="2:6" ht="15" customHeight="1" x14ac:dyDescent="0.2">
      <c r="B3275" s="188" t="s">
        <v>602</v>
      </c>
      <c r="C3275" s="189" t="s">
        <v>125</v>
      </c>
      <c r="D3275" s="189"/>
      <c r="E3275" s="190" t="s">
        <v>5878</v>
      </c>
      <c r="F3275" s="191">
        <f t="shared" ref="F3275:F3338" si="53">HOUR(E3275)*60+MINUTE(E3275)+SECOND(E3275)/60</f>
        <v>233.3</v>
      </c>
    </row>
    <row r="3276" spans="2:6" ht="15" customHeight="1" x14ac:dyDescent="0.2">
      <c r="B3276" s="188" t="s">
        <v>5879</v>
      </c>
      <c r="C3276" s="189" t="s">
        <v>142</v>
      </c>
      <c r="D3276" s="189"/>
      <c r="E3276" s="190" t="s">
        <v>5492</v>
      </c>
      <c r="F3276" s="191">
        <f t="shared" si="53"/>
        <v>235.9</v>
      </c>
    </row>
    <row r="3277" spans="2:6" ht="15" customHeight="1" x14ac:dyDescent="0.2">
      <c r="B3277" s="188" t="s">
        <v>5880</v>
      </c>
      <c r="C3277" s="189" t="s">
        <v>128</v>
      </c>
      <c r="D3277" s="189"/>
      <c r="E3277" s="190" t="s">
        <v>5881</v>
      </c>
      <c r="F3277" s="191">
        <f t="shared" si="53"/>
        <v>245.51666666666668</v>
      </c>
    </row>
    <row r="3278" spans="2:6" ht="15" customHeight="1" x14ac:dyDescent="0.2">
      <c r="B3278" s="188" t="s">
        <v>5882</v>
      </c>
      <c r="C3278" s="189" t="s">
        <v>134</v>
      </c>
      <c r="D3278" s="189"/>
      <c r="E3278" s="190" t="s">
        <v>5883</v>
      </c>
      <c r="F3278" s="191">
        <f t="shared" si="53"/>
        <v>170.6</v>
      </c>
    </row>
    <row r="3279" spans="2:6" ht="15" customHeight="1" x14ac:dyDescent="0.2">
      <c r="B3279" s="188" t="s">
        <v>5884</v>
      </c>
      <c r="C3279" s="189" t="s">
        <v>126</v>
      </c>
      <c r="D3279" s="189"/>
      <c r="E3279" s="190" t="s">
        <v>4822</v>
      </c>
      <c r="F3279" s="191">
        <f t="shared" si="53"/>
        <v>229.01666666666668</v>
      </c>
    </row>
    <row r="3280" spans="2:6" ht="15" customHeight="1" x14ac:dyDescent="0.2">
      <c r="B3280" s="188" t="s">
        <v>5885</v>
      </c>
      <c r="C3280" s="189" t="s">
        <v>142</v>
      </c>
      <c r="D3280" s="189"/>
      <c r="E3280" s="190" t="s">
        <v>1538</v>
      </c>
      <c r="F3280" s="191">
        <f t="shared" si="53"/>
        <v>228.31666666666666</v>
      </c>
    </row>
    <row r="3281" spans="2:6" ht="15" customHeight="1" x14ac:dyDescent="0.2">
      <c r="B3281" s="188" t="s">
        <v>5886</v>
      </c>
      <c r="C3281" s="189" t="s">
        <v>126</v>
      </c>
      <c r="D3281" s="189"/>
      <c r="E3281" s="190" t="s">
        <v>3192</v>
      </c>
      <c r="F3281" s="191">
        <f t="shared" si="53"/>
        <v>208.83333333333334</v>
      </c>
    </row>
    <row r="3282" spans="2:6" ht="15" customHeight="1" x14ac:dyDescent="0.2">
      <c r="B3282" s="188" t="s">
        <v>5887</v>
      </c>
      <c r="C3282" s="189" t="s">
        <v>130</v>
      </c>
      <c r="D3282" s="189"/>
      <c r="E3282" s="190" t="s">
        <v>1590</v>
      </c>
      <c r="F3282" s="191">
        <f t="shared" si="53"/>
        <v>215.05</v>
      </c>
    </row>
    <row r="3283" spans="2:6" ht="15" customHeight="1" x14ac:dyDescent="0.2">
      <c r="B3283" s="188" t="s">
        <v>466</v>
      </c>
      <c r="C3283" s="189" t="s">
        <v>142</v>
      </c>
      <c r="D3283" s="189"/>
      <c r="E3283" s="190" t="s">
        <v>5888</v>
      </c>
      <c r="F3283" s="191">
        <f t="shared" si="53"/>
        <v>274.33333333333331</v>
      </c>
    </row>
    <row r="3284" spans="2:6" ht="15" customHeight="1" x14ac:dyDescent="0.2">
      <c r="B3284" s="188" t="s">
        <v>5889</v>
      </c>
      <c r="C3284" s="189" t="s">
        <v>124</v>
      </c>
      <c r="D3284" s="189"/>
      <c r="E3284" s="190" t="s">
        <v>2239</v>
      </c>
      <c r="F3284" s="191">
        <f t="shared" si="53"/>
        <v>235.31666666666666</v>
      </c>
    </row>
    <row r="3285" spans="2:6" ht="15" customHeight="1" x14ac:dyDescent="0.2">
      <c r="B3285" s="188" t="s">
        <v>5890</v>
      </c>
      <c r="C3285" s="189" t="s">
        <v>142</v>
      </c>
      <c r="D3285" s="189"/>
      <c r="E3285" s="190" t="s">
        <v>5891</v>
      </c>
      <c r="F3285" s="191">
        <f t="shared" si="53"/>
        <v>230.16666666666666</v>
      </c>
    </row>
    <row r="3286" spans="2:6" ht="15" customHeight="1" x14ac:dyDescent="0.2">
      <c r="B3286" s="188" t="s">
        <v>5892</v>
      </c>
      <c r="C3286" s="189" t="s">
        <v>124</v>
      </c>
      <c r="D3286" s="189"/>
      <c r="E3286" s="190" t="s">
        <v>4504</v>
      </c>
      <c r="F3286" s="191">
        <f t="shared" si="53"/>
        <v>239.43333333333334</v>
      </c>
    </row>
    <row r="3287" spans="2:6" ht="15" customHeight="1" x14ac:dyDescent="0.2">
      <c r="B3287" s="188" t="s">
        <v>528</v>
      </c>
      <c r="C3287" s="189" t="s">
        <v>142</v>
      </c>
      <c r="D3287" s="189"/>
      <c r="E3287" s="190" t="s">
        <v>1503</v>
      </c>
      <c r="F3287" s="191">
        <f t="shared" si="53"/>
        <v>257.48333333333335</v>
      </c>
    </row>
    <row r="3288" spans="2:6" ht="15" customHeight="1" x14ac:dyDescent="0.2">
      <c r="B3288" s="188" t="s">
        <v>5893</v>
      </c>
      <c r="C3288" s="189" t="s">
        <v>130</v>
      </c>
      <c r="D3288" s="189"/>
      <c r="E3288" s="190" t="s">
        <v>3086</v>
      </c>
      <c r="F3288" s="191">
        <f t="shared" si="53"/>
        <v>223.58333333333334</v>
      </c>
    </row>
    <row r="3289" spans="2:6" ht="15" customHeight="1" x14ac:dyDescent="0.2">
      <c r="B3289" s="188" t="s">
        <v>5894</v>
      </c>
      <c r="C3289" s="189" t="s">
        <v>125</v>
      </c>
      <c r="D3289" s="189"/>
      <c r="E3289" s="190" t="s">
        <v>5895</v>
      </c>
      <c r="F3289" s="191">
        <f t="shared" si="53"/>
        <v>216.78333333333333</v>
      </c>
    </row>
    <row r="3290" spans="2:6" ht="15" customHeight="1" x14ac:dyDescent="0.2">
      <c r="B3290" s="188" t="s">
        <v>418</v>
      </c>
      <c r="C3290" s="189" t="s">
        <v>128</v>
      </c>
      <c r="D3290" s="189"/>
      <c r="E3290" s="190" t="s">
        <v>5896</v>
      </c>
      <c r="F3290" s="191">
        <f t="shared" si="53"/>
        <v>238.1</v>
      </c>
    </row>
    <row r="3291" spans="2:6" ht="15" customHeight="1" x14ac:dyDescent="0.2">
      <c r="B3291" s="188" t="s">
        <v>630</v>
      </c>
      <c r="C3291" s="189" t="s">
        <v>130</v>
      </c>
      <c r="D3291" s="189"/>
      <c r="E3291" s="190" t="s">
        <v>5897</v>
      </c>
      <c r="F3291" s="191">
        <f t="shared" si="53"/>
        <v>311.61666666666667</v>
      </c>
    </row>
    <row r="3292" spans="2:6" ht="15" customHeight="1" x14ac:dyDescent="0.2">
      <c r="B3292" s="188" t="s">
        <v>226</v>
      </c>
      <c r="C3292" s="189" t="s">
        <v>142</v>
      </c>
      <c r="D3292" s="189"/>
      <c r="E3292" s="190" t="s">
        <v>4417</v>
      </c>
      <c r="F3292" s="191">
        <f t="shared" si="53"/>
        <v>213.45</v>
      </c>
    </row>
    <row r="3293" spans="2:6" ht="15" customHeight="1" x14ac:dyDescent="0.2">
      <c r="B3293" s="188" t="s">
        <v>5423</v>
      </c>
      <c r="C3293" s="189" t="s">
        <v>134</v>
      </c>
      <c r="D3293" s="189"/>
      <c r="E3293" s="190" t="s">
        <v>1787</v>
      </c>
      <c r="F3293" s="191">
        <f t="shared" si="53"/>
        <v>265.38333333333333</v>
      </c>
    </row>
    <row r="3294" spans="2:6" ht="15" customHeight="1" x14ac:dyDescent="0.2">
      <c r="B3294" s="188" t="s">
        <v>5898</v>
      </c>
      <c r="C3294" s="189" t="s">
        <v>125</v>
      </c>
      <c r="D3294" s="189"/>
      <c r="E3294" s="190" t="s">
        <v>4599</v>
      </c>
      <c r="F3294" s="191">
        <f t="shared" si="53"/>
        <v>223.35</v>
      </c>
    </row>
    <row r="3295" spans="2:6" ht="15" customHeight="1" x14ac:dyDescent="0.2">
      <c r="B3295" s="188" t="s">
        <v>5899</v>
      </c>
      <c r="C3295" s="189" t="s">
        <v>134</v>
      </c>
      <c r="D3295" s="189"/>
      <c r="E3295" s="190" t="s">
        <v>3879</v>
      </c>
      <c r="F3295" s="191">
        <f t="shared" si="53"/>
        <v>208.56666666666666</v>
      </c>
    </row>
    <row r="3296" spans="2:6" ht="15" customHeight="1" x14ac:dyDescent="0.2">
      <c r="B3296" s="188" t="s">
        <v>5900</v>
      </c>
      <c r="C3296" s="189" t="s">
        <v>130</v>
      </c>
      <c r="D3296" s="189"/>
      <c r="E3296" s="190" t="s">
        <v>5901</v>
      </c>
      <c r="F3296" s="191">
        <f t="shared" si="53"/>
        <v>162.03333333333333</v>
      </c>
    </row>
    <row r="3297" spans="2:6" ht="15" customHeight="1" x14ac:dyDescent="0.2">
      <c r="B3297" s="188" t="s">
        <v>5902</v>
      </c>
      <c r="C3297" s="189" t="s">
        <v>135</v>
      </c>
      <c r="D3297" s="189"/>
      <c r="E3297" s="190" t="s">
        <v>5903</v>
      </c>
      <c r="F3297" s="191">
        <f t="shared" si="53"/>
        <v>177.88333333333333</v>
      </c>
    </row>
    <row r="3298" spans="2:6" ht="15" customHeight="1" x14ac:dyDescent="0.2">
      <c r="B3298" s="188" t="s">
        <v>5904</v>
      </c>
      <c r="C3298" s="189" t="s">
        <v>130</v>
      </c>
      <c r="D3298" s="189"/>
      <c r="E3298" s="190" t="s">
        <v>5905</v>
      </c>
      <c r="F3298" s="191">
        <f t="shared" si="53"/>
        <v>285.33333333333331</v>
      </c>
    </row>
    <row r="3299" spans="2:6" ht="15" customHeight="1" x14ac:dyDescent="0.2">
      <c r="B3299" s="188" t="s">
        <v>5906</v>
      </c>
      <c r="C3299" s="189" t="s">
        <v>128</v>
      </c>
      <c r="D3299" s="189"/>
      <c r="E3299" s="190" t="s">
        <v>5907</v>
      </c>
      <c r="F3299" s="191">
        <f t="shared" si="53"/>
        <v>287.31666666666666</v>
      </c>
    </row>
    <row r="3300" spans="2:6" ht="15" customHeight="1" x14ac:dyDescent="0.2">
      <c r="B3300" s="188" t="s">
        <v>5908</v>
      </c>
      <c r="C3300" s="189" t="s">
        <v>142</v>
      </c>
      <c r="D3300" s="189"/>
      <c r="E3300" s="190" t="s">
        <v>4928</v>
      </c>
      <c r="F3300" s="191">
        <f t="shared" si="53"/>
        <v>217.25</v>
      </c>
    </row>
    <row r="3301" spans="2:6" ht="15" customHeight="1" x14ac:dyDescent="0.2">
      <c r="B3301" s="188" t="s">
        <v>5909</v>
      </c>
      <c r="C3301" s="189" t="s">
        <v>125</v>
      </c>
      <c r="D3301" s="189"/>
      <c r="E3301" s="190" t="s">
        <v>2102</v>
      </c>
      <c r="F3301" s="191">
        <f t="shared" si="53"/>
        <v>229.68333333333334</v>
      </c>
    </row>
    <row r="3302" spans="2:6" ht="15" customHeight="1" x14ac:dyDescent="0.2">
      <c r="B3302" s="188" t="s">
        <v>5910</v>
      </c>
      <c r="C3302" s="189" t="s">
        <v>142</v>
      </c>
      <c r="D3302" s="189"/>
      <c r="E3302" s="190" t="s">
        <v>5911</v>
      </c>
      <c r="F3302" s="191">
        <f t="shared" si="53"/>
        <v>267.39999999999998</v>
      </c>
    </row>
    <row r="3303" spans="2:6" ht="15" customHeight="1" x14ac:dyDescent="0.2">
      <c r="B3303" s="188" t="s">
        <v>5912</v>
      </c>
      <c r="C3303" s="189" t="s">
        <v>128</v>
      </c>
      <c r="D3303" s="189"/>
      <c r="E3303" s="190" t="s">
        <v>5913</v>
      </c>
      <c r="F3303" s="191">
        <f t="shared" si="53"/>
        <v>264.21666666666664</v>
      </c>
    </row>
    <row r="3304" spans="2:6" ht="15" customHeight="1" x14ac:dyDescent="0.2">
      <c r="B3304" s="188" t="s">
        <v>5914</v>
      </c>
      <c r="C3304" s="189" t="s">
        <v>134</v>
      </c>
      <c r="D3304" s="189"/>
      <c r="E3304" s="190" t="s">
        <v>5915</v>
      </c>
      <c r="F3304" s="191">
        <f t="shared" si="53"/>
        <v>217.65</v>
      </c>
    </row>
    <row r="3305" spans="2:6" ht="15" customHeight="1" x14ac:dyDescent="0.2">
      <c r="B3305" s="188" t="s">
        <v>2408</v>
      </c>
      <c r="C3305" s="189" t="s">
        <v>124</v>
      </c>
      <c r="D3305" s="189"/>
      <c r="E3305" s="190" t="s">
        <v>2409</v>
      </c>
      <c r="F3305" s="191">
        <f t="shared" si="53"/>
        <v>303.14999999999998</v>
      </c>
    </row>
    <row r="3306" spans="2:6" ht="15" customHeight="1" x14ac:dyDescent="0.2">
      <c r="B3306" s="188" t="s">
        <v>5916</v>
      </c>
      <c r="C3306" s="189" t="s">
        <v>134</v>
      </c>
      <c r="D3306" s="189"/>
      <c r="E3306" s="190" t="s">
        <v>5917</v>
      </c>
      <c r="F3306" s="191">
        <f t="shared" si="53"/>
        <v>190.36666666666667</v>
      </c>
    </row>
    <row r="3307" spans="2:6" ht="15" customHeight="1" x14ac:dyDescent="0.2">
      <c r="B3307" s="188" t="s">
        <v>5918</v>
      </c>
      <c r="C3307" s="189" t="s">
        <v>134</v>
      </c>
      <c r="D3307" s="189"/>
      <c r="E3307" s="190" t="s">
        <v>5919</v>
      </c>
      <c r="F3307" s="191">
        <f t="shared" si="53"/>
        <v>279.5</v>
      </c>
    </row>
    <row r="3308" spans="2:6" ht="15" customHeight="1" x14ac:dyDescent="0.2">
      <c r="B3308" s="188" t="s">
        <v>5920</v>
      </c>
      <c r="C3308" s="189" t="s">
        <v>135</v>
      </c>
      <c r="D3308" s="189"/>
      <c r="E3308" s="190" t="s">
        <v>3370</v>
      </c>
      <c r="F3308" s="191">
        <f t="shared" si="53"/>
        <v>281.48333333333335</v>
      </c>
    </row>
    <row r="3309" spans="2:6" ht="15" customHeight="1" x14ac:dyDescent="0.2">
      <c r="B3309" s="188" t="s">
        <v>331</v>
      </c>
      <c r="C3309" s="189" t="s">
        <v>142</v>
      </c>
      <c r="D3309" s="189"/>
      <c r="E3309" s="190" t="s">
        <v>1980</v>
      </c>
      <c r="F3309" s="191">
        <f t="shared" si="53"/>
        <v>304.10000000000002</v>
      </c>
    </row>
    <row r="3310" spans="2:6" ht="15" customHeight="1" x14ac:dyDescent="0.2">
      <c r="B3310" s="188" t="s">
        <v>5921</v>
      </c>
      <c r="C3310" s="189" t="s">
        <v>128</v>
      </c>
      <c r="D3310" s="189"/>
      <c r="E3310" s="190" t="s">
        <v>5356</v>
      </c>
      <c r="F3310" s="191">
        <f t="shared" si="53"/>
        <v>262.06666666666666</v>
      </c>
    </row>
    <row r="3311" spans="2:6" ht="15" customHeight="1" x14ac:dyDescent="0.2">
      <c r="B3311" s="188" t="s">
        <v>5922</v>
      </c>
      <c r="C3311" s="189" t="s">
        <v>124</v>
      </c>
      <c r="D3311" s="189"/>
      <c r="E3311" s="190" t="s">
        <v>3510</v>
      </c>
      <c r="F3311" s="191">
        <f t="shared" si="53"/>
        <v>216.08333333333334</v>
      </c>
    </row>
    <row r="3312" spans="2:6" ht="15" customHeight="1" x14ac:dyDescent="0.2">
      <c r="B3312" s="188" t="s">
        <v>5923</v>
      </c>
      <c r="C3312" s="189" t="s">
        <v>249</v>
      </c>
      <c r="D3312" s="189"/>
      <c r="E3312" s="190" t="s">
        <v>5924</v>
      </c>
      <c r="F3312" s="191">
        <f t="shared" si="53"/>
        <v>269.5</v>
      </c>
    </row>
    <row r="3313" spans="2:6" ht="15" customHeight="1" x14ac:dyDescent="0.2">
      <c r="B3313" s="188" t="s">
        <v>5925</v>
      </c>
      <c r="C3313" s="189" t="s">
        <v>130</v>
      </c>
      <c r="D3313" s="189"/>
      <c r="E3313" s="190" t="s">
        <v>5926</v>
      </c>
      <c r="F3313" s="191">
        <f t="shared" si="53"/>
        <v>270.81666666666666</v>
      </c>
    </row>
    <row r="3314" spans="2:6" ht="15" customHeight="1" x14ac:dyDescent="0.2">
      <c r="B3314" s="188" t="s">
        <v>4866</v>
      </c>
      <c r="C3314" s="189" t="s">
        <v>125</v>
      </c>
      <c r="D3314" s="189"/>
      <c r="E3314" s="190" t="s">
        <v>2157</v>
      </c>
      <c r="F3314" s="191">
        <f t="shared" si="53"/>
        <v>231.58333333333334</v>
      </c>
    </row>
    <row r="3315" spans="2:6" ht="15" customHeight="1" x14ac:dyDescent="0.2">
      <c r="B3315" s="188" t="s">
        <v>5927</v>
      </c>
      <c r="C3315" s="189" t="s">
        <v>142</v>
      </c>
      <c r="D3315" s="189"/>
      <c r="E3315" s="190" t="s">
        <v>5928</v>
      </c>
      <c r="F3315" s="191">
        <f t="shared" si="53"/>
        <v>270.13333333333333</v>
      </c>
    </row>
    <row r="3316" spans="2:6" ht="15" customHeight="1" x14ac:dyDescent="0.2">
      <c r="B3316" s="188" t="s">
        <v>5929</v>
      </c>
      <c r="C3316" s="189" t="s">
        <v>126</v>
      </c>
      <c r="D3316" s="189"/>
      <c r="E3316" s="190" t="s">
        <v>5930</v>
      </c>
      <c r="F3316" s="191">
        <f t="shared" si="53"/>
        <v>277.58333333333331</v>
      </c>
    </row>
    <row r="3317" spans="2:6" ht="15" customHeight="1" x14ac:dyDescent="0.2">
      <c r="B3317" s="188" t="s">
        <v>5931</v>
      </c>
      <c r="C3317" s="189" t="s">
        <v>142</v>
      </c>
      <c r="D3317" s="189"/>
      <c r="E3317" s="190" t="s">
        <v>5932</v>
      </c>
      <c r="F3317" s="191">
        <f t="shared" si="53"/>
        <v>187.55</v>
      </c>
    </row>
    <row r="3318" spans="2:6" ht="15" customHeight="1" x14ac:dyDescent="0.2">
      <c r="B3318" s="188" t="s">
        <v>5933</v>
      </c>
      <c r="C3318" s="189" t="s">
        <v>125</v>
      </c>
      <c r="D3318" s="189"/>
      <c r="E3318" s="190" t="s">
        <v>5934</v>
      </c>
      <c r="F3318" s="191">
        <f t="shared" si="53"/>
        <v>277.36666666666667</v>
      </c>
    </row>
    <row r="3319" spans="2:6" ht="15" customHeight="1" x14ac:dyDescent="0.2">
      <c r="B3319" s="188" t="s">
        <v>5935</v>
      </c>
      <c r="C3319" s="189" t="s">
        <v>126</v>
      </c>
      <c r="D3319" s="189"/>
      <c r="E3319" s="190" t="s">
        <v>5936</v>
      </c>
      <c r="F3319" s="191">
        <f t="shared" si="53"/>
        <v>264.55</v>
      </c>
    </row>
    <row r="3320" spans="2:6" ht="15" customHeight="1" x14ac:dyDescent="0.2">
      <c r="B3320" s="188" t="s">
        <v>5937</v>
      </c>
      <c r="C3320" s="189" t="s">
        <v>125</v>
      </c>
      <c r="D3320" s="189"/>
      <c r="E3320" s="190" t="s">
        <v>5938</v>
      </c>
      <c r="F3320" s="191">
        <f t="shared" si="53"/>
        <v>206.46666666666667</v>
      </c>
    </row>
    <row r="3321" spans="2:6" ht="15" customHeight="1" x14ac:dyDescent="0.2">
      <c r="B3321" s="188" t="s">
        <v>5939</v>
      </c>
      <c r="C3321" s="189" t="s">
        <v>134</v>
      </c>
      <c r="D3321" s="189"/>
      <c r="E3321" s="190" t="s">
        <v>2731</v>
      </c>
      <c r="F3321" s="191">
        <f t="shared" si="53"/>
        <v>227.36666666666667</v>
      </c>
    </row>
    <row r="3322" spans="2:6" ht="15" customHeight="1" x14ac:dyDescent="0.2">
      <c r="B3322" s="188" t="s">
        <v>5940</v>
      </c>
      <c r="C3322" s="189" t="s">
        <v>125</v>
      </c>
      <c r="D3322" s="189"/>
      <c r="E3322" s="190" t="s">
        <v>5941</v>
      </c>
      <c r="F3322" s="191">
        <f t="shared" si="53"/>
        <v>228.13333333333333</v>
      </c>
    </row>
    <row r="3323" spans="2:6" ht="15" customHeight="1" x14ac:dyDescent="0.2">
      <c r="B3323" s="188" t="s">
        <v>3835</v>
      </c>
      <c r="C3323" s="189" t="s">
        <v>128</v>
      </c>
      <c r="D3323" s="189"/>
      <c r="E3323" s="190" t="s">
        <v>3836</v>
      </c>
      <c r="F3323" s="191">
        <f t="shared" si="53"/>
        <v>221.36666666666667</v>
      </c>
    </row>
    <row r="3324" spans="2:6" ht="15" customHeight="1" x14ac:dyDescent="0.2">
      <c r="B3324" s="188" t="s">
        <v>560</v>
      </c>
      <c r="C3324" s="189" t="s">
        <v>140</v>
      </c>
      <c r="D3324" s="189"/>
      <c r="E3324" s="190" t="s">
        <v>2205</v>
      </c>
      <c r="F3324" s="191">
        <f t="shared" si="53"/>
        <v>269.01666666666665</v>
      </c>
    </row>
    <row r="3325" spans="2:6" ht="15" customHeight="1" x14ac:dyDescent="0.2">
      <c r="B3325" s="188" t="s">
        <v>5942</v>
      </c>
      <c r="C3325" s="189" t="s">
        <v>130</v>
      </c>
      <c r="D3325" s="189"/>
      <c r="E3325" s="190" t="s">
        <v>5943</v>
      </c>
      <c r="F3325" s="191">
        <f t="shared" si="53"/>
        <v>312.31666666666666</v>
      </c>
    </row>
    <row r="3326" spans="2:6" ht="15" customHeight="1" x14ac:dyDescent="0.2">
      <c r="B3326" s="188" t="s">
        <v>5944</v>
      </c>
      <c r="C3326" s="189" t="s">
        <v>130</v>
      </c>
      <c r="D3326" s="189"/>
      <c r="E3326" s="190" t="s">
        <v>4661</v>
      </c>
      <c r="F3326" s="191">
        <f t="shared" si="53"/>
        <v>274.08333333333331</v>
      </c>
    </row>
    <row r="3327" spans="2:6" ht="15" customHeight="1" x14ac:dyDescent="0.2">
      <c r="B3327" s="188" t="s">
        <v>5945</v>
      </c>
      <c r="C3327" s="189" t="s">
        <v>134</v>
      </c>
      <c r="D3327" s="189"/>
      <c r="E3327" s="190" t="s">
        <v>5946</v>
      </c>
      <c r="F3327" s="191">
        <f t="shared" si="53"/>
        <v>278.48333333333335</v>
      </c>
    </row>
    <row r="3328" spans="2:6" ht="15" customHeight="1" x14ac:dyDescent="0.2">
      <c r="B3328" s="188" t="s">
        <v>5557</v>
      </c>
      <c r="C3328" s="189" t="s">
        <v>124</v>
      </c>
      <c r="D3328" s="189"/>
      <c r="E3328" s="190" t="s">
        <v>2618</v>
      </c>
      <c r="F3328" s="191">
        <f t="shared" si="53"/>
        <v>221.81666666666666</v>
      </c>
    </row>
    <row r="3329" spans="2:6" ht="15" customHeight="1" x14ac:dyDescent="0.2">
      <c r="B3329" s="188" t="s">
        <v>5947</v>
      </c>
      <c r="C3329" s="189" t="s">
        <v>124</v>
      </c>
      <c r="D3329" s="189"/>
      <c r="E3329" s="190" t="s">
        <v>5948</v>
      </c>
      <c r="F3329" s="191">
        <f t="shared" si="53"/>
        <v>288.06666666666666</v>
      </c>
    </row>
    <row r="3330" spans="2:6" ht="15" customHeight="1" x14ac:dyDescent="0.2">
      <c r="B3330" s="188" t="s">
        <v>385</v>
      </c>
      <c r="C3330" s="189" t="s">
        <v>125</v>
      </c>
      <c r="D3330" s="189"/>
      <c r="E3330" s="190" t="s">
        <v>2874</v>
      </c>
      <c r="F3330" s="191">
        <f t="shared" si="53"/>
        <v>266.01666666666665</v>
      </c>
    </row>
    <row r="3331" spans="2:6" ht="15" customHeight="1" x14ac:dyDescent="0.2">
      <c r="B3331" s="188" t="s">
        <v>626</v>
      </c>
      <c r="C3331" s="189" t="s">
        <v>124</v>
      </c>
      <c r="D3331" s="189"/>
      <c r="E3331" s="190" t="s">
        <v>5274</v>
      </c>
      <c r="F3331" s="191">
        <f t="shared" si="53"/>
        <v>274.71666666666664</v>
      </c>
    </row>
    <row r="3332" spans="2:6" ht="15" customHeight="1" x14ac:dyDescent="0.2">
      <c r="B3332" s="188" t="s">
        <v>5949</v>
      </c>
      <c r="C3332" s="189" t="s">
        <v>140</v>
      </c>
      <c r="D3332" s="189"/>
      <c r="E3332" s="190" t="s">
        <v>2308</v>
      </c>
      <c r="F3332" s="191">
        <f t="shared" si="53"/>
        <v>258.61666666666667</v>
      </c>
    </row>
    <row r="3333" spans="2:6" ht="15" customHeight="1" x14ac:dyDescent="0.2">
      <c r="B3333" s="188" t="s">
        <v>5950</v>
      </c>
      <c r="C3333" s="189" t="s">
        <v>142</v>
      </c>
      <c r="D3333" s="189"/>
      <c r="E3333" s="190" t="s">
        <v>5951</v>
      </c>
      <c r="F3333" s="191">
        <f t="shared" si="53"/>
        <v>293.14999999999998</v>
      </c>
    </row>
    <row r="3334" spans="2:6" ht="15" customHeight="1" x14ac:dyDescent="0.2">
      <c r="B3334" s="188" t="s">
        <v>5952</v>
      </c>
      <c r="C3334" s="189" t="s">
        <v>135</v>
      </c>
      <c r="D3334" s="189"/>
      <c r="E3334" s="190" t="s">
        <v>5556</v>
      </c>
      <c r="F3334" s="191">
        <f t="shared" si="53"/>
        <v>217.45</v>
      </c>
    </row>
    <row r="3335" spans="2:6" ht="15" customHeight="1" x14ac:dyDescent="0.2">
      <c r="B3335" s="188" t="s">
        <v>1891</v>
      </c>
      <c r="C3335" s="189" t="s">
        <v>142</v>
      </c>
      <c r="D3335" s="189"/>
      <c r="E3335" s="190" t="s">
        <v>1892</v>
      </c>
      <c r="F3335" s="191">
        <f t="shared" si="53"/>
        <v>303.33333333333331</v>
      </c>
    </row>
    <row r="3336" spans="2:6" ht="15" customHeight="1" x14ac:dyDescent="0.2">
      <c r="B3336" s="188" t="s">
        <v>5953</v>
      </c>
      <c r="C3336" s="189" t="s">
        <v>125</v>
      </c>
      <c r="D3336" s="189"/>
      <c r="E3336" s="190" t="s">
        <v>5954</v>
      </c>
      <c r="F3336" s="191">
        <f t="shared" si="53"/>
        <v>312.75</v>
      </c>
    </row>
    <row r="3337" spans="2:6" ht="15" customHeight="1" x14ac:dyDescent="0.2">
      <c r="B3337" s="188" t="s">
        <v>5955</v>
      </c>
      <c r="C3337" s="189" t="s">
        <v>126</v>
      </c>
      <c r="D3337" s="189"/>
      <c r="E3337" s="190" t="s">
        <v>3220</v>
      </c>
      <c r="F3337" s="191">
        <f t="shared" si="53"/>
        <v>236.35</v>
      </c>
    </row>
    <row r="3338" spans="2:6" ht="15" customHeight="1" x14ac:dyDescent="0.2">
      <c r="B3338" s="188" t="s">
        <v>5956</v>
      </c>
      <c r="C3338" s="189" t="s">
        <v>126</v>
      </c>
      <c r="D3338" s="189"/>
      <c r="E3338" s="190" t="s">
        <v>5957</v>
      </c>
      <c r="F3338" s="191">
        <f t="shared" si="53"/>
        <v>258.64999999999998</v>
      </c>
    </row>
    <row r="3339" spans="2:6" ht="15" customHeight="1" x14ac:dyDescent="0.2">
      <c r="B3339" s="188" t="s">
        <v>1823</v>
      </c>
      <c r="C3339" s="189" t="s">
        <v>126</v>
      </c>
      <c r="D3339" s="189"/>
      <c r="E3339" s="190" t="s">
        <v>1824</v>
      </c>
      <c r="F3339" s="191">
        <f t="shared" ref="F3339:F3402" si="54">HOUR(E3339)*60+MINUTE(E3339)+SECOND(E3339)/60</f>
        <v>190.06666666666666</v>
      </c>
    </row>
    <row r="3340" spans="2:6" ht="15" customHeight="1" x14ac:dyDescent="0.2">
      <c r="B3340" s="188" t="s">
        <v>5958</v>
      </c>
      <c r="C3340" s="189" t="s">
        <v>124</v>
      </c>
      <c r="D3340" s="189"/>
      <c r="E3340" s="190" t="s">
        <v>5959</v>
      </c>
      <c r="F3340" s="191">
        <f t="shared" si="54"/>
        <v>234.68333333333334</v>
      </c>
    </row>
    <row r="3341" spans="2:6" ht="15" customHeight="1" x14ac:dyDescent="0.2">
      <c r="B3341" s="188" t="s">
        <v>5960</v>
      </c>
      <c r="C3341" s="189" t="s">
        <v>134</v>
      </c>
      <c r="D3341" s="189"/>
      <c r="E3341" s="190" t="s">
        <v>5961</v>
      </c>
      <c r="F3341" s="191">
        <f t="shared" si="54"/>
        <v>296.28333333333336</v>
      </c>
    </row>
    <row r="3342" spans="2:6" ht="15" customHeight="1" x14ac:dyDescent="0.2">
      <c r="B3342" s="188" t="s">
        <v>5962</v>
      </c>
      <c r="C3342" s="189" t="s">
        <v>142</v>
      </c>
      <c r="D3342" s="189"/>
      <c r="E3342" s="190" t="s">
        <v>5963</v>
      </c>
      <c r="F3342" s="191">
        <f t="shared" si="54"/>
        <v>248.21666666666667</v>
      </c>
    </row>
    <row r="3343" spans="2:6" ht="15" customHeight="1" x14ac:dyDescent="0.2">
      <c r="B3343" s="188" t="s">
        <v>5964</v>
      </c>
      <c r="C3343" s="189" t="s">
        <v>142</v>
      </c>
      <c r="D3343" s="189"/>
      <c r="E3343" s="190" t="s">
        <v>5045</v>
      </c>
      <c r="F3343" s="191">
        <f t="shared" si="54"/>
        <v>257.73333333333335</v>
      </c>
    </row>
    <row r="3344" spans="2:6" ht="15" customHeight="1" x14ac:dyDescent="0.2">
      <c r="B3344" s="188" t="s">
        <v>5965</v>
      </c>
      <c r="C3344" s="189" t="s">
        <v>130</v>
      </c>
      <c r="D3344" s="189"/>
      <c r="E3344" s="190" t="s">
        <v>3960</v>
      </c>
      <c r="F3344" s="191">
        <f t="shared" si="54"/>
        <v>216.2</v>
      </c>
    </row>
    <row r="3345" spans="2:6" ht="15" customHeight="1" x14ac:dyDescent="0.2">
      <c r="B3345" s="188" t="s">
        <v>5966</v>
      </c>
      <c r="C3345" s="189" t="s">
        <v>125</v>
      </c>
      <c r="D3345" s="189"/>
      <c r="E3345" s="190" t="s">
        <v>5967</v>
      </c>
      <c r="F3345" s="191">
        <f t="shared" si="54"/>
        <v>286.14999999999998</v>
      </c>
    </row>
    <row r="3346" spans="2:6" ht="15" customHeight="1" x14ac:dyDescent="0.2">
      <c r="B3346" s="188" t="s">
        <v>477</v>
      </c>
      <c r="C3346" s="189" t="s">
        <v>124</v>
      </c>
      <c r="D3346" s="189"/>
      <c r="E3346" s="190" t="s">
        <v>4197</v>
      </c>
      <c r="F3346" s="191">
        <f t="shared" si="54"/>
        <v>299.03333333333336</v>
      </c>
    </row>
    <row r="3347" spans="2:6" ht="15" customHeight="1" x14ac:dyDescent="0.2">
      <c r="B3347" s="188" t="s">
        <v>5968</v>
      </c>
      <c r="C3347" s="189" t="s">
        <v>126</v>
      </c>
      <c r="D3347" s="189"/>
      <c r="E3347" s="190" t="s">
        <v>3394</v>
      </c>
      <c r="F3347" s="191">
        <f t="shared" si="54"/>
        <v>209.4</v>
      </c>
    </row>
    <row r="3348" spans="2:6" ht="15" customHeight="1" x14ac:dyDescent="0.2">
      <c r="B3348" s="188" t="s">
        <v>543</v>
      </c>
      <c r="C3348" s="189" t="s">
        <v>142</v>
      </c>
      <c r="D3348" s="189"/>
      <c r="E3348" s="190" t="s">
        <v>5132</v>
      </c>
      <c r="F3348" s="191">
        <f t="shared" si="54"/>
        <v>259.11666666666667</v>
      </c>
    </row>
    <row r="3349" spans="2:6" ht="15" customHeight="1" x14ac:dyDescent="0.2">
      <c r="B3349" s="188" t="s">
        <v>5969</v>
      </c>
      <c r="C3349" s="189" t="s">
        <v>126</v>
      </c>
      <c r="D3349" s="189"/>
      <c r="E3349" s="190" t="s">
        <v>5970</v>
      </c>
      <c r="F3349" s="191">
        <f t="shared" si="54"/>
        <v>291.58333333333331</v>
      </c>
    </row>
    <row r="3350" spans="2:6" ht="15" customHeight="1" x14ac:dyDescent="0.2">
      <c r="B3350" s="188" t="s">
        <v>5971</v>
      </c>
      <c r="C3350" s="189" t="s">
        <v>135</v>
      </c>
      <c r="D3350" s="189"/>
      <c r="E3350" s="190" t="s">
        <v>5972</v>
      </c>
      <c r="F3350" s="191">
        <f t="shared" si="54"/>
        <v>209.78333333333333</v>
      </c>
    </row>
    <row r="3351" spans="2:6" ht="15" customHeight="1" x14ac:dyDescent="0.2">
      <c r="B3351" s="188" t="s">
        <v>3040</v>
      </c>
      <c r="C3351" s="189" t="s">
        <v>135</v>
      </c>
      <c r="D3351" s="189"/>
      <c r="E3351" s="190" t="s">
        <v>3041</v>
      </c>
      <c r="F3351" s="191">
        <f t="shared" si="54"/>
        <v>243.56666666666666</v>
      </c>
    </row>
    <row r="3352" spans="2:6" ht="15" customHeight="1" x14ac:dyDescent="0.2">
      <c r="B3352" s="188" t="s">
        <v>485</v>
      </c>
      <c r="C3352" s="189" t="s">
        <v>142</v>
      </c>
      <c r="D3352" s="189"/>
      <c r="E3352" s="190" t="s">
        <v>5973</v>
      </c>
      <c r="F3352" s="191">
        <f t="shared" si="54"/>
        <v>254.28333333333333</v>
      </c>
    </row>
    <row r="3353" spans="2:6" ht="15" customHeight="1" x14ac:dyDescent="0.2">
      <c r="B3353" s="188" t="s">
        <v>5974</v>
      </c>
      <c r="C3353" s="189" t="s">
        <v>124</v>
      </c>
      <c r="D3353" s="189"/>
      <c r="E3353" s="190" t="s">
        <v>5975</v>
      </c>
      <c r="F3353" s="191">
        <f t="shared" si="54"/>
        <v>294.98333333333335</v>
      </c>
    </row>
    <row r="3354" spans="2:6" ht="15" customHeight="1" x14ac:dyDescent="0.2">
      <c r="B3354" s="188" t="s">
        <v>5976</v>
      </c>
      <c r="C3354" s="189" t="s">
        <v>124</v>
      </c>
      <c r="D3354" s="189"/>
      <c r="E3354" s="190" t="s">
        <v>5977</v>
      </c>
      <c r="F3354" s="191">
        <f t="shared" si="54"/>
        <v>289.26666666666665</v>
      </c>
    </row>
    <row r="3355" spans="2:6" ht="15" customHeight="1" x14ac:dyDescent="0.2">
      <c r="B3355" s="188" t="s">
        <v>5978</v>
      </c>
      <c r="C3355" s="189" t="s">
        <v>126</v>
      </c>
      <c r="D3355" s="189"/>
      <c r="E3355" s="190" t="s">
        <v>5979</v>
      </c>
      <c r="F3355" s="191">
        <f t="shared" si="54"/>
        <v>209</v>
      </c>
    </row>
    <row r="3356" spans="2:6" ht="15" customHeight="1" x14ac:dyDescent="0.2">
      <c r="B3356" s="188" t="s">
        <v>5980</v>
      </c>
      <c r="C3356" s="189" t="s">
        <v>126</v>
      </c>
      <c r="D3356" s="189"/>
      <c r="E3356" s="190" t="s">
        <v>5981</v>
      </c>
      <c r="F3356" s="191">
        <f t="shared" si="54"/>
        <v>176.66666666666666</v>
      </c>
    </row>
    <row r="3357" spans="2:6" ht="15" customHeight="1" x14ac:dyDescent="0.2">
      <c r="B3357" s="188" t="s">
        <v>305</v>
      </c>
      <c r="C3357" s="189" t="s">
        <v>142</v>
      </c>
      <c r="D3357" s="189"/>
      <c r="E3357" s="190" t="s">
        <v>5982</v>
      </c>
      <c r="F3357" s="191">
        <f t="shared" si="54"/>
        <v>288.08333333333331</v>
      </c>
    </row>
    <row r="3358" spans="2:6" ht="15" customHeight="1" x14ac:dyDescent="0.2">
      <c r="B3358" s="188" t="s">
        <v>5983</v>
      </c>
      <c r="C3358" s="189" t="s">
        <v>142</v>
      </c>
      <c r="D3358" s="189"/>
      <c r="E3358" s="190" t="s">
        <v>5984</v>
      </c>
      <c r="F3358" s="191">
        <f t="shared" si="54"/>
        <v>200.35</v>
      </c>
    </row>
    <row r="3359" spans="2:6" ht="15" customHeight="1" x14ac:dyDescent="0.2">
      <c r="B3359" s="188" t="s">
        <v>5985</v>
      </c>
      <c r="C3359" s="189" t="s">
        <v>124</v>
      </c>
      <c r="D3359" s="189"/>
      <c r="E3359" s="190" t="s">
        <v>4628</v>
      </c>
      <c r="F3359" s="191">
        <f t="shared" si="54"/>
        <v>259.01666666666665</v>
      </c>
    </row>
    <row r="3360" spans="2:6" ht="15" customHeight="1" x14ac:dyDescent="0.2">
      <c r="B3360" s="188" t="s">
        <v>5986</v>
      </c>
      <c r="C3360" s="189" t="s">
        <v>125</v>
      </c>
      <c r="D3360" s="189"/>
      <c r="E3360" s="190" t="s">
        <v>5987</v>
      </c>
      <c r="F3360" s="191">
        <f t="shared" si="54"/>
        <v>273.45</v>
      </c>
    </row>
    <row r="3361" spans="2:6" ht="15" customHeight="1" x14ac:dyDescent="0.2">
      <c r="B3361" s="188" t="s">
        <v>5988</v>
      </c>
      <c r="C3361" s="189" t="s">
        <v>130</v>
      </c>
      <c r="D3361" s="189"/>
      <c r="E3361" s="190" t="s">
        <v>5989</v>
      </c>
      <c r="F3361" s="191">
        <f t="shared" si="54"/>
        <v>215.38333333333333</v>
      </c>
    </row>
    <row r="3362" spans="2:6" ht="15" customHeight="1" x14ac:dyDescent="0.2">
      <c r="B3362" s="188" t="s">
        <v>5990</v>
      </c>
      <c r="C3362" s="189" t="s">
        <v>124</v>
      </c>
      <c r="D3362" s="189"/>
      <c r="E3362" s="190" t="s">
        <v>5991</v>
      </c>
      <c r="F3362" s="191">
        <f t="shared" si="54"/>
        <v>210.26666666666668</v>
      </c>
    </row>
    <row r="3363" spans="2:6" ht="15" customHeight="1" x14ac:dyDescent="0.2">
      <c r="B3363" s="188" t="s">
        <v>5992</v>
      </c>
      <c r="C3363" s="189" t="s">
        <v>134</v>
      </c>
      <c r="D3363" s="189"/>
      <c r="E3363" s="190" t="s">
        <v>5993</v>
      </c>
      <c r="F3363" s="191">
        <f t="shared" si="54"/>
        <v>285.39999999999998</v>
      </c>
    </row>
    <row r="3364" spans="2:6" ht="15" customHeight="1" x14ac:dyDescent="0.2">
      <c r="B3364" s="188" t="s">
        <v>5994</v>
      </c>
      <c r="C3364" s="189" t="s">
        <v>124</v>
      </c>
      <c r="D3364" s="189"/>
      <c r="E3364" s="190" t="s">
        <v>1113</v>
      </c>
      <c r="F3364" s="191">
        <f t="shared" si="54"/>
        <v>237.53333333333333</v>
      </c>
    </row>
    <row r="3365" spans="2:6" ht="15" customHeight="1" x14ac:dyDescent="0.2">
      <c r="B3365" s="188" t="s">
        <v>5995</v>
      </c>
      <c r="C3365" s="189" t="s">
        <v>124</v>
      </c>
      <c r="D3365" s="189"/>
      <c r="E3365" s="190" t="s">
        <v>5996</v>
      </c>
      <c r="F3365" s="191">
        <f t="shared" si="54"/>
        <v>170.86666666666667</v>
      </c>
    </row>
    <row r="3366" spans="2:6" ht="15" customHeight="1" x14ac:dyDescent="0.2">
      <c r="B3366" s="188" t="s">
        <v>5997</v>
      </c>
      <c r="C3366" s="189" t="s">
        <v>134</v>
      </c>
      <c r="D3366" s="189"/>
      <c r="E3366" s="190" t="s">
        <v>5251</v>
      </c>
      <c r="F3366" s="191">
        <f t="shared" si="54"/>
        <v>264.43333333333334</v>
      </c>
    </row>
    <row r="3367" spans="2:6" ht="15" customHeight="1" x14ac:dyDescent="0.2">
      <c r="B3367" s="188" t="s">
        <v>5998</v>
      </c>
      <c r="C3367" s="189" t="s">
        <v>126</v>
      </c>
      <c r="D3367" s="189"/>
      <c r="E3367" s="190" t="s">
        <v>5999</v>
      </c>
      <c r="F3367" s="191">
        <f t="shared" si="54"/>
        <v>178.5</v>
      </c>
    </row>
    <row r="3368" spans="2:6" ht="15" customHeight="1" x14ac:dyDescent="0.2">
      <c r="B3368" s="188" t="s">
        <v>6000</v>
      </c>
      <c r="C3368" s="189" t="s">
        <v>134</v>
      </c>
      <c r="D3368" s="189"/>
      <c r="E3368" s="190" t="s">
        <v>6001</v>
      </c>
      <c r="F3368" s="191">
        <f t="shared" si="54"/>
        <v>271.51666666666665</v>
      </c>
    </row>
    <row r="3369" spans="2:6" ht="15" customHeight="1" x14ac:dyDescent="0.2">
      <c r="B3369" s="188" t="s">
        <v>6002</v>
      </c>
      <c r="C3369" s="189" t="s">
        <v>125</v>
      </c>
      <c r="D3369" s="189"/>
      <c r="E3369" s="190" t="s">
        <v>6003</v>
      </c>
      <c r="F3369" s="191">
        <f t="shared" si="54"/>
        <v>207.85</v>
      </c>
    </row>
    <row r="3370" spans="2:6" ht="15" customHeight="1" x14ac:dyDescent="0.2">
      <c r="B3370" s="188" t="s">
        <v>6004</v>
      </c>
      <c r="C3370" s="189" t="s">
        <v>249</v>
      </c>
      <c r="D3370" s="189"/>
      <c r="E3370" s="190" t="s">
        <v>6005</v>
      </c>
      <c r="F3370" s="191">
        <f t="shared" si="54"/>
        <v>321.48333333333335</v>
      </c>
    </row>
    <row r="3371" spans="2:6" ht="15" customHeight="1" x14ac:dyDescent="0.2">
      <c r="B3371" s="188" t="s">
        <v>6006</v>
      </c>
      <c r="C3371" s="189" t="s">
        <v>134</v>
      </c>
      <c r="D3371" s="189"/>
      <c r="E3371" s="190" t="s">
        <v>5963</v>
      </c>
      <c r="F3371" s="191">
        <f t="shared" si="54"/>
        <v>248.21666666666667</v>
      </c>
    </row>
    <row r="3372" spans="2:6" ht="15" customHeight="1" x14ac:dyDescent="0.2">
      <c r="B3372" s="188" t="s">
        <v>2793</v>
      </c>
      <c r="C3372" s="189" t="s">
        <v>124</v>
      </c>
      <c r="D3372" s="189"/>
      <c r="E3372" s="190" t="s">
        <v>2794</v>
      </c>
      <c r="F3372" s="191">
        <f t="shared" si="54"/>
        <v>266.31666666666666</v>
      </c>
    </row>
    <row r="3373" spans="2:6" ht="15" customHeight="1" x14ac:dyDescent="0.2">
      <c r="B3373" s="188" t="s">
        <v>490</v>
      </c>
      <c r="C3373" s="189" t="s">
        <v>136</v>
      </c>
      <c r="D3373" s="189"/>
      <c r="E3373" s="190" t="s">
        <v>6007</v>
      </c>
      <c r="F3373" s="191">
        <f t="shared" si="54"/>
        <v>315.58333333333331</v>
      </c>
    </row>
    <row r="3374" spans="2:6" ht="15" customHeight="1" x14ac:dyDescent="0.2">
      <c r="B3374" s="188" t="s">
        <v>6008</v>
      </c>
      <c r="C3374" s="189" t="s">
        <v>126</v>
      </c>
      <c r="D3374" s="189"/>
      <c r="E3374" s="190" t="s">
        <v>6009</v>
      </c>
      <c r="F3374" s="191">
        <f t="shared" si="54"/>
        <v>247.8</v>
      </c>
    </row>
    <row r="3375" spans="2:6" ht="15" customHeight="1" x14ac:dyDescent="0.2">
      <c r="B3375" s="188" t="s">
        <v>6010</v>
      </c>
      <c r="C3375" s="189" t="s">
        <v>130</v>
      </c>
      <c r="D3375" s="189"/>
      <c r="E3375" s="190" t="s">
        <v>6011</v>
      </c>
      <c r="F3375" s="191">
        <f t="shared" si="54"/>
        <v>284.51666666666665</v>
      </c>
    </row>
    <row r="3376" spans="2:6" ht="15" customHeight="1" x14ac:dyDescent="0.2">
      <c r="B3376" s="188" t="s">
        <v>6012</v>
      </c>
      <c r="C3376" s="189" t="s">
        <v>136</v>
      </c>
      <c r="D3376" s="189"/>
      <c r="E3376" s="190" t="s">
        <v>6013</v>
      </c>
      <c r="F3376" s="191">
        <f t="shared" si="54"/>
        <v>262.7</v>
      </c>
    </row>
    <row r="3377" spans="2:6" ht="15" customHeight="1" x14ac:dyDescent="0.2">
      <c r="B3377" s="188" t="s">
        <v>1879</v>
      </c>
      <c r="C3377" s="189" t="s">
        <v>126</v>
      </c>
      <c r="D3377" s="189"/>
      <c r="E3377" s="190" t="s">
        <v>1880</v>
      </c>
      <c r="F3377" s="191">
        <f t="shared" si="54"/>
        <v>202.73333333333332</v>
      </c>
    </row>
    <row r="3378" spans="2:6" ht="15" customHeight="1" x14ac:dyDescent="0.2">
      <c r="B3378" s="188" t="s">
        <v>6014</v>
      </c>
      <c r="C3378" s="189" t="s">
        <v>125</v>
      </c>
      <c r="D3378" s="189"/>
      <c r="E3378" s="190" t="s">
        <v>6015</v>
      </c>
      <c r="F3378" s="191">
        <f t="shared" si="54"/>
        <v>221.1</v>
      </c>
    </row>
    <row r="3379" spans="2:6" ht="15" customHeight="1" x14ac:dyDescent="0.2">
      <c r="B3379" s="188" t="s">
        <v>6016</v>
      </c>
      <c r="C3379" s="189" t="s">
        <v>134</v>
      </c>
      <c r="D3379" s="189"/>
      <c r="E3379" s="190" t="s">
        <v>6017</v>
      </c>
      <c r="F3379" s="191">
        <f t="shared" si="54"/>
        <v>263.75</v>
      </c>
    </row>
    <row r="3380" spans="2:6" ht="15" customHeight="1" x14ac:dyDescent="0.2">
      <c r="B3380" s="188" t="s">
        <v>6018</v>
      </c>
      <c r="C3380" s="189" t="s">
        <v>136</v>
      </c>
      <c r="D3380" s="189"/>
      <c r="E3380" s="190" t="s">
        <v>3591</v>
      </c>
      <c r="F3380" s="191">
        <f t="shared" si="54"/>
        <v>209.41666666666666</v>
      </c>
    </row>
    <row r="3381" spans="2:6" ht="15" customHeight="1" x14ac:dyDescent="0.2">
      <c r="B3381" s="188" t="s">
        <v>3989</v>
      </c>
      <c r="C3381" s="189" t="s">
        <v>134</v>
      </c>
      <c r="D3381" s="189"/>
      <c r="E3381" s="190" t="s">
        <v>832</v>
      </c>
      <c r="F3381" s="191">
        <f t="shared" si="54"/>
        <v>203.53333333333333</v>
      </c>
    </row>
    <row r="3382" spans="2:6" ht="15" customHeight="1" x14ac:dyDescent="0.2">
      <c r="B3382" s="188" t="s">
        <v>6019</v>
      </c>
      <c r="C3382" s="189" t="s">
        <v>125</v>
      </c>
      <c r="D3382" s="189"/>
      <c r="E3382" s="190" t="s">
        <v>6020</v>
      </c>
      <c r="F3382" s="191">
        <f t="shared" si="54"/>
        <v>263.95</v>
      </c>
    </row>
    <row r="3383" spans="2:6" ht="15" customHeight="1" x14ac:dyDescent="0.2">
      <c r="B3383" s="188" t="s">
        <v>4209</v>
      </c>
      <c r="C3383" s="189" t="s">
        <v>125</v>
      </c>
      <c r="D3383" s="189"/>
      <c r="E3383" s="190" t="s">
        <v>6021</v>
      </c>
      <c r="F3383" s="191">
        <f t="shared" si="54"/>
        <v>229.45</v>
      </c>
    </row>
    <row r="3384" spans="2:6" ht="15" customHeight="1" x14ac:dyDescent="0.2">
      <c r="B3384" s="188" t="s">
        <v>6022</v>
      </c>
      <c r="C3384" s="189" t="s">
        <v>134</v>
      </c>
      <c r="D3384" s="189"/>
      <c r="E3384" s="190" t="s">
        <v>6023</v>
      </c>
      <c r="F3384" s="191">
        <f t="shared" si="54"/>
        <v>258.53333333333336</v>
      </c>
    </row>
    <row r="3385" spans="2:6" ht="15" customHeight="1" x14ac:dyDescent="0.2">
      <c r="B3385" s="188" t="s">
        <v>5549</v>
      </c>
      <c r="C3385" s="189" t="s">
        <v>126</v>
      </c>
      <c r="D3385" s="189"/>
      <c r="E3385" s="190" t="s">
        <v>5291</v>
      </c>
      <c r="F3385" s="191">
        <f t="shared" si="54"/>
        <v>265.98333333333335</v>
      </c>
    </row>
    <row r="3386" spans="2:6" ht="15" customHeight="1" x14ac:dyDescent="0.2">
      <c r="B3386" s="188" t="s">
        <v>370</v>
      </c>
      <c r="C3386" s="189" t="s">
        <v>140</v>
      </c>
      <c r="D3386" s="189"/>
      <c r="E3386" s="190" t="s">
        <v>6024</v>
      </c>
      <c r="F3386" s="191">
        <f t="shared" si="54"/>
        <v>295.39999999999998</v>
      </c>
    </row>
    <row r="3387" spans="2:6" ht="15" customHeight="1" x14ac:dyDescent="0.2">
      <c r="B3387" s="188" t="s">
        <v>3930</v>
      </c>
      <c r="C3387" s="189" t="s">
        <v>126</v>
      </c>
      <c r="D3387" s="189"/>
      <c r="E3387" s="190" t="s">
        <v>3931</v>
      </c>
      <c r="F3387" s="191">
        <f t="shared" si="54"/>
        <v>231.73333333333332</v>
      </c>
    </row>
    <row r="3388" spans="2:6" ht="15" customHeight="1" x14ac:dyDescent="0.2">
      <c r="B3388" s="188" t="s">
        <v>6025</v>
      </c>
      <c r="C3388" s="189" t="s">
        <v>125</v>
      </c>
      <c r="D3388" s="189"/>
      <c r="E3388" s="190" t="s">
        <v>2013</v>
      </c>
      <c r="F3388" s="191">
        <f t="shared" si="54"/>
        <v>268.28333333333336</v>
      </c>
    </row>
    <row r="3389" spans="2:6" ht="15" customHeight="1" x14ac:dyDescent="0.2">
      <c r="B3389" s="188" t="s">
        <v>6026</v>
      </c>
      <c r="C3389" s="189" t="s">
        <v>126</v>
      </c>
      <c r="D3389" s="189"/>
      <c r="E3389" s="190" t="s">
        <v>6027</v>
      </c>
      <c r="F3389" s="191">
        <f t="shared" si="54"/>
        <v>292.73333333333335</v>
      </c>
    </row>
    <row r="3390" spans="2:6" ht="15" customHeight="1" x14ac:dyDescent="0.2">
      <c r="B3390" s="188" t="s">
        <v>333</v>
      </c>
      <c r="C3390" s="189" t="s">
        <v>125</v>
      </c>
      <c r="D3390" s="189"/>
      <c r="E3390" s="190" t="s">
        <v>6028</v>
      </c>
      <c r="F3390" s="191">
        <f t="shared" si="54"/>
        <v>224.46666666666667</v>
      </c>
    </row>
    <row r="3391" spans="2:6" ht="15" customHeight="1" x14ac:dyDescent="0.2">
      <c r="B3391" s="188" t="s">
        <v>6029</v>
      </c>
      <c r="C3391" s="189" t="s">
        <v>126</v>
      </c>
      <c r="D3391" s="189"/>
      <c r="E3391" s="190" t="s">
        <v>6030</v>
      </c>
      <c r="F3391" s="191">
        <f t="shared" si="54"/>
        <v>284.5</v>
      </c>
    </row>
    <row r="3392" spans="2:6" ht="15" customHeight="1" x14ac:dyDescent="0.2">
      <c r="B3392" s="188" t="s">
        <v>609</v>
      </c>
      <c r="C3392" s="189" t="s">
        <v>125</v>
      </c>
      <c r="D3392" s="189"/>
      <c r="E3392" s="190" t="s">
        <v>6031</v>
      </c>
      <c r="F3392" s="191">
        <f t="shared" si="54"/>
        <v>237.45</v>
      </c>
    </row>
    <row r="3393" spans="2:6" ht="15" customHeight="1" x14ac:dyDescent="0.2">
      <c r="B3393" s="188" t="s">
        <v>6032</v>
      </c>
      <c r="C3393" s="189" t="s">
        <v>126</v>
      </c>
      <c r="D3393" s="189"/>
      <c r="E3393" s="190" t="s">
        <v>1301</v>
      </c>
      <c r="F3393" s="191">
        <f t="shared" si="54"/>
        <v>242.15</v>
      </c>
    </row>
    <row r="3394" spans="2:6" ht="15" customHeight="1" x14ac:dyDescent="0.2">
      <c r="B3394" s="188" t="s">
        <v>6033</v>
      </c>
      <c r="C3394" s="189" t="s">
        <v>125</v>
      </c>
      <c r="D3394" s="189"/>
      <c r="E3394" s="190" t="s">
        <v>6034</v>
      </c>
      <c r="F3394" s="191">
        <f t="shared" si="54"/>
        <v>224.8</v>
      </c>
    </row>
    <row r="3395" spans="2:6" ht="15" customHeight="1" x14ac:dyDescent="0.2">
      <c r="B3395" s="188" t="s">
        <v>6035</v>
      </c>
      <c r="C3395" s="189" t="s">
        <v>135</v>
      </c>
      <c r="D3395" s="189"/>
      <c r="E3395" s="190" t="s">
        <v>6036</v>
      </c>
      <c r="F3395" s="191">
        <f t="shared" si="54"/>
        <v>311.63333333333333</v>
      </c>
    </row>
    <row r="3396" spans="2:6" ht="15" customHeight="1" x14ac:dyDescent="0.2">
      <c r="B3396" s="188" t="s">
        <v>4454</v>
      </c>
      <c r="C3396" s="189" t="s">
        <v>124</v>
      </c>
      <c r="D3396" s="189"/>
      <c r="E3396" s="190" t="s">
        <v>866</v>
      </c>
      <c r="F3396" s="191">
        <f t="shared" si="54"/>
        <v>231.6</v>
      </c>
    </row>
    <row r="3397" spans="2:6" ht="15" customHeight="1" x14ac:dyDescent="0.2">
      <c r="B3397" s="188" t="s">
        <v>6037</v>
      </c>
      <c r="C3397" s="189" t="s">
        <v>142</v>
      </c>
      <c r="D3397" s="189"/>
      <c r="E3397" s="190" t="s">
        <v>6038</v>
      </c>
      <c r="F3397" s="191">
        <f t="shared" si="54"/>
        <v>194.2</v>
      </c>
    </row>
    <row r="3398" spans="2:6" ht="15" customHeight="1" x14ac:dyDescent="0.2">
      <c r="B3398" s="188" t="s">
        <v>6039</v>
      </c>
      <c r="C3398" s="189" t="s">
        <v>128</v>
      </c>
      <c r="D3398" s="189"/>
      <c r="E3398" s="190" t="s">
        <v>6040</v>
      </c>
      <c r="F3398" s="191">
        <f t="shared" si="54"/>
        <v>281.36666666666667</v>
      </c>
    </row>
    <row r="3399" spans="2:6" ht="15" customHeight="1" x14ac:dyDescent="0.2">
      <c r="B3399" s="188" t="s">
        <v>235</v>
      </c>
      <c r="C3399" s="189" t="s">
        <v>125</v>
      </c>
      <c r="D3399" s="189"/>
      <c r="E3399" s="190" t="s">
        <v>6041</v>
      </c>
      <c r="F3399" s="191">
        <f t="shared" si="54"/>
        <v>326.85000000000002</v>
      </c>
    </row>
    <row r="3400" spans="2:6" ht="15" customHeight="1" x14ac:dyDescent="0.2">
      <c r="B3400" s="188" t="s">
        <v>6042</v>
      </c>
      <c r="C3400" s="189" t="s">
        <v>134</v>
      </c>
      <c r="D3400" s="189"/>
      <c r="E3400" s="190" t="s">
        <v>6043</v>
      </c>
      <c r="F3400" s="191">
        <f t="shared" si="54"/>
        <v>259.25</v>
      </c>
    </row>
    <row r="3401" spans="2:6" ht="15" customHeight="1" x14ac:dyDescent="0.2">
      <c r="B3401" s="188" t="s">
        <v>6044</v>
      </c>
      <c r="C3401" s="189" t="s">
        <v>126</v>
      </c>
      <c r="D3401" s="189"/>
      <c r="E3401" s="190" t="s">
        <v>6045</v>
      </c>
      <c r="F3401" s="191">
        <f t="shared" si="54"/>
        <v>186.76666666666668</v>
      </c>
    </row>
    <row r="3402" spans="2:6" ht="15" customHeight="1" x14ac:dyDescent="0.2">
      <c r="B3402" s="188" t="s">
        <v>6046</v>
      </c>
      <c r="C3402" s="189" t="s">
        <v>142</v>
      </c>
      <c r="D3402" s="189"/>
      <c r="E3402" s="190" t="s">
        <v>6047</v>
      </c>
      <c r="F3402" s="191">
        <f t="shared" si="54"/>
        <v>229.65</v>
      </c>
    </row>
    <row r="3403" spans="2:6" ht="15" customHeight="1" x14ac:dyDescent="0.2">
      <c r="B3403" s="188" t="s">
        <v>6048</v>
      </c>
      <c r="C3403" s="189" t="s">
        <v>124</v>
      </c>
      <c r="D3403" s="189"/>
      <c r="E3403" s="190" t="s">
        <v>6049</v>
      </c>
      <c r="F3403" s="191">
        <f t="shared" ref="F3403:F3466" si="55">HOUR(E3403)*60+MINUTE(E3403)+SECOND(E3403)/60</f>
        <v>240.21666666666667</v>
      </c>
    </row>
    <row r="3404" spans="2:6" ht="15" customHeight="1" x14ac:dyDescent="0.2">
      <c r="B3404" s="188" t="s">
        <v>6050</v>
      </c>
      <c r="C3404" s="189" t="s">
        <v>125</v>
      </c>
      <c r="D3404" s="189"/>
      <c r="E3404" s="190" t="s">
        <v>6051</v>
      </c>
      <c r="F3404" s="191">
        <f t="shared" si="55"/>
        <v>271.35000000000002</v>
      </c>
    </row>
    <row r="3405" spans="2:6" ht="15" customHeight="1" x14ac:dyDescent="0.2">
      <c r="B3405" s="188" t="s">
        <v>6052</v>
      </c>
      <c r="C3405" s="189" t="s">
        <v>130</v>
      </c>
      <c r="D3405" s="189"/>
      <c r="E3405" s="190" t="s">
        <v>6053</v>
      </c>
      <c r="F3405" s="191">
        <f t="shared" si="55"/>
        <v>254.75</v>
      </c>
    </row>
    <row r="3406" spans="2:6" ht="15" customHeight="1" x14ac:dyDescent="0.2">
      <c r="B3406" s="188" t="s">
        <v>170</v>
      </c>
      <c r="C3406" s="189" t="s">
        <v>125</v>
      </c>
      <c r="D3406" s="189"/>
      <c r="E3406" s="190" t="s">
        <v>1605</v>
      </c>
      <c r="F3406" s="191">
        <f t="shared" si="55"/>
        <v>207.5</v>
      </c>
    </row>
    <row r="3407" spans="2:6" ht="15" customHeight="1" x14ac:dyDescent="0.2">
      <c r="B3407" s="188" t="s">
        <v>573</v>
      </c>
      <c r="C3407" s="189" t="s">
        <v>125</v>
      </c>
      <c r="D3407" s="189"/>
      <c r="E3407" s="190" t="s">
        <v>6054</v>
      </c>
      <c r="F3407" s="191">
        <f t="shared" si="55"/>
        <v>256.71666666666664</v>
      </c>
    </row>
    <row r="3408" spans="2:6" ht="15" customHeight="1" x14ac:dyDescent="0.2">
      <c r="B3408" s="188" t="s">
        <v>6055</v>
      </c>
      <c r="C3408" s="189" t="s">
        <v>126</v>
      </c>
      <c r="D3408" s="189"/>
      <c r="E3408" s="190" t="s">
        <v>6056</v>
      </c>
      <c r="F3408" s="191">
        <f t="shared" si="55"/>
        <v>313.06666666666666</v>
      </c>
    </row>
    <row r="3409" spans="2:6" ht="15" customHeight="1" x14ac:dyDescent="0.2">
      <c r="B3409" s="188" t="s">
        <v>423</v>
      </c>
      <c r="C3409" s="189" t="s">
        <v>142</v>
      </c>
      <c r="D3409" s="189"/>
      <c r="E3409" s="190" t="s">
        <v>6057</v>
      </c>
      <c r="F3409" s="191">
        <f t="shared" si="55"/>
        <v>218.33333333333334</v>
      </c>
    </row>
    <row r="3410" spans="2:6" ht="15" customHeight="1" x14ac:dyDescent="0.2">
      <c r="B3410" s="188" t="s">
        <v>5451</v>
      </c>
      <c r="C3410" s="189" t="s">
        <v>130</v>
      </c>
      <c r="D3410" s="189"/>
      <c r="E3410" s="190" t="s">
        <v>1530</v>
      </c>
      <c r="F3410" s="191">
        <f t="shared" si="55"/>
        <v>231.55</v>
      </c>
    </row>
    <row r="3411" spans="2:6" ht="15" customHeight="1" x14ac:dyDescent="0.2">
      <c r="B3411" s="188" t="s">
        <v>6058</v>
      </c>
      <c r="C3411" s="189" t="s">
        <v>125</v>
      </c>
      <c r="D3411" s="189"/>
      <c r="E3411" s="190" t="s">
        <v>3011</v>
      </c>
      <c r="F3411" s="191">
        <f t="shared" si="55"/>
        <v>241.93333333333334</v>
      </c>
    </row>
    <row r="3412" spans="2:6" ht="15" customHeight="1" x14ac:dyDescent="0.2">
      <c r="B3412" s="188" t="s">
        <v>350</v>
      </c>
      <c r="C3412" s="189" t="s">
        <v>142</v>
      </c>
      <c r="D3412" s="189"/>
      <c r="E3412" s="190" t="s">
        <v>6059</v>
      </c>
      <c r="F3412" s="191">
        <f t="shared" si="55"/>
        <v>311.08333333333331</v>
      </c>
    </row>
    <row r="3413" spans="2:6" ht="15" customHeight="1" x14ac:dyDescent="0.2">
      <c r="B3413" s="188" t="s">
        <v>6060</v>
      </c>
      <c r="C3413" s="189" t="s">
        <v>126</v>
      </c>
      <c r="D3413" s="189"/>
      <c r="E3413" s="190" t="s">
        <v>6061</v>
      </c>
      <c r="F3413" s="191">
        <f t="shared" si="55"/>
        <v>283.96666666666664</v>
      </c>
    </row>
    <row r="3414" spans="2:6" ht="15" customHeight="1" x14ac:dyDescent="0.2">
      <c r="B3414" s="188" t="s">
        <v>6062</v>
      </c>
      <c r="C3414" s="189" t="s">
        <v>142</v>
      </c>
      <c r="D3414" s="189"/>
      <c r="E3414" s="190" t="s">
        <v>1689</v>
      </c>
      <c r="F3414" s="191">
        <f t="shared" si="55"/>
        <v>285.36666666666667</v>
      </c>
    </row>
    <row r="3415" spans="2:6" ht="15" customHeight="1" x14ac:dyDescent="0.2">
      <c r="B3415" s="188" t="s">
        <v>6063</v>
      </c>
      <c r="C3415" s="189" t="s">
        <v>128</v>
      </c>
      <c r="D3415" s="189"/>
      <c r="E3415" s="190" t="s">
        <v>6064</v>
      </c>
      <c r="F3415" s="191">
        <f t="shared" si="55"/>
        <v>226.48333333333332</v>
      </c>
    </row>
    <row r="3416" spans="2:6" ht="15" customHeight="1" x14ac:dyDescent="0.2">
      <c r="B3416" s="188" t="s">
        <v>5468</v>
      </c>
      <c r="C3416" s="189" t="s">
        <v>128</v>
      </c>
      <c r="D3416" s="189"/>
      <c r="E3416" s="190" t="s">
        <v>5469</v>
      </c>
      <c r="F3416" s="191">
        <f t="shared" si="55"/>
        <v>231.95</v>
      </c>
    </row>
    <row r="3417" spans="2:6" ht="15" customHeight="1" x14ac:dyDescent="0.2">
      <c r="B3417" s="188" t="s">
        <v>6065</v>
      </c>
      <c r="C3417" s="189" t="s">
        <v>142</v>
      </c>
      <c r="D3417" s="189"/>
      <c r="E3417" s="190" t="s">
        <v>6066</v>
      </c>
      <c r="F3417" s="191">
        <f t="shared" si="55"/>
        <v>333.36666666666667</v>
      </c>
    </row>
    <row r="3418" spans="2:6" ht="15" customHeight="1" x14ac:dyDescent="0.2">
      <c r="B3418" s="188" t="s">
        <v>1309</v>
      </c>
      <c r="C3418" s="189" t="s">
        <v>126</v>
      </c>
      <c r="D3418" s="189"/>
      <c r="E3418" s="190" t="s">
        <v>1310</v>
      </c>
      <c r="F3418" s="191">
        <f t="shared" si="55"/>
        <v>202.4</v>
      </c>
    </row>
    <row r="3419" spans="2:6" ht="15" customHeight="1" x14ac:dyDescent="0.2">
      <c r="B3419" s="188" t="s">
        <v>6067</v>
      </c>
      <c r="C3419" s="189" t="s">
        <v>142</v>
      </c>
      <c r="D3419" s="189"/>
      <c r="E3419" s="190" t="s">
        <v>6068</v>
      </c>
      <c r="F3419" s="191">
        <f t="shared" si="55"/>
        <v>299.46666666666664</v>
      </c>
    </row>
    <row r="3420" spans="2:6" ht="15" customHeight="1" x14ac:dyDescent="0.2">
      <c r="B3420" s="188" t="s">
        <v>4993</v>
      </c>
      <c r="C3420" s="189" t="s">
        <v>130</v>
      </c>
      <c r="D3420" s="189"/>
      <c r="E3420" s="190" t="s">
        <v>4994</v>
      </c>
      <c r="F3420" s="191">
        <f t="shared" si="55"/>
        <v>243.11666666666667</v>
      </c>
    </row>
    <row r="3421" spans="2:6" ht="15" customHeight="1" x14ac:dyDescent="0.2">
      <c r="B3421" s="188" t="s">
        <v>6069</v>
      </c>
      <c r="C3421" s="189" t="s">
        <v>134</v>
      </c>
      <c r="D3421" s="189"/>
      <c r="E3421" s="190" t="s">
        <v>6070</v>
      </c>
      <c r="F3421" s="191">
        <f t="shared" si="55"/>
        <v>291.2</v>
      </c>
    </row>
    <row r="3422" spans="2:6" ht="15" customHeight="1" x14ac:dyDescent="0.2">
      <c r="B3422" s="188" t="s">
        <v>6071</v>
      </c>
      <c r="C3422" s="189" t="s">
        <v>249</v>
      </c>
      <c r="D3422" s="189"/>
      <c r="E3422" s="190" t="s">
        <v>6072</v>
      </c>
      <c r="F3422" s="191">
        <f t="shared" si="55"/>
        <v>235.25</v>
      </c>
    </row>
    <row r="3423" spans="2:6" ht="15" customHeight="1" x14ac:dyDescent="0.2">
      <c r="B3423" s="188" t="s">
        <v>6073</v>
      </c>
      <c r="C3423" s="189" t="s">
        <v>125</v>
      </c>
      <c r="D3423" s="189"/>
      <c r="E3423" s="190" t="s">
        <v>1032</v>
      </c>
      <c r="F3423" s="191">
        <f t="shared" si="55"/>
        <v>254.08333333333334</v>
      </c>
    </row>
    <row r="3424" spans="2:6" ht="15" customHeight="1" x14ac:dyDescent="0.2">
      <c r="B3424" s="188" t="s">
        <v>6074</v>
      </c>
      <c r="C3424" s="189" t="s">
        <v>124</v>
      </c>
      <c r="D3424" s="189"/>
      <c r="E3424" s="190" t="s">
        <v>6075</v>
      </c>
      <c r="F3424" s="191">
        <f t="shared" si="55"/>
        <v>291.76666666666665</v>
      </c>
    </row>
    <row r="3425" spans="2:6" ht="15" customHeight="1" x14ac:dyDescent="0.2">
      <c r="B3425" s="188" t="s">
        <v>6076</v>
      </c>
      <c r="C3425" s="189" t="s">
        <v>124</v>
      </c>
      <c r="D3425" s="189"/>
      <c r="E3425" s="190" t="s">
        <v>6077</v>
      </c>
      <c r="F3425" s="191">
        <f t="shared" si="55"/>
        <v>324.14999999999998</v>
      </c>
    </row>
    <row r="3426" spans="2:6" ht="15" customHeight="1" x14ac:dyDescent="0.2">
      <c r="B3426" s="188" t="s">
        <v>4637</v>
      </c>
      <c r="C3426" s="189" t="s">
        <v>125</v>
      </c>
      <c r="D3426" s="189"/>
      <c r="E3426" s="190" t="s">
        <v>4638</v>
      </c>
      <c r="F3426" s="191">
        <f t="shared" si="55"/>
        <v>203.16666666666666</v>
      </c>
    </row>
    <row r="3427" spans="2:6" ht="15" customHeight="1" x14ac:dyDescent="0.2">
      <c r="B3427" s="188" t="s">
        <v>642</v>
      </c>
      <c r="C3427" s="189" t="s">
        <v>125</v>
      </c>
      <c r="D3427" s="189"/>
      <c r="E3427" s="190" t="s">
        <v>6078</v>
      </c>
      <c r="F3427" s="191">
        <f t="shared" si="55"/>
        <v>263.73333333333335</v>
      </c>
    </row>
    <row r="3428" spans="2:6" ht="15" customHeight="1" x14ac:dyDescent="0.2">
      <c r="B3428" s="188" t="s">
        <v>465</v>
      </c>
      <c r="C3428" s="189" t="s">
        <v>124</v>
      </c>
      <c r="D3428" s="189"/>
      <c r="E3428" s="190" t="s">
        <v>2404</v>
      </c>
      <c r="F3428" s="191">
        <f t="shared" si="55"/>
        <v>243.08333333333334</v>
      </c>
    </row>
    <row r="3429" spans="2:6" ht="15" customHeight="1" x14ac:dyDescent="0.2">
      <c r="B3429" s="188" t="s">
        <v>344</v>
      </c>
      <c r="C3429" s="189" t="s">
        <v>142</v>
      </c>
      <c r="D3429" s="189"/>
      <c r="E3429" s="190" t="s">
        <v>2154</v>
      </c>
      <c r="F3429" s="191">
        <f t="shared" si="55"/>
        <v>241.9</v>
      </c>
    </row>
    <row r="3430" spans="2:6" ht="15" customHeight="1" x14ac:dyDescent="0.2">
      <c r="B3430" s="188" t="s">
        <v>6079</v>
      </c>
      <c r="C3430" s="189" t="s">
        <v>136</v>
      </c>
      <c r="D3430" s="189"/>
      <c r="E3430" s="190" t="s">
        <v>1846</v>
      </c>
      <c r="F3430" s="191">
        <f t="shared" si="55"/>
        <v>239</v>
      </c>
    </row>
    <row r="3431" spans="2:6" ht="15" customHeight="1" x14ac:dyDescent="0.2">
      <c r="B3431" s="188" t="s">
        <v>6080</v>
      </c>
      <c r="C3431" s="189" t="s">
        <v>130</v>
      </c>
      <c r="D3431" s="189"/>
      <c r="E3431" s="190" t="s">
        <v>6081</v>
      </c>
      <c r="F3431" s="191">
        <f t="shared" si="55"/>
        <v>179.58333333333334</v>
      </c>
    </row>
    <row r="3432" spans="2:6" ht="15" customHeight="1" x14ac:dyDescent="0.2">
      <c r="B3432" s="188" t="s">
        <v>6082</v>
      </c>
      <c r="C3432" s="189" t="s">
        <v>124</v>
      </c>
      <c r="D3432" s="189"/>
      <c r="E3432" s="190" t="s">
        <v>6083</v>
      </c>
      <c r="F3432" s="191">
        <f t="shared" si="55"/>
        <v>288.18333333333334</v>
      </c>
    </row>
    <row r="3433" spans="2:6" ht="15" customHeight="1" x14ac:dyDescent="0.2">
      <c r="B3433" s="188" t="s">
        <v>6084</v>
      </c>
      <c r="C3433" s="189" t="s">
        <v>135</v>
      </c>
      <c r="D3433" s="189"/>
      <c r="E3433" s="190" t="s">
        <v>6085</v>
      </c>
      <c r="F3433" s="191">
        <f t="shared" si="55"/>
        <v>227.61666666666667</v>
      </c>
    </row>
    <row r="3434" spans="2:6" ht="15" customHeight="1" x14ac:dyDescent="0.2">
      <c r="B3434" s="188" t="s">
        <v>6086</v>
      </c>
      <c r="C3434" s="189" t="s">
        <v>128</v>
      </c>
      <c r="D3434" s="189"/>
      <c r="E3434" s="190" t="s">
        <v>6087</v>
      </c>
      <c r="F3434" s="191">
        <f t="shared" si="55"/>
        <v>229.26666666666668</v>
      </c>
    </row>
    <row r="3435" spans="2:6" ht="15" customHeight="1" x14ac:dyDescent="0.2">
      <c r="B3435" s="188" t="s">
        <v>6088</v>
      </c>
      <c r="C3435" s="189" t="s">
        <v>124</v>
      </c>
      <c r="D3435" s="189"/>
      <c r="E3435" s="190" t="s">
        <v>2220</v>
      </c>
      <c r="F3435" s="191">
        <f t="shared" si="55"/>
        <v>332.83333333333331</v>
      </c>
    </row>
    <row r="3436" spans="2:6" ht="15" customHeight="1" x14ac:dyDescent="0.2">
      <c r="B3436" s="188" t="s">
        <v>613</v>
      </c>
      <c r="C3436" s="189" t="s">
        <v>136</v>
      </c>
      <c r="D3436" s="189"/>
      <c r="E3436" s="190" t="s">
        <v>6089</v>
      </c>
      <c r="F3436" s="191">
        <f t="shared" si="55"/>
        <v>288.51666666666665</v>
      </c>
    </row>
    <row r="3437" spans="2:6" ht="15" customHeight="1" x14ac:dyDescent="0.2">
      <c r="B3437" s="188" t="s">
        <v>6090</v>
      </c>
      <c r="C3437" s="189" t="s">
        <v>124</v>
      </c>
      <c r="D3437" s="189"/>
      <c r="E3437" s="190" t="s">
        <v>1988</v>
      </c>
      <c r="F3437" s="191">
        <f t="shared" si="55"/>
        <v>255.76666666666668</v>
      </c>
    </row>
    <row r="3438" spans="2:6" ht="15" customHeight="1" x14ac:dyDescent="0.2">
      <c r="B3438" s="188" t="s">
        <v>6091</v>
      </c>
      <c r="C3438" s="189" t="s">
        <v>124</v>
      </c>
      <c r="D3438" s="189"/>
      <c r="E3438" s="190" t="s">
        <v>6092</v>
      </c>
      <c r="F3438" s="191">
        <f t="shared" si="55"/>
        <v>210.75</v>
      </c>
    </row>
    <row r="3439" spans="2:6" ht="15" customHeight="1" x14ac:dyDescent="0.2">
      <c r="B3439" s="188" t="s">
        <v>6093</v>
      </c>
      <c r="C3439" s="189" t="s">
        <v>128</v>
      </c>
      <c r="D3439" s="189"/>
      <c r="E3439" s="190" t="s">
        <v>4158</v>
      </c>
      <c r="F3439" s="191">
        <f t="shared" si="55"/>
        <v>256.8</v>
      </c>
    </row>
    <row r="3440" spans="2:6" ht="15" customHeight="1" x14ac:dyDescent="0.2">
      <c r="B3440" s="188" t="s">
        <v>4656</v>
      </c>
      <c r="C3440" s="189" t="s">
        <v>128</v>
      </c>
      <c r="D3440" s="189"/>
      <c r="E3440" s="190" t="s">
        <v>3256</v>
      </c>
      <c r="F3440" s="191">
        <f t="shared" si="55"/>
        <v>190.38333333333333</v>
      </c>
    </row>
    <row r="3441" spans="2:6" ht="15" customHeight="1" x14ac:dyDescent="0.2">
      <c r="B3441" s="188" t="s">
        <v>6094</v>
      </c>
      <c r="C3441" s="189" t="s">
        <v>130</v>
      </c>
      <c r="D3441" s="189"/>
      <c r="E3441" s="190" t="s">
        <v>6095</v>
      </c>
      <c r="F3441" s="191">
        <f t="shared" si="55"/>
        <v>236.81666666666666</v>
      </c>
    </row>
    <row r="3442" spans="2:6" ht="15" customHeight="1" x14ac:dyDescent="0.2">
      <c r="B3442" s="188" t="s">
        <v>614</v>
      </c>
      <c r="C3442" s="189" t="s">
        <v>124</v>
      </c>
      <c r="D3442" s="189"/>
      <c r="E3442" s="190" t="s">
        <v>6096</v>
      </c>
      <c r="F3442" s="191">
        <f t="shared" si="55"/>
        <v>208.28333333333333</v>
      </c>
    </row>
    <row r="3443" spans="2:6" ht="15" customHeight="1" x14ac:dyDescent="0.2">
      <c r="B3443" s="188" t="s">
        <v>416</v>
      </c>
      <c r="C3443" s="189" t="s">
        <v>142</v>
      </c>
      <c r="D3443" s="189"/>
      <c r="E3443" s="190" t="s">
        <v>6097</v>
      </c>
      <c r="F3443" s="191">
        <f t="shared" si="55"/>
        <v>239.71666666666667</v>
      </c>
    </row>
    <row r="3444" spans="2:6" ht="15" customHeight="1" x14ac:dyDescent="0.2">
      <c r="B3444" s="188" t="s">
        <v>6098</v>
      </c>
      <c r="C3444" s="189" t="s">
        <v>124</v>
      </c>
      <c r="D3444" s="189"/>
      <c r="E3444" s="190" t="s">
        <v>6099</v>
      </c>
      <c r="F3444" s="191">
        <f t="shared" si="55"/>
        <v>251.8</v>
      </c>
    </row>
    <row r="3445" spans="2:6" ht="15" customHeight="1" x14ac:dyDescent="0.2">
      <c r="B3445" s="188" t="s">
        <v>4011</v>
      </c>
      <c r="C3445" s="189" t="s">
        <v>125</v>
      </c>
      <c r="D3445" s="189"/>
      <c r="E3445" s="190" t="s">
        <v>2529</v>
      </c>
      <c r="F3445" s="191">
        <f t="shared" si="55"/>
        <v>203.35</v>
      </c>
    </row>
    <row r="3446" spans="2:6" ht="15" customHeight="1" x14ac:dyDescent="0.2">
      <c r="B3446" s="188" t="s">
        <v>6100</v>
      </c>
      <c r="C3446" s="189" t="s">
        <v>130</v>
      </c>
      <c r="D3446" s="189"/>
      <c r="E3446" s="190" t="s">
        <v>6101</v>
      </c>
      <c r="F3446" s="191">
        <f t="shared" si="55"/>
        <v>250.75</v>
      </c>
    </row>
    <row r="3447" spans="2:6" ht="15" customHeight="1" x14ac:dyDescent="0.2">
      <c r="B3447" s="188" t="s">
        <v>6102</v>
      </c>
      <c r="C3447" s="189" t="s">
        <v>135</v>
      </c>
      <c r="D3447" s="189"/>
      <c r="E3447" s="190" t="s">
        <v>6103</v>
      </c>
      <c r="F3447" s="191">
        <f t="shared" si="55"/>
        <v>340.23333333333335</v>
      </c>
    </row>
    <row r="3448" spans="2:6" ht="15" customHeight="1" x14ac:dyDescent="0.2">
      <c r="B3448" s="188" t="s">
        <v>453</v>
      </c>
      <c r="C3448" s="189" t="s">
        <v>124</v>
      </c>
      <c r="D3448" s="189"/>
      <c r="E3448" s="190" t="s">
        <v>6104</v>
      </c>
      <c r="F3448" s="191">
        <f t="shared" si="55"/>
        <v>281.61666666666667</v>
      </c>
    </row>
    <row r="3449" spans="2:6" ht="15" customHeight="1" x14ac:dyDescent="0.2">
      <c r="B3449" s="188" t="s">
        <v>6105</v>
      </c>
      <c r="C3449" s="189" t="s">
        <v>142</v>
      </c>
      <c r="D3449" s="189"/>
      <c r="E3449" s="190" t="s">
        <v>6106</v>
      </c>
      <c r="F3449" s="191">
        <f t="shared" si="55"/>
        <v>175.5</v>
      </c>
    </row>
    <row r="3450" spans="2:6" ht="15" customHeight="1" x14ac:dyDescent="0.2">
      <c r="B3450" s="188" t="s">
        <v>6107</v>
      </c>
      <c r="C3450" s="189" t="s">
        <v>124</v>
      </c>
      <c r="D3450" s="189"/>
      <c r="E3450" s="190" t="s">
        <v>6108</v>
      </c>
      <c r="F3450" s="191">
        <f t="shared" si="55"/>
        <v>267.96666666666664</v>
      </c>
    </row>
    <row r="3451" spans="2:6" ht="15" customHeight="1" x14ac:dyDescent="0.2">
      <c r="B3451" s="188" t="s">
        <v>6109</v>
      </c>
      <c r="C3451" s="189" t="s">
        <v>134</v>
      </c>
      <c r="D3451" s="189"/>
      <c r="E3451" s="190" t="s">
        <v>6110</v>
      </c>
      <c r="F3451" s="191">
        <f t="shared" si="55"/>
        <v>263.06666666666666</v>
      </c>
    </row>
    <row r="3452" spans="2:6" ht="15" customHeight="1" x14ac:dyDescent="0.2">
      <c r="B3452" s="188" t="s">
        <v>6111</v>
      </c>
      <c r="C3452" s="189" t="s">
        <v>130</v>
      </c>
      <c r="D3452" s="189"/>
      <c r="E3452" s="190" t="s">
        <v>6112</v>
      </c>
      <c r="F3452" s="191">
        <f t="shared" si="55"/>
        <v>224.61666666666667</v>
      </c>
    </row>
    <row r="3453" spans="2:6" ht="15" customHeight="1" x14ac:dyDescent="0.2">
      <c r="B3453" s="188" t="s">
        <v>4025</v>
      </c>
      <c r="C3453" s="189" t="s">
        <v>142</v>
      </c>
      <c r="D3453" s="189"/>
      <c r="E3453" s="190" t="s">
        <v>4026</v>
      </c>
      <c r="F3453" s="191">
        <f t="shared" si="55"/>
        <v>189.45</v>
      </c>
    </row>
    <row r="3454" spans="2:6" ht="15" customHeight="1" x14ac:dyDescent="0.2">
      <c r="B3454" s="188" t="s">
        <v>6113</v>
      </c>
      <c r="C3454" s="189" t="s">
        <v>142</v>
      </c>
      <c r="D3454" s="189"/>
      <c r="E3454" s="190" t="s">
        <v>6114</v>
      </c>
      <c r="F3454" s="191">
        <f t="shared" si="55"/>
        <v>246.88333333333333</v>
      </c>
    </row>
    <row r="3455" spans="2:6" ht="15" customHeight="1" x14ac:dyDescent="0.2">
      <c r="B3455" s="188" t="s">
        <v>6115</v>
      </c>
      <c r="C3455" s="189" t="s">
        <v>134</v>
      </c>
      <c r="D3455" s="189"/>
      <c r="E3455" s="190" t="s">
        <v>5783</v>
      </c>
      <c r="F3455" s="191">
        <f t="shared" si="55"/>
        <v>309.38333333333333</v>
      </c>
    </row>
    <row r="3456" spans="2:6" ht="15" customHeight="1" x14ac:dyDescent="0.2">
      <c r="B3456" s="188" t="s">
        <v>6116</v>
      </c>
      <c r="C3456" s="189" t="s">
        <v>125</v>
      </c>
      <c r="D3456" s="189"/>
      <c r="E3456" s="190" t="s">
        <v>6117</v>
      </c>
      <c r="F3456" s="191">
        <f t="shared" si="55"/>
        <v>312.64999999999998</v>
      </c>
    </row>
    <row r="3457" spans="2:6" ht="15" customHeight="1" x14ac:dyDescent="0.2">
      <c r="B3457" s="188" t="s">
        <v>6118</v>
      </c>
      <c r="C3457" s="189" t="s">
        <v>134</v>
      </c>
      <c r="D3457" s="189"/>
      <c r="E3457" s="190" t="s">
        <v>2191</v>
      </c>
      <c r="F3457" s="191">
        <f t="shared" si="55"/>
        <v>240.6</v>
      </c>
    </row>
    <row r="3458" spans="2:6" ht="15" customHeight="1" x14ac:dyDescent="0.2">
      <c r="B3458" s="188" t="s">
        <v>527</v>
      </c>
      <c r="C3458" s="189" t="s">
        <v>124</v>
      </c>
      <c r="D3458" s="189"/>
      <c r="E3458" s="190" t="s">
        <v>6119</v>
      </c>
      <c r="F3458" s="191">
        <f t="shared" si="55"/>
        <v>185.66666666666666</v>
      </c>
    </row>
    <row r="3459" spans="2:6" ht="15" customHeight="1" x14ac:dyDescent="0.2">
      <c r="B3459" s="188" t="s">
        <v>6120</v>
      </c>
      <c r="C3459" s="189" t="s">
        <v>142</v>
      </c>
      <c r="D3459" s="189"/>
      <c r="E3459" s="190" t="s">
        <v>6121</v>
      </c>
      <c r="F3459" s="191">
        <f t="shared" si="55"/>
        <v>226.6</v>
      </c>
    </row>
    <row r="3460" spans="2:6" ht="15" customHeight="1" x14ac:dyDescent="0.2">
      <c r="B3460" s="188" t="s">
        <v>6122</v>
      </c>
      <c r="C3460" s="189" t="s">
        <v>130</v>
      </c>
      <c r="D3460" s="189"/>
      <c r="E3460" s="190" t="s">
        <v>6123</v>
      </c>
      <c r="F3460" s="191">
        <f t="shared" si="55"/>
        <v>209.7</v>
      </c>
    </row>
    <row r="3461" spans="2:6" ht="15" customHeight="1" x14ac:dyDescent="0.2">
      <c r="B3461" s="188" t="s">
        <v>297</v>
      </c>
      <c r="C3461" s="189" t="s">
        <v>125</v>
      </c>
      <c r="D3461" s="189"/>
      <c r="E3461" s="190" t="s">
        <v>773</v>
      </c>
      <c r="F3461" s="191">
        <f t="shared" si="55"/>
        <v>189.26666666666668</v>
      </c>
    </row>
    <row r="3462" spans="2:6" ht="15" customHeight="1" x14ac:dyDescent="0.2">
      <c r="B3462" s="188" t="s">
        <v>6124</v>
      </c>
      <c r="C3462" s="189" t="s">
        <v>142</v>
      </c>
      <c r="D3462" s="189"/>
      <c r="E3462" s="190" t="s">
        <v>6125</v>
      </c>
      <c r="F3462" s="191">
        <f t="shared" si="55"/>
        <v>276.95</v>
      </c>
    </row>
    <row r="3463" spans="2:6" ht="15" customHeight="1" x14ac:dyDescent="0.2">
      <c r="B3463" s="188" t="s">
        <v>6126</v>
      </c>
      <c r="C3463" s="189" t="s">
        <v>134</v>
      </c>
      <c r="D3463" s="189"/>
      <c r="E3463" s="190" t="s">
        <v>5970</v>
      </c>
      <c r="F3463" s="191">
        <f t="shared" si="55"/>
        <v>291.58333333333331</v>
      </c>
    </row>
    <row r="3464" spans="2:6" ht="15" customHeight="1" x14ac:dyDescent="0.2">
      <c r="B3464" s="188" t="s">
        <v>354</v>
      </c>
      <c r="C3464" s="189" t="s">
        <v>130</v>
      </c>
      <c r="D3464" s="189"/>
      <c r="E3464" s="190" t="s">
        <v>6127</v>
      </c>
      <c r="F3464" s="191">
        <f t="shared" si="55"/>
        <v>234.66666666666666</v>
      </c>
    </row>
    <row r="3465" spans="2:6" ht="15" customHeight="1" x14ac:dyDescent="0.2">
      <c r="B3465" s="188" t="s">
        <v>6128</v>
      </c>
      <c r="C3465" s="189" t="s">
        <v>125</v>
      </c>
      <c r="D3465" s="189"/>
      <c r="E3465" s="190" t="s">
        <v>6129</v>
      </c>
      <c r="F3465" s="191">
        <f t="shared" si="55"/>
        <v>250.86666666666667</v>
      </c>
    </row>
    <row r="3466" spans="2:6" ht="15" customHeight="1" x14ac:dyDescent="0.2">
      <c r="B3466" s="188" t="s">
        <v>6130</v>
      </c>
      <c r="C3466" s="189" t="s">
        <v>136</v>
      </c>
      <c r="D3466" s="189"/>
      <c r="E3466" s="190" t="s">
        <v>6131</v>
      </c>
      <c r="F3466" s="191">
        <f t="shared" si="55"/>
        <v>251.63333333333333</v>
      </c>
    </row>
    <row r="3467" spans="2:6" ht="15" customHeight="1" x14ac:dyDescent="0.2">
      <c r="B3467" s="188" t="s">
        <v>6132</v>
      </c>
      <c r="C3467" s="189" t="s">
        <v>134</v>
      </c>
      <c r="D3467" s="189"/>
      <c r="E3467" s="190" t="s">
        <v>850</v>
      </c>
      <c r="F3467" s="191">
        <f t="shared" ref="F3467:F3530" si="56">HOUR(E3467)*60+MINUTE(E3467)+SECOND(E3467)/60</f>
        <v>261.85000000000002</v>
      </c>
    </row>
    <row r="3468" spans="2:6" ht="15" customHeight="1" x14ac:dyDescent="0.2">
      <c r="B3468" s="188" t="s">
        <v>6133</v>
      </c>
      <c r="C3468" s="189" t="s">
        <v>130</v>
      </c>
      <c r="D3468" s="189"/>
      <c r="E3468" s="190" t="s">
        <v>6134</v>
      </c>
      <c r="F3468" s="191">
        <f t="shared" si="56"/>
        <v>184.43333333333334</v>
      </c>
    </row>
    <row r="3469" spans="2:6" ht="15" customHeight="1" x14ac:dyDescent="0.2">
      <c r="B3469" s="188" t="s">
        <v>6135</v>
      </c>
      <c r="C3469" s="189" t="s">
        <v>124</v>
      </c>
      <c r="D3469" s="189"/>
      <c r="E3469" s="190" t="s">
        <v>1012</v>
      </c>
      <c r="F3469" s="191">
        <f t="shared" si="56"/>
        <v>245.93333333333334</v>
      </c>
    </row>
    <row r="3470" spans="2:6" ht="15" customHeight="1" x14ac:dyDescent="0.2">
      <c r="B3470" s="188" t="s">
        <v>6136</v>
      </c>
      <c r="C3470" s="189" t="s">
        <v>125</v>
      </c>
      <c r="D3470" s="189"/>
      <c r="E3470" s="190" t="s">
        <v>6137</v>
      </c>
      <c r="F3470" s="191">
        <f t="shared" si="56"/>
        <v>197.58333333333334</v>
      </c>
    </row>
    <row r="3471" spans="2:6" ht="15" customHeight="1" x14ac:dyDescent="0.2">
      <c r="B3471" s="188" t="s">
        <v>405</v>
      </c>
      <c r="C3471" s="189" t="s">
        <v>142</v>
      </c>
      <c r="D3471" s="189"/>
      <c r="E3471" s="190" t="s">
        <v>6138</v>
      </c>
      <c r="F3471" s="191">
        <f t="shared" si="56"/>
        <v>310.23333333333335</v>
      </c>
    </row>
    <row r="3472" spans="2:6" ht="15" customHeight="1" x14ac:dyDescent="0.2">
      <c r="B3472" s="188" t="s">
        <v>6139</v>
      </c>
      <c r="C3472" s="189" t="s">
        <v>134</v>
      </c>
      <c r="D3472" s="189"/>
      <c r="E3472" s="190" t="s">
        <v>6140</v>
      </c>
      <c r="F3472" s="191">
        <f t="shared" si="56"/>
        <v>265.21666666666664</v>
      </c>
    </row>
    <row r="3473" spans="2:6" ht="15" customHeight="1" x14ac:dyDescent="0.2">
      <c r="B3473" s="188" t="s">
        <v>330</v>
      </c>
      <c r="C3473" s="189" t="s">
        <v>125</v>
      </c>
      <c r="D3473" s="189"/>
      <c r="E3473" s="190" t="s">
        <v>6141</v>
      </c>
      <c r="F3473" s="191">
        <f t="shared" si="56"/>
        <v>263.8</v>
      </c>
    </row>
    <row r="3474" spans="2:6" ht="15" customHeight="1" x14ac:dyDescent="0.2">
      <c r="B3474" s="188" t="s">
        <v>6142</v>
      </c>
      <c r="C3474" s="189" t="s">
        <v>124</v>
      </c>
      <c r="D3474" s="189"/>
      <c r="E3474" s="190" t="s">
        <v>932</v>
      </c>
      <c r="F3474" s="191">
        <f t="shared" si="56"/>
        <v>233.25</v>
      </c>
    </row>
    <row r="3475" spans="2:6" ht="15" customHeight="1" x14ac:dyDescent="0.2">
      <c r="B3475" s="188" t="s">
        <v>6143</v>
      </c>
      <c r="C3475" s="189" t="s">
        <v>142</v>
      </c>
      <c r="D3475" s="189"/>
      <c r="E3475" s="190" t="s">
        <v>6144</v>
      </c>
      <c r="F3475" s="191">
        <f t="shared" si="56"/>
        <v>235.86666666666667</v>
      </c>
    </row>
    <row r="3476" spans="2:6" ht="15" customHeight="1" x14ac:dyDescent="0.2">
      <c r="B3476" s="188" t="s">
        <v>6145</v>
      </c>
      <c r="C3476" s="189" t="s">
        <v>134</v>
      </c>
      <c r="D3476" s="189"/>
      <c r="E3476" s="190" t="s">
        <v>6146</v>
      </c>
      <c r="F3476" s="191">
        <f t="shared" si="56"/>
        <v>308.11666666666667</v>
      </c>
    </row>
    <row r="3477" spans="2:6" ht="15" customHeight="1" x14ac:dyDescent="0.2">
      <c r="B3477" s="188" t="s">
        <v>6147</v>
      </c>
      <c r="C3477" s="189" t="s">
        <v>135</v>
      </c>
      <c r="D3477" s="189"/>
      <c r="E3477" s="190" t="s">
        <v>6148</v>
      </c>
      <c r="F3477" s="191">
        <f t="shared" si="56"/>
        <v>236.11666666666667</v>
      </c>
    </row>
    <row r="3478" spans="2:6" ht="15" customHeight="1" x14ac:dyDescent="0.2">
      <c r="B3478" s="188" t="s">
        <v>445</v>
      </c>
      <c r="C3478" s="189" t="s">
        <v>124</v>
      </c>
      <c r="D3478" s="189"/>
      <c r="E3478" s="190" t="s">
        <v>6149</v>
      </c>
      <c r="F3478" s="191">
        <f t="shared" si="56"/>
        <v>285.81666666666666</v>
      </c>
    </row>
    <row r="3479" spans="2:6" ht="15" customHeight="1" x14ac:dyDescent="0.2">
      <c r="B3479" s="188" t="s">
        <v>241</v>
      </c>
      <c r="C3479" s="189" t="s">
        <v>135</v>
      </c>
      <c r="D3479" s="189"/>
      <c r="E3479" s="190" t="s">
        <v>6150</v>
      </c>
      <c r="F3479" s="191">
        <f t="shared" si="56"/>
        <v>229.31666666666666</v>
      </c>
    </row>
    <row r="3480" spans="2:6" ht="15" customHeight="1" x14ac:dyDescent="0.2">
      <c r="B3480" s="188" t="s">
        <v>6151</v>
      </c>
      <c r="C3480" s="189" t="s">
        <v>124</v>
      </c>
      <c r="D3480" s="189"/>
      <c r="E3480" s="190" t="s">
        <v>6152</v>
      </c>
      <c r="F3480" s="191">
        <f t="shared" si="56"/>
        <v>208.9</v>
      </c>
    </row>
    <row r="3481" spans="2:6" ht="15" customHeight="1" x14ac:dyDescent="0.2">
      <c r="B3481" s="188" t="s">
        <v>6153</v>
      </c>
      <c r="C3481" s="189" t="s">
        <v>125</v>
      </c>
      <c r="D3481" s="189"/>
      <c r="E3481" s="190" t="s">
        <v>1801</v>
      </c>
      <c r="F3481" s="191">
        <f t="shared" si="56"/>
        <v>310.43333333333334</v>
      </c>
    </row>
    <row r="3482" spans="2:6" ht="15" customHeight="1" x14ac:dyDescent="0.2">
      <c r="B3482" s="188" t="s">
        <v>6154</v>
      </c>
      <c r="C3482" s="189" t="s">
        <v>128</v>
      </c>
      <c r="D3482" s="189"/>
      <c r="E3482" s="190" t="s">
        <v>3686</v>
      </c>
      <c r="F3482" s="191">
        <f t="shared" si="56"/>
        <v>233.36666666666667</v>
      </c>
    </row>
    <row r="3483" spans="2:6" ht="15" customHeight="1" x14ac:dyDescent="0.2">
      <c r="B3483" s="188" t="s">
        <v>6155</v>
      </c>
      <c r="C3483" s="189" t="s">
        <v>125</v>
      </c>
      <c r="D3483" s="189"/>
      <c r="E3483" s="190" t="s">
        <v>6156</v>
      </c>
      <c r="F3483" s="191">
        <f t="shared" si="56"/>
        <v>294.48333333333335</v>
      </c>
    </row>
    <row r="3484" spans="2:6" ht="15" customHeight="1" x14ac:dyDescent="0.2">
      <c r="B3484" s="188" t="s">
        <v>619</v>
      </c>
      <c r="C3484" s="189" t="s">
        <v>142</v>
      </c>
      <c r="D3484" s="189"/>
      <c r="E3484" s="190" t="s">
        <v>6157</v>
      </c>
      <c r="F3484" s="191">
        <f t="shared" si="56"/>
        <v>208.91666666666666</v>
      </c>
    </row>
    <row r="3485" spans="2:6" ht="15" customHeight="1" x14ac:dyDescent="0.2">
      <c r="B3485" s="188" t="s">
        <v>6158</v>
      </c>
      <c r="C3485" s="189" t="s">
        <v>142</v>
      </c>
      <c r="D3485" s="189"/>
      <c r="E3485" s="190" t="s">
        <v>6159</v>
      </c>
      <c r="F3485" s="191">
        <f t="shared" si="56"/>
        <v>275.96666666666664</v>
      </c>
    </row>
    <row r="3486" spans="2:6" ht="15" customHeight="1" x14ac:dyDescent="0.2">
      <c r="B3486" s="188" t="s">
        <v>6160</v>
      </c>
      <c r="C3486" s="189" t="s">
        <v>130</v>
      </c>
      <c r="D3486" s="189"/>
      <c r="E3486" s="190" t="s">
        <v>6161</v>
      </c>
      <c r="F3486" s="191">
        <f t="shared" si="56"/>
        <v>286.10000000000002</v>
      </c>
    </row>
    <row r="3487" spans="2:6" ht="15" customHeight="1" x14ac:dyDescent="0.2">
      <c r="B3487" s="188" t="s">
        <v>5876</v>
      </c>
      <c r="C3487" s="189" t="s">
        <v>126</v>
      </c>
      <c r="D3487" s="189"/>
      <c r="E3487" s="190" t="s">
        <v>5877</v>
      </c>
      <c r="F3487" s="191">
        <f t="shared" si="56"/>
        <v>221.95</v>
      </c>
    </row>
    <row r="3488" spans="2:6" ht="15" customHeight="1" x14ac:dyDescent="0.2">
      <c r="B3488" s="188" t="s">
        <v>211</v>
      </c>
      <c r="C3488" s="189" t="s">
        <v>124</v>
      </c>
      <c r="D3488" s="189"/>
      <c r="E3488" s="190" t="s">
        <v>1071</v>
      </c>
      <c r="F3488" s="191">
        <f t="shared" si="56"/>
        <v>227.18333333333334</v>
      </c>
    </row>
    <row r="3489" spans="2:6" ht="15" customHeight="1" x14ac:dyDescent="0.2">
      <c r="B3489" s="188" t="s">
        <v>6162</v>
      </c>
      <c r="C3489" s="189" t="s">
        <v>126</v>
      </c>
      <c r="D3489" s="189"/>
      <c r="E3489" s="190" t="s">
        <v>4715</v>
      </c>
      <c r="F3489" s="191">
        <f t="shared" si="56"/>
        <v>252.65</v>
      </c>
    </row>
    <row r="3490" spans="2:6" ht="15" customHeight="1" x14ac:dyDescent="0.2">
      <c r="B3490" s="188" t="s">
        <v>6163</v>
      </c>
      <c r="C3490" s="189" t="s">
        <v>126</v>
      </c>
      <c r="D3490" s="189"/>
      <c r="E3490" s="190" t="s">
        <v>4114</v>
      </c>
      <c r="F3490" s="191">
        <f t="shared" si="56"/>
        <v>313.7</v>
      </c>
    </row>
    <row r="3491" spans="2:6" ht="15" customHeight="1" x14ac:dyDescent="0.2">
      <c r="B3491" s="188" t="s">
        <v>6164</v>
      </c>
      <c r="C3491" s="189" t="s">
        <v>124</v>
      </c>
      <c r="D3491" s="189"/>
      <c r="E3491" s="190" t="s">
        <v>6165</v>
      </c>
      <c r="F3491" s="191">
        <f t="shared" si="56"/>
        <v>176.55</v>
      </c>
    </row>
    <row r="3492" spans="2:6" ht="15" customHeight="1" x14ac:dyDescent="0.2">
      <c r="B3492" s="188" t="s">
        <v>6166</v>
      </c>
      <c r="C3492" s="189" t="s">
        <v>142</v>
      </c>
      <c r="D3492" s="189"/>
      <c r="E3492" s="190" t="s">
        <v>6167</v>
      </c>
      <c r="F3492" s="191">
        <f t="shared" si="56"/>
        <v>213.88333333333333</v>
      </c>
    </row>
    <row r="3493" spans="2:6" ht="15" customHeight="1" x14ac:dyDescent="0.2">
      <c r="B3493" s="188" t="s">
        <v>6168</v>
      </c>
      <c r="C3493" s="189" t="s">
        <v>126</v>
      </c>
      <c r="D3493" s="189"/>
      <c r="E3493" s="190" t="s">
        <v>4530</v>
      </c>
      <c r="F3493" s="191">
        <f t="shared" si="56"/>
        <v>242.95</v>
      </c>
    </row>
    <row r="3494" spans="2:6" ht="15" customHeight="1" x14ac:dyDescent="0.2">
      <c r="B3494" s="188" t="s">
        <v>492</v>
      </c>
      <c r="C3494" s="189" t="s">
        <v>125</v>
      </c>
      <c r="D3494" s="189"/>
      <c r="E3494" s="190" t="s">
        <v>1669</v>
      </c>
      <c r="F3494" s="191">
        <f t="shared" si="56"/>
        <v>283.41666666666669</v>
      </c>
    </row>
    <row r="3495" spans="2:6" ht="15" customHeight="1" x14ac:dyDescent="0.2">
      <c r="B3495" s="188" t="s">
        <v>6169</v>
      </c>
      <c r="C3495" s="189" t="s">
        <v>142</v>
      </c>
      <c r="D3495" s="189"/>
      <c r="E3495" s="190" t="s">
        <v>6170</v>
      </c>
      <c r="F3495" s="191">
        <f t="shared" si="56"/>
        <v>223.63333333333333</v>
      </c>
    </row>
    <row r="3496" spans="2:6" ht="15" customHeight="1" x14ac:dyDescent="0.2">
      <c r="B3496" s="188" t="s">
        <v>5200</v>
      </c>
      <c r="C3496" s="189" t="s">
        <v>134</v>
      </c>
      <c r="D3496" s="189"/>
      <c r="E3496" s="190" t="s">
        <v>6171</v>
      </c>
      <c r="F3496" s="191">
        <f t="shared" si="56"/>
        <v>230.93333333333334</v>
      </c>
    </row>
    <row r="3497" spans="2:6" ht="15" customHeight="1" x14ac:dyDescent="0.2">
      <c r="B3497" s="188" t="s">
        <v>6172</v>
      </c>
      <c r="C3497" s="189" t="s">
        <v>130</v>
      </c>
      <c r="D3497" s="189"/>
      <c r="E3497" s="190" t="s">
        <v>6173</v>
      </c>
      <c r="F3497" s="191">
        <f t="shared" si="56"/>
        <v>173.51666666666668</v>
      </c>
    </row>
    <row r="3498" spans="2:6" ht="15" customHeight="1" x14ac:dyDescent="0.2">
      <c r="B3498" s="188" t="s">
        <v>6174</v>
      </c>
      <c r="C3498" s="189" t="s">
        <v>142</v>
      </c>
      <c r="D3498" s="189"/>
      <c r="E3498" s="190" t="s">
        <v>4982</v>
      </c>
      <c r="F3498" s="191">
        <f t="shared" si="56"/>
        <v>234</v>
      </c>
    </row>
    <row r="3499" spans="2:6" ht="15" customHeight="1" x14ac:dyDescent="0.2">
      <c r="B3499" s="188" t="s">
        <v>536</v>
      </c>
      <c r="C3499" s="189" t="s">
        <v>142</v>
      </c>
      <c r="D3499" s="189"/>
      <c r="E3499" s="190" t="s">
        <v>1611</v>
      </c>
      <c r="F3499" s="191">
        <f t="shared" si="56"/>
        <v>264.23333333333335</v>
      </c>
    </row>
    <row r="3500" spans="2:6" ht="15" customHeight="1" x14ac:dyDescent="0.2">
      <c r="B3500" s="188" t="s">
        <v>6175</v>
      </c>
      <c r="C3500" s="189" t="s">
        <v>126</v>
      </c>
      <c r="D3500" s="189"/>
      <c r="E3500" s="190" t="s">
        <v>2913</v>
      </c>
      <c r="F3500" s="191">
        <f t="shared" si="56"/>
        <v>276.53333333333336</v>
      </c>
    </row>
    <row r="3501" spans="2:6" ht="15" customHeight="1" x14ac:dyDescent="0.2">
      <c r="B3501" s="188" t="s">
        <v>6176</v>
      </c>
      <c r="C3501" s="189" t="s">
        <v>134</v>
      </c>
      <c r="D3501" s="189"/>
      <c r="E3501" s="190" t="s">
        <v>6177</v>
      </c>
      <c r="F3501" s="191">
        <f t="shared" si="56"/>
        <v>180.06666666666666</v>
      </c>
    </row>
    <row r="3502" spans="2:6" ht="15" customHeight="1" x14ac:dyDescent="0.2">
      <c r="B3502" s="188" t="s">
        <v>6178</v>
      </c>
      <c r="C3502" s="189" t="s">
        <v>130</v>
      </c>
      <c r="D3502" s="189"/>
      <c r="E3502" s="190" t="s">
        <v>6179</v>
      </c>
      <c r="F3502" s="191">
        <f t="shared" si="56"/>
        <v>218.78333333333333</v>
      </c>
    </row>
    <row r="3503" spans="2:6" ht="15" customHeight="1" x14ac:dyDescent="0.2">
      <c r="B3503" s="188" t="s">
        <v>6180</v>
      </c>
      <c r="C3503" s="189" t="s">
        <v>128</v>
      </c>
      <c r="D3503" s="189"/>
      <c r="E3503" s="190" t="s">
        <v>6181</v>
      </c>
      <c r="F3503" s="191">
        <f t="shared" si="56"/>
        <v>282.18333333333334</v>
      </c>
    </row>
    <row r="3504" spans="2:6" ht="15" customHeight="1" x14ac:dyDescent="0.2">
      <c r="B3504" s="188" t="s">
        <v>2641</v>
      </c>
      <c r="C3504" s="189" t="s">
        <v>249</v>
      </c>
      <c r="D3504" s="189"/>
      <c r="E3504" s="190" t="s">
        <v>1605</v>
      </c>
      <c r="F3504" s="191">
        <f t="shared" si="56"/>
        <v>207.5</v>
      </c>
    </row>
    <row r="3505" spans="2:6" ht="15" customHeight="1" x14ac:dyDescent="0.2">
      <c r="B3505" s="188" t="s">
        <v>6182</v>
      </c>
      <c r="C3505" s="189" t="s">
        <v>142</v>
      </c>
      <c r="D3505" s="189"/>
      <c r="E3505" s="190" t="s">
        <v>6183</v>
      </c>
      <c r="F3505" s="191">
        <f t="shared" si="56"/>
        <v>210.16666666666666</v>
      </c>
    </row>
    <row r="3506" spans="2:6" ht="15" customHeight="1" x14ac:dyDescent="0.2">
      <c r="B3506" s="188" t="s">
        <v>6184</v>
      </c>
      <c r="C3506" s="189" t="s">
        <v>125</v>
      </c>
      <c r="D3506" s="189"/>
      <c r="E3506" s="190" t="s">
        <v>757</v>
      </c>
      <c r="F3506" s="191">
        <f t="shared" si="56"/>
        <v>238.38333333333333</v>
      </c>
    </row>
    <row r="3507" spans="2:6" ht="15" customHeight="1" x14ac:dyDescent="0.2">
      <c r="B3507" s="188" t="s">
        <v>440</v>
      </c>
      <c r="C3507" s="189" t="s">
        <v>142</v>
      </c>
      <c r="D3507" s="189"/>
      <c r="E3507" s="190" t="s">
        <v>5326</v>
      </c>
      <c r="F3507" s="191">
        <f t="shared" si="56"/>
        <v>242.43333333333334</v>
      </c>
    </row>
    <row r="3508" spans="2:6" ht="15" customHeight="1" x14ac:dyDescent="0.2">
      <c r="B3508" s="188" t="s">
        <v>5705</v>
      </c>
      <c r="C3508" s="189" t="s">
        <v>134</v>
      </c>
      <c r="D3508" s="189"/>
      <c r="E3508" s="190" t="s">
        <v>1214</v>
      </c>
      <c r="F3508" s="191">
        <f t="shared" si="56"/>
        <v>265.95</v>
      </c>
    </row>
    <row r="3509" spans="2:6" ht="15" customHeight="1" x14ac:dyDescent="0.2">
      <c r="B3509" s="188" t="s">
        <v>6185</v>
      </c>
      <c r="C3509" s="189" t="s">
        <v>135</v>
      </c>
      <c r="D3509" s="189"/>
      <c r="E3509" s="190" t="s">
        <v>6186</v>
      </c>
      <c r="F3509" s="191">
        <f t="shared" si="56"/>
        <v>274.91666666666669</v>
      </c>
    </row>
    <row r="3510" spans="2:6" ht="15" customHeight="1" x14ac:dyDescent="0.2">
      <c r="B3510" s="188" t="s">
        <v>6187</v>
      </c>
      <c r="C3510" s="189" t="s">
        <v>128</v>
      </c>
      <c r="D3510" s="189"/>
      <c r="E3510" s="190" t="s">
        <v>3343</v>
      </c>
      <c r="F3510" s="191">
        <f t="shared" si="56"/>
        <v>278.8</v>
      </c>
    </row>
    <row r="3511" spans="2:6" ht="15" customHeight="1" x14ac:dyDescent="0.2">
      <c r="B3511" s="188" t="s">
        <v>2521</v>
      </c>
      <c r="C3511" s="189" t="s">
        <v>130</v>
      </c>
      <c r="D3511" s="189"/>
      <c r="E3511" s="190" t="s">
        <v>2522</v>
      </c>
      <c r="F3511" s="191">
        <f t="shared" si="56"/>
        <v>190.43333333333334</v>
      </c>
    </row>
    <row r="3512" spans="2:6" ht="15" customHeight="1" x14ac:dyDescent="0.2">
      <c r="B3512" s="188" t="s">
        <v>6188</v>
      </c>
      <c r="C3512" s="189" t="s">
        <v>135</v>
      </c>
      <c r="D3512" s="189"/>
      <c r="E3512" s="190" t="s">
        <v>6189</v>
      </c>
      <c r="F3512" s="191">
        <f t="shared" si="56"/>
        <v>277</v>
      </c>
    </row>
    <row r="3513" spans="2:6" ht="15" customHeight="1" x14ac:dyDescent="0.2">
      <c r="B3513" s="188" t="s">
        <v>500</v>
      </c>
      <c r="C3513" s="189" t="s">
        <v>125</v>
      </c>
      <c r="D3513" s="189"/>
      <c r="E3513" s="190" t="s">
        <v>6190</v>
      </c>
      <c r="F3513" s="191">
        <f t="shared" si="56"/>
        <v>241.73333333333332</v>
      </c>
    </row>
    <row r="3514" spans="2:6" ht="15" customHeight="1" x14ac:dyDescent="0.2">
      <c r="B3514" s="188" t="s">
        <v>6191</v>
      </c>
      <c r="C3514" s="189" t="s">
        <v>125</v>
      </c>
      <c r="D3514" s="189"/>
      <c r="E3514" s="190" t="s">
        <v>6192</v>
      </c>
      <c r="F3514" s="191">
        <f t="shared" si="56"/>
        <v>322.91666666666669</v>
      </c>
    </row>
    <row r="3515" spans="2:6" ht="15" customHeight="1" x14ac:dyDescent="0.2">
      <c r="B3515" s="188" t="s">
        <v>6193</v>
      </c>
      <c r="C3515" s="189" t="s">
        <v>124</v>
      </c>
      <c r="D3515" s="189"/>
      <c r="E3515" s="190" t="s">
        <v>1079</v>
      </c>
      <c r="F3515" s="191">
        <f t="shared" si="56"/>
        <v>225.78333333333333</v>
      </c>
    </row>
    <row r="3516" spans="2:6" ht="15" customHeight="1" x14ac:dyDescent="0.2">
      <c r="B3516" s="188" t="s">
        <v>6194</v>
      </c>
      <c r="C3516" s="189" t="s">
        <v>125</v>
      </c>
      <c r="D3516" s="189"/>
      <c r="E3516" s="190" t="s">
        <v>6195</v>
      </c>
      <c r="F3516" s="191">
        <f t="shared" si="56"/>
        <v>255.03333333333333</v>
      </c>
    </row>
    <row r="3517" spans="2:6" ht="15" customHeight="1" x14ac:dyDescent="0.2">
      <c r="B3517" s="188" t="s">
        <v>6196</v>
      </c>
      <c r="C3517" s="189" t="s">
        <v>134</v>
      </c>
      <c r="D3517" s="189"/>
      <c r="E3517" s="190" t="s">
        <v>4563</v>
      </c>
      <c r="F3517" s="191">
        <f t="shared" si="56"/>
        <v>272.41666666666669</v>
      </c>
    </row>
    <row r="3518" spans="2:6" ht="15" customHeight="1" x14ac:dyDescent="0.2">
      <c r="B3518" s="188" t="s">
        <v>6197</v>
      </c>
      <c r="C3518" s="189" t="s">
        <v>130</v>
      </c>
      <c r="D3518" s="189"/>
      <c r="E3518" s="190" t="s">
        <v>6198</v>
      </c>
      <c r="F3518" s="191">
        <f t="shared" si="56"/>
        <v>249.63333333333333</v>
      </c>
    </row>
    <row r="3519" spans="2:6" ht="15" customHeight="1" x14ac:dyDescent="0.2">
      <c r="B3519" s="188" t="s">
        <v>6199</v>
      </c>
      <c r="C3519" s="189" t="s">
        <v>134</v>
      </c>
      <c r="D3519" s="189"/>
      <c r="E3519" s="190" t="s">
        <v>6200</v>
      </c>
      <c r="F3519" s="191">
        <f t="shared" si="56"/>
        <v>263.39999999999998</v>
      </c>
    </row>
    <row r="3520" spans="2:6" ht="15" customHeight="1" x14ac:dyDescent="0.2">
      <c r="B3520" s="188" t="s">
        <v>251</v>
      </c>
      <c r="C3520" s="189" t="s">
        <v>125</v>
      </c>
      <c r="D3520" s="189"/>
      <c r="E3520" s="190" t="s">
        <v>4130</v>
      </c>
      <c r="F3520" s="191">
        <f t="shared" si="56"/>
        <v>247.41666666666666</v>
      </c>
    </row>
    <row r="3521" spans="2:6" ht="15" customHeight="1" x14ac:dyDescent="0.2">
      <c r="B3521" s="188" t="s">
        <v>6201</v>
      </c>
      <c r="C3521" s="189" t="s">
        <v>124</v>
      </c>
      <c r="D3521" s="189"/>
      <c r="E3521" s="190" t="s">
        <v>6202</v>
      </c>
      <c r="F3521" s="191">
        <f t="shared" si="56"/>
        <v>200.86666666666667</v>
      </c>
    </row>
    <row r="3522" spans="2:6" ht="15" customHeight="1" x14ac:dyDescent="0.2">
      <c r="B3522" s="188" t="s">
        <v>6203</v>
      </c>
      <c r="C3522" s="189" t="s">
        <v>128</v>
      </c>
      <c r="D3522" s="189"/>
      <c r="E3522" s="190" t="s">
        <v>6204</v>
      </c>
      <c r="F3522" s="191">
        <f t="shared" si="56"/>
        <v>177.93333333333334</v>
      </c>
    </row>
    <row r="3523" spans="2:6" ht="15" customHeight="1" x14ac:dyDescent="0.2">
      <c r="B3523" s="188" t="s">
        <v>6205</v>
      </c>
      <c r="C3523" s="189" t="s">
        <v>142</v>
      </c>
      <c r="D3523" s="189"/>
      <c r="E3523" s="190" t="s">
        <v>6206</v>
      </c>
      <c r="F3523" s="191">
        <f t="shared" si="56"/>
        <v>219.2</v>
      </c>
    </row>
    <row r="3524" spans="2:6" ht="15" customHeight="1" x14ac:dyDescent="0.2">
      <c r="B3524" s="188" t="s">
        <v>6207</v>
      </c>
      <c r="C3524" s="189" t="s">
        <v>128</v>
      </c>
      <c r="D3524" s="189"/>
      <c r="E3524" s="190" t="s">
        <v>1663</v>
      </c>
      <c r="F3524" s="191">
        <f t="shared" si="56"/>
        <v>250.83333333333334</v>
      </c>
    </row>
    <row r="3525" spans="2:6" ht="15" customHeight="1" x14ac:dyDescent="0.2">
      <c r="B3525" s="188" t="s">
        <v>6208</v>
      </c>
      <c r="C3525" s="189" t="s">
        <v>142</v>
      </c>
      <c r="D3525" s="189"/>
      <c r="E3525" s="190" t="s">
        <v>1311</v>
      </c>
      <c r="F3525" s="191">
        <f t="shared" si="56"/>
        <v>208.73333333333332</v>
      </c>
    </row>
    <row r="3526" spans="2:6" ht="15" customHeight="1" x14ac:dyDescent="0.2">
      <c r="B3526" s="188" t="s">
        <v>6209</v>
      </c>
      <c r="C3526" s="189" t="s">
        <v>134</v>
      </c>
      <c r="D3526" s="189"/>
      <c r="E3526" s="190" t="s">
        <v>6210</v>
      </c>
      <c r="F3526" s="191">
        <f t="shared" si="56"/>
        <v>239.4</v>
      </c>
    </row>
    <row r="3527" spans="2:6" ht="15" customHeight="1" x14ac:dyDescent="0.2">
      <c r="B3527" s="188" t="s">
        <v>608</v>
      </c>
      <c r="C3527" s="189" t="s">
        <v>142</v>
      </c>
      <c r="D3527" s="189"/>
      <c r="E3527" s="190" t="s">
        <v>6211</v>
      </c>
      <c r="F3527" s="191">
        <f t="shared" si="56"/>
        <v>254.16666666666666</v>
      </c>
    </row>
    <row r="3528" spans="2:6" ht="15" customHeight="1" x14ac:dyDescent="0.2">
      <c r="B3528" s="188" t="s">
        <v>6212</v>
      </c>
      <c r="C3528" s="189" t="s">
        <v>128</v>
      </c>
      <c r="D3528" s="189"/>
      <c r="E3528" s="190" t="s">
        <v>6213</v>
      </c>
      <c r="F3528" s="191">
        <f t="shared" si="56"/>
        <v>279.31666666666666</v>
      </c>
    </row>
    <row r="3529" spans="2:6" ht="15" customHeight="1" x14ac:dyDescent="0.2">
      <c r="B3529" s="188" t="s">
        <v>6214</v>
      </c>
      <c r="C3529" s="189" t="s">
        <v>126</v>
      </c>
      <c r="D3529" s="189"/>
      <c r="E3529" s="190" t="s">
        <v>6215</v>
      </c>
      <c r="F3529" s="191">
        <f t="shared" si="56"/>
        <v>282.41666666666669</v>
      </c>
    </row>
    <row r="3530" spans="2:6" ht="15" customHeight="1" x14ac:dyDescent="0.2">
      <c r="B3530" s="188" t="s">
        <v>4014</v>
      </c>
      <c r="C3530" s="189" t="s">
        <v>142</v>
      </c>
      <c r="D3530" s="189"/>
      <c r="E3530" s="190" t="s">
        <v>4015</v>
      </c>
      <c r="F3530" s="191">
        <f t="shared" si="56"/>
        <v>203.4</v>
      </c>
    </row>
    <row r="3531" spans="2:6" ht="15" customHeight="1" x14ac:dyDescent="0.2">
      <c r="B3531" s="188" t="s">
        <v>6216</v>
      </c>
      <c r="C3531" s="189" t="s">
        <v>124</v>
      </c>
      <c r="D3531" s="189"/>
      <c r="E3531" s="190" t="s">
        <v>6217</v>
      </c>
      <c r="F3531" s="191">
        <f t="shared" ref="F3531:F3594" si="57">HOUR(E3531)*60+MINUTE(E3531)+SECOND(E3531)/60</f>
        <v>263.7</v>
      </c>
    </row>
    <row r="3532" spans="2:6" ht="15" customHeight="1" x14ac:dyDescent="0.2">
      <c r="B3532" s="188" t="s">
        <v>3868</v>
      </c>
      <c r="C3532" s="189" t="s">
        <v>130</v>
      </c>
      <c r="D3532" s="189"/>
      <c r="E3532" s="190" t="s">
        <v>3869</v>
      </c>
      <c r="F3532" s="191">
        <f t="shared" si="57"/>
        <v>303.86666666666667</v>
      </c>
    </row>
    <row r="3533" spans="2:6" ht="15" customHeight="1" x14ac:dyDescent="0.2">
      <c r="B3533" s="188" t="s">
        <v>6218</v>
      </c>
      <c r="C3533" s="189" t="s">
        <v>135</v>
      </c>
      <c r="D3533" s="189"/>
      <c r="E3533" s="190" t="s">
        <v>6219</v>
      </c>
      <c r="F3533" s="191">
        <f t="shared" si="57"/>
        <v>273.58333333333331</v>
      </c>
    </row>
    <row r="3534" spans="2:6" ht="15" customHeight="1" x14ac:dyDescent="0.2">
      <c r="B3534" s="188" t="s">
        <v>6220</v>
      </c>
      <c r="C3534" s="189" t="s">
        <v>125</v>
      </c>
      <c r="D3534" s="189"/>
      <c r="E3534" s="190" t="s">
        <v>6221</v>
      </c>
      <c r="F3534" s="191">
        <f t="shared" si="57"/>
        <v>210.78333333333333</v>
      </c>
    </row>
    <row r="3535" spans="2:6" ht="15" customHeight="1" x14ac:dyDescent="0.2">
      <c r="B3535" s="188" t="s">
        <v>6222</v>
      </c>
      <c r="C3535" s="189" t="s">
        <v>142</v>
      </c>
      <c r="D3535" s="189"/>
      <c r="E3535" s="190" t="s">
        <v>6223</v>
      </c>
      <c r="F3535" s="191">
        <f t="shared" si="57"/>
        <v>280.64999999999998</v>
      </c>
    </row>
    <row r="3536" spans="2:6" ht="15" customHeight="1" x14ac:dyDescent="0.2">
      <c r="B3536" s="188" t="s">
        <v>5024</v>
      </c>
      <c r="C3536" s="189" t="s">
        <v>134</v>
      </c>
      <c r="D3536" s="189"/>
      <c r="E3536" s="190" t="s">
        <v>3448</v>
      </c>
      <c r="F3536" s="191">
        <f t="shared" si="57"/>
        <v>265.83333333333331</v>
      </c>
    </row>
    <row r="3537" spans="2:6" ht="15" customHeight="1" x14ac:dyDescent="0.2">
      <c r="B3537" s="188" t="s">
        <v>6224</v>
      </c>
      <c r="C3537" s="189" t="s">
        <v>125</v>
      </c>
      <c r="D3537" s="189"/>
      <c r="E3537" s="190" t="s">
        <v>6225</v>
      </c>
      <c r="F3537" s="191">
        <f t="shared" si="57"/>
        <v>279.25</v>
      </c>
    </row>
    <row r="3538" spans="2:6" ht="15" customHeight="1" x14ac:dyDescent="0.2">
      <c r="B3538" s="188" t="s">
        <v>3255</v>
      </c>
      <c r="C3538" s="189" t="s">
        <v>128</v>
      </c>
      <c r="D3538" s="189"/>
      <c r="E3538" s="190" t="s">
        <v>3256</v>
      </c>
      <c r="F3538" s="191">
        <f t="shared" si="57"/>
        <v>190.38333333333333</v>
      </c>
    </row>
    <row r="3539" spans="2:6" ht="15" customHeight="1" x14ac:dyDescent="0.2">
      <c r="B3539" s="188" t="s">
        <v>6226</v>
      </c>
      <c r="C3539" s="189" t="s">
        <v>142</v>
      </c>
      <c r="D3539" s="189"/>
      <c r="E3539" s="190" t="s">
        <v>1899</v>
      </c>
      <c r="F3539" s="191">
        <f t="shared" si="57"/>
        <v>219.51666666666668</v>
      </c>
    </row>
    <row r="3540" spans="2:6" ht="15" customHeight="1" x14ac:dyDescent="0.2">
      <c r="B3540" s="188" t="s">
        <v>191</v>
      </c>
      <c r="C3540" s="189" t="s">
        <v>142</v>
      </c>
      <c r="D3540" s="189"/>
      <c r="E3540" s="190" t="s">
        <v>6227</v>
      </c>
      <c r="F3540" s="191">
        <f t="shared" si="57"/>
        <v>255.25</v>
      </c>
    </row>
    <row r="3541" spans="2:6" ht="15" customHeight="1" x14ac:dyDescent="0.2">
      <c r="B3541" s="188" t="s">
        <v>2459</v>
      </c>
      <c r="C3541" s="189" t="s">
        <v>124</v>
      </c>
      <c r="D3541" s="189"/>
      <c r="E3541" s="190" t="s">
        <v>2460</v>
      </c>
      <c r="F3541" s="191">
        <f t="shared" si="57"/>
        <v>304.18333333333334</v>
      </c>
    </row>
    <row r="3542" spans="2:6" ht="15" customHeight="1" x14ac:dyDescent="0.2">
      <c r="B3542" s="188" t="s">
        <v>6228</v>
      </c>
      <c r="C3542" s="189" t="s">
        <v>135</v>
      </c>
      <c r="D3542" s="189"/>
      <c r="E3542" s="190" t="s">
        <v>6229</v>
      </c>
      <c r="F3542" s="191">
        <f t="shared" si="57"/>
        <v>286.66666666666669</v>
      </c>
    </row>
    <row r="3543" spans="2:6" ht="15" customHeight="1" x14ac:dyDescent="0.2">
      <c r="B3543" s="188" t="s">
        <v>4250</v>
      </c>
      <c r="C3543" s="189" t="s">
        <v>130</v>
      </c>
      <c r="D3543" s="189"/>
      <c r="E3543" s="190" t="s">
        <v>2999</v>
      </c>
      <c r="F3543" s="191">
        <f t="shared" si="57"/>
        <v>203.33333333333334</v>
      </c>
    </row>
    <row r="3544" spans="2:6" ht="15" customHeight="1" x14ac:dyDescent="0.2">
      <c r="B3544" s="188" t="s">
        <v>6230</v>
      </c>
      <c r="C3544" s="189" t="s">
        <v>135</v>
      </c>
      <c r="D3544" s="189"/>
      <c r="E3544" s="190" t="s">
        <v>6231</v>
      </c>
      <c r="F3544" s="191">
        <f t="shared" si="57"/>
        <v>258.46666666666664</v>
      </c>
    </row>
    <row r="3545" spans="2:6" ht="15" customHeight="1" x14ac:dyDescent="0.2">
      <c r="B3545" s="188" t="s">
        <v>6232</v>
      </c>
      <c r="C3545" s="189" t="s">
        <v>124</v>
      </c>
      <c r="D3545" s="189"/>
      <c r="E3545" s="190" t="s">
        <v>4442</v>
      </c>
      <c r="F3545" s="191">
        <f t="shared" si="57"/>
        <v>278.78333333333336</v>
      </c>
    </row>
    <row r="3546" spans="2:6" ht="15" customHeight="1" x14ac:dyDescent="0.2">
      <c r="B3546" s="188" t="s">
        <v>5445</v>
      </c>
      <c r="C3546" s="189" t="s">
        <v>142</v>
      </c>
      <c r="D3546" s="189"/>
      <c r="E3546" s="190" t="s">
        <v>5446</v>
      </c>
      <c r="F3546" s="191">
        <f t="shared" si="57"/>
        <v>202.25</v>
      </c>
    </row>
    <row r="3547" spans="2:6" ht="15" customHeight="1" x14ac:dyDescent="0.2">
      <c r="B3547" s="188" t="s">
        <v>5057</v>
      </c>
      <c r="C3547" s="189" t="s">
        <v>135</v>
      </c>
      <c r="D3547" s="189"/>
      <c r="E3547" s="190" t="s">
        <v>1744</v>
      </c>
      <c r="F3547" s="191">
        <f t="shared" si="57"/>
        <v>221.85</v>
      </c>
    </row>
    <row r="3548" spans="2:6" ht="15" customHeight="1" x14ac:dyDescent="0.2">
      <c r="B3548" s="188" t="s">
        <v>6233</v>
      </c>
      <c r="C3548" s="189" t="s">
        <v>128</v>
      </c>
      <c r="D3548" s="189"/>
      <c r="E3548" s="190" t="s">
        <v>6234</v>
      </c>
      <c r="F3548" s="191">
        <f t="shared" si="57"/>
        <v>223.31666666666666</v>
      </c>
    </row>
    <row r="3549" spans="2:6" ht="15" customHeight="1" x14ac:dyDescent="0.2">
      <c r="B3549" s="188" t="s">
        <v>6235</v>
      </c>
      <c r="C3549" s="189" t="s">
        <v>134</v>
      </c>
      <c r="D3549" s="189"/>
      <c r="E3549" s="190" t="s">
        <v>2763</v>
      </c>
      <c r="F3549" s="191">
        <f t="shared" si="57"/>
        <v>228.7</v>
      </c>
    </row>
    <row r="3550" spans="2:6" ht="15" customHeight="1" x14ac:dyDescent="0.2">
      <c r="B3550" s="188" t="s">
        <v>6236</v>
      </c>
      <c r="C3550" s="189" t="s">
        <v>125</v>
      </c>
      <c r="D3550" s="189"/>
      <c r="E3550" s="190" t="s">
        <v>6237</v>
      </c>
      <c r="F3550" s="191">
        <f t="shared" si="57"/>
        <v>226.53333333333333</v>
      </c>
    </row>
    <row r="3551" spans="2:6" ht="15" customHeight="1" x14ac:dyDescent="0.2">
      <c r="B3551" s="188" t="s">
        <v>6238</v>
      </c>
      <c r="C3551" s="189" t="s">
        <v>134</v>
      </c>
      <c r="D3551" s="189"/>
      <c r="E3551" s="190" t="s">
        <v>6239</v>
      </c>
      <c r="F3551" s="191">
        <f t="shared" si="57"/>
        <v>295.14999999999998</v>
      </c>
    </row>
    <row r="3552" spans="2:6" ht="15" customHeight="1" x14ac:dyDescent="0.2">
      <c r="B3552" s="188" t="s">
        <v>6240</v>
      </c>
      <c r="C3552" s="189" t="s">
        <v>134</v>
      </c>
      <c r="D3552" s="189"/>
      <c r="E3552" s="190" t="s">
        <v>1496</v>
      </c>
      <c r="F3552" s="191">
        <f t="shared" si="57"/>
        <v>236.55</v>
      </c>
    </row>
    <row r="3553" spans="2:6" ht="15" customHeight="1" x14ac:dyDescent="0.2">
      <c r="B3553" s="188" t="s">
        <v>6241</v>
      </c>
      <c r="C3553" s="189" t="s">
        <v>134</v>
      </c>
      <c r="D3553" s="189"/>
      <c r="E3553" s="190" t="s">
        <v>6242</v>
      </c>
      <c r="F3553" s="191">
        <f t="shared" si="57"/>
        <v>279.61666666666667</v>
      </c>
    </row>
    <row r="3554" spans="2:6" ht="15" customHeight="1" x14ac:dyDescent="0.2">
      <c r="B3554" s="188" t="s">
        <v>6243</v>
      </c>
      <c r="C3554" s="189" t="s">
        <v>130</v>
      </c>
      <c r="D3554" s="189"/>
      <c r="E3554" s="190" t="s">
        <v>6244</v>
      </c>
      <c r="F3554" s="191">
        <f t="shared" si="57"/>
        <v>310.28333333333336</v>
      </c>
    </row>
    <row r="3555" spans="2:6" ht="15" customHeight="1" x14ac:dyDescent="0.2">
      <c r="B3555" s="188" t="s">
        <v>4878</v>
      </c>
      <c r="C3555" s="189" t="s">
        <v>126</v>
      </c>
      <c r="D3555" s="189"/>
      <c r="E3555" s="190" t="s">
        <v>4879</v>
      </c>
      <c r="F3555" s="191">
        <f t="shared" si="57"/>
        <v>243.7</v>
      </c>
    </row>
    <row r="3556" spans="2:6" ht="15" customHeight="1" x14ac:dyDescent="0.2">
      <c r="B3556" s="188" t="s">
        <v>6245</v>
      </c>
      <c r="C3556" s="189" t="s">
        <v>128</v>
      </c>
      <c r="D3556" s="189"/>
      <c r="E3556" s="190" t="s">
        <v>4393</v>
      </c>
      <c r="F3556" s="191">
        <f t="shared" si="57"/>
        <v>307.56666666666666</v>
      </c>
    </row>
    <row r="3557" spans="2:6" ht="15" customHeight="1" x14ac:dyDescent="0.2">
      <c r="B3557" s="188" t="s">
        <v>6246</v>
      </c>
      <c r="C3557" s="189" t="s">
        <v>134</v>
      </c>
      <c r="D3557" s="189"/>
      <c r="E3557" s="190" t="s">
        <v>6247</v>
      </c>
      <c r="F3557" s="191">
        <f t="shared" si="57"/>
        <v>228.46666666666667</v>
      </c>
    </row>
    <row r="3558" spans="2:6" ht="15" customHeight="1" x14ac:dyDescent="0.2">
      <c r="B3558" s="188" t="s">
        <v>6248</v>
      </c>
      <c r="C3558" s="189" t="s">
        <v>128</v>
      </c>
      <c r="D3558" s="189"/>
      <c r="E3558" s="190" t="s">
        <v>6249</v>
      </c>
      <c r="F3558" s="191">
        <f t="shared" si="57"/>
        <v>282.10000000000002</v>
      </c>
    </row>
    <row r="3559" spans="2:6" ht="15" customHeight="1" x14ac:dyDescent="0.2">
      <c r="B3559" s="188" t="s">
        <v>6250</v>
      </c>
      <c r="C3559" s="189" t="s">
        <v>126</v>
      </c>
      <c r="D3559" s="189"/>
      <c r="E3559" s="190" t="s">
        <v>6251</v>
      </c>
      <c r="F3559" s="191">
        <f t="shared" si="57"/>
        <v>257.51666666666665</v>
      </c>
    </row>
    <row r="3560" spans="2:6" ht="15" customHeight="1" x14ac:dyDescent="0.2">
      <c r="B3560" s="188" t="s">
        <v>387</v>
      </c>
      <c r="C3560" s="189" t="s">
        <v>142</v>
      </c>
      <c r="D3560" s="189"/>
      <c r="E3560" s="190" t="s">
        <v>6252</v>
      </c>
      <c r="F3560" s="191">
        <f t="shared" si="57"/>
        <v>345.11666666666667</v>
      </c>
    </row>
    <row r="3561" spans="2:6" ht="15" customHeight="1" x14ac:dyDescent="0.2">
      <c r="B3561" s="188" t="s">
        <v>6253</v>
      </c>
      <c r="C3561" s="189" t="s">
        <v>130</v>
      </c>
      <c r="D3561" s="189"/>
      <c r="E3561" s="190" t="s">
        <v>6254</v>
      </c>
      <c r="F3561" s="191">
        <f t="shared" si="57"/>
        <v>225.63333333333333</v>
      </c>
    </row>
    <row r="3562" spans="2:6" ht="15" customHeight="1" x14ac:dyDescent="0.2">
      <c r="B3562" s="188" t="s">
        <v>6255</v>
      </c>
      <c r="C3562" s="189" t="s">
        <v>136</v>
      </c>
      <c r="D3562" s="189"/>
      <c r="E3562" s="190" t="s">
        <v>2205</v>
      </c>
      <c r="F3562" s="191">
        <f t="shared" si="57"/>
        <v>269.01666666666665</v>
      </c>
    </row>
    <row r="3563" spans="2:6" ht="15" customHeight="1" x14ac:dyDescent="0.2">
      <c r="B3563" s="188" t="s">
        <v>6256</v>
      </c>
      <c r="C3563" s="189" t="s">
        <v>142</v>
      </c>
      <c r="D3563" s="189"/>
      <c r="E3563" s="190" t="s">
        <v>5045</v>
      </c>
      <c r="F3563" s="191">
        <f t="shared" si="57"/>
        <v>257.73333333333335</v>
      </c>
    </row>
    <row r="3564" spans="2:6" ht="15" customHeight="1" x14ac:dyDescent="0.2">
      <c r="B3564" s="188" t="s">
        <v>2309</v>
      </c>
      <c r="C3564" s="189" t="s">
        <v>128</v>
      </c>
      <c r="D3564" s="189"/>
      <c r="E3564" s="190" t="s">
        <v>2310</v>
      </c>
      <c r="F3564" s="191">
        <f t="shared" si="57"/>
        <v>231.51666666666668</v>
      </c>
    </row>
    <row r="3565" spans="2:6" ht="15" customHeight="1" x14ac:dyDescent="0.2">
      <c r="B3565" s="188" t="s">
        <v>6257</v>
      </c>
      <c r="C3565" s="189" t="s">
        <v>135</v>
      </c>
      <c r="D3565" s="189"/>
      <c r="E3565" s="190" t="s">
        <v>3491</v>
      </c>
      <c r="F3565" s="191">
        <f t="shared" si="57"/>
        <v>255.45</v>
      </c>
    </row>
    <row r="3566" spans="2:6" ht="15" customHeight="1" x14ac:dyDescent="0.2">
      <c r="B3566" s="188" t="s">
        <v>6258</v>
      </c>
      <c r="C3566" s="189" t="s">
        <v>249</v>
      </c>
      <c r="D3566" s="189"/>
      <c r="E3566" s="190" t="s">
        <v>1792</v>
      </c>
      <c r="F3566" s="191">
        <f t="shared" si="57"/>
        <v>299.93333333333334</v>
      </c>
    </row>
    <row r="3567" spans="2:6" ht="15" customHeight="1" x14ac:dyDescent="0.2">
      <c r="B3567" s="188" t="s">
        <v>6259</v>
      </c>
      <c r="C3567" s="189" t="s">
        <v>130</v>
      </c>
      <c r="D3567" s="189"/>
      <c r="E3567" s="190" t="s">
        <v>1052</v>
      </c>
      <c r="F3567" s="191">
        <f t="shared" si="57"/>
        <v>235.08333333333334</v>
      </c>
    </row>
    <row r="3568" spans="2:6" ht="15" customHeight="1" x14ac:dyDescent="0.2">
      <c r="B3568" s="188" t="s">
        <v>6260</v>
      </c>
      <c r="C3568" s="189" t="s">
        <v>128</v>
      </c>
      <c r="D3568" s="189"/>
      <c r="E3568" s="190" t="s">
        <v>5271</v>
      </c>
      <c r="F3568" s="191">
        <f t="shared" si="57"/>
        <v>260.35000000000002</v>
      </c>
    </row>
    <row r="3569" spans="2:6" ht="15" customHeight="1" x14ac:dyDescent="0.2">
      <c r="B3569" s="188" t="s">
        <v>6261</v>
      </c>
      <c r="C3569" s="189" t="s">
        <v>134</v>
      </c>
      <c r="D3569" s="189"/>
      <c r="E3569" s="190" t="s">
        <v>3533</v>
      </c>
      <c r="F3569" s="191">
        <f t="shared" si="57"/>
        <v>214.51666666666668</v>
      </c>
    </row>
    <row r="3570" spans="2:6" ht="15" customHeight="1" x14ac:dyDescent="0.2">
      <c r="B3570" s="188" t="s">
        <v>335</v>
      </c>
      <c r="C3570" s="189" t="s">
        <v>142</v>
      </c>
      <c r="D3570" s="189"/>
      <c r="E3570" s="190" t="s">
        <v>6031</v>
      </c>
      <c r="F3570" s="191">
        <f t="shared" si="57"/>
        <v>237.45</v>
      </c>
    </row>
    <row r="3571" spans="2:6" ht="15" customHeight="1" x14ac:dyDescent="0.2">
      <c r="B3571" s="188" t="s">
        <v>4179</v>
      </c>
      <c r="C3571" s="189" t="s">
        <v>140</v>
      </c>
      <c r="D3571" s="189"/>
      <c r="E3571" s="190" t="s">
        <v>4180</v>
      </c>
      <c r="F3571" s="191">
        <f t="shared" si="57"/>
        <v>243.51666666666668</v>
      </c>
    </row>
    <row r="3572" spans="2:6" ht="15" customHeight="1" x14ac:dyDescent="0.2">
      <c r="B3572" s="188" t="s">
        <v>6262</v>
      </c>
      <c r="C3572" s="189" t="s">
        <v>142</v>
      </c>
      <c r="D3572" s="189"/>
      <c r="E3572" s="190" t="s">
        <v>1081</v>
      </c>
      <c r="F3572" s="191">
        <f t="shared" si="57"/>
        <v>223.71666666666667</v>
      </c>
    </row>
    <row r="3573" spans="2:6" ht="15" customHeight="1" x14ac:dyDescent="0.2">
      <c r="B3573" s="188" t="s">
        <v>6263</v>
      </c>
      <c r="C3573" s="189" t="s">
        <v>124</v>
      </c>
      <c r="D3573" s="189"/>
      <c r="E3573" s="190" t="s">
        <v>6264</v>
      </c>
      <c r="F3573" s="191">
        <f t="shared" si="57"/>
        <v>277.26666666666665</v>
      </c>
    </row>
    <row r="3574" spans="2:6" ht="15" customHeight="1" x14ac:dyDescent="0.2">
      <c r="B3574" s="188" t="s">
        <v>6265</v>
      </c>
      <c r="C3574" s="189" t="s">
        <v>126</v>
      </c>
      <c r="D3574" s="189"/>
      <c r="E3574" s="190" t="s">
        <v>5796</v>
      </c>
      <c r="F3574" s="191">
        <f t="shared" si="57"/>
        <v>249.86666666666667</v>
      </c>
    </row>
    <row r="3575" spans="2:6" ht="15" customHeight="1" x14ac:dyDescent="0.2">
      <c r="B3575" s="188" t="s">
        <v>6266</v>
      </c>
      <c r="C3575" s="189" t="s">
        <v>125</v>
      </c>
      <c r="D3575" s="189"/>
      <c r="E3575" s="190" t="s">
        <v>6267</v>
      </c>
      <c r="F3575" s="191">
        <f t="shared" si="57"/>
        <v>177.45</v>
      </c>
    </row>
    <row r="3576" spans="2:6" ht="15" customHeight="1" x14ac:dyDescent="0.2">
      <c r="B3576" s="188" t="s">
        <v>6268</v>
      </c>
      <c r="C3576" s="189" t="s">
        <v>124</v>
      </c>
      <c r="D3576" s="189"/>
      <c r="E3576" s="190" t="s">
        <v>6269</v>
      </c>
      <c r="F3576" s="191">
        <f t="shared" si="57"/>
        <v>225.53333333333333</v>
      </c>
    </row>
    <row r="3577" spans="2:6" ht="15" customHeight="1" x14ac:dyDescent="0.2">
      <c r="B3577" s="188" t="s">
        <v>6270</v>
      </c>
      <c r="C3577" s="189" t="s">
        <v>142</v>
      </c>
      <c r="D3577" s="189"/>
      <c r="E3577" s="190" t="s">
        <v>6271</v>
      </c>
      <c r="F3577" s="191">
        <f t="shared" si="57"/>
        <v>281.01666666666665</v>
      </c>
    </row>
    <row r="3578" spans="2:6" ht="15" customHeight="1" x14ac:dyDescent="0.2">
      <c r="B3578" s="188" t="s">
        <v>5183</v>
      </c>
      <c r="C3578" s="189" t="s">
        <v>134</v>
      </c>
      <c r="D3578" s="189"/>
      <c r="E3578" s="190" t="s">
        <v>5184</v>
      </c>
      <c r="F3578" s="191">
        <f t="shared" si="57"/>
        <v>222.23333333333332</v>
      </c>
    </row>
    <row r="3579" spans="2:6" ht="15" customHeight="1" x14ac:dyDescent="0.2">
      <c r="B3579" s="188" t="s">
        <v>352</v>
      </c>
      <c r="C3579" s="189" t="s">
        <v>125</v>
      </c>
      <c r="D3579" s="189"/>
      <c r="E3579" s="190" t="s">
        <v>6272</v>
      </c>
      <c r="F3579" s="191">
        <f t="shared" si="57"/>
        <v>259.85000000000002</v>
      </c>
    </row>
    <row r="3580" spans="2:6" ht="15" customHeight="1" x14ac:dyDescent="0.2">
      <c r="B3580" s="188" t="s">
        <v>3447</v>
      </c>
      <c r="C3580" s="189" t="s">
        <v>249</v>
      </c>
      <c r="D3580" s="189"/>
      <c r="E3580" s="190" t="s">
        <v>3448</v>
      </c>
      <c r="F3580" s="191">
        <f t="shared" si="57"/>
        <v>265.83333333333331</v>
      </c>
    </row>
    <row r="3581" spans="2:6" ht="15" customHeight="1" x14ac:dyDescent="0.2">
      <c r="B3581" s="188" t="s">
        <v>6273</v>
      </c>
      <c r="C3581" s="189" t="s">
        <v>142</v>
      </c>
      <c r="D3581" s="189"/>
      <c r="E3581" s="190" t="s">
        <v>6274</v>
      </c>
      <c r="F3581" s="191">
        <f t="shared" si="57"/>
        <v>269.60000000000002</v>
      </c>
    </row>
    <row r="3582" spans="2:6" ht="15" customHeight="1" x14ac:dyDescent="0.2">
      <c r="B3582" s="188" t="s">
        <v>6275</v>
      </c>
      <c r="C3582" s="189" t="s">
        <v>134</v>
      </c>
      <c r="D3582" s="189"/>
      <c r="E3582" s="190" t="s">
        <v>2943</v>
      </c>
      <c r="F3582" s="191">
        <f t="shared" si="57"/>
        <v>289.31666666666666</v>
      </c>
    </row>
    <row r="3583" spans="2:6" ht="15" customHeight="1" x14ac:dyDescent="0.2">
      <c r="B3583" s="188" t="s">
        <v>5916</v>
      </c>
      <c r="C3583" s="189" t="s">
        <v>134</v>
      </c>
      <c r="D3583" s="189"/>
      <c r="E3583" s="190" t="s">
        <v>5917</v>
      </c>
      <c r="F3583" s="191">
        <f t="shared" si="57"/>
        <v>190.36666666666667</v>
      </c>
    </row>
    <row r="3584" spans="2:6" ht="15" customHeight="1" x14ac:dyDescent="0.2">
      <c r="B3584" s="188" t="s">
        <v>6276</v>
      </c>
      <c r="C3584" s="189" t="s">
        <v>134</v>
      </c>
      <c r="D3584" s="189"/>
      <c r="E3584" s="190" t="s">
        <v>6277</v>
      </c>
      <c r="F3584" s="191">
        <f t="shared" si="57"/>
        <v>214.9</v>
      </c>
    </row>
    <row r="3585" spans="2:6" ht="15" customHeight="1" x14ac:dyDescent="0.2">
      <c r="B3585" s="188" t="s">
        <v>6278</v>
      </c>
      <c r="C3585" s="189" t="s">
        <v>134</v>
      </c>
      <c r="D3585" s="189"/>
      <c r="E3585" s="190" t="s">
        <v>6279</v>
      </c>
      <c r="F3585" s="191">
        <f t="shared" si="57"/>
        <v>197.26666666666668</v>
      </c>
    </row>
    <row r="3586" spans="2:6" ht="15" customHeight="1" x14ac:dyDescent="0.2">
      <c r="B3586" s="188" t="s">
        <v>6280</v>
      </c>
      <c r="C3586" s="189" t="s">
        <v>126</v>
      </c>
      <c r="D3586" s="189"/>
      <c r="E3586" s="190" t="s">
        <v>6281</v>
      </c>
      <c r="F3586" s="191">
        <f t="shared" si="57"/>
        <v>250.38333333333333</v>
      </c>
    </row>
    <row r="3587" spans="2:6" ht="15" customHeight="1" x14ac:dyDescent="0.2">
      <c r="B3587" s="188" t="s">
        <v>6282</v>
      </c>
      <c r="C3587" s="189" t="s">
        <v>142</v>
      </c>
      <c r="D3587" s="189"/>
      <c r="E3587" s="190" t="s">
        <v>4472</v>
      </c>
      <c r="F3587" s="191">
        <f t="shared" si="57"/>
        <v>218.15</v>
      </c>
    </row>
    <row r="3588" spans="2:6" ht="15" customHeight="1" x14ac:dyDescent="0.2">
      <c r="B3588" s="188" t="s">
        <v>6283</v>
      </c>
      <c r="C3588" s="189" t="s">
        <v>136</v>
      </c>
      <c r="D3588" s="189"/>
      <c r="E3588" s="190" t="s">
        <v>6284</v>
      </c>
      <c r="F3588" s="191">
        <f t="shared" si="57"/>
        <v>249.06666666666666</v>
      </c>
    </row>
    <row r="3589" spans="2:6" ht="15" customHeight="1" x14ac:dyDescent="0.2">
      <c r="B3589" s="188" t="s">
        <v>5290</v>
      </c>
      <c r="C3589" s="189" t="s">
        <v>124</v>
      </c>
      <c r="D3589" s="189"/>
      <c r="E3589" s="190" t="s">
        <v>5291</v>
      </c>
      <c r="F3589" s="191">
        <f t="shared" si="57"/>
        <v>265.98333333333335</v>
      </c>
    </row>
    <row r="3590" spans="2:6" ht="15" customHeight="1" x14ac:dyDescent="0.2">
      <c r="B3590" s="188" t="s">
        <v>6285</v>
      </c>
      <c r="C3590" s="189" t="s">
        <v>126</v>
      </c>
      <c r="D3590" s="189"/>
      <c r="E3590" s="190" t="s">
        <v>3950</v>
      </c>
      <c r="F3590" s="191">
        <f t="shared" si="57"/>
        <v>194.41666666666666</v>
      </c>
    </row>
    <row r="3591" spans="2:6" ht="15" customHeight="1" x14ac:dyDescent="0.2">
      <c r="B3591" s="188" t="s">
        <v>6286</v>
      </c>
      <c r="C3591" s="189" t="s">
        <v>134</v>
      </c>
      <c r="D3591" s="189"/>
      <c r="E3591" s="190" t="s">
        <v>6287</v>
      </c>
      <c r="F3591" s="191">
        <f t="shared" si="57"/>
        <v>249.26666666666668</v>
      </c>
    </row>
    <row r="3592" spans="2:6" ht="15" customHeight="1" x14ac:dyDescent="0.2">
      <c r="B3592" s="188" t="s">
        <v>506</v>
      </c>
      <c r="C3592" s="189" t="s">
        <v>140</v>
      </c>
      <c r="D3592" s="189"/>
      <c r="E3592" s="190" t="s">
        <v>6288</v>
      </c>
      <c r="F3592" s="191">
        <f t="shared" si="57"/>
        <v>323.38333333333333</v>
      </c>
    </row>
    <row r="3593" spans="2:6" ht="15" customHeight="1" x14ac:dyDescent="0.2">
      <c r="B3593" s="188" t="s">
        <v>6289</v>
      </c>
      <c r="C3593" s="189" t="s">
        <v>130</v>
      </c>
      <c r="D3593" s="189"/>
      <c r="E3593" s="190" t="s">
        <v>6290</v>
      </c>
      <c r="F3593" s="191">
        <f t="shared" si="57"/>
        <v>258.93333333333334</v>
      </c>
    </row>
    <row r="3594" spans="2:6" ht="15" customHeight="1" x14ac:dyDescent="0.2">
      <c r="B3594" s="188" t="s">
        <v>6291</v>
      </c>
      <c r="C3594" s="189" t="s">
        <v>124</v>
      </c>
      <c r="D3594" s="189"/>
      <c r="E3594" s="190" t="s">
        <v>6292</v>
      </c>
      <c r="F3594" s="191">
        <f t="shared" si="57"/>
        <v>186.08333333333334</v>
      </c>
    </row>
    <row r="3595" spans="2:6" ht="15" customHeight="1" x14ac:dyDescent="0.2">
      <c r="B3595" s="188" t="s">
        <v>6293</v>
      </c>
      <c r="C3595" s="189" t="s">
        <v>128</v>
      </c>
      <c r="D3595" s="189"/>
      <c r="E3595" s="190" t="s">
        <v>6294</v>
      </c>
      <c r="F3595" s="191">
        <f t="shared" ref="F3595:F3658" si="58">HOUR(E3595)*60+MINUTE(E3595)+SECOND(E3595)/60</f>
        <v>295.85000000000002</v>
      </c>
    </row>
    <row r="3596" spans="2:6" ht="15" customHeight="1" x14ac:dyDescent="0.2">
      <c r="B3596" s="188" t="s">
        <v>6295</v>
      </c>
      <c r="C3596" s="189" t="s">
        <v>130</v>
      </c>
      <c r="D3596" s="189"/>
      <c r="E3596" s="190" t="s">
        <v>6296</v>
      </c>
      <c r="F3596" s="191">
        <f t="shared" si="58"/>
        <v>312.28333333333336</v>
      </c>
    </row>
    <row r="3597" spans="2:6" ht="15" customHeight="1" x14ac:dyDescent="0.2">
      <c r="B3597" s="188" t="s">
        <v>432</v>
      </c>
      <c r="C3597" s="189" t="s">
        <v>125</v>
      </c>
      <c r="D3597" s="189"/>
      <c r="E3597" s="190" t="s">
        <v>6297</v>
      </c>
      <c r="F3597" s="191">
        <f t="shared" si="58"/>
        <v>211.16666666666666</v>
      </c>
    </row>
    <row r="3598" spans="2:6" ht="15" customHeight="1" x14ac:dyDescent="0.2">
      <c r="B3598" s="188" t="s">
        <v>6298</v>
      </c>
      <c r="C3598" s="189" t="s">
        <v>128</v>
      </c>
      <c r="D3598" s="189"/>
      <c r="E3598" s="190" t="s">
        <v>6299</v>
      </c>
      <c r="F3598" s="191">
        <f t="shared" si="58"/>
        <v>254.4</v>
      </c>
    </row>
    <row r="3599" spans="2:6" ht="15" customHeight="1" x14ac:dyDescent="0.2">
      <c r="B3599" s="188" t="s">
        <v>1213</v>
      </c>
      <c r="C3599" s="189" t="s">
        <v>125</v>
      </c>
      <c r="D3599" s="189"/>
      <c r="E3599" s="190" t="s">
        <v>1214</v>
      </c>
      <c r="F3599" s="191">
        <f t="shared" si="58"/>
        <v>265.95</v>
      </c>
    </row>
    <row r="3600" spans="2:6" ht="15" customHeight="1" x14ac:dyDescent="0.2">
      <c r="B3600" s="188" t="s">
        <v>6300</v>
      </c>
      <c r="C3600" s="189" t="s">
        <v>124</v>
      </c>
      <c r="D3600" s="189"/>
      <c r="E3600" s="190" t="s">
        <v>1260</v>
      </c>
      <c r="F3600" s="191">
        <f t="shared" si="58"/>
        <v>210.13333333333333</v>
      </c>
    </row>
    <row r="3601" spans="2:6" ht="15" customHeight="1" x14ac:dyDescent="0.2">
      <c r="B3601" s="188" t="s">
        <v>6301</v>
      </c>
      <c r="C3601" s="189" t="s">
        <v>134</v>
      </c>
      <c r="D3601" s="189"/>
      <c r="E3601" s="190" t="s">
        <v>4859</v>
      </c>
      <c r="F3601" s="191">
        <f t="shared" si="58"/>
        <v>290.98333333333335</v>
      </c>
    </row>
    <row r="3602" spans="2:6" ht="15" customHeight="1" x14ac:dyDescent="0.2">
      <c r="B3602" s="188" t="s">
        <v>6302</v>
      </c>
      <c r="C3602" s="189" t="s">
        <v>126</v>
      </c>
      <c r="D3602" s="189"/>
      <c r="E3602" s="190" t="s">
        <v>6303</v>
      </c>
      <c r="F3602" s="191">
        <f t="shared" si="58"/>
        <v>211.05</v>
      </c>
    </row>
    <row r="3603" spans="2:6" ht="15" customHeight="1" x14ac:dyDescent="0.2">
      <c r="B3603" s="188" t="s">
        <v>294</v>
      </c>
      <c r="C3603" s="189" t="s">
        <v>142</v>
      </c>
      <c r="D3603" s="189"/>
      <c r="E3603" s="190" t="s">
        <v>6304</v>
      </c>
      <c r="F3603" s="191">
        <f t="shared" si="58"/>
        <v>184.9</v>
      </c>
    </row>
    <row r="3604" spans="2:6" ht="15" customHeight="1" x14ac:dyDescent="0.2">
      <c r="B3604" s="188" t="s">
        <v>6305</v>
      </c>
      <c r="C3604" s="189" t="s">
        <v>135</v>
      </c>
      <c r="D3604" s="189"/>
      <c r="E3604" s="190" t="s">
        <v>6306</v>
      </c>
      <c r="F3604" s="191">
        <f t="shared" si="58"/>
        <v>308.03333333333336</v>
      </c>
    </row>
    <row r="3605" spans="2:6" ht="15" customHeight="1" x14ac:dyDescent="0.2">
      <c r="B3605" s="188" t="s">
        <v>641</v>
      </c>
      <c r="C3605" s="189" t="s">
        <v>124</v>
      </c>
      <c r="D3605" s="189"/>
      <c r="E3605" s="190" t="s">
        <v>3553</v>
      </c>
      <c r="F3605" s="191">
        <f t="shared" si="58"/>
        <v>228.28333333333333</v>
      </c>
    </row>
    <row r="3606" spans="2:6" ht="15" customHeight="1" x14ac:dyDescent="0.2">
      <c r="B3606" s="188" t="s">
        <v>6307</v>
      </c>
      <c r="C3606" s="189" t="s">
        <v>124</v>
      </c>
      <c r="D3606" s="189"/>
      <c r="E3606" s="190" t="s">
        <v>6308</v>
      </c>
      <c r="F3606" s="191">
        <f t="shared" si="58"/>
        <v>284.7</v>
      </c>
    </row>
    <row r="3607" spans="2:6" ht="15" customHeight="1" x14ac:dyDescent="0.2">
      <c r="B3607" s="188" t="s">
        <v>6309</v>
      </c>
      <c r="C3607" s="189" t="s">
        <v>134</v>
      </c>
      <c r="D3607" s="189"/>
      <c r="E3607" s="190" t="s">
        <v>6310</v>
      </c>
      <c r="F3607" s="191">
        <f t="shared" si="58"/>
        <v>326.33333333333331</v>
      </c>
    </row>
    <row r="3608" spans="2:6" ht="15" customHeight="1" x14ac:dyDescent="0.2">
      <c r="B3608" s="188" t="s">
        <v>6311</v>
      </c>
      <c r="C3608" s="189" t="s">
        <v>125</v>
      </c>
      <c r="D3608" s="189"/>
      <c r="E3608" s="190" t="s">
        <v>6312</v>
      </c>
      <c r="F3608" s="191">
        <f t="shared" si="58"/>
        <v>285.89999999999998</v>
      </c>
    </row>
    <row r="3609" spans="2:6" ht="15" customHeight="1" x14ac:dyDescent="0.2">
      <c r="B3609" s="188" t="s">
        <v>6313</v>
      </c>
      <c r="C3609" s="189" t="s">
        <v>142</v>
      </c>
      <c r="D3609" s="189"/>
      <c r="E3609" s="190" t="s">
        <v>3143</v>
      </c>
      <c r="F3609" s="191">
        <f t="shared" si="58"/>
        <v>260.81666666666666</v>
      </c>
    </row>
    <row r="3610" spans="2:6" ht="15" customHeight="1" x14ac:dyDescent="0.2">
      <c r="B3610" s="188" t="s">
        <v>5756</v>
      </c>
      <c r="C3610" s="189" t="s">
        <v>126</v>
      </c>
      <c r="D3610" s="189"/>
      <c r="E3610" s="190" t="s">
        <v>3325</v>
      </c>
      <c r="F3610" s="191">
        <f t="shared" si="58"/>
        <v>219.43333333333334</v>
      </c>
    </row>
    <row r="3611" spans="2:6" ht="15" customHeight="1" x14ac:dyDescent="0.2">
      <c r="B3611" s="188" t="s">
        <v>4676</v>
      </c>
      <c r="C3611" s="189" t="s">
        <v>128</v>
      </c>
      <c r="D3611" s="189"/>
      <c r="E3611" s="190" t="s">
        <v>4677</v>
      </c>
      <c r="F3611" s="191">
        <f t="shared" si="58"/>
        <v>191.05</v>
      </c>
    </row>
    <row r="3612" spans="2:6" ht="15" customHeight="1" x14ac:dyDescent="0.2">
      <c r="B3612" s="188" t="s">
        <v>6314</v>
      </c>
      <c r="C3612" s="189" t="s">
        <v>126</v>
      </c>
      <c r="D3612" s="189"/>
      <c r="E3612" s="190" t="s">
        <v>3729</v>
      </c>
      <c r="F3612" s="191">
        <f t="shared" si="58"/>
        <v>208.98333333333332</v>
      </c>
    </row>
    <row r="3613" spans="2:6" ht="15" customHeight="1" x14ac:dyDescent="0.2">
      <c r="B3613" s="188" t="s">
        <v>6315</v>
      </c>
      <c r="C3613" s="189" t="s">
        <v>125</v>
      </c>
      <c r="D3613" s="189"/>
      <c r="E3613" s="190" t="s">
        <v>3544</v>
      </c>
      <c r="F3613" s="191">
        <f t="shared" si="58"/>
        <v>242.38333333333333</v>
      </c>
    </row>
    <row r="3614" spans="2:6" ht="15" customHeight="1" x14ac:dyDescent="0.2">
      <c r="B3614" s="188" t="s">
        <v>6316</v>
      </c>
      <c r="C3614" s="189" t="s">
        <v>136</v>
      </c>
      <c r="D3614" s="189"/>
      <c r="E3614" s="190" t="s">
        <v>3323</v>
      </c>
      <c r="F3614" s="191">
        <f t="shared" si="58"/>
        <v>264.76666666666665</v>
      </c>
    </row>
    <row r="3615" spans="2:6" ht="15" customHeight="1" x14ac:dyDescent="0.2">
      <c r="B3615" s="188" t="s">
        <v>3744</v>
      </c>
      <c r="C3615" s="189" t="s">
        <v>135</v>
      </c>
      <c r="D3615" s="189"/>
      <c r="E3615" s="190" t="s">
        <v>3745</v>
      </c>
      <c r="F3615" s="191">
        <f t="shared" si="58"/>
        <v>202.88333333333333</v>
      </c>
    </row>
    <row r="3616" spans="2:6" ht="15" customHeight="1" x14ac:dyDescent="0.2">
      <c r="B3616" s="188" t="s">
        <v>492</v>
      </c>
      <c r="C3616" s="189" t="s">
        <v>125</v>
      </c>
      <c r="D3616" s="189"/>
      <c r="E3616" s="190" t="s">
        <v>1895</v>
      </c>
      <c r="F3616" s="191">
        <f t="shared" si="58"/>
        <v>231.76666666666668</v>
      </c>
    </row>
    <row r="3617" spans="2:6" ht="15" customHeight="1" x14ac:dyDescent="0.2">
      <c r="B3617" s="188" t="s">
        <v>6317</v>
      </c>
      <c r="C3617" s="189" t="s">
        <v>135</v>
      </c>
      <c r="D3617" s="189"/>
      <c r="E3617" s="190" t="s">
        <v>6318</v>
      </c>
      <c r="F3617" s="191">
        <f t="shared" si="58"/>
        <v>263.48333333333335</v>
      </c>
    </row>
    <row r="3618" spans="2:6" ht="15" customHeight="1" x14ac:dyDescent="0.2">
      <c r="B3618" s="188" t="s">
        <v>6319</v>
      </c>
      <c r="C3618" s="189" t="s">
        <v>130</v>
      </c>
      <c r="D3618" s="189"/>
      <c r="E3618" s="190" t="s">
        <v>6320</v>
      </c>
      <c r="F3618" s="191">
        <f t="shared" si="58"/>
        <v>168.55</v>
      </c>
    </row>
    <row r="3619" spans="2:6" ht="15" customHeight="1" x14ac:dyDescent="0.2">
      <c r="B3619" s="188" t="s">
        <v>6321</v>
      </c>
      <c r="C3619" s="189" t="s">
        <v>134</v>
      </c>
      <c r="D3619" s="189"/>
      <c r="E3619" s="190" t="s">
        <v>6322</v>
      </c>
      <c r="F3619" s="191">
        <f t="shared" si="58"/>
        <v>186.66666666666666</v>
      </c>
    </row>
    <row r="3620" spans="2:6" ht="15" customHeight="1" x14ac:dyDescent="0.2">
      <c r="B3620" s="188" t="s">
        <v>6323</v>
      </c>
      <c r="C3620" s="189" t="s">
        <v>128</v>
      </c>
      <c r="D3620" s="189"/>
      <c r="E3620" s="190" t="s">
        <v>6324</v>
      </c>
      <c r="F3620" s="191">
        <f t="shared" si="58"/>
        <v>290.60000000000002</v>
      </c>
    </row>
    <row r="3621" spans="2:6" ht="15" customHeight="1" x14ac:dyDescent="0.2">
      <c r="B3621" s="188" t="s">
        <v>6325</v>
      </c>
      <c r="C3621" s="189" t="s">
        <v>130</v>
      </c>
      <c r="D3621" s="189"/>
      <c r="E3621" s="190" t="s">
        <v>1339</v>
      </c>
      <c r="F3621" s="191">
        <f t="shared" si="58"/>
        <v>255.81666666666666</v>
      </c>
    </row>
    <row r="3622" spans="2:6" ht="15" customHeight="1" x14ac:dyDescent="0.2">
      <c r="B3622" s="188" t="s">
        <v>480</v>
      </c>
      <c r="C3622" s="189" t="s">
        <v>124</v>
      </c>
      <c r="D3622" s="189"/>
      <c r="E3622" s="190" t="s">
        <v>1453</v>
      </c>
      <c r="F3622" s="191">
        <f t="shared" si="58"/>
        <v>267.8</v>
      </c>
    </row>
    <row r="3623" spans="2:6" ht="15" customHeight="1" x14ac:dyDescent="0.2">
      <c r="B3623" s="188" t="s">
        <v>6326</v>
      </c>
      <c r="C3623" s="189" t="s">
        <v>130</v>
      </c>
      <c r="D3623" s="189"/>
      <c r="E3623" s="190" t="s">
        <v>6327</v>
      </c>
      <c r="F3623" s="191">
        <f t="shared" si="58"/>
        <v>240.48333333333332</v>
      </c>
    </row>
    <row r="3624" spans="2:6" ht="15" customHeight="1" x14ac:dyDescent="0.2">
      <c r="B3624" s="188" t="s">
        <v>6328</v>
      </c>
      <c r="C3624" s="189" t="s">
        <v>124</v>
      </c>
      <c r="D3624" s="189"/>
      <c r="E3624" s="190" t="s">
        <v>5276</v>
      </c>
      <c r="F3624" s="191">
        <f t="shared" si="58"/>
        <v>273.21666666666664</v>
      </c>
    </row>
    <row r="3625" spans="2:6" ht="15" customHeight="1" x14ac:dyDescent="0.2">
      <c r="B3625" s="188" t="s">
        <v>523</v>
      </c>
      <c r="C3625" s="189" t="s">
        <v>142</v>
      </c>
      <c r="D3625" s="189"/>
      <c r="E3625" s="190" t="s">
        <v>6329</v>
      </c>
      <c r="F3625" s="191">
        <f t="shared" si="58"/>
        <v>270.56666666666666</v>
      </c>
    </row>
    <row r="3626" spans="2:6" ht="15" customHeight="1" x14ac:dyDescent="0.2">
      <c r="B3626" s="188" t="s">
        <v>6330</v>
      </c>
      <c r="C3626" s="189" t="s">
        <v>136</v>
      </c>
      <c r="D3626" s="189"/>
      <c r="E3626" s="190" t="s">
        <v>4110</v>
      </c>
      <c r="F3626" s="191">
        <f t="shared" si="58"/>
        <v>236.98333333333332</v>
      </c>
    </row>
    <row r="3627" spans="2:6" ht="15" customHeight="1" x14ac:dyDescent="0.2">
      <c r="B3627" s="188" t="s">
        <v>6331</v>
      </c>
      <c r="C3627" s="189" t="s">
        <v>126</v>
      </c>
      <c r="D3627" s="189"/>
      <c r="E3627" s="190" t="s">
        <v>6332</v>
      </c>
      <c r="F3627" s="191">
        <f t="shared" si="58"/>
        <v>223.56666666666666</v>
      </c>
    </row>
    <row r="3628" spans="2:6" ht="15" customHeight="1" x14ac:dyDescent="0.2">
      <c r="B3628" s="188" t="s">
        <v>6333</v>
      </c>
      <c r="C3628" s="189" t="s">
        <v>125</v>
      </c>
      <c r="D3628" s="189"/>
      <c r="E3628" s="190" t="s">
        <v>936</v>
      </c>
      <c r="F3628" s="191">
        <f t="shared" si="58"/>
        <v>262.5</v>
      </c>
    </row>
    <row r="3629" spans="2:6" ht="15" customHeight="1" x14ac:dyDescent="0.2">
      <c r="B3629" s="188" t="s">
        <v>6334</v>
      </c>
      <c r="C3629" s="189" t="s">
        <v>134</v>
      </c>
      <c r="D3629" s="189"/>
      <c r="E3629" s="190" t="s">
        <v>6335</v>
      </c>
      <c r="F3629" s="191">
        <f t="shared" si="58"/>
        <v>289.33333333333331</v>
      </c>
    </row>
    <row r="3630" spans="2:6" ht="15" customHeight="1" x14ac:dyDescent="0.2">
      <c r="B3630" s="188" t="s">
        <v>4864</v>
      </c>
      <c r="C3630" s="189" t="s">
        <v>126</v>
      </c>
      <c r="D3630" s="189"/>
      <c r="E3630" s="190" t="s">
        <v>3855</v>
      </c>
      <c r="F3630" s="191">
        <f t="shared" si="58"/>
        <v>243.55</v>
      </c>
    </row>
    <row r="3631" spans="2:6" ht="15" customHeight="1" x14ac:dyDescent="0.2">
      <c r="B3631" s="188" t="s">
        <v>6336</v>
      </c>
      <c r="C3631" s="189" t="s">
        <v>126</v>
      </c>
      <c r="D3631" s="189"/>
      <c r="E3631" s="190" t="s">
        <v>6337</v>
      </c>
      <c r="F3631" s="191">
        <f t="shared" si="58"/>
        <v>339.46666666666664</v>
      </c>
    </row>
    <row r="3632" spans="2:6" ht="15" customHeight="1" x14ac:dyDescent="0.2">
      <c r="B3632" s="188" t="s">
        <v>6338</v>
      </c>
      <c r="C3632" s="189" t="s">
        <v>134</v>
      </c>
      <c r="D3632" s="189"/>
      <c r="E3632" s="190" t="s">
        <v>1873</v>
      </c>
      <c r="F3632" s="191">
        <f t="shared" si="58"/>
        <v>239.33333333333334</v>
      </c>
    </row>
    <row r="3633" spans="2:6" ht="15" customHeight="1" x14ac:dyDescent="0.2">
      <c r="B3633" s="188" t="s">
        <v>6339</v>
      </c>
      <c r="C3633" s="189" t="s">
        <v>135</v>
      </c>
      <c r="D3633" s="189"/>
      <c r="E3633" s="190" t="s">
        <v>3802</v>
      </c>
      <c r="F3633" s="191">
        <f t="shared" si="58"/>
        <v>272.76666666666665</v>
      </c>
    </row>
    <row r="3634" spans="2:6" ht="15" customHeight="1" x14ac:dyDescent="0.2">
      <c r="B3634" s="188" t="s">
        <v>6340</v>
      </c>
      <c r="C3634" s="189" t="s">
        <v>134</v>
      </c>
      <c r="D3634" s="189"/>
      <c r="E3634" s="190" t="s">
        <v>6341</v>
      </c>
      <c r="F3634" s="191">
        <f t="shared" si="58"/>
        <v>307.41666666666669</v>
      </c>
    </row>
    <row r="3635" spans="2:6" ht="15" customHeight="1" x14ac:dyDescent="0.2">
      <c r="B3635" s="188" t="s">
        <v>6342</v>
      </c>
      <c r="C3635" s="189" t="s">
        <v>124</v>
      </c>
      <c r="D3635" s="189"/>
      <c r="E3635" s="190" t="s">
        <v>6343</v>
      </c>
      <c r="F3635" s="191">
        <f t="shared" si="58"/>
        <v>256.66666666666669</v>
      </c>
    </row>
    <row r="3636" spans="2:6" ht="15" customHeight="1" x14ac:dyDescent="0.2">
      <c r="B3636" s="188" t="s">
        <v>6344</v>
      </c>
      <c r="C3636" s="189" t="s">
        <v>142</v>
      </c>
      <c r="D3636" s="189"/>
      <c r="E3636" s="190" t="s">
        <v>6345</v>
      </c>
      <c r="F3636" s="191">
        <f t="shared" si="58"/>
        <v>201.26666666666668</v>
      </c>
    </row>
    <row r="3637" spans="2:6" ht="15" customHeight="1" x14ac:dyDescent="0.2">
      <c r="B3637" s="188" t="s">
        <v>6346</v>
      </c>
      <c r="C3637" s="189" t="s">
        <v>126</v>
      </c>
      <c r="D3637" s="189"/>
      <c r="E3637" s="190" t="s">
        <v>6347</v>
      </c>
      <c r="F3637" s="191">
        <f t="shared" si="58"/>
        <v>207.06666666666666</v>
      </c>
    </row>
    <row r="3638" spans="2:6" ht="15" customHeight="1" x14ac:dyDescent="0.2">
      <c r="B3638" s="188" t="s">
        <v>6348</v>
      </c>
      <c r="C3638" s="189" t="s">
        <v>135</v>
      </c>
      <c r="D3638" s="189"/>
      <c r="E3638" s="190" t="s">
        <v>6349</v>
      </c>
      <c r="F3638" s="191">
        <f t="shared" si="58"/>
        <v>282.31666666666666</v>
      </c>
    </row>
    <row r="3639" spans="2:6" ht="15" customHeight="1" x14ac:dyDescent="0.2">
      <c r="B3639" s="188" t="s">
        <v>6350</v>
      </c>
      <c r="C3639" s="189" t="s">
        <v>134</v>
      </c>
      <c r="D3639" s="189"/>
      <c r="E3639" s="190" t="s">
        <v>4710</v>
      </c>
      <c r="F3639" s="191">
        <f t="shared" si="58"/>
        <v>218.88333333333333</v>
      </c>
    </row>
    <row r="3640" spans="2:6" ht="15" customHeight="1" x14ac:dyDescent="0.2">
      <c r="B3640" s="188" t="s">
        <v>5647</v>
      </c>
      <c r="C3640" s="189" t="s">
        <v>134</v>
      </c>
      <c r="D3640" s="189"/>
      <c r="E3640" s="190" t="s">
        <v>4180</v>
      </c>
      <c r="F3640" s="191">
        <f t="shared" si="58"/>
        <v>243.51666666666668</v>
      </c>
    </row>
    <row r="3641" spans="2:6" ht="15" customHeight="1" x14ac:dyDescent="0.2">
      <c r="B3641" s="188" t="s">
        <v>6351</v>
      </c>
      <c r="C3641" s="189" t="s">
        <v>142</v>
      </c>
      <c r="D3641" s="189"/>
      <c r="E3641" s="190" t="s">
        <v>3288</v>
      </c>
      <c r="F3641" s="191">
        <f t="shared" si="58"/>
        <v>230.46666666666667</v>
      </c>
    </row>
    <row r="3642" spans="2:6" ht="15" customHeight="1" x14ac:dyDescent="0.2">
      <c r="B3642" s="188" t="s">
        <v>6352</v>
      </c>
      <c r="C3642" s="189" t="s">
        <v>134</v>
      </c>
      <c r="D3642" s="189"/>
      <c r="E3642" s="190" t="s">
        <v>3136</v>
      </c>
      <c r="F3642" s="191">
        <f t="shared" si="58"/>
        <v>236.13333333333333</v>
      </c>
    </row>
    <row r="3643" spans="2:6" ht="15" customHeight="1" x14ac:dyDescent="0.2">
      <c r="B3643" s="188" t="s">
        <v>6353</v>
      </c>
      <c r="C3643" s="189" t="s">
        <v>125</v>
      </c>
      <c r="D3643" s="189"/>
      <c r="E3643" s="190" t="s">
        <v>6354</v>
      </c>
      <c r="F3643" s="191">
        <f t="shared" si="58"/>
        <v>231.13333333333333</v>
      </c>
    </row>
    <row r="3644" spans="2:6" ht="15" customHeight="1" x14ac:dyDescent="0.2">
      <c r="B3644" s="188" t="s">
        <v>6355</v>
      </c>
      <c r="C3644" s="189" t="s">
        <v>124</v>
      </c>
      <c r="D3644" s="189"/>
      <c r="E3644" s="190" t="s">
        <v>4799</v>
      </c>
      <c r="F3644" s="191">
        <f t="shared" si="58"/>
        <v>238.73333333333332</v>
      </c>
    </row>
    <row r="3645" spans="2:6" ht="15" customHeight="1" x14ac:dyDescent="0.2">
      <c r="B3645" s="188" t="s">
        <v>6356</v>
      </c>
      <c r="C3645" s="189" t="s">
        <v>249</v>
      </c>
      <c r="D3645" s="189"/>
      <c r="E3645" s="190" t="s">
        <v>6357</v>
      </c>
      <c r="F3645" s="191">
        <f t="shared" si="58"/>
        <v>211.33333333333334</v>
      </c>
    </row>
    <row r="3646" spans="2:6" ht="15" customHeight="1" x14ac:dyDescent="0.2">
      <c r="B3646" s="188" t="s">
        <v>6358</v>
      </c>
      <c r="C3646" s="189" t="s">
        <v>134</v>
      </c>
      <c r="D3646" s="189"/>
      <c r="E3646" s="190" t="s">
        <v>6359</v>
      </c>
      <c r="F3646" s="191">
        <f t="shared" si="58"/>
        <v>193.65</v>
      </c>
    </row>
    <row r="3647" spans="2:6" ht="15" customHeight="1" x14ac:dyDescent="0.2">
      <c r="B3647" s="188" t="s">
        <v>6360</v>
      </c>
      <c r="C3647" s="189" t="s">
        <v>124</v>
      </c>
      <c r="D3647" s="189"/>
      <c r="E3647" s="190" t="s">
        <v>3376</v>
      </c>
      <c r="F3647" s="191">
        <f t="shared" si="58"/>
        <v>274.2</v>
      </c>
    </row>
    <row r="3648" spans="2:6" ht="15" customHeight="1" x14ac:dyDescent="0.2">
      <c r="B3648" s="188" t="s">
        <v>6361</v>
      </c>
      <c r="C3648" s="189" t="s">
        <v>135</v>
      </c>
      <c r="D3648" s="189"/>
      <c r="E3648" s="190" t="s">
        <v>6362</v>
      </c>
      <c r="F3648" s="191">
        <f t="shared" si="58"/>
        <v>256.60000000000002</v>
      </c>
    </row>
    <row r="3649" spans="2:6" ht="15" customHeight="1" x14ac:dyDescent="0.2">
      <c r="B3649" s="188" t="s">
        <v>6363</v>
      </c>
      <c r="C3649" s="189" t="s">
        <v>249</v>
      </c>
      <c r="D3649" s="189"/>
      <c r="E3649" s="190" t="s">
        <v>6364</v>
      </c>
      <c r="F3649" s="191">
        <f t="shared" si="58"/>
        <v>309.39999999999998</v>
      </c>
    </row>
    <row r="3650" spans="2:6" ht="15" customHeight="1" x14ac:dyDescent="0.2">
      <c r="B3650" s="188" t="s">
        <v>6365</v>
      </c>
      <c r="C3650" s="189" t="s">
        <v>142</v>
      </c>
      <c r="D3650" s="189"/>
      <c r="E3650" s="190" t="s">
        <v>6366</v>
      </c>
      <c r="F3650" s="191">
        <f t="shared" si="58"/>
        <v>257.36666666666667</v>
      </c>
    </row>
    <row r="3651" spans="2:6" ht="15" customHeight="1" x14ac:dyDescent="0.2">
      <c r="B3651" s="188" t="s">
        <v>6367</v>
      </c>
      <c r="C3651" s="189" t="s">
        <v>136</v>
      </c>
      <c r="D3651" s="189"/>
      <c r="E3651" s="190" t="s">
        <v>1703</v>
      </c>
      <c r="F3651" s="191">
        <f t="shared" si="58"/>
        <v>300.03333333333336</v>
      </c>
    </row>
    <row r="3652" spans="2:6" ht="15" customHeight="1" x14ac:dyDescent="0.2">
      <c r="B3652" s="188" t="s">
        <v>6368</v>
      </c>
      <c r="C3652" s="189" t="s">
        <v>249</v>
      </c>
      <c r="D3652" s="189"/>
      <c r="E3652" s="190" t="s">
        <v>6369</v>
      </c>
      <c r="F3652" s="191">
        <f t="shared" si="58"/>
        <v>308.98333333333335</v>
      </c>
    </row>
    <row r="3653" spans="2:6" ht="15" customHeight="1" x14ac:dyDescent="0.2">
      <c r="B3653" s="188" t="s">
        <v>449</v>
      </c>
      <c r="C3653" s="189" t="s">
        <v>124</v>
      </c>
      <c r="D3653" s="189"/>
      <c r="E3653" s="190" t="s">
        <v>6370</v>
      </c>
      <c r="F3653" s="191">
        <f t="shared" si="58"/>
        <v>224.56666666666666</v>
      </c>
    </row>
    <row r="3654" spans="2:6" ht="15" customHeight="1" x14ac:dyDescent="0.2">
      <c r="B3654" s="188" t="s">
        <v>6371</v>
      </c>
      <c r="C3654" s="189" t="s">
        <v>142</v>
      </c>
      <c r="D3654" s="189"/>
      <c r="E3654" s="190" t="s">
        <v>6372</v>
      </c>
      <c r="F3654" s="191">
        <f t="shared" si="58"/>
        <v>334.33333333333331</v>
      </c>
    </row>
    <row r="3655" spans="2:6" ht="15" customHeight="1" x14ac:dyDescent="0.2">
      <c r="B3655" s="188" t="s">
        <v>6373</v>
      </c>
      <c r="C3655" s="189" t="s">
        <v>125</v>
      </c>
      <c r="D3655" s="189"/>
      <c r="E3655" s="190" t="s">
        <v>6072</v>
      </c>
      <c r="F3655" s="191">
        <f t="shared" si="58"/>
        <v>235.25</v>
      </c>
    </row>
    <row r="3656" spans="2:6" ht="15" customHeight="1" x14ac:dyDescent="0.2">
      <c r="B3656" s="188" t="s">
        <v>181</v>
      </c>
      <c r="C3656" s="189" t="s">
        <v>125</v>
      </c>
      <c r="D3656" s="189"/>
      <c r="E3656" s="190" t="s">
        <v>3003</v>
      </c>
      <c r="F3656" s="191">
        <f t="shared" si="58"/>
        <v>253.83333333333334</v>
      </c>
    </row>
    <row r="3657" spans="2:6" ht="15" customHeight="1" x14ac:dyDescent="0.2">
      <c r="B3657" s="188" t="s">
        <v>6374</v>
      </c>
      <c r="C3657" s="189" t="s">
        <v>142</v>
      </c>
      <c r="D3657" s="189"/>
      <c r="E3657" s="190" t="s">
        <v>1761</v>
      </c>
      <c r="F3657" s="191">
        <f t="shared" si="58"/>
        <v>268.35000000000002</v>
      </c>
    </row>
    <row r="3658" spans="2:6" ht="15" customHeight="1" x14ac:dyDescent="0.2">
      <c r="B3658" s="188" t="s">
        <v>6375</v>
      </c>
      <c r="C3658" s="189" t="s">
        <v>130</v>
      </c>
      <c r="D3658" s="189"/>
      <c r="E3658" s="190" t="s">
        <v>6376</v>
      </c>
      <c r="F3658" s="191">
        <f t="shared" si="58"/>
        <v>215.98333333333332</v>
      </c>
    </row>
    <row r="3659" spans="2:6" ht="15" customHeight="1" x14ac:dyDescent="0.2">
      <c r="B3659" s="188" t="s">
        <v>6377</v>
      </c>
      <c r="C3659" s="189" t="s">
        <v>124</v>
      </c>
      <c r="D3659" s="189"/>
      <c r="E3659" s="190" t="s">
        <v>6131</v>
      </c>
      <c r="F3659" s="191">
        <f t="shared" ref="F3659:F3672" si="59">HOUR(E3659)*60+MINUTE(E3659)+SECOND(E3659)/60</f>
        <v>251.63333333333333</v>
      </c>
    </row>
    <row r="3660" spans="2:6" ht="15" customHeight="1" x14ac:dyDescent="0.2">
      <c r="B3660" s="188" t="s">
        <v>6378</v>
      </c>
      <c r="C3660" s="189" t="s">
        <v>125</v>
      </c>
      <c r="D3660" s="189"/>
      <c r="E3660" s="190" t="s">
        <v>2245</v>
      </c>
      <c r="F3660" s="191">
        <f t="shared" si="59"/>
        <v>216.31666666666666</v>
      </c>
    </row>
    <row r="3661" spans="2:6" ht="15" customHeight="1" x14ac:dyDescent="0.2">
      <c r="B3661" s="188" t="s">
        <v>5111</v>
      </c>
      <c r="C3661" s="189" t="s">
        <v>136</v>
      </c>
      <c r="D3661" s="189"/>
      <c r="E3661" s="190" t="s">
        <v>5112</v>
      </c>
      <c r="F3661" s="191">
        <f t="shared" si="59"/>
        <v>222.06666666666666</v>
      </c>
    </row>
    <row r="3662" spans="2:6" ht="15" customHeight="1" x14ac:dyDescent="0.2">
      <c r="B3662" s="188" t="s">
        <v>6379</v>
      </c>
      <c r="C3662" s="189" t="s">
        <v>134</v>
      </c>
      <c r="D3662" s="189"/>
      <c r="E3662" s="190" t="s">
        <v>1081</v>
      </c>
      <c r="F3662" s="191">
        <f t="shared" si="59"/>
        <v>223.71666666666667</v>
      </c>
    </row>
    <row r="3663" spans="2:6" ht="15" customHeight="1" x14ac:dyDescent="0.2">
      <c r="B3663" s="188" t="s">
        <v>6380</v>
      </c>
      <c r="C3663" s="189" t="s">
        <v>125</v>
      </c>
      <c r="D3663" s="189"/>
      <c r="E3663" s="190" t="s">
        <v>6381</v>
      </c>
      <c r="F3663" s="191">
        <f t="shared" si="59"/>
        <v>307.36666666666667</v>
      </c>
    </row>
    <row r="3664" spans="2:6" ht="15" customHeight="1" x14ac:dyDescent="0.2">
      <c r="B3664" s="188" t="s">
        <v>6382</v>
      </c>
      <c r="C3664" s="189" t="s">
        <v>125</v>
      </c>
      <c r="D3664" s="189"/>
      <c r="E3664" s="190" t="s">
        <v>6383</v>
      </c>
      <c r="F3664" s="191">
        <f t="shared" si="59"/>
        <v>263.36666666666667</v>
      </c>
    </row>
    <row r="3665" spans="2:6" ht="15" customHeight="1" x14ac:dyDescent="0.2">
      <c r="B3665" s="188" t="s">
        <v>6384</v>
      </c>
      <c r="C3665" s="189" t="s">
        <v>130</v>
      </c>
      <c r="D3665" s="189"/>
      <c r="E3665" s="190" t="s">
        <v>1260</v>
      </c>
      <c r="F3665" s="191">
        <f t="shared" si="59"/>
        <v>210.13333333333333</v>
      </c>
    </row>
    <row r="3666" spans="2:6" ht="15" customHeight="1" x14ac:dyDescent="0.2">
      <c r="B3666" s="188" t="s">
        <v>6385</v>
      </c>
      <c r="C3666" s="189" t="s">
        <v>142</v>
      </c>
      <c r="D3666" s="189"/>
      <c r="E3666" s="190" t="s">
        <v>6386</v>
      </c>
      <c r="F3666" s="191">
        <f t="shared" si="59"/>
        <v>205.96666666666667</v>
      </c>
    </row>
    <row r="3667" spans="2:6" ht="15" customHeight="1" x14ac:dyDescent="0.2">
      <c r="B3667" s="188" t="s">
        <v>6387</v>
      </c>
      <c r="C3667" s="189" t="s">
        <v>142</v>
      </c>
      <c r="D3667" s="189"/>
      <c r="E3667" s="190" t="s">
        <v>6388</v>
      </c>
      <c r="F3667" s="191">
        <f t="shared" si="59"/>
        <v>316.39999999999998</v>
      </c>
    </row>
    <row r="3668" spans="2:6" ht="15" customHeight="1" x14ac:dyDescent="0.2">
      <c r="B3668" s="188" t="s">
        <v>4053</v>
      </c>
      <c r="C3668" s="189" t="s">
        <v>142</v>
      </c>
      <c r="D3668" s="189"/>
      <c r="E3668" s="190" t="s">
        <v>4054</v>
      </c>
      <c r="F3668" s="191">
        <f t="shared" si="59"/>
        <v>190.96666666666667</v>
      </c>
    </row>
    <row r="3669" spans="2:6" ht="15" customHeight="1" x14ac:dyDescent="0.2">
      <c r="B3669" s="188" t="s">
        <v>547</v>
      </c>
      <c r="C3669" s="189" t="s">
        <v>124</v>
      </c>
      <c r="D3669" s="189"/>
      <c r="E3669" s="190" t="s">
        <v>6389</v>
      </c>
      <c r="F3669" s="191">
        <f t="shared" si="59"/>
        <v>220.8</v>
      </c>
    </row>
    <row r="3670" spans="2:6" ht="15" customHeight="1" x14ac:dyDescent="0.2">
      <c r="B3670" s="188" t="s">
        <v>6390</v>
      </c>
      <c r="C3670" s="189" t="s">
        <v>126</v>
      </c>
      <c r="D3670" s="189"/>
      <c r="E3670" s="190" t="s">
        <v>3613</v>
      </c>
      <c r="F3670" s="191">
        <f t="shared" si="59"/>
        <v>238.15</v>
      </c>
    </row>
    <row r="3671" spans="2:6" ht="15" customHeight="1" x14ac:dyDescent="0.2">
      <c r="B3671" s="188" t="s">
        <v>6391</v>
      </c>
      <c r="C3671" s="189" t="s">
        <v>134</v>
      </c>
      <c r="D3671" s="189"/>
      <c r="E3671" s="190" t="s">
        <v>6392</v>
      </c>
      <c r="F3671" s="191">
        <f t="shared" si="59"/>
        <v>281.86666666666667</v>
      </c>
    </row>
    <row r="3672" spans="2:6" ht="15" customHeight="1" x14ac:dyDescent="0.2">
      <c r="B3672" s="188" t="s">
        <v>6393</v>
      </c>
      <c r="C3672" s="189" t="s">
        <v>128</v>
      </c>
      <c r="D3672" s="189"/>
      <c r="E3672" s="190" t="s">
        <v>6394</v>
      </c>
      <c r="F3672" s="191">
        <f t="shared" si="59"/>
        <v>297.89999999999998</v>
      </c>
    </row>
  </sheetData>
  <mergeCells count="3">
    <mergeCell ref="B2:N2"/>
    <mergeCell ref="B4:N4"/>
    <mergeCell ref="L9:R10"/>
  </mergeCells>
  <pageMargins left="0.7" right="0.7" top="0.75" bottom="0.75" header="0.3" footer="0.3"/>
  <pageSetup paperSize="9" orientation="portrait" r:id="rId3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7E41B-22D2-4669-ABE1-76763981A511}">
  <sheetPr>
    <tabColor theme="1" tint="0.34998626667073579"/>
  </sheetPr>
  <dimension ref="A1:T59"/>
  <sheetViews>
    <sheetView workbookViewId="0"/>
  </sheetViews>
  <sheetFormatPr defaultColWidth="9.140625" defaultRowHeight="13.5" customHeight="1" x14ac:dyDescent="0.2"/>
  <cols>
    <col min="1" max="1" width="2.5703125" style="86" customWidth="1"/>
    <col min="2" max="2" width="9.140625" style="87"/>
    <col min="3" max="10" width="11.85546875" style="86" customWidth="1"/>
    <col min="11" max="11" width="4.28515625" style="86" customWidth="1"/>
    <col min="12" max="12" width="9.140625" style="86"/>
    <col min="13" max="20" width="11.85546875" style="86" customWidth="1"/>
    <col min="21" max="16384" width="9.140625" style="86"/>
  </cols>
  <sheetData>
    <row r="1" spans="2:20" s="94" customFormat="1" ht="13.5" customHeight="1" thickBot="1" x14ac:dyDescent="0.25">
      <c r="B1" s="95"/>
    </row>
    <row r="2" spans="2:20" s="94" customFormat="1" ht="27" customHeight="1" thickBot="1" x14ac:dyDescent="0.25">
      <c r="B2" s="290" t="s">
        <v>694</v>
      </c>
      <c r="C2" s="383"/>
      <c r="D2" s="383"/>
      <c r="E2" s="383"/>
      <c r="F2" s="383"/>
      <c r="G2" s="383"/>
      <c r="H2" s="383"/>
      <c r="I2" s="384"/>
    </row>
    <row r="3" spans="2:20" s="94" customFormat="1" ht="13.5" customHeight="1" thickBot="1" x14ac:dyDescent="0.25">
      <c r="B3" s="95"/>
    </row>
    <row r="4" spans="2:20" s="94" customFormat="1" ht="13.9" customHeight="1" thickBot="1" x14ac:dyDescent="0.25">
      <c r="B4" s="290" t="s">
        <v>693</v>
      </c>
      <c r="C4" s="383"/>
      <c r="D4" s="383"/>
      <c r="E4" s="383"/>
      <c r="F4" s="383"/>
      <c r="G4" s="383"/>
      <c r="H4" s="383"/>
      <c r="I4" s="384"/>
    </row>
    <row r="5" spans="2:20" s="97" customFormat="1" ht="13.5" customHeight="1" thickBot="1" x14ac:dyDescent="0.25">
      <c r="B5" s="121"/>
      <c r="C5" s="98"/>
      <c r="D5" s="98"/>
      <c r="E5" s="98"/>
      <c r="F5" s="98"/>
      <c r="G5" s="98"/>
    </row>
    <row r="6" spans="2:20" s="94" customFormat="1" ht="13.5" customHeight="1" thickBot="1" x14ac:dyDescent="0.25">
      <c r="B6" s="95"/>
    </row>
    <row r="7" spans="2:20" s="94" customFormat="1" ht="13.5" customHeight="1" thickBot="1" x14ac:dyDescent="0.25">
      <c r="B7" s="380" t="s">
        <v>692</v>
      </c>
      <c r="C7" s="381"/>
      <c r="D7" s="381"/>
      <c r="E7" s="381"/>
      <c r="F7" s="381"/>
      <c r="G7" s="381"/>
      <c r="H7" s="381"/>
      <c r="I7" s="381"/>
      <c r="J7" s="382"/>
      <c r="L7" s="380" t="s">
        <v>691</v>
      </c>
      <c r="M7" s="381"/>
      <c r="N7" s="381"/>
      <c r="O7" s="381"/>
      <c r="P7" s="381"/>
      <c r="Q7" s="381"/>
      <c r="R7" s="381"/>
      <c r="S7" s="381"/>
      <c r="T7" s="382"/>
    </row>
    <row r="8" spans="2:20" s="94" customFormat="1" ht="6.75" customHeight="1" thickBot="1" x14ac:dyDescent="0.25">
      <c r="B8" s="95"/>
      <c r="L8" s="95"/>
    </row>
    <row r="9" spans="2:20" ht="27" customHeight="1" thickBot="1" x14ac:dyDescent="0.25">
      <c r="B9" s="106" t="s">
        <v>52</v>
      </c>
      <c r="C9" s="105" t="s">
        <v>686</v>
      </c>
      <c r="D9" s="105" t="s">
        <v>685</v>
      </c>
      <c r="E9" s="105" t="s">
        <v>684</v>
      </c>
      <c r="F9" s="105" t="s">
        <v>683</v>
      </c>
      <c r="G9" s="105" t="s">
        <v>682</v>
      </c>
      <c r="H9" s="105" t="s">
        <v>681</v>
      </c>
      <c r="I9" s="105" t="s">
        <v>680</v>
      </c>
      <c r="J9" s="104" t="s">
        <v>44</v>
      </c>
      <c r="L9" s="106" t="s">
        <v>52</v>
      </c>
      <c r="M9" s="105" t="s">
        <v>686</v>
      </c>
      <c r="N9" s="105" t="s">
        <v>685</v>
      </c>
      <c r="O9" s="105" t="s">
        <v>684</v>
      </c>
      <c r="P9" s="105" t="s">
        <v>683</v>
      </c>
      <c r="Q9" s="105" t="s">
        <v>682</v>
      </c>
      <c r="R9" s="105" t="s">
        <v>681</v>
      </c>
      <c r="S9" s="105" t="s">
        <v>680</v>
      </c>
      <c r="T9" s="104" t="s">
        <v>44</v>
      </c>
    </row>
    <row r="10" spans="2:20" ht="13.5" customHeight="1" x14ac:dyDescent="0.2">
      <c r="B10" s="117">
        <v>2009</v>
      </c>
      <c r="C10" s="120">
        <v>7.4029999999999996</v>
      </c>
      <c r="D10" s="120">
        <v>124.04600000000001</v>
      </c>
      <c r="E10" s="120">
        <v>142.93799999999999</v>
      </c>
      <c r="F10" s="120">
        <v>32.795000000000002</v>
      </c>
      <c r="G10" s="120">
        <v>74.494</v>
      </c>
      <c r="H10" s="120">
        <v>27.065999999999999</v>
      </c>
      <c r="I10" s="120">
        <v>9.08</v>
      </c>
      <c r="J10" s="119">
        <f t="shared" ref="J10:J20" si="0">SUM(C10:I10)</f>
        <v>417.822</v>
      </c>
      <c r="L10" s="96">
        <v>2009</v>
      </c>
      <c r="M10" s="112">
        <f t="shared" ref="M10:M23" si="1">C10/$J10</f>
        <v>1.7718071331811153E-2</v>
      </c>
      <c r="N10" s="112">
        <f t="shared" ref="N10:N23" si="2">D10/$J10</f>
        <v>0.29688719119625107</v>
      </c>
      <c r="O10" s="112">
        <f t="shared" ref="O10:O23" si="3">E10/$J10</f>
        <v>0.34210261786119445</v>
      </c>
      <c r="P10" s="112">
        <f t="shared" ref="P10:P23" si="4">F10/$J10</f>
        <v>7.8490361924455868E-2</v>
      </c>
      <c r="Q10" s="112">
        <f t="shared" ref="Q10:Q23" si="5">G10/$J10</f>
        <v>0.1782912340661813</v>
      </c>
      <c r="R10" s="112">
        <f t="shared" ref="R10:R23" si="6">H10/$J10</f>
        <v>6.4778781394948082E-2</v>
      </c>
      <c r="S10" s="112">
        <f t="shared" ref="S10:S23" si="7">I10/$J10</f>
        <v>2.1731742225158081E-2</v>
      </c>
      <c r="T10" s="112">
        <f t="shared" ref="T10:T23" si="8">J10/$J10</f>
        <v>1</v>
      </c>
    </row>
    <row r="11" spans="2:20" ht="13.5" customHeight="1" x14ac:dyDescent="0.2">
      <c r="B11" s="117">
        <v>2010</v>
      </c>
      <c r="C11" s="118">
        <v>10.223000000000001</v>
      </c>
      <c r="D11" s="118">
        <v>132.44999999999999</v>
      </c>
      <c r="E11" s="118">
        <v>156.625</v>
      </c>
      <c r="F11" s="118">
        <v>37.823999999999998</v>
      </c>
      <c r="G11" s="118">
        <v>88.790999999999997</v>
      </c>
      <c r="H11" s="118">
        <v>29.645</v>
      </c>
      <c r="I11" s="118">
        <v>13.865</v>
      </c>
      <c r="J11" s="116">
        <f t="shared" si="0"/>
        <v>469.423</v>
      </c>
      <c r="L11" s="96">
        <v>2010</v>
      </c>
      <c r="M11" s="112">
        <f t="shared" si="1"/>
        <v>2.1777799553920452E-2</v>
      </c>
      <c r="N11" s="112">
        <f t="shared" si="2"/>
        <v>0.28215490080375266</v>
      </c>
      <c r="O11" s="112">
        <f t="shared" si="3"/>
        <v>0.33365429474056446</v>
      </c>
      <c r="P11" s="112">
        <f t="shared" si="4"/>
        <v>8.0575515047196233E-2</v>
      </c>
      <c r="Q11" s="112">
        <f t="shared" si="5"/>
        <v>0.1891492321424387</v>
      </c>
      <c r="R11" s="112">
        <f t="shared" si="6"/>
        <v>6.3151997239163829E-2</v>
      </c>
      <c r="S11" s="112">
        <f t="shared" si="7"/>
        <v>2.9536260472963618E-2</v>
      </c>
      <c r="T11" s="111">
        <f t="shared" si="8"/>
        <v>1</v>
      </c>
    </row>
    <row r="12" spans="2:20" ht="13.5" customHeight="1" x14ac:dyDescent="0.2">
      <c r="B12" s="117">
        <v>2011</v>
      </c>
      <c r="C12" s="118">
        <v>10.699</v>
      </c>
      <c r="D12" s="118">
        <v>129.364</v>
      </c>
      <c r="E12" s="118">
        <v>155.18199999999999</v>
      </c>
      <c r="F12" s="118">
        <v>39.624000000000002</v>
      </c>
      <c r="G12" s="118">
        <v>88.150999999999996</v>
      </c>
      <c r="H12" s="118">
        <v>30.120999999999999</v>
      </c>
      <c r="I12" s="118">
        <v>12.836</v>
      </c>
      <c r="J12" s="116">
        <f t="shared" si="0"/>
        <v>465.97700000000003</v>
      </c>
      <c r="L12" s="96">
        <v>2011</v>
      </c>
      <c r="M12" s="112">
        <f t="shared" si="1"/>
        <v>2.2960360704498289E-2</v>
      </c>
      <c r="N12" s="112">
        <f t="shared" si="2"/>
        <v>0.27761885243263079</v>
      </c>
      <c r="O12" s="112">
        <f t="shared" si="3"/>
        <v>0.33302502054822442</v>
      </c>
      <c r="P12" s="112">
        <f t="shared" si="4"/>
        <v>8.503423988737642E-2</v>
      </c>
      <c r="Q12" s="112">
        <f t="shared" si="5"/>
        <v>0.18917457299394602</v>
      </c>
      <c r="R12" s="112">
        <f t="shared" si="6"/>
        <v>6.4640529468192626E-2</v>
      </c>
      <c r="S12" s="112">
        <f t="shared" si="7"/>
        <v>2.7546423965131326E-2</v>
      </c>
      <c r="T12" s="111">
        <f t="shared" si="8"/>
        <v>1</v>
      </c>
    </row>
    <row r="13" spans="2:20" ht="13.5" customHeight="1" x14ac:dyDescent="0.2">
      <c r="B13" s="117">
        <v>2012</v>
      </c>
      <c r="C13" s="118">
        <v>9.5</v>
      </c>
      <c r="D13" s="118">
        <v>127.122</v>
      </c>
      <c r="E13" s="118">
        <v>153.315</v>
      </c>
      <c r="F13" s="118">
        <v>45.71</v>
      </c>
      <c r="G13" s="118">
        <v>90.218999999999994</v>
      </c>
      <c r="H13" s="118">
        <v>32.296999999999997</v>
      </c>
      <c r="I13" s="118">
        <v>15.010999999999999</v>
      </c>
      <c r="J13" s="116">
        <f t="shared" si="0"/>
        <v>473.17400000000004</v>
      </c>
      <c r="L13" s="96">
        <v>2012</v>
      </c>
      <c r="M13" s="112">
        <f t="shared" si="1"/>
        <v>2.0077180910193712E-2</v>
      </c>
      <c r="N13" s="112">
        <f t="shared" si="2"/>
        <v>0.26865804122796261</v>
      </c>
      <c r="O13" s="112">
        <f t="shared" si="3"/>
        <v>0.32401399907856304</v>
      </c>
      <c r="P13" s="112">
        <f t="shared" si="4"/>
        <v>9.6602940989995223E-2</v>
      </c>
      <c r="Q13" s="112">
        <f t="shared" si="5"/>
        <v>0.19066770363544908</v>
      </c>
      <c r="R13" s="112">
        <f t="shared" si="6"/>
        <v>6.8256074932265917E-2</v>
      </c>
      <c r="S13" s="112">
        <f t="shared" si="7"/>
        <v>3.1724059225570291E-2</v>
      </c>
      <c r="T13" s="111">
        <f t="shared" si="8"/>
        <v>1</v>
      </c>
    </row>
    <row r="14" spans="2:20" ht="13.5" customHeight="1" x14ac:dyDescent="0.2">
      <c r="B14" s="117">
        <v>2013</v>
      </c>
      <c r="C14" s="118">
        <v>8.3439999999999994</v>
      </c>
      <c r="D14" s="118">
        <v>119.017</v>
      </c>
      <c r="E14" s="118">
        <v>145.76300000000001</v>
      </c>
      <c r="F14" s="118">
        <v>42.378</v>
      </c>
      <c r="G14" s="118">
        <v>83.438999999999993</v>
      </c>
      <c r="H14" s="118">
        <v>29.923999999999999</v>
      </c>
      <c r="I14" s="118">
        <v>12.164999999999999</v>
      </c>
      <c r="J14" s="116">
        <f t="shared" si="0"/>
        <v>441.03000000000003</v>
      </c>
      <c r="L14" s="96">
        <v>2013</v>
      </c>
      <c r="M14" s="112">
        <f t="shared" si="1"/>
        <v>1.8919347890166201E-2</v>
      </c>
      <c r="N14" s="112">
        <f t="shared" si="2"/>
        <v>0.2698614606716096</v>
      </c>
      <c r="O14" s="112">
        <f t="shared" si="3"/>
        <v>0.33050586127927806</v>
      </c>
      <c r="P14" s="112">
        <f t="shared" si="4"/>
        <v>9.6088701448881028E-2</v>
      </c>
      <c r="Q14" s="112">
        <f t="shared" si="5"/>
        <v>0.18919121148221207</v>
      </c>
      <c r="R14" s="112">
        <f t="shared" si="6"/>
        <v>6.7850259619527009E-2</v>
      </c>
      <c r="S14" s="112">
        <f t="shared" si="7"/>
        <v>2.758315760832596E-2</v>
      </c>
      <c r="T14" s="111">
        <f t="shared" si="8"/>
        <v>1</v>
      </c>
    </row>
    <row r="15" spans="2:20" ht="13.5" customHeight="1" x14ac:dyDescent="0.2">
      <c r="B15" s="117">
        <v>2014</v>
      </c>
      <c r="C15" s="118">
        <v>7.81</v>
      </c>
      <c r="D15" s="118">
        <v>96.997</v>
      </c>
      <c r="E15" s="118">
        <v>104.529</v>
      </c>
      <c r="F15" s="118">
        <v>35.374000000000002</v>
      </c>
      <c r="G15" s="118">
        <v>63.212000000000003</v>
      </c>
      <c r="H15" s="118">
        <v>24.798999999999999</v>
      </c>
      <c r="I15" s="118">
        <v>10.603999999999999</v>
      </c>
      <c r="J15" s="116">
        <f t="shared" si="0"/>
        <v>343.32499999999999</v>
      </c>
      <c r="L15" s="96">
        <v>2014</v>
      </c>
      <c r="M15" s="112">
        <f t="shared" si="1"/>
        <v>2.2748124954489187E-2</v>
      </c>
      <c r="N15" s="112">
        <f t="shared" si="2"/>
        <v>0.2825223913201777</v>
      </c>
      <c r="O15" s="112">
        <f t="shared" si="3"/>
        <v>0.30446078788320102</v>
      </c>
      <c r="P15" s="112">
        <f t="shared" si="4"/>
        <v>0.10303356877594118</v>
      </c>
      <c r="Q15" s="112">
        <f t="shared" si="5"/>
        <v>0.18411709022063644</v>
      </c>
      <c r="R15" s="112">
        <f t="shared" si="6"/>
        <v>7.2231850287628338E-2</v>
      </c>
      <c r="S15" s="112">
        <f t="shared" si="7"/>
        <v>3.0886186557926163E-2</v>
      </c>
      <c r="T15" s="111">
        <f t="shared" si="8"/>
        <v>1</v>
      </c>
    </row>
    <row r="16" spans="2:20" ht="13.5" customHeight="1" x14ac:dyDescent="0.2">
      <c r="B16" s="117">
        <v>2015</v>
      </c>
      <c r="C16" s="118">
        <v>8.173</v>
      </c>
      <c r="D16" s="118">
        <v>94.757999999999996</v>
      </c>
      <c r="E16" s="118">
        <v>91.56</v>
      </c>
      <c r="F16" s="118">
        <v>32.593000000000004</v>
      </c>
      <c r="G16" s="118">
        <v>52.625999999999998</v>
      </c>
      <c r="H16" s="118">
        <v>18.814</v>
      </c>
      <c r="I16" s="118">
        <v>9.3219999999999992</v>
      </c>
      <c r="J16" s="116">
        <f t="shared" si="0"/>
        <v>307.846</v>
      </c>
      <c r="L16" s="96">
        <v>2015</v>
      </c>
      <c r="M16" s="112">
        <f t="shared" si="1"/>
        <v>2.6548988780104338E-2</v>
      </c>
      <c r="N16" s="112">
        <f t="shared" si="2"/>
        <v>0.30780974903035929</v>
      </c>
      <c r="O16" s="112">
        <f t="shared" si="3"/>
        <v>0.29742143799172316</v>
      </c>
      <c r="P16" s="112">
        <f t="shared" si="4"/>
        <v>0.10587436575430574</v>
      </c>
      <c r="Q16" s="112">
        <f t="shared" si="5"/>
        <v>0.1709491109190959</v>
      </c>
      <c r="R16" s="112">
        <f t="shared" si="6"/>
        <v>6.1114973070951061E-2</v>
      </c>
      <c r="S16" s="112">
        <f t="shared" si="7"/>
        <v>3.0281374453460495E-2</v>
      </c>
      <c r="T16" s="111">
        <f t="shared" si="8"/>
        <v>1</v>
      </c>
    </row>
    <row r="17" spans="2:20" ht="13.5" customHeight="1" x14ac:dyDescent="0.2">
      <c r="B17" s="117">
        <v>2016</v>
      </c>
      <c r="C17" s="118">
        <v>5.9020000000000001</v>
      </c>
      <c r="D17" s="118">
        <v>73.316999999999993</v>
      </c>
      <c r="E17" s="118">
        <v>69.069000000000003</v>
      </c>
      <c r="F17" s="118">
        <v>28.256</v>
      </c>
      <c r="G17" s="118">
        <v>37.088999999999999</v>
      </c>
      <c r="H17" s="118">
        <v>12.106999999999999</v>
      </c>
      <c r="I17" s="118">
        <v>8.8379999999999992</v>
      </c>
      <c r="J17" s="116">
        <f t="shared" si="0"/>
        <v>234.578</v>
      </c>
      <c r="L17" s="96">
        <v>2016</v>
      </c>
      <c r="M17" s="112">
        <f t="shared" si="1"/>
        <v>2.5160074687310831E-2</v>
      </c>
      <c r="N17" s="112">
        <f t="shared" si="2"/>
        <v>0.31254849133337309</v>
      </c>
      <c r="O17" s="112">
        <f t="shared" si="3"/>
        <v>0.29443937624159128</v>
      </c>
      <c r="P17" s="112">
        <f t="shared" si="4"/>
        <v>0.12045460358601404</v>
      </c>
      <c r="Q17" s="112">
        <f t="shared" si="5"/>
        <v>0.15810945612973082</v>
      </c>
      <c r="R17" s="112">
        <f t="shared" si="6"/>
        <v>5.1611830606450727E-2</v>
      </c>
      <c r="S17" s="112">
        <f t="shared" si="7"/>
        <v>3.7676167415529156E-2</v>
      </c>
      <c r="T17" s="111">
        <f t="shared" si="8"/>
        <v>1</v>
      </c>
    </row>
    <row r="18" spans="2:20" ht="13.5" customHeight="1" x14ac:dyDescent="0.2">
      <c r="B18" s="117">
        <v>2017</v>
      </c>
      <c r="C18" s="118">
        <v>6.6657500000000001</v>
      </c>
      <c r="D18" s="118">
        <v>59.245249999999999</v>
      </c>
      <c r="E18" s="118">
        <v>53.62</v>
      </c>
      <c r="F18" s="118">
        <v>25.622500000000002</v>
      </c>
      <c r="G18" s="118">
        <v>27.67475</v>
      </c>
      <c r="H18" s="118">
        <v>12.5815</v>
      </c>
      <c r="I18" s="118">
        <v>6.2967499999999994</v>
      </c>
      <c r="J18" s="116">
        <f t="shared" si="0"/>
        <v>191.70650000000001</v>
      </c>
      <c r="L18" s="96">
        <v>2017</v>
      </c>
      <c r="M18" s="112">
        <f t="shared" si="1"/>
        <v>3.4770599849248719E-2</v>
      </c>
      <c r="N18" s="112">
        <f t="shared" si="2"/>
        <v>0.3090414253037847</v>
      </c>
      <c r="O18" s="112">
        <f t="shared" si="3"/>
        <v>0.27969839311656097</v>
      </c>
      <c r="P18" s="112">
        <f t="shared" si="4"/>
        <v>0.13365483173496986</v>
      </c>
      <c r="Q18" s="112">
        <f t="shared" si="5"/>
        <v>0.14435999822645554</v>
      </c>
      <c r="R18" s="112">
        <f t="shared" si="6"/>
        <v>6.5628969283774929E-2</v>
      </c>
      <c r="S18" s="112">
        <f t="shared" si="7"/>
        <v>3.2845782485205248E-2</v>
      </c>
      <c r="T18" s="111">
        <f t="shared" si="8"/>
        <v>1</v>
      </c>
    </row>
    <row r="19" spans="2:20" ht="13.5" customHeight="1" x14ac:dyDescent="0.2">
      <c r="B19" s="117">
        <v>2018</v>
      </c>
      <c r="C19" s="114">
        <v>5.4</v>
      </c>
      <c r="D19" s="114">
        <v>53.5</v>
      </c>
      <c r="E19" s="114">
        <v>46.3</v>
      </c>
      <c r="F19" s="114">
        <v>21.6</v>
      </c>
      <c r="G19" s="114">
        <v>27.3</v>
      </c>
      <c r="H19" s="114">
        <v>10.1</v>
      </c>
      <c r="I19" s="114">
        <v>7.7</v>
      </c>
      <c r="J19" s="116">
        <f t="shared" si="0"/>
        <v>171.89999999999998</v>
      </c>
      <c r="L19" s="96">
        <v>2018</v>
      </c>
      <c r="M19" s="112">
        <f t="shared" si="1"/>
        <v>3.1413612565445032E-2</v>
      </c>
      <c r="N19" s="112">
        <f t="shared" si="2"/>
        <v>0.31122745782431649</v>
      </c>
      <c r="O19" s="112">
        <f t="shared" si="3"/>
        <v>0.2693426410703898</v>
      </c>
      <c r="P19" s="112">
        <f t="shared" si="4"/>
        <v>0.12565445026178013</v>
      </c>
      <c r="Q19" s="112">
        <f t="shared" si="5"/>
        <v>0.15881326352530545</v>
      </c>
      <c r="R19" s="112">
        <f t="shared" si="6"/>
        <v>5.8755090168702742E-2</v>
      </c>
      <c r="S19" s="112">
        <f t="shared" si="7"/>
        <v>4.479348458406051E-2</v>
      </c>
      <c r="T19" s="111">
        <f t="shared" si="8"/>
        <v>1</v>
      </c>
    </row>
    <row r="20" spans="2:20" ht="13.5" customHeight="1" x14ac:dyDescent="0.2">
      <c r="B20" s="117">
        <v>2019</v>
      </c>
      <c r="C20" s="114">
        <v>4.5999999999999996</v>
      </c>
      <c r="D20" s="114">
        <v>49.5</v>
      </c>
      <c r="E20" s="114">
        <v>42.3</v>
      </c>
      <c r="F20" s="114">
        <v>19.600000000000001</v>
      </c>
      <c r="G20" s="114">
        <v>23.8</v>
      </c>
      <c r="H20" s="114">
        <v>9.5</v>
      </c>
      <c r="I20" s="114">
        <v>9.5</v>
      </c>
      <c r="J20" s="116">
        <f t="shared" si="0"/>
        <v>158.80000000000001</v>
      </c>
      <c r="L20" s="96">
        <v>2019</v>
      </c>
      <c r="M20" s="112">
        <f t="shared" si="1"/>
        <v>2.8967254408060448E-2</v>
      </c>
      <c r="N20" s="112">
        <f t="shared" si="2"/>
        <v>0.31171284634760704</v>
      </c>
      <c r="O20" s="112">
        <f t="shared" si="3"/>
        <v>0.26637279596977326</v>
      </c>
      <c r="P20" s="112">
        <f t="shared" si="4"/>
        <v>0.12342569269521411</v>
      </c>
      <c r="Q20" s="112">
        <f t="shared" si="5"/>
        <v>0.14987405541561713</v>
      </c>
      <c r="R20" s="112">
        <f t="shared" si="6"/>
        <v>5.9823677581863972E-2</v>
      </c>
      <c r="S20" s="112">
        <f t="shared" si="7"/>
        <v>5.9823677581863972E-2</v>
      </c>
      <c r="T20" s="111">
        <f t="shared" si="8"/>
        <v>1</v>
      </c>
    </row>
    <row r="21" spans="2:20" ht="13.5" customHeight="1" x14ac:dyDescent="0.2">
      <c r="B21" s="115">
        <v>2020</v>
      </c>
      <c r="C21" s="114">
        <v>4.5</v>
      </c>
      <c r="D21" s="114">
        <v>53.5</v>
      </c>
      <c r="E21" s="114">
        <v>54.3</v>
      </c>
      <c r="F21" s="114">
        <v>26.3</v>
      </c>
      <c r="G21" s="114">
        <v>35</v>
      </c>
      <c r="H21" s="114">
        <v>13.7</v>
      </c>
      <c r="I21" s="114">
        <v>10.4</v>
      </c>
      <c r="J21" s="113">
        <v>197.7</v>
      </c>
      <c r="L21" s="102">
        <v>2020</v>
      </c>
      <c r="M21" s="112">
        <f t="shared" si="1"/>
        <v>2.2761760242792112E-2</v>
      </c>
      <c r="N21" s="112">
        <f t="shared" si="2"/>
        <v>0.27061203844208398</v>
      </c>
      <c r="O21" s="112">
        <f t="shared" si="3"/>
        <v>0.27465857359635815</v>
      </c>
      <c r="P21" s="112">
        <f t="shared" si="4"/>
        <v>0.13302984319676278</v>
      </c>
      <c r="Q21" s="112">
        <f t="shared" si="5"/>
        <v>0.1770359129994942</v>
      </c>
      <c r="R21" s="112">
        <f t="shared" si="6"/>
        <v>6.9296914516944863E-2</v>
      </c>
      <c r="S21" s="112">
        <f t="shared" si="7"/>
        <v>5.2604957005563988E-2</v>
      </c>
      <c r="T21" s="111">
        <f t="shared" si="8"/>
        <v>1</v>
      </c>
    </row>
    <row r="22" spans="2:20" ht="13.5" customHeight="1" x14ac:dyDescent="0.2">
      <c r="B22" s="115">
        <v>2021</v>
      </c>
      <c r="C22" s="114">
        <v>3.8</v>
      </c>
      <c r="D22" s="114">
        <v>54.9</v>
      </c>
      <c r="E22" s="114">
        <v>50.3</v>
      </c>
      <c r="F22" s="114">
        <v>30.1</v>
      </c>
      <c r="G22" s="114">
        <v>30.6</v>
      </c>
      <c r="H22" s="114">
        <v>13.3</v>
      </c>
      <c r="I22" s="114">
        <v>12.6</v>
      </c>
      <c r="J22" s="113">
        <v>197.7</v>
      </c>
      <c r="L22" s="102">
        <v>2021</v>
      </c>
      <c r="M22" s="112">
        <f t="shared" si="1"/>
        <v>1.9221041982802226E-2</v>
      </c>
      <c r="N22" s="112">
        <f t="shared" si="2"/>
        <v>0.27769347496206376</v>
      </c>
      <c r="O22" s="112">
        <f t="shared" si="3"/>
        <v>0.25442589782498737</v>
      </c>
      <c r="P22" s="112">
        <f t="shared" si="4"/>
        <v>0.152250885179565</v>
      </c>
      <c r="Q22" s="112">
        <f t="shared" si="5"/>
        <v>0.15477996965098637</v>
      </c>
      <c r="R22" s="112">
        <f t="shared" si="6"/>
        <v>6.7273646939807794E-2</v>
      </c>
      <c r="S22" s="112">
        <f t="shared" si="7"/>
        <v>6.3732928679817905E-2</v>
      </c>
      <c r="T22" s="111">
        <f t="shared" si="8"/>
        <v>1</v>
      </c>
    </row>
    <row r="23" spans="2:20" ht="13.5" customHeight="1" thickBot="1" x14ac:dyDescent="0.25">
      <c r="B23" s="110">
        <v>2022</v>
      </c>
      <c r="C23" s="109">
        <v>3.4</v>
      </c>
      <c r="D23" s="109">
        <v>56.5</v>
      </c>
      <c r="E23" s="109">
        <v>45.5</v>
      </c>
      <c r="F23" s="109">
        <v>19.899999999999999</v>
      </c>
      <c r="G23" s="109">
        <v>29.1</v>
      </c>
      <c r="H23" s="109">
        <v>12.4</v>
      </c>
      <c r="I23" s="109">
        <v>9.5</v>
      </c>
      <c r="J23" s="108">
        <f>SUM(C23:I23)</f>
        <v>176.3</v>
      </c>
      <c r="L23" s="99">
        <v>2022</v>
      </c>
      <c r="M23" s="107">
        <f t="shared" si="1"/>
        <v>1.9285309132161088E-2</v>
      </c>
      <c r="N23" s="107">
        <f t="shared" si="2"/>
        <v>0.32047646057855927</v>
      </c>
      <c r="O23" s="107">
        <f t="shared" si="3"/>
        <v>0.25808281338627337</v>
      </c>
      <c r="P23" s="107">
        <f t="shared" si="4"/>
        <v>0.11287577992058989</v>
      </c>
      <c r="Q23" s="107">
        <f t="shared" si="5"/>
        <v>0.16505955757231991</v>
      </c>
      <c r="R23" s="107">
        <f t="shared" si="6"/>
        <v>7.0334656834940446E-2</v>
      </c>
      <c r="S23" s="107">
        <f t="shared" si="7"/>
        <v>5.3885422575155981E-2</v>
      </c>
      <c r="T23" s="107">
        <f t="shared" si="8"/>
        <v>1</v>
      </c>
    </row>
    <row r="24" spans="2:20" ht="13.5" customHeight="1" thickBot="1" x14ac:dyDescent="0.25"/>
    <row r="25" spans="2:20" s="94" customFormat="1" ht="13.5" customHeight="1" thickBot="1" x14ac:dyDescent="0.25">
      <c r="B25" s="380" t="s">
        <v>690</v>
      </c>
      <c r="C25" s="381"/>
      <c r="D25" s="381"/>
      <c r="E25" s="381"/>
      <c r="F25" s="381"/>
      <c r="G25" s="381"/>
      <c r="H25" s="381"/>
      <c r="I25" s="381"/>
      <c r="J25" s="382"/>
      <c r="L25" s="380" t="s">
        <v>689</v>
      </c>
      <c r="M25" s="381"/>
      <c r="N25" s="381"/>
      <c r="O25" s="381"/>
      <c r="P25" s="381"/>
      <c r="Q25" s="381"/>
      <c r="R25" s="381"/>
      <c r="S25" s="381"/>
      <c r="T25" s="382"/>
    </row>
    <row r="26" spans="2:20" s="94" customFormat="1" ht="6.75" customHeight="1" thickBot="1" x14ac:dyDescent="0.25">
      <c r="B26" s="95"/>
      <c r="L26" s="95"/>
    </row>
    <row r="27" spans="2:20" ht="27" customHeight="1" thickBot="1" x14ac:dyDescent="0.25">
      <c r="B27" s="106" t="s">
        <v>52</v>
      </c>
      <c r="C27" s="105" t="s">
        <v>686</v>
      </c>
      <c r="D27" s="105" t="s">
        <v>685</v>
      </c>
      <c r="E27" s="105" t="s">
        <v>684</v>
      </c>
      <c r="F27" s="105" t="s">
        <v>683</v>
      </c>
      <c r="G27" s="105" t="s">
        <v>682</v>
      </c>
      <c r="H27" s="105" t="s">
        <v>681</v>
      </c>
      <c r="I27" s="105" t="s">
        <v>680</v>
      </c>
      <c r="J27" s="104" t="s">
        <v>44</v>
      </c>
      <c r="L27" s="106" t="s">
        <v>52</v>
      </c>
      <c r="M27" s="105" t="s">
        <v>686</v>
      </c>
      <c r="N27" s="105" t="s">
        <v>685</v>
      </c>
      <c r="O27" s="105" t="s">
        <v>684</v>
      </c>
      <c r="P27" s="105" t="s">
        <v>683</v>
      </c>
      <c r="Q27" s="105" t="s">
        <v>682</v>
      </c>
      <c r="R27" s="105" t="s">
        <v>681</v>
      </c>
      <c r="S27" s="105" t="s">
        <v>680</v>
      </c>
      <c r="T27" s="104" t="s">
        <v>44</v>
      </c>
    </row>
    <row r="28" spans="2:20" ht="13.5" customHeight="1" x14ac:dyDescent="0.2">
      <c r="B28" s="96">
        <v>2009</v>
      </c>
      <c r="C28" s="103">
        <f t="shared" ref="C28:J38" si="9">C10/C$10</f>
        <v>1</v>
      </c>
      <c r="D28" s="103">
        <f t="shared" si="9"/>
        <v>1</v>
      </c>
      <c r="E28" s="103">
        <f t="shared" si="9"/>
        <v>1</v>
      </c>
      <c r="F28" s="103">
        <f t="shared" si="9"/>
        <v>1</v>
      </c>
      <c r="G28" s="103">
        <f t="shared" si="9"/>
        <v>1</v>
      </c>
      <c r="H28" s="103">
        <f t="shared" si="9"/>
        <v>1</v>
      </c>
      <c r="I28" s="103">
        <f t="shared" si="9"/>
        <v>1</v>
      </c>
      <c r="J28" s="103">
        <f t="shared" si="9"/>
        <v>1</v>
      </c>
      <c r="L28" s="96">
        <v>2009</v>
      </c>
      <c r="M28" s="103">
        <f t="shared" ref="M28:T41" si="10">M10/M$10</f>
        <v>1</v>
      </c>
      <c r="N28" s="103">
        <f t="shared" si="10"/>
        <v>1</v>
      </c>
      <c r="O28" s="103">
        <f t="shared" si="10"/>
        <v>1</v>
      </c>
      <c r="P28" s="103">
        <f t="shared" si="10"/>
        <v>1</v>
      </c>
      <c r="Q28" s="103">
        <f t="shared" si="10"/>
        <v>1</v>
      </c>
      <c r="R28" s="103">
        <f t="shared" si="10"/>
        <v>1</v>
      </c>
      <c r="S28" s="103">
        <f t="shared" si="10"/>
        <v>1</v>
      </c>
      <c r="T28" s="103">
        <f t="shared" si="10"/>
        <v>1</v>
      </c>
    </row>
    <row r="29" spans="2:20" ht="13.5" customHeight="1" x14ac:dyDescent="0.2">
      <c r="B29" s="96">
        <v>2010</v>
      </c>
      <c r="C29" s="101">
        <f t="shared" si="9"/>
        <v>1.380926651357558</v>
      </c>
      <c r="D29" s="101">
        <f t="shared" si="9"/>
        <v>1.0677490608322717</v>
      </c>
      <c r="E29" s="101">
        <f t="shared" si="9"/>
        <v>1.0957548027816257</v>
      </c>
      <c r="F29" s="101">
        <f t="shared" si="9"/>
        <v>1.1533465467296842</v>
      </c>
      <c r="G29" s="101">
        <f t="shared" si="9"/>
        <v>1.1919214970333181</v>
      </c>
      <c r="H29" s="101">
        <f t="shared" si="9"/>
        <v>1.0952855981674425</v>
      </c>
      <c r="I29" s="101">
        <f t="shared" si="9"/>
        <v>1.5269823788546255</v>
      </c>
      <c r="J29" s="101">
        <f t="shared" si="9"/>
        <v>1.1234999593128174</v>
      </c>
      <c r="L29" s="96">
        <v>2010</v>
      </c>
      <c r="M29" s="103">
        <f t="shared" si="10"/>
        <v>1.2291292402023708</v>
      </c>
      <c r="N29" s="103">
        <f t="shared" si="10"/>
        <v>0.95037748064125838</v>
      </c>
      <c r="O29" s="103">
        <f t="shared" si="10"/>
        <v>0.97530471069339253</v>
      </c>
      <c r="P29" s="103">
        <f t="shared" si="10"/>
        <v>1.0265657218493558</v>
      </c>
      <c r="Q29" s="103">
        <f t="shared" si="10"/>
        <v>1.0609003473060652</v>
      </c>
      <c r="R29" s="103">
        <f t="shared" si="10"/>
        <v>0.97488708307329908</v>
      </c>
      <c r="S29" s="103">
        <f t="shared" si="10"/>
        <v>1.3591298924377317</v>
      </c>
      <c r="T29" s="103">
        <f t="shared" si="10"/>
        <v>1</v>
      </c>
    </row>
    <row r="30" spans="2:20" ht="13.5" customHeight="1" x14ac:dyDescent="0.2">
      <c r="B30" s="96">
        <v>2011</v>
      </c>
      <c r="C30" s="101">
        <f t="shared" si="9"/>
        <v>1.4452249088207485</v>
      </c>
      <c r="D30" s="101">
        <f t="shared" si="9"/>
        <v>1.0428711929445529</v>
      </c>
      <c r="E30" s="101">
        <f t="shared" si="9"/>
        <v>1.0856595167135401</v>
      </c>
      <c r="F30" s="101">
        <f t="shared" si="9"/>
        <v>1.2082329623418204</v>
      </c>
      <c r="G30" s="101">
        <f t="shared" si="9"/>
        <v>1.1833302010900206</v>
      </c>
      <c r="H30" s="101">
        <f t="shared" si="9"/>
        <v>1.1128722382324687</v>
      </c>
      <c r="I30" s="101">
        <f t="shared" si="9"/>
        <v>1.4136563876651982</v>
      </c>
      <c r="J30" s="101">
        <f t="shared" si="9"/>
        <v>1.1152524280674547</v>
      </c>
      <c r="L30" s="96">
        <v>2011</v>
      </c>
      <c r="M30" s="103">
        <f t="shared" si="10"/>
        <v>1.2958724612015242</v>
      </c>
      <c r="N30" s="103">
        <f t="shared" si="10"/>
        <v>0.93509878723301554</v>
      </c>
      <c r="O30" s="103">
        <f t="shared" si="10"/>
        <v>0.97346527960024787</v>
      </c>
      <c r="P30" s="103">
        <f t="shared" si="10"/>
        <v>1.083371738930428</v>
      </c>
      <c r="Q30" s="103">
        <f t="shared" si="10"/>
        <v>1.0610424790919606</v>
      </c>
      <c r="R30" s="103">
        <f t="shared" si="10"/>
        <v>0.99786578376779655</v>
      </c>
      <c r="S30" s="103">
        <f t="shared" si="10"/>
        <v>1.2675662944888877</v>
      </c>
      <c r="T30" s="103">
        <f t="shared" si="10"/>
        <v>1</v>
      </c>
    </row>
    <row r="31" spans="2:20" ht="13.5" customHeight="1" x14ac:dyDescent="0.2">
      <c r="B31" s="96">
        <v>2012</v>
      </c>
      <c r="C31" s="101">
        <f t="shared" si="9"/>
        <v>1.2832635418073755</v>
      </c>
      <c r="D31" s="101">
        <f t="shared" si="9"/>
        <v>1.0247972526320881</v>
      </c>
      <c r="E31" s="101">
        <f t="shared" si="9"/>
        <v>1.0725979095831759</v>
      </c>
      <c r="F31" s="101">
        <f t="shared" si="9"/>
        <v>1.3938100320170757</v>
      </c>
      <c r="G31" s="101">
        <f t="shared" si="9"/>
        <v>1.2110908261068005</v>
      </c>
      <c r="H31" s="101">
        <f t="shared" si="9"/>
        <v>1.1932683071011601</v>
      </c>
      <c r="I31" s="101">
        <f t="shared" si="9"/>
        <v>1.6531938325991189</v>
      </c>
      <c r="J31" s="101">
        <f t="shared" si="9"/>
        <v>1.1324774664809418</v>
      </c>
      <c r="L31" s="96">
        <v>2012</v>
      </c>
      <c r="M31" s="101">
        <f t="shared" si="10"/>
        <v>1.133147086621499</v>
      </c>
      <c r="N31" s="101">
        <f t="shared" si="10"/>
        <v>0.90491624157127015</v>
      </c>
      <c r="O31" s="101">
        <f t="shared" si="10"/>
        <v>0.9471251670164923</v>
      </c>
      <c r="P31" s="103">
        <f t="shared" si="10"/>
        <v>1.230761823763433</v>
      </c>
      <c r="Q31" s="103">
        <f t="shared" si="10"/>
        <v>1.069417151292327</v>
      </c>
      <c r="R31" s="103">
        <f t="shared" si="10"/>
        <v>1.0536795145329643</v>
      </c>
      <c r="S31" s="103">
        <f t="shared" si="10"/>
        <v>1.4598028495315232</v>
      </c>
      <c r="T31" s="103">
        <f t="shared" si="10"/>
        <v>1</v>
      </c>
    </row>
    <row r="32" spans="2:20" ht="13.5" customHeight="1" x14ac:dyDescent="0.2">
      <c r="B32" s="96">
        <v>2013</v>
      </c>
      <c r="C32" s="101">
        <f t="shared" si="9"/>
        <v>1.1271106308253411</v>
      </c>
      <c r="D32" s="101">
        <f t="shared" si="9"/>
        <v>0.95945858794318228</v>
      </c>
      <c r="E32" s="101">
        <f t="shared" si="9"/>
        <v>1.0197638136814564</v>
      </c>
      <c r="F32" s="101">
        <f t="shared" si="9"/>
        <v>1.2922091782283884</v>
      </c>
      <c r="G32" s="101">
        <f t="shared" si="9"/>
        <v>1.1200767847074931</v>
      </c>
      <c r="H32" s="101">
        <f t="shared" si="9"/>
        <v>1.1055937338358088</v>
      </c>
      <c r="I32" s="101">
        <f t="shared" si="9"/>
        <v>1.3397577092511013</v>
      </c>
      <c r="J32" s="101">
        <f t="shared" si="9"/>
        <v>1.0555451843129371</v>
      </c>
      <c r="L32" s="96">
        <v>2013</v>
      </c>
      <c r="M32" s="101">
        <f t="shared" si="10"/>
        <v>1.0677995102208595</v>
      </c>
      <c r="N32" s="101">
        <f t="shared" si="10"/>
        <v>0.90896969850485509</v>
      </c>
      <c r="O32" s="101">
        <f t="shared" si="10"/>
        <v>0.96610152633610746</v>
      </c>
      <c r="P32" s="103">
        <f t="shared" si="10"/>
        <v>1.2242101971878143</v>
      </c>
      <c r="Q32" s="103">
        <f t="shared" si="10"/>
        <v>1.0611358010567402</v>
      </c>
      <c r="R32" s="103">
        <f t="shared" si="10"/>
        <v>1.0474148812070501</v>
      </c>
      <c r="S32" s="103">
        <f t="shared" si="10"/>
        <v>1.2692566165447103</v>
      </c>
      <c r="T32" s="103">
        <f t="shared" si="10"/>
        <v>1</v>
      </c>
    </row>
    <row r="33" spans="1:20" ht="13.5" customHeight="1" x14ac:dyDescent="0.2">
      <c r="B33" s="96">
        <v>2014</v>
      </c>
      <c r="C33" s="101">
        <f t="shared" si="9"/>
        <v>1.0549777117384844</v>
      </c>
      <c r="D33" s="101">
        <f t="shared" si="9"/>
        <v>0.78194379504377409</v>
      </c>
      <c r="E33" s="101">
        <f t="shared" si="9"/>
        <v>0.73128909037484791</v>
      </c>
      <c r="F33" s="101">
        <f t="shared" si="9"/>
        <v>1.0786400365909437</v>
      </c>
      <c r="G33" s="101">
        <f t="shared" si="9"/>
        <v>0.84855156119955977</v>
      </c>
      <c r="H33" s="101">
        <f t="shared" si="9"/>
        <v>0.91624177935417128</v>
      </c>
      <c r="I33" s="101">
        <f t="shared" si="9"/>
        <v>1.1678414096916299</v>
      </c>
      <c r="J33" s="101">
        <f t="shared" si="9"/>
        <v>0.82170158584277508</v>
      </c>
      <c r="L33" s="96">
        <v>2014</v>
      </c>
      <c r="M33" s="101">
        <f t="shared" si="10"/>
        <v>1.2838939706517063</v>
      </c>
      <c r="N33" s="101">
        <f t="shared" si="10"/>
        <v>0.95161529260257705</v>
      </c>
      <c r="O33" s="101">
        <f t="shared" si="10"/>
        <v>0.88996918464603414</v>
      </c>
      <c r="P33" s="103">
        <f t="shared" si="10"/>
        <v>1.3126907081293275</v>
      </c>
      <c r="Q33" s="103">
        <f t="shared" si="10"/>
        <v>1.0326760661283694</v>
      </c>
      <c r="R33" s="103">
        <f t="shared" si="10"/>
        <v>1.1150541694700897</v>
      </c>
      <c r="S33" s="103">
        <f t="shared" si="10"/>
        <v>1.4212476035248707</v>
      </c>
      <c r="T33" s="103">
        <f t="shared" si="10"/>
        <v>1</v>
      </c>
    </row>
    <row r="34" spans="1:20" ht="13.5" customHeight="1" x14ac:dyDescent="0.2">
      <c r="B34" s="96">
        <v>2015</v>
      </c>
      <c r="C34" s="101">
        <f t="shared" si="9"/>
        <v>1.1040118870728084</v>
      </c>
      <c r="D34" s="101">
        <f t="shared" si="9"/>
        <v>0.7638940393079986</v>
      </c>
      <c r="E34" s="101">
        <f t="shared" si="9"/>
        <v>0.64055744448642071</v>
      </c>
      <c r="F34" s="101">
        <f t="shared" si="9"/>
        <v>0.99384052447019366</v>
      </c>
      <c r="G34" s="101">
        <f t="shared" si="9"/>
        <v>0.70644615673745537</v>
      </c>
      <c r="H34" s="101">
        <f t="shared" si="9"/>
        <v>0.69511564324244446</v>
      </c>
      <c r="I34" s="101">
        <f t="shared" si="9"/>
        <v>1.0266519823788545</v>
      </c>
      <c r="J34" s="101">
        <f t="shared" si="9"/>
        <v>0.73678743579801931</v>
      </c>
      <c r="L34" s="96">
        <v>2015</v>
      </c>
      <c r="M34" s="101">
        <f t="shared" si="10"/>
        <v>1.4984130204080448</v>
      </c>
      <c r="N34" s="101">
        <f t="shared" si="10"/>
        <v>1.0367902629618269</v>
      </c>
      <c r="O34" s="101">
        <f t="shared" si="10"/>
        <v>0.86939246431724082</v>
      </c>
      <c r="P34" s="103">
        <f t="shared" si="10"/>
        <v>1.348883648366993</v>
      </c>
      <c r="Q34" s="103">
        <f t="shared" si="10"/>
        <v>0.95881949448866333</v>
      </c>
      <c r="R34" s="103">
        <f t="shared" si="10"/>
        <v>0.94344122805183317</v>
      </c>
      <c r="S34" s="103">
        <f t="shared" si="10"/>
        <v>1.3934167882041597</v>
      </c>
      <c r="T34" s="103">
        <f t="shared" si="10"/>
        <v>1</v>
      </c>
    </row>
    <row r="35" spans="1:20" ht="13.5" customHeight="1" x14ac:dyDescent="0.2">
      <c r="B35" s="96">
        <v>2016</v>
      </c>
      <c r="C35" s="101">
        <f t="shared" si="9"/>
        <v>0.7972443603944348</v>
      </c>
      <c r="D35" s="101">
        <f t="shared" si="9"/>
        <v>0.59104686970962372</v>
      </c>
      <c r="E35" s="101">
        <f t="shared" si="9"/>
        <v>0.48320950342106372</v>
      </c>
      <c r="F35" s="101">
        <f t="shared" si="9"/>
        <v>0.86159475529806373</v>
      </c>
      <c r="G35" s="101">
        <f t="shared" si="9"/>
        <v>0.4978790238139984</v>
      </c>
      <c r="H35" s="101">
        <f t="shared" si="9"/>
        <v>0.44731397325057265</v>
      </c>
      <c r="I35" s="101">
        <f t="shared" si="9"/>
        <v>0.97334801762114531</v>
      </c>
      <c r="J35" s="101">
        <f t="shared" si="9"/>
        <v>0.56143046560497056</v>
      </c>
      <c r="L35" s="96">
        <v>2016</v>
      </c>
      <c r="M35" s="101">
        <f t="shared" si="10"/>
        <v>1.4200233318926903</v>
      </c>
      <c r="N35" s="101">
        <f t="shared" si="10"/>
        <v>1.0527516868411122</v>
      </c>
      <c r="O35" s="101">
        <f t="shared" si="10"/>
        <v>0.86067560102991625</v>
      </c>
      <c r="P35" s="103">
        <f t="shared" si="10"/>
        <v>1.5346419691878506</v>
      </c>
      <c r="Q35" s="103">
        <f t="shared" si="10"/>
        <v>0.88680442960555728</v>
      </c>
      <c r="R35" s="103">
        <f t="shared" si="10"/>
        <v>0.79673975791208373</v>
      </c>
      <c r="S35" s="103">
        <f t="shared" si="10"/>
        <v>1.7336929098999145</v>
      </c>
      <c r="T35" s="103">
        <f t="shared" si="10"/>
        <v>1</v>
      </c>
    </row>
    <row r="36" spans="1:20" ht="13.5" customHeight="1" x14ac:dyDescent="0.2">
      <c r="B36" s="96">
        <v>2017</v>
      </c>
      <c r="C36" s="101">
        <f t="shared" si="9"/>
        <v>0.90041199513710668</v>
      </c>
      <c r="D36" s="101">
        <f t="shared" si="9"/>
        <v>0.47760709736710572</v>
      </c>
      <c r="E36" s="101">
        <f t="shared" si="9"/>
        <v>0.37512767773440236</v>
      </c>
      <c r="F36" s="101">
        <f t="shared" si="9"/>
        <v>0.78129288001219699</v>
      </c>
      <c r="G36" s="101">
        <f t="shared" si="9"/>
        <v>0.3715030740730797</v>
      </c>
      <c r="H36" s="101">
        <f t="shared" si="9"/>
        <v>0.46484519323136042</v>
      </c>
      <c r="I36" s="101">
        <f t="shared" si="9"/>
        <v>0.69347466960352411</v>
      </c>
      <c r="J36" s="101">
        <f t="shared" si="9"/>
        <v>0.45882337454705591</v>
      </c>
      <c r="L36" s="96">
        <v>2017</v>
      </c>
      <c r="M36" s="101">
        <f t="shared" si="10"/>
        <v>1.9624370620306362</v>
      </c>
      <c r="N36" s="101">
        <f t="shared" si="10"/>
        <v>1.040938896887267</v>
      </c>
      <c r="O36" s="101">
        <f t="shared" si="10"/>
        <v>0.81758624024925319</v>
      </c>
      <c r="P36" s="103">
        <f t="shared" si="10"/>
        <v>1.7028183901560781</v>
      </c>
      <c r="Q36" s="103">
        <f t="shared" si="10"/>
        <v>0.80968646037229985</v>
      </c>
      <c r="R36" s="103">
        <f t="shared" si="10"/>
        <v>1.0131244810494868</v>
      </c>
      <c r="S36" s="103">
        <f t="shared" si="10"/>
        <v>1.5114196618428886</v>
      </c>
      <c r="T36" s="103">
        <f t="shared" si="10"/>
        <v>1</v>
      </c>
    </row>
    <row r="37" spans="1:20" ht="13.5" customHeight="1" x14ac:dyDescent="0.2">
      <c r="B37" s="96">
        <v>2018</v>
      </c>
      <c r="C37" s="101">
        <f t="shared" si="9"/>
        <v>0.7294340132378766</v>
      </c>
      <c r="D37" s="101">
        <f t="shared" si="9"/>
        <v>0.43129161762571949</v>
      </c>
      <c r="E37" s="101">
        <f t="shared" si="9"/>
        <v>0.32391666316864653</v>
      </c>
      <c r="F37" s="101">
        <f t="shared" si="9"/>
        <v>0.65863698734563192</v>
      </c>
      <c r="G37" s="101">
        <f t="shared" si="9"/>
        <v>0.36647246758128171</v>
      </c>
      <c r="H37" s="101">
        <f t="shared" si="9"/>
        <v>0.37316190053942216</v>
      </c>
      <c r="I37" s="101">
        <f t="shared" si="9"/>
        <v>0.84801762114537449</v>
      </c>
      <c r="J37" s="101">
        <f t="shared" si="9"/>
        <v>0.4114192167956689</v>
      </c>
      <c r="L37" s="96">
        <v>2018</v>
      </c>
      <c r="M37" s="101">
        <f t="shared" si="10"/>
        <v>1.7729702052302276</v>
      </c>
      <c r="N37" s="101">
        <f t="shared" si="10"/>
        <v>1.0483020724817531</v>
      </c>
      <c r="O37" s="101">
        <f t="shared" si="10"/>
        <v>0.78731534635514988</v>
      </c>
      <c r="P37" s="103">
        <f t="shared" si="10"/>
        <v>1.6008901880554198</v>
      </c>
      <c r="Q37" s="103">
        <f t="shared" si="10"/>
        <v>0.89075194502470223</v>
      </c>
      <c r="R37" s="103">
        <f t="shared" si="10"/>
        <v>0.90701135315405745</v>
      </c>
      <c r="S37" s="103">
        <f t="shared" si="10"/>
        <v>2.0612008057138027</v>
      </c>
      <c r="T37" s="103">
        <f t="shared" si="10"/>
        <v>1</v>
      </c>
    </row>
    <row r="38" spans="1:20" ht="13.5" customHeight="1" x14ac:dyDescent="0.2">
      <c r="B38" s="96">
        <v>2019</v>
      </c>
      <c r="C38" s="101">
        <f t="shared" si="9"/>
        <v>0.62136971498041338</v>
      </c>
      <c r="D38" s="101">
        <f t="shared" si="9"/>
        <v>0.39904551537332922</v>
      </c>
      <c r="E38" s="101">
        <f t="shared" si="9"/>
        <v>0.29593250220375267</v>
      </c>
      <c r="F38" s="101">
        <f t="shared" si="9"/>
        <v>0.59765208110992529</v>
      </c>
      <c r="G38" s="101">
        <f t="shared" si="9"/>
        <v>0.31948881789137379</v>
      </c>
      <c r="H38" s="101">
        <f t="shared" si="9"/>
        <v>0.35099386684401096</v>
      </c>
      <c r="I38" s="101">
        <f t="shared" si="9"/>
        <v>1.0462555066079295</v>
      </c>
      <c r="J38" s="101">
        <f t="shared" si="9"/>
        <v>0.38006615257214799</v>
      </c>
      <c r="L38" s="96">
        <v>2019</v>
      </c>
      <c r="M38" s="101">
        <f t="shared" si="10"/>
        <v>1.6348988479379485</v>
      </c>
      <c r="N38" s="101">
        <f t="shared" si="10"/>
        <v>1.0499369982639493</v>
      </c>
      <c r="O38" s="101">
        <f t="shared" si="10"/>
        <v>0.77863419355022889</v>
      </c>
      <c r="P38" s="103">
        <f t="shared" si="10"/>
        <v>1.572494885601456</v>
      </c>
      <c r="Q38" s="103">
        <f t="shared" si="10"/>
        <v>0.84061370824313342</v>
      </c>
      <c r="R38" s="103">
        <f t="shared" si="10"/>
        <v>0.92350730121220614</v>
      </c>
      <c r="S38" s="103">
        <f t="shared" si="10"/>
        <v>2.7528247372918027</v>
      </c>
      <c r="T38" s="103">
        <f t="shared" si="10"/>
        <v>1</v>
      </c>
    </row>
    <row r="39" spans="1:20" ht="13.5" customHeight="1" x14ac:dyDescent="0.2">
      <c r="B39" s="102">
        <v>2020</v>
      </c>
      <c r="C39" s="101">
        <f t="shared" ref="C39:J39" si="11">C21/C$10</f>
        <v>0.60786167769823052</v>
      </c>
      <c r="D39" s="101">
        <f t="shared" si="11"/>
        <v>0.43129161762571949</v>
      </c>
      <c r="E39" s="101">
        <f t="shared" si="11"/>
        <v>0.37988498509843432</v>
      </c>
      <c r="F39" s="101">
        <f t="shared" si="11"/>
        <v>0.80195151699954259</v>
      </c>
      <c r="G39" s="101">
        <f t="shared" si="11"/>
        <v>0.46983649689907914</v>
      </c>
      <c r="H39" s="101">
        <f t="shared" si="11"/>
        <v>0.50617010271188945</v>
      </c>
      <c r="I39" s="101">
        <f t="shared" si="11"/>
        <v>1.1453744493392071</v>
      </c>
      <c r="J39" s="101">
        <f t="shared" si="11"/>
        <v>0.47316799977023705</v>
      </c>
      <c r="L39" s="102">
        <v>2020</v>
      </c>
      <c r="M39" s="101">
        <f t="shared" si="10"/>
        <v>1.2846635402085487</v>
      </c>
      <c r="N39" s="101">
        <f t="shared" si="10"/>
        <v>0.91149785664953642</v>
      </c>
      <c r="O39" s="101">
        <f t="shared" si="10"/>
        <v>0.80285434620029361</v>
      </c>
      <c r="P39" s="103">
        <f t="shared" si="10"/>
        <v>1.6948557750924782</v>
      </c>
      <c r="Q39" s="103">
        <f t="shared" si="10"/>
        <v>0.99295915431141646</v>
      </c>
      <c r="R39" s="103">
        <f t="shared" si="10"/>
        <v>1.0697471151000864</v>
      </c>
      <c r="S39" s="103">
        <f t="shared" si="10"/>
        <v>2.4206506988963388</v>
      </c>
      <c r="T39" s="103">
        <f t="shared" si="10"/>
        <v>1</v>
      </c>
    </row>
    <row r="40" spans="1:20" ht="13.5" customHeight="1" x14ac:dyDescent="0.2">
      <c r="B40" s="102">
        <v>2021</v>
      </c>
      <c r="C40" s="101">
        <f t="shared" ref="C40:J40" si="12">C22/C$10</f>
        <v>0.51330541672295016</v>
      </c>
      <c r="D40" s="101">
        <f t="shared" si="12"/>
        <v>0.44257775341405603</v>
      </c>
      <c r="E40" s="101">
        <f t="shared" si="12"/>
        <v>0.3519008241335404</v>
      </c>
      <c r="F40" s="101">
        <f t="shared" si="12"/>
        <v>0.91782283884738525</v>
      </c>
      <c r="G40" s="101">
        <f t="shared" si="12"/>
        <v>0.41077133728890919</v>
      </c>
      <c r="H40" s="101">
        <f t="shared" si="12"/>
        <v>0.49139141358161537</v>
      </c>
      <c r="I40" s="101">
        <f t="shared" si="12"/>
        <v>1.3876651982378854</v>
      </c>
      <c r="J40" s="101">
        <f t="shared" si="12"/>
        <v>0.47316799977023705</v>
      </c>
      <c r="L40" s="102">
        <v>2021</v>
      </c>
      <c r="M40" s="101">
        <f t="shared" si="10"/>
        <v>1.0848269895094411</v>
      </c>
      <c r="N40" s="101">
        <f t="shared" si="10"/>
        <v>0.93535013701045899</v>
      </c>
      <c r="O40" s="101">
        <f t="shared" si="10"/>
        <v>0.7437122212499957</v>
      </c>
      <c r="P40" s="103">
        <f t="shared" si="10"/>
        <v>1.9397398794784635</v>
      </c>
      <c r="Q40" s="103">
        <f t="shared" si="10"/>
        <v>0.86813000348369562</v>
      </c>
      <c r="R40" s="103">
        <f t="shared" si="10"/>
        <v>1.0385136226884051</v>
      </c>
      <c r="S40" s="103">
        <f t="shared" si="10"/>
        <v>2.9327114236628717</v>
      </c>
      <c r="T40" s="103">
        <f t="shared" si="10"/>
        <v>1</v>
      </c>
    </row>
    <row r="41" spans="1:20" ht="13.5" customHeight="1" thickBot="1" x14ac:dyDescent="0.25">
      <c r="B41" s="99">
        <v>2022</v>
      </c>
      <c r="C41" s="100">
        <f t="shared" ref="C41:I41" si="13">C23/C$10</f>
        <v>0.45927326759421855</v>
      </c>
      <c r="D41" s="100">
        <f t="shared" si="13"/>
        <v>0.45547619431501213</v>
      </c>
      <c r="E41" s="100">
        <f t="shared" si="13"/>
        <v>0.31831983097566779</v>
      </c>
      <c r="F41" s="100">
        <f t="shared" si="13"/>
        <v>0.60679981704528119</v>
      </c>
      <c r="G41" s="100">
        <f t="shared" si="13"/>
        <v>0.39063548742180582</v>
      </c>
      <c r="H41" s="100">
        <f t="shared" si="13"/>
        <v>0.4581393630384985</v>
      </c>
      <c r="I41" s="100">
        <f t="shared" si="13"/>
        <v>1.0462555066079295</v>
      </c>
      <c r="J41" s="100">
        <f>J23/J$10</f>
        <v>0.42195001699288215</v>
      </c>
      <c r="L41" s="99">
        <v>2022</v>
      </c>
      <c r="M41" s="100">
        <f t="shared" si="10"/>
        <v>1.08845419859757</v>
      </c>
      <c r="N41" s="100">
        <f t="shared" si="10"/>
        <v>1.0794553287639648</v>
      </c>
      <c r="O41" s="100">
        <f t="shared" si="10"/>
        <v>0.75440174939260041</v>
      </c>
      <c r="P41" s="100">
        <f t="shared" si="10"/>
        <v>1.4380845896624701</v>
      </c>
      <c r="Q41" s="100">
        <f t="shared" si="10"/>
        <v>0.92578616350285725</v>
      </c>
      <c r="R41" s="100">
        <f t="shared" si="10"/>
        <v>1.0857669026856014</v>
      </c>
      <c r="S41" s="100">
        <f t="shared" si="10"/>
        <v>2.4795721399996502</v>
      </c>
      <c r="T41" s="100">
        <f t="shared" si="10"/>
        <v>1</v>
      </c>
    </row>
    <row r="42" spans="1:20" ht="13.5" customHeight="1" thickBot="1" x14ac:dyDescent="0.25"/>
    <row r="43" spans="1:20" ht="13.5" customHeight="1" thickBot="1" x14ac:dyDescent="0.25">
      <c r="A43" s="94"/>
      <c r="B43" s="380" t="s">
        <v>688</v>
      </c>
      <c r="C43" s="381"/>
      <c r="D43" s="381"/>
      <c r="E43" s="381"/>
      <c r="F43" s="381"/>
      <c r="G43" s="381"/>
      <c r="H43" s="381"/>
      <c r="I43" s="381"/>
      <c r="J43" s="382"/>
      <c r="K43" s="94"/>
      <c r="L43" s="380" t="s">
        <v>687</v>
      </c>
      <c r="M43" s="381"/>
      <c r="N43" s="381"/>
      <c r="O43" s="381"/>
      <c r="P43" s="381"/>
      <c r="Q43" s="381"/>
      <c r="R43" s="381"/>
      <c r="S43" s="381"/>
      <c r="T43" s="382"/>
    </row>
    <row r="44" spans="1:20" ht="6.75" customHeight="1" thickBot="1" x14ac:dyDescent="0.25">
      <c r="A44" s="94"/>
      <c r="B44" s="95"/>
      <c r="C44" s="94"/>
      <c r="D44" s="94"/>
      <c r="E44" s="94"/>
      <c r="F44" s="94"/>
      <c r="G44" s="94"/>
      <c r="H44" s="94"/>
      <c r="I44" s="94"/>
      <c r="J44" s="94"/>
      <c r="K44" s="94"/>
      <c r="L44" s="95"/>
      <c r="M44" s="94"/>
      <c r="N44" s="94"/>
      <c r="O44" s="94"/>
      <c r="P44" s="94"/>
      <c r="Q44" s="94"/>
      <c r="R44" s="94"/>
      <c r="S44" s="94"/>
      <c r="T44" s="94"/>
    </row>
    <row r="45" spans="1:20" ht="27" customHeight="1" thickBot="1" x14ac:dyDescent="0.25">
      <c r="B45" s="106" t="s">
        <v>52</v>
      </c>
      <c r="C45" s="105" t="s">
        <v>686</v>
      </c>
      <c r="D45" s="105" t="s">
        <v>685</v>
      </c>
      <c r="E45" s="105" t="s">
        <v>684</v>
      </c>
      <c r="F45" s="105" t="s">
        <v>683</v>
      </c>
      <c r="G45" s="105" t="s">
        <v>682</v>
      </c>
      <c r="H45" s="105" t="s">
        <v>681</v>
      </c>
      <c r="I45" s="105" t="s">
        <v>680</v>
      </c>
      <c r="J45" s="104" t="s">
        <v>44</v>
      </c>
      <c r="L45" s="106" t="s">
        <v>52</v>
      </c>
      <c r="M45" s="105" t="s">
        <v>686</v>
      </c>
      <c r="N45" s="105" t="s">
        <v>685</v>
      </c>
      <c r="O45" s="105" t="s">
        <v>684</v>
      </c>
      <c r="P45" s="105" t="s">
        <v>683</v>
      </c>
      <c r="Q45" s="105" t="s">
        <v>682</v>
      </c>
      <c r="R45" s="105" t="s">
        <v>681</v>
      </c>
      <c r="S45" s="105" t="s">
        <v>680</v>
      </c>
      <c r="T45" s="104" t="s">
        <v>44</v>
      </c>
    </row>
    <row r="46" spans="1:20" ht="13.5" customHeight="1" x14ac:dyDescent="0.2">
      <c r="B46" s="96">
        <v>2009</v>
      </c>
      <c r="C46" s="103"/>
      <c r="D46" s="103"/>
      <c r="E46" s="103"/>
      <c r="F46" s="103"/>
      <c r="G46" s="103"/>
      <c r="H46" s="103"/>
      <c r="I46" s="103"/>
      <c r="J46" s="103"/>
      <c r="L46" s="96">
        <v>2009</v>
      </c>
      <c r="M46" s="103"/>
      <c r="N46" s="103"/>
      <c r="O46" s="103"/>
      <c r="P46" s="103"/>
      <c r="Q46" s="103"/>
      <c r="R46" s="103"/>
      <c r="S46" s="103"/>
      <c r="T46" s="103"/>
    </row>
    <row r="47" spans="1:20" ht="13.5" customHeight="1" x14ac:dyDescent="0.2">
      <c r="B47" s="96">
        <v>2010</v>
      </c>
      <c r="C47" s="101">
        <f t="shared" ref="C47:J58" si="14">C11/C10</f>
        <v>1.380926651357558</v>
      </c>
      <c r="D47" s="101">
        <f t="shared" si="14"/>
        <v>1.0677490608322717</v>
      </c>
      <c r="E47" s="101">
        <f t="shared" si="14"/>
        <v>1.0957548027816257</v>
      </c>
      <c r="F47" s="101">
        <f t="shared" si="14"/>
        <v>1.1533465467296842</v>
      </c>
      <c r="G47" s="101">
        <f t="shared" si="14"/>
        <v>1.1919214970333181</v>
      </c>
      <c r="H47" s="101">
        <f t="shared" si="14"/>
        <v>1.0952855981674425</v>
      </c>
      <c r="I47" s="101">
        <f t="shared" si="14"/>
        <v>1.5269823788546255</v>
      </c>
      <c r="J47" s="101">
        <f t="shared" si="14"/>
        <v>1.1234999593128174</v>
      </c>
      <c r="L47" s="96">
        <v>2010</v>
      </c>
      <c r="M47" s="101">
        <f t="shared" ref="M47:T58" si="15">M11/M10</f>
        <v>1.2291292402023708</v>
      </c>
      <c r="N47" s="101">
        <f t="shared" si="15"/>
        <v>0.95037748064125838</v>
      </c>
      <c r="O47" s="101">
        <f t="shared" si="15"/>
        <v>0.97530471069339253</v>
      </c>
      <c r="P47" s="101">
        <f t="shared" si="15"/>
        <v>1.0265657218493558</v>
      </c>
      <c r="Q47" s="101">
        <f t="shared" si="15"/>
        <v>1.0609003473060652</v>
      </c>
      <c r="R47" s="101">
        <f t="shared" si="15"/>
        <v>0.97488708307329908</v>
      </c>
      <c r="S47" s="101">
        <f t="shared" si="15"/>
        <v>1.3591298924377317</v>
      </c>
      <c r="T47" s="101">
        <f t="shared" si="15"/>
        <v>1</v>
      </c>
    </row>
    <row r="48" spans="1:20" ht="13.5" customHeight="1" x14ac:dyDescent="0.2">
      <c r="B48" s="96">
        <v>2011</v>
      </c>
      <c r="C48" s="101">
        <f t="shared" si="14"/>
        <v>1.0465616746551891</v>
      </c>
      <c r="D48" s="101">
        <f t="shared" si="14"/>
        <v>0.97670064175160454</v>
      </c>
      <c r="E48" s="101">
        <f t="shared" si="14"/>
        <v>0.99078691141260966</v>
      </c>
      <c r="F48" s="101">
        <f t="shared" si="14"/>
        <v>1.0475888324873097</v>
      </c>
      <c r="G48" s="101">
        <f t="shared" si="14"/>
        <v>0.9927920622585622</v>
      </c>
      <c r="H48" s="101">
        <f t="shared" si="14"/>
        <v>1.016056670602125</v>
      </c>
      <c r="I48" s="101">
        <f t="shared" si="14"/>
        <v>0.92578434908041829</v>
      </c>
      <c r="J48" s="101">
        <f t="shared" si="14"/>
        <v>0.99265907294700095</v>
      </c>
      <c r="L48" s="96">
        <v>2011</v>
      </c>
      <c r="M48" s="101">
        <f t="shared" si="15"/>
        <v>1.0543012230253057</v>
      </c>
      <c r="N48" s="101">
        <f t="shared" si="15"/>
        <v>0.98392355277827748</v>
      </c>
      <c r="O48" s="101">
        <f t="shared" si="15"/>
        <v>0.99811399342894913</v>
      </c>
      <c r="P48" s="101">
        <f t="shared" si="15"/>
        <v>1.0553359769102133</v>
      </c>
      <c r="Q48" s="101">
        <f t="shared" si="15"/>
        <v>1.0001339727960843</v>
      </c>
      <c r="R48" s="101">
        <f t="shared" si="15"/>
        <v>1.0235706279152432</v>
      </c>
      <c r="S48" s="101">
        <f t="shared" si="15"/>
        <v>0.9326307231867178</v>
      </c>
      <c r="T48" s="101">
        <f t="shared" si="15"/>
        <v>1</v>
      </c>
    </row>
    <row r="49" spans="2:20" ht="13.5" customHeight="1" x14ac:dyDescent="0.2">
      <c r="B49" s="96">
        <v>2012</v>
      </c>
      <c r="C49" s="101">
        <f t="shared" si="14"/>
        <v>0.88793345172446025</v>
      </c>
      <c r="D49" s="101">
        <f t="shared" si="14"/>
        <v>0.98266905785226177</v>
      </c>
      <c r="E49" s="101">
        <f t="shared" si="14"/>
        <v>0.98796896547279978</v>
      </c>
      <c r="F49" s="101">
        <f t="shared" si="14"/>
        <v>1.1535937815465374</v>
      </c>
      <c r="G49" s="101">
        <f t="shared" si="14"/>
        <v>1.0234597452099239</v>
      </c>
      <c r="H49" s="101">
        <f t="shared" si="14"/>
        <v>1.0722419574383319</v>
      </c>
      <c r="I49" s="101">
        <f t="shared" si="14"/>
        <v>1.1694453100654409</v>
      </c>
      <c r="J49" s="101">
        <f t="shared" si="14"/>
        <v>1.0154449683138866</v>
      </c>
      <c r="L49" s="96">
        <v>2012</v>
      </c>
      <c r="M49" s="101">
        <f t="shared" si="15"/>
        <v>0.87442793989992862</v>
      </c>
      <c r="N49" s="101">
        <f t="shared" si="15"/>
        <v>0.96772261276152816</v>
      </c>
      <c r="O49" s="101">
        <f t="shared" si="15"/>
        <v>0.97294190852438811</v>
      </c>
      <c r="P49" s="101">
        <f t="shared" si="15"/>
        <v>1.1360475629339541</v>
      </c>
      <c r="Q49" s="101">
        <f t="shared" si="15"/>
        <v>1.0078928717420752</v>
      </c>
      <c r="R49" s="101">
        <f t="shared" si="15"/>
        <v>1.0559331041038638</v>
      </c>
      <c r="S49" s="101">
        <f t="shared" si="15"/>
        <v>1.1516579889181651</v>
      </c>
      <c r="T49" s="101">
        <f t="shared" si="15"/>
        <v>1</v>
      </c>
    </row>
    <row r="50" spans="2:20" ht="13.5" customHeight="1" x14ac:dyDescent="0.2">
      <c r="B50" s="96">
        <v>2013</v>
      </c>
      <c r="C50" s="101">
        <f t="shared" si="14"/>
        <v>0.87831578947368416</v>
      </c>
      <c r="D50" s="101">
        <f t="shared" si="14"/>
        <v>0.93624234986863009</v>
      </c>
      <c r="E50" s="101">
        <f t="shared" si="14"/>
        <v>0.95074193653589023</v>
      </c>
      <c r="F50" s="101">
        <f t="shared" si="14"/>
        <v>0.92710566615620216</v>
      </c>
      <c r="G50" s="101">
        <f t="shared" si="14"/>
        <v>0.92484953280351145</v>
      </c>
      <c r="H50" s="101">
        <f t="shared" si="14"/>
        <v>0.92652568350001552</v>
      </c>
      <c r="I50" s="101">
        <f t="shared" si="14"/>
        <v>0.81040570248484445</v>
      </c>
      <c r="J50" s="101">
        <f t="shared" si="14"/>
        <v>0.93206727334976136</v>
      </c>
      <c r="L50" s="96">
        <v>2013</v>
      </c>
      <c r="M50" s="101">
        <f t="shared" si="15"/>
        <v>0.94233089669278969</v>
      </c>
      <c r="N50" s="101">
        <f t="shared" si="15"/>
        <v>1.0044793725069479</v>
      </c>
      <c r="O50" s="101">
        <f t="shared" si="15"/>
        <v>1.0200357460454692</v>
      </c>
      <c r="P50" s="101">
        <f t="shared" si="15"/>
        <v>0.99467677137109678</v>
      </c>
      <c r="Q50" s="101">
        <f t="shared" si="15"/>
        <v>0.99225620215125676</v>
      </c>
      <c r="R50" s="101">
        <f t="shared" si="15"/>
        <v>0.99405451729913241</v>
      </c>
      <c r="S50" s="101">
        <f t="shared" si="15"/>
        <v>0.86947125562334493</v>
      </c>
      <c r="T50" s="101">
        <f t="shared" si="15"/>
        <v>1</v>
      </c>
    </row>
    <row r="51" spans="2:20" ht="13.5" customHeight="1" x14ac:dyDescent="0.2">
      <c r="B51" s="96">
        <v>2014</v>
      </c>
      <c r="C51" s="101">
        <f t="shared" si="14"/>
        <v>0.93600191754554174</v>
      </c>
      <c r="D51" s="101">
        <f t="shared" si="14"/>
        <v>0.81498441399127863</v>
      </c>
      <c r="E51" s="101">
        <f t="shared" si="14"/>
        <v>0.71711614058437323</v>
      </c>
      <c r="F51" s="101">
        <f t="shared" si="14"/>
        <v>0.83472556515172969</v>
      </c>
      <c r="G51" s="101">
        <f t="shared" si="14"/>
        <v>0.75758338426874738</v>
      </c>
      <c r="H51" s="101">
        <f t="shared" si="14"/>
        <v>0.82873278973399278</v>
      </c>
      <c r="I51" s="101">
        <f t="shared" si="14"/>
        <v>0.87168105219893133</v>
      </c>
      <c r="J51" s="101">
        <f t="shared" si="14"/>
        <v>0.77846178264517141</v>
      </c>
      <c r="L51" s="96">
        <v>2014</v>
      </c>
      <c r="M51" s="101">
        <f t="shared" si="15"/>
        <v>1.2023736275980785</v>
      </c>
      <c r="N51" s="101">
        <f t="shared" si="15"/>
        <v>1.0469164089494609</v>
      </c>
      <c r="O51" s="101">
        <f t="shared" si="15"/>
        <v>0.92119633432440429</v>
      </c>
      <c r="P51" s="101">
        <f t="shared" si="15"/>
        <v>1.0722755872682368</v>
      </c>
      <c r="Q51" s="101">
        <f t="shared" si="15"/>
        <v>0.97317993144701276</v>
      </c>
      <c r="R51" s="101">
        <f t="shared" si="15"/>
        <v>1.0645773603914159</v>
      </c>
      <c r="S51" s="101">
        <f t="shared" si="15"/>
        <v>1.1197480359755181</v>
      </c>
      <c r="T51" s="101">
        <f t="shared" si="15"/>
        <v>1</v>
      </c>
    </row>
    <row r="52" spans="2:20" ht="13.5" customHeight="1" x14ac:dyDescent="0.2">
      <c r="B52" s="96">
        <v>2015</v>
      </c>
      <c r="C52" s="101">
        <f t="shared" si="14"/>
        <v>1.0464788732394368</v>
      </c>
      <c r="D52" s="101">
        <f t="shared" si="14"/>
        <v>0.97691681186016055</v>
      </c>
      <c r="E52" s="101">
        <f t="shared" si="14"/>
        <v>0.87592916798209119</v>
      </c>
      <c r="F52" s="101">
        <f t="shared" si="14"/>
        <v>0.9213829366201165</v>
      </c>
      <c r="G52" s="101">
        <f t="shared" si="14"/>
        <v>0.83253179775991892</v>
      </c>
      <c r="H52" s="101">
        <f t="shared" si="14"/>
        <v>0.75865962337191017</v>
      </c>
      <c r="I52" s="101">
        <f t="shared" si="14"/>
        <v>0.87910222557525464</v>
      </c>
      <c r="J52" s="101">
        <f t="shared" si="14"/>
        <v>0.89666059855821745</v>
      </c>
      <c r="L52" s="96">
        <v>2015</v>
      </c>
      <c r="M52" s="101">
        <f t="shared" si="15"/>
        <v>1.1670847084416545</v>
      </c>
      <c r="N52" s="101">
        <f t="shared" si="15"/>
        <v>1.0895056763183202</v>
      </c>
      <c r="O52" s="101">
        <f t="shared" si="15"/>
        <v>0.97687928898686838</v>
      </c>
      <c r="P52" s="101">
        <f t="shared" si="15"/>
        <v>1.0275715673262005</v>
      </c>
      <c r="Q52" s="101">
        <f t="shared" si="15"/>
        <v>0.92848040730080672</v>
      </c>
      <c r="R52" s="101">
        <f t="shared" si="15"/>
        <v>0.84609452516570316</v>
      </c>
      <c r="S52" s="101">
        <f t="shared" si="15"/>
        <v>0.98041803887536061</v>
      </c>
      <c r="T52" s="101">
        <f t="shared" si="15"/>
        <v>1</v>
      </c>
    </row>
    <row r="53" spans="2:20" ht="13.5" customHeight="1" x14ac:dyDescent="0.2">
      <c r="B53" s="96">
        <v>2016</v>
      </c>
      <c r="C53" s="101">
        <f t="shared" si="14"/>
        <v>0.72213385537746244</v>
      </c>
      <c r="D53" s="101">
        <f t="shared" si="14"/>
        <v>0.77372886721965428</v>
      </c>
      <c r="E53" s="101">
        <f t="shared" si="14"/>
        <v>0.75435779816513759</v>
      </c>
      <c r="F53" s="101">
        <f t="shared" si="14"/>
        <v>0.86693461786273118</v>
      </c>
      <c r="G53" s="101">
        <f t="shared" si="14"/>
        <v>0.70476570516474746</v>
      </c>
      <c r="H53" s="101">
        <f t="shared" si="14"/>
        <v>0.64351015201445727</v>
      </c>
      <c r="I53" s="101">
        <f t="shared" si="14"/>
        <v>0.94807981119931339</v>
      </c>
      <c r="J53" s="101">
        <f t="shared" si="14"/>
        <v>0.76199788205791208</v>
      </c>
      <c r="L53" s="96">
        <v>2016</v>
      </c>
      <c r="M53" s="101">
        <f t="shared" si="15"/>
        <v>0.94768485894896493</v>
      </c>
      <c r="N53" s="101">
        <f t="shared" si="15"/>
        <v>1.0153950364403383</v>
      </c>
      <c r="O53" s="101">
        <f t="shared" si="15"/>
        <v>0.98997361531748473</v>
      </c>
      <c r="P53" s="101">
        <f t="shared" si="15"/>
        <v>1.1377126344779576</v>
      </c>
      <c r="Q53" s="101">
        <f t="shared" si="15"/>
        <v>0.9248919475489894</v>
      </c>
      <c r="R53" s="101">
        <f t="shared" si="15"/>
        <v>0.84450385908756409</v>
      </c>
      <c r="S53" s="101">
        <f t="shared" si="15"/>
        <v>1.2442026854967807</v>
      </c>
      <c r="T53" s="101">
        <f t="shared" si="15"/>
        <v>1</v>
      </c>
    </row>
    <row r="54" spans="2:20" ht="13.5" customHeight="1" x14ac:dyDescent="0.2">
      <c r="B54" s="96">
        <v>2017</v>
      </c>
      <c r="C54" s="101">
        <f t="shared" si="14"/>
        <v>1.1294052863436124</v>
      </c>
      <c r="D54" s="101">
        <f t="shared" si="14"/>
        <v>0.80806975189928676</v>
      </c>
      <c r="E54" s="101">
        <f t="shared" si="14"/>
        <v>0.77632512415121102</v>
      </c>
      <c r="F54" s="101">
        <f t="shared" si="14"/>
        <v>0.90679855605889026</v>
      </c>
      <c r="G54" s="101">
        <f t="shared" si="14"/>
        <v>0.74617137156569335</v>
      </c>
      <c r="H54" s="101">
        <f t="shared" si="14"/>
        <v>1.0391922028578509</v>
      </c>
      <c r="I54" s="101">
        <f t="shared" si="14"/>
        <v>0.71246322697442865</v>
      </c>
      <c r="J54" s="101">
        <f t="shared" si="14"/>
        <v>0.81723989461927382</v>
      </c>
      <c r="L54" s="96">
        <v>2017</v>
      </c>
      <c r="M54" s="101">
        <f t="shared" si="15"/>
        <v>1.3819752238964869</v>
      </c>
      <c r="N54" s="101">
        <f t="shared" si="15"/>
        <v>0.98877912987317018</v>
      </c>
      <c r="O54" s="101">
        <f t="shared" si="15"/>
        <v>0.94993542197652547</v>
      </c>
      <c r="P54" s="101">
        <f t="shared" si="15"/>
        <v>1.1095867468405209</v>
      </c>
      <c r="Q54" s="101">
        <f t="shared" si="15"/>
        <v>0.91303835811063905</v>
      </c>
      <c r="R54" s="101">
        <f t="shared" si="15"/>
        <v>1.2715877060088674</v>
      </c>
      <c r="S54" s="101">
        <f t="shared" si="15"/>
        <v>0.87179203030261121</v>
      </c>
      <c r="T54" s="101">
        <f t="shared" si="15"/>
        <v>1</v>
      </c>
    </row>
    <row r="55" spans="2:20" ht="13.5" customHeight="1" x14ac:dyDescent="0.2">
      <c r="B55" s="96">
        <v>2018</v>
      </c>
      <c r="C55" s="101">
        <f t="shared" si="14"/>
        <v>0.81011139031616852</v>
      </c>
      <c r="D55" s="101">
        <f t="shared" si="14"/>
        <v>0.90302598098581743</v>
      </c>
      <c r="E55" s="101">
        <f t="shared" si="14"/>
        <v>0.86348377471092874</v>
      </c>
      <c r="F55" s="101">
        <f t="shared" si="14"/>
        <v>0.84300907405600545</v>
      </c>
      <c r="G55" s="101">
        <f t="shared" si="14"/>
        <v>0.98645877559869566</v>
      </c>
      <c r="H55" s="101">
        <f t="shared" si="14"/>
        <v>0.80276596590231686</v>
      </c>
      <c r="I55" s="101">
        <f t="shared" si="14"/>
        <v>1.2228530591177991</v>
      </c>
      <c r="J55" s="101">
        <f t="shared" si="14"/>
        <v>0.89668321105439808</v>
      </c>
      <c r="L55" s="96">
        <v>2018</v>
      </c>
      <c r="M55" s="101">
        <f t="shared" si="15"/>
        <v>0.90345328241795575</v>
      </c>
      <c r="N55" s="101">
        <f t="shared" si="15"/>
        <v>1.0070735905983572</v>
      </c>
      <c r="O55" s="101">
        <f t="shared" si="15"/>
        <v>0.96297528945096389</v>
      </c>
      <c r="P55" s="101">
        <f t="shared" si="15"/>
        <v>0.94014147210888677</v>
      </c>
      <c r="Q55" s="101">
        <f t="shared" si="15"/>
        <v>1.1001196001414275</v>
      </c>
      <c r="R55" s="101">
        <f t="shared" si="15"/>
        <v>0.89526151042613467</v>
      </c>
      <c r="S55" s="101">
        <f t="shared" si="15"/>
        <v>1.3637514832912527</v>
      </c>
      <c r="T55" s="101">
        <f t="shared" si="15"/>
        <v>1</v>
      </c>
    </row>
    <row r="56" spans="2:20" ht="13.5" customHeight="1" x14ac:dyDescent="0.2">
      <c r="B56" s="96">
        <v>2019</v>
      </c>
      <c r="C56" s="101">
        <f t="shared" si="14"/>
        <v>0.85185185185185175</v>
      </c>
      <c r="D56" s="101">
        <f t="shared" si="14"/>
        <v>0.92523364485981308</v>
      </c>
      <c r="E56" s="101">
        <f t="shared" si="14"/>
        <v>0.91360691144708428</v>
      </c>
      <c r="F56" s="101">
        <f t="shared" si="14"/>
        <v>0.90740740740740744</v>
      </c>
      <c r="G56" s="101">
        <f t="shared" si="14"/>
        <v>0.87179487179487181</v>
      </c>
      <c r="H56" s="101">
        <f t="shared" si="14"/>
        <v>0.94059405940594065</v>
      </c>
      <c r="I56" s="101">
        <f t="shared" si="14"/>
        <v>1.2337662337662338</v>
      </c>
      <c r="J56" s="101">
        <f t="shared" si="14"/>
        <v>0.92379290285049465</v>
      </c>
      <c r="L56" s="96">
        <v>2019</v>
      </c>
      <c r="M56" s="101">
        <f t="shared" si="15"/>
        <v>0.92212426532325742</v>
      </c>
      <c r="N56" s="101">
        <f t="shared" si="15"/>
        <v>1.0015595941524047</v>
      </c>
      <c r="O56" s="101">
        <f t="shared" si="15"/>
        <v>0.98897372844933085</v>
      </c>
      <c r="P56" s="101">
        <f t="shared" si="15"/>
        <v>0.98226280436607882</v>
      </c>
      <c r="Q56" s="101">
        <f t="shared" si="15"/>
        <v>0.94371245882580879</v>
      </c>
      <c r="R56" s="101">
        <f t="shared" si="15"/>
        <v>1.0181871461705361</v>
      </c>
      <c r="S56" s="101">
        <f t="shared" si="15"/>
        <v>1.3355441787431708</v>
      </c>
      <c r="T56" s="101">
        <f t="shared" si="15"/>
        <v>1</v>
      </c>
    </row>
    <row r="57" spans="2:20" ht="13.5" customHeight="1" x14ac:dyDescent="0.2">
      <c r="B57" s="102">
        <v>2020</v>
      </c>
      <c r="C57" s="101">
        <f t="shared" si="14"/>
        <v>0.97826086956521752</v>
      </c>
      <c r="D57" s="101">
        <f t="shared" si="14"/>
        <v>1.0808080808080809</v>
      </c>
      <c r="E57" s="101">
        <f t="shared" si="14"/>
        <v>1.2836879432624113</v>
      </c>
      <c r="F57" s="101">
        <f t="shared" si="14"/>
        <v>1.3418367346938775</v>
      </c>
      <c r="G57" s="101">
        <f t="shared" si="14"/>
        <v>1.4705882352941175</v>
      </c>
      <c r="H57" s="101">
        <f t="shared" si="14"/>
        <v>1.4421052631578946</v>
      </c>
      <c r="I57" s="101">
        <f t="shared" si="14"/>
        <v>1.0947368421052632</v>
      </c>
      <c r="J57" s="101">
        <f t="shared" si="14"/>
        <v>1.244962216624685</v>
      </c>
      <c r="L57" s="102">
        <v>2020</v>
      </c>
      <c r="M57" s="101">
        <f t="shared" si="15"/>
        <v>0.78577554925117132</v>
      </c>
      <c r="N57" s="101">
        <f t="shared" si="15"/>
        <v>0.86814528696167548</v>
      </c>
      <c r="O57" s="101">
        <f t="shared" si="15"/>
        <v>1.0311059453215528</v>
      </c>
      <c r="P57" s="101">
        <f t="shared" si="15"/>
        <v>1.0778132193696903</v>
      </c>
      <c r="Q57" s="101">
        <f t="shared" si="15"/>
        <v>1.181231217828558</v>
      </c>
      <c r="R57" s="101">
        <f t="shared" si="15"/>
        <v>1.1583526342411417</v>
      </c>
      <c r="S57" s="101">
        <f t="shared" si="15"/>
        <v>0.87933338657721705</v>
      </c>
      <c r="T57" s="101">
        <f t="shared" si="15"/>
        <v>1</v>
      </c>
    </row>
    <row r="58" spans="2:20" ht="13.5" customHeight="1" x14ac:dyDescent="0.2">
      <c r="B58" s="102">
        <v>2021</v>
      </c>
      <c r="C58" s="101">
        <f t="shared" si="14"/>
        <v>0.84444444444444444</v>
      </c>
      <c r="D58" s="101">
        <f t="shared" si="14"/>
        <v>1.0261682242990653</v>
      </c>
      <c r="E58" s="101">
        <f t="shared" si="14"/>
        <v>0.92633517495395945</v>
      </c>
      <c r="F58" s="101">
        <f t="shared" si="14"/>
        <v>1.1444866920152093</v>
      </c>
      <c r="G58" s="101">
        <f t="shared" si="14"/>
        <v>0.87428571428571433</v>
      </c>
      <c r="H58" s="101">
        <f t="shared" si="14"/>
        <v>0.97080291970802934</v>
      </c>
      <c r="I58" s="101">
        <f t="shared" si="14"/>
        <v>1.2115384615384615</v>
      </c>
      <c r="J58" s="101">
        <f t="shared" si="14"/>
        <v>1</v>
      </c>
      <c r="L58" s="102">
        <v>2021</v>
      </c>
      <c r="M58" s="101">
        <f t="shared" si="15"/>
        <v>0.84444444444444433</v>
      </c>
      <c r="N58" s="101">
        <f t="shared" si="15"/>
        <v>1.0261682242990655</v>
      </c>
      <c r="O58" s="101">
        <f t="shared" si="15"/>
        <v>0.92633517495395945</v>
      </c>
      <c r="P58" s="101">
        <f t="shared" si="15"/>
        <v>1.144486692015209</v>
      </c>
      <c r="Q58" s="101">
        <f t="shared" si="15"/>
        <v>0.87428571428571433</v>
      </c>
      <c r="R58" s="101">
        <f t="shared" si="15"/>
        <v>0.97080291970802934</v>
      </c>
      <c r="S58" s="101">
        <f t="shared" si="15"/>
        <v>1.2115384615384615</v>
      </c>
      <c r="T58" s="101">
        <f t="shared" si="15"/>
        <v>1</v>
      </c>
    </row>
    <row r="59" spans="2:20" ht="13.5" customHeight="1" thickBot="1" x14ac:dyDescent="0.25">
      <c r="B59" s="99">
        <v>2022</v>
      </c>
      <c r="C59" s="100">
        <f t="shared" ref="C59:J59" si="16">C23/C20</f>
        <v>0.73913043478260876</v>
      </c>
      <c r="D59" s="100">
        <f t="shared" si="16"/>
        <v>1.1414141414141414</v>
      </c>
      <c r="E59" s="100">
        <f t="shared" si="16"/>
        <v>1.0756501182033098</v>
      </c>
      <c r="F59" s="100">
        <f t="shared" si="16"/>
        <v>1.0153061224489794</v>
      </c>
      <c r="G59" s="100">
        <f t="shared" si="16"/>
        <v>1.2226890756302522</v>
      </c>
      <c r="H59" s="100">
        <f t="shared" si="16"/>
        <v>1.3052631578947369</v>
      </c>
      <c r="I59" s="100">
        <f t="shared" si="16"/>
        <v>1</v>
      </c>
      <c r="J59" s="100">
        <f t="shared" si="16"/>
        <v>1.1102015113350125</v>
      </c>
      <c r="L59" s="99">
        <v>2022</v>
      </c>
      <c r="M59" s="100">
        <f t="shared" ref="M59:T59" si="17">M23/M20</f>
        <v>0.66576241091025679</v>
      </c>
      <c r="N59" s="100">
        <f t="shared" si="17"/>
        <v>1.0281143826237418</v>
      </c>
      <c r="O59" s="100">
        <f t="shared" si="17"/>
        <v>0.96887826869362215</v>
      </c>
      <c r="P59" s="100">
        <f t="shared" si="17"/>
        <v>0.91452417609130987</v>
      </c>
      <c r="Q59" s="100">
        <f t="shared" si="17"/>
        <v>1.1013217538858993</v>
      </c>
      <c r="R59" s="100">
        <f t="shared" si="17"/>
        <v>1.1756993163566889</v>
      </c>
      <c r="S59" s="100">
        <f t="shared" si="17"/>
        <v>0.90073737946681798</v>
      </c>
      <c r="T59" s="100">
        <f t="shared" si="17"/>
        <v>1</v>
      </c>
    </row>
  </sheetData>
  <mergeCells count="8">
    <mergeCell ref="B43:J43"/>
    <mergeCell ref="L43:T43"/>
    <mergeCell ref="B2:I2"/>
    <mergeCell ref="B4:I4"/>
    <mergeCell ref="B7:J7"/>
    <mergeCell ref="L7:T7"/>
    <mergeCell ref="B25:J25"/>
    <mergeCell ref="L25:T25"/>
  </mergeCells>
  <conditionalFormatting sqref="C28:J41 M28:T41 C46:J59 M46:T59">
    <cfRule type="cellIs" dxfId="3" priority="2" stopIfTrue="1" operator="greaterThan">
      <formula>1</formula>
    </cfRule>
  </conditionalFormatting>
  <conditionalFormatting sqref="M10:S23">
    <cfRule type="dataBar" priority="1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{01236BFC-3DEE-4D16-B35E-26879B46B1B7}</x14:id>
        </ext>
      </extLst>
    </cfRule>
  </conditionalFormatting>
  <pageMargins left="0.75" right="0.75" top="1" bottom="1" header="0.5" footer="0.5"/>
  <headerFooter alignWithMargins="0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236BFC-3DEE-4D16-B35E-26879B46B1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M10:S23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56F15-9940-4AF2-BE61-1EEB75025B0D}">
  <sheetPr>
    <tabColor theme="1" tint="0.34998626667073579"/>
  </sheetPr>
  <dimension ref="A1:X187"/>
  <sheetViews>
    <sheetView zoomScaleNormal="100" workbookViewId="0"/>
  </sheetViews>
  <sheetFormatPr defaultColWidth="9.140625" defaultRowHeight="13.5" customHeight="1" x14ac:dyDescent="0.2"/>
  <cols>
    <col min="1" max="1" width="2.5703125" style="86" customWidth="1"/>
    <col min="2" max="2" width="10.140625" style="87" bestFit="1" customWidth="1"/>
    <col min="3" max="8" width="11.85546875" style="86" customWidth="1"/>
    <col min="9" max="9" width="4.28515625" style="86" customWidth="1"/>
    <col min="10" max="10" width="10.140625" style="86" bestFit="1" customWidth="1"/>
    <col min="11" max="16" width="11.85546875" style="86" customWidth="1"/>
    <col min="17" max="17" width="4.28515625" style="86" customWidth="1"/>
    <col min="18" max="18" width="10.140625" style="86" customWidth="1"/>
    <col min="19" max="24" width="11.85546875" style="86" customWidth="1"/>
    <col min="25" max="16384" width="9.140625" style="86"/>
  </cols>
  <sheetData>
    <row r="1" spans="2:18" s="32" customFormat="1" ht="13.5" customHeight="1" thickBot="1" x14ac:dyDescent="0.25">
      <c r="B1" s="33"/>
    </row>
    <row r="2" spans="2:18" s="32" customFormat="1" ht="27" customHeight="1" thickBot="1" x14ac:dyDescent="0.25">
      <c r="B2" s="290" t="s">
        <v>709</v>
      </c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2"/>
    </row>
    <row r="3" spans="2:18" s="32" customFormat="1" ht="13.5" customHeight="1" thickBot="1" x14ac:dyDescent="0.25">
      <c r="B3" s="33"/>
    </row>
    <row r="4" spans="2:18" s="32" customFormat="1" ht="27" customHeight="1" thickBot="1" x14ac:dyDescent="0.25">
      <c r="B4" s="132" t="s">
        <v>700</v>
      </c>
      <c r="C4" s="131" t="s">
        <v>699</v>
      </c>
      <c r="D4" s="131" t="s">
        <v>698</v>
      </c>
      <c r="E4" s="131" t="s">
        <v>697</v>
      </c>
      <c r="F4" s="131" t="s">
        <v>696</v>
      </c>
      <c r="G4" s="130" t="s">
        <v>695</v>
      </c>
      <c r="J4" s="132" t="s">
        <v>52</v>
      </c>
      <c r="K4" s="131" t="s">
        <v>699</v>
      </c>
      <c r="L4" s="131" t="s">
        <v>698</v>
      </c>
      <c r="M4" s="131" t="s">
        <v>697</v>
      </c>
      <c r="N4" s="131" t="s">
        <v>696</v>
      </c>
      <c r="O4" s="130" t="s">
        <v>695</v>
      </c>
    </row>
    <row r="5" spans="2:18" s="32" customFormat="1" ht="13.5" customHeight="1" x14ac:dyDescent="0.2">
      <c r="B5" s="128">
        <v>43891</v>
      </c>
      <c r="C5" s="146">
        <v>5658</v>
      </c>
      <c r="D5" s="146">
        <v>197904</v>
      </c>
      <c r="E5" s="146">
        <v>5050</v>
      </c>
      <c r="F5" s="146">
        <v>86460</v>
      </c>
      <c r="G5" s="146">
        <v>402643</v>
      </c>
      <c r="J5" s="50">
        <v>2020</v>
      </c>
      <c r="K5" s="69">
        <v>1361</v>
      </c>
      <c r="L5" s="69">
        <v>1026</v>
      </c>
      <c r="M5" s="69">
        <v>44</v>
      </c>
      <c r="N5" s="69">
        <v>4664</v>
      </c>
      <c r="O5" s="69">
        <v>746</v>
      </c>
    </row>
    <row r="6" spans="2:18" s="32" customFormat="1" ht="13.5" customHeight="1" x14ac:dyDescent="0.2">
      <c r="B6" s="128">
        <v>43922</v>
      </c>
      <c r="C6" s="146">
        <v>31978</v>
      </c>
      <c r="D6" s="146">
        <v>1088557</v>
      </c>
      <c r="E6" s="146">
        <v>3056</v>
      </c>
      <c r="F6" s="146">
        <v>334418</v>
      </c>
      <c r="G6" s="146">
        <v>764880</v>
      </c>
      <c r="J6" s="50">
        <v>2021</v>
      </c>
      <c r="K6" s="69">
        <v>1394</v>
      </c>
      <c r="L6" s="69">
        <v>1031</v>
      </c>
      <c r="M6" s="69">
        <v>44</v>
      </c>
      <c r="N6" s="69">
        <v>4695</v>
      </c>
      <c r="O6" s="69">
        <v>745</v>
      </c>
    </row>
    <row r="7" spans="2:18" s="32" customFormat="1" ht="13.5" customHeight="1" x14ac:dyDescent="0.2">
      <c r="B7" s="128">
        <v>43952</v>
      </c>
      <c r="C7" s="146">
        <v>106939</v>
      </c>
      <c r="D7" s="146">
        <v>1571739</v>
      </c>
      <c r="E7" s="146">
        <v>500</v>
      </c>
      <c r="F7" s="146">
        <v>601599</v>
      </c>
      <c r="G7" s="146">
        <v>609601</v>
      </c>
      <c r="J7" s="50">
        <v>2022</v>
      </c>
      <c r="K7" s="69">
        <v>1427</v>
      </c>
      <c r="L7" s="69">
        <v>1037</v>
      </c>
      <c r="M7" s="69">
        <v>45</v>
      </c>
      <c r="N7" s="69">
        <v>4723</v>
      </c>
      <c r="O7" s="69">
        <v>744</v>
      </c>
    </row>
    <row r="8" spans="2:18" s="32" customFormat="1" ht="13.5" customHeight="1" thickBot="1" x14ac:dyDescent="0.25">
      <c r="B8" s="128">
        <v>43983</v>
      </c>
      <c r="C8" s="146">
        <v>256265</v>
      </c>
      <c r="D8" s="146">
        <v>2418312</v>
      </c>
      <c r="E8" s="146">
        <v>702</v>
      </c>
      <c r="F8" s="146">
        <v>1150241</v>
      </c>
      <c r="G8" s="146">
        <v>442883</v>
      </c>
      <c r="J8" s="46">
        <v>2023</v>
      </c>
      <c r="K8" s="68">
        <v>1460</v>
      </c>
      <c r="L8" s="68">
        <v>1044</v>
      </c>
      <c r="M8" s="68">
        <v>46</v>
      </c>
      <c r="N8" s="68">
        <v>4753</v>
      </c>
      <c r="O8" s="68">
        <v>742</v>
      </c>
    </row>
    <row r="9" spans="2:18" s="32" customFormat="1" ht="13.5" customHeight="1" x14ac:dyDescent="0.2">
      <c r="B9" s="128">
        <v>44013</v>
      </c>
      <c r="C9" s="146">
        <v>516509</v>
      </c>
      <c r="D9" s="146">
        <v>4090735</v>
      </c>
      <c r="E9" s="146">
        <v>8743</v>
      </c>
      <c r="F9" s="146">
        <v>1925651</v>
      </c>
      <c r="G9" s="146">
        <v>432331</v>
      </c>
    </row>
    <row r="10" spans="2:18" s="32" customFormat="1" ht="13.5" customHeight="1" x14ac:dyDescent="0.2">
      <c r="B10" s="128">
        <v>44044</v>
      </c>
      <c r="C10" s="146">
        <v>335551</v>
      </c>
      <c r="D10" s="146">
        <v>4134691</v>
      </c>
      <c r="E10" s="146">
        <v>11412</v>
      </c>
      <c r="F10" s="146">
        <v>2995166</v>
      </c>
      <c r="G10" s="146">
        <v>811092</v>
      </c>
    </row>
    <row r="11" spans="2:18" s="32" customFormat="1" ht="13.5" customHeight="1" x14ac:dyDescent="0.2">
      <c r="B11" s="128">
        <v>44075</v>
      </c>
      <c r="C11" s="146">
        <v>229879</v>
      </c>
      <c r="D11" s="146">
        <v>3293932</v>
      </c>
      <c r="E11" s="146">
        <v>3888</v>
      </c>
      <c r="F11" s="146">
        <v>3712163</v>
      </c>
      <c r="G11" s="146">
        <v>1394366</v>
      </c>
      <c r="R11" s="152"/>
    </row>
    <row r="12" spans="2:18" s="32" customFormat="1" ht="13.5" customHeight="1" x14ac:dyDescent="0.2">
      <c r="B12" s="128">
        <v>44105</v>
      </c>
      <c r="C12" s="146">
        <v>302963</v>
      </c>
      <c r="D12" s="146">
        <v>3815639</v>
      </c>
      <c r="E12" s="146">
        <v>8400</v>
      </c>
      <c r="F12" s="146">
        <v>3274607</v>
      </c>
      <c r="G12" s="146">
        <v>4369577</v>
      </c>
      <c r="R12" s="152"/>
    </row>
    <row r="13" spans="2:18" s="32" customFormat="1" ht="13.5" customHeight="1" x14ac:dyDescent="0.2">
      <c r="B13" s="128">
        <v>44136</v>
      </c>
      <c r="C13" s="146">
        <v>394177</v>
      </c>
      <c r="D13" s="146">
        <v>6324537</v>
      </c>
      <c r="E13" s="146">
        <v>9459</v>
      </c>
      <c r="F13" s="146">
        <v>3177439</v>
      </c>
      <c r="G13" s="146">
        <v>7809250</v>
      </c>
      <c r="R13" s="152"/>
    </row>
    <row r="14" spans="2:18" s="32" customFormat="1" ht="13.5" customHeight="1" x14ac:dyDescent="0.2">
      <c r="B14" s="128">
        <v>44166</v>
      </c>
      <c r="C14" s="146">
        <v>567930</v>
      </c>
      <c r="D14" s="146">
        <v>8875793</v>
      </c>
      <c r="E14" s="146">
        <v>3948</v>
      </c>
      <c r="F14" s="146">
        <v>3161359</v>
      </c>
      <c r="G14" s="146">
        <v>6191987</v>
      </c>
      <c r="R14" s="152"/>
    </row>
    <row r="15" spans="2:18" s="32" customFormat="1" ht="13.5" customHeight="1" x14ac:dyDescent="0.2">
      <c r="B15" s="128">
        <v>44197</v>
      </c>
      <c r="C15" s="151">
        <v>829867</v>
      </c>
      <c r="D15" s="151">
        <v>9909344</v>
      </c>
      <c r="E15" s="151">
        <v>2144</v>
      </c>
      <c r="F15" s="151">
        <v>2424773</v>
      </c>
      <c r="G15" s="151">
        <v>6885587</v>
      </c>
    </row>
    <row r="16" spans="2:18" s="32" customFormat="1" ht="13.5" customHeight="1" x14ac:dyDescent="0.2">
      <c r="B16" s="128">
        <v>44228</v>
      </c>
      <c r="C16" s="151">
        <v>345901</v>
      </c>
      <c r="D16" s="151">
        <v>5014643</v>
      </c>
      <c r="E16" s="151">
        <v>1188</v>
      </c>
      <c r="F16" s="151">
        <v>1899188</v>
      </c>
      <c r="G16" s="151">
        <v>3760889</v>
      </c>
    </row>
    <row r="17" spans="2:7" s="32" customFormat="1" ht="13.5" customHeight="1" x14ac:dyDescent="0.2">
      <c r="B17" s="128">
        <v>44256</v>
      </c>
      <c r="C17" s="151">
        <v>327340</v>
      </c>
      <c r="D17" s="151">
        <v>5269788</v>
      </c>
      <c r="E17" s="151">
        <v>6045</v>
      </c>
      <c r="F17" s="151">
        <v>3377848</v>
      </c>
      <c r="G17" s="151">
        <v>5194670</v>
      </c>
    </row>
    <row r="18" spans="2:7" s="32" customFormat="1" ht="13.5" customHeight="1" x14ac:dyDescent="0.2">
      <c r="B18" s="128">
        <v>44287</v>
      </c>
      <c r="C18" s="151">
        <v>347579</v>
      </c>
      <c r="D18" s="151">
        <v>6121108</v>
      </c>
      <c r="E18" s="151">
        <v>6098</v>
      </c>
      <c r="F18" s="151">
        <v>10688909</v>
      </c>
      <c r="G18" s="151">
        <v>4800600</v>
      </c>
    </row>
    <row r="19" spans="2:7" s="32" customFormat="1" ht="13.5" customHeight="1" x14ac:dyDescent="0.2">
      <c r="B19" s="128">
        <v>44317</v>
      </c>
      <c r="C19" s="151">
        <v>287495</v>
      </c>
      <c r="D19" s="151">
        <v>5446396</v>
      </c>
      <c r="E19" s="151">
        <v>5721</v>
      </c>
      <c r="F19" s="151">
        <v>12053536</v>
      </c>
      <c r="G19" s="151">
        <v>2710776</v>
      </c>
    </row>
    <row r="20" spans="2:7" s="32" customFormat="1" ht="13.5" customHeight="1" x14ac:dyDescent="0.2">
      <c r="B20" s="128">
        <v>44348</v>
      </c>
      <c r="C20" s="151">
        <v>643891</v>
      </c>
      <c r="D20" s="151">
        <v>4796900</v>
      </c>
      <c r="E20" s="151">
        <v>6383</v>
      </c>
      <c r="F20" s="151">
        <v>4620180</v>
      </c>
      <c r="G20" s="151">
        <v>1332915</v>
      </c>
    </row>
    <row r="21" spans="2:7" s="32" customFormat="1" ht="13.5" customHeight="1" x14ac:dyDescent="0.2">
      <c r="B21" s="128">
        <v>44378</v>
      </c>
      <c r="C21" s="151">
        <v>1220614</v>
      </c>
      <c r="D21" s="151">
        <v>4869995</v>
      </c>
      <c r="E21" s="151">
        <v>30229</v>
      </c>
      <c r="F21" s="151">
        <v>6158654</v>
      </c>
      <c r="G21" s="151">
        <v>3302008</v>
      </c>
    </row>
    <row r="22" spans="2:7" s="32" customFormat="1" ht="13.5" customHeight="1" x14ac:dyDescent="0.2">
      <c r="B22" s="128">
        <v>44409</v>
      </c>
      <c r="C22" s="151">
        <v>1122757</v>
      </c>
      <c r="D22" s="151">
        <v>6751547</v>
      </c>
      <c r="E22" s="151">
        <v>62024</v>
      </c>
      <c r="F22" s="151">
        <v>8087800</v>
      </c>
      <c r="G22" s="151">
        <v>4062937</v>
      </c>
    </row>
    <row r="23" spans="2:7" s="32" customFormat="1" ht="13.5" customHeight="1" x14ac:dyDescent="0.2">
      <c r="B23" s="128">
        <v>44440</v>
      </c>
      <c r="C23" s="151">
        <v>524685</v>
      </c>
      <c r="D23" s="151">
        <v>5999753</v>
      </c>
      <c r="E23" s="151">
        <v>70994</v>
      </c>
      <c r="F23" s="151">
        <v>5839961</v>
      </c>
      <c r="G23" s="151">
        <v>3604533</v>
      </c>
    </row>
    <row r="24" spans="2:7" s="32" customFormat="1" ht="13.5" customHeight="1" x14ac:dyDescent="0.2">
      <c r="B24" s="128">
        <v>44470</v>
      </c>
      <c r="C24" s="151">
        <v>204774</v>
      </c>
      <c r="D24" s="151">
        <v>3784872</v>
      </c>
      <c r="E24" s="151">
        <v>88222</v>
      </c>
      <c r="F24" s="151">
        <v>3699129</v>
      </c>
      <c r="G24" s="151">
        <v>5726081</v>
      </c>
    </row>
    <row r="25" spans="2:7" s="32" customFormat="1" ht="13.5" customHeight="1" x14ac:dyDescent="0.2">
      <c r="B25" s="128">
        <v>44501</v>
      </c>
      <c r="C25" s="151">
        <v>186801</v>
      </c>
      <c r="D25" s="151">
        <v>3290481</v>
      </c>
      <c r="E25" s="151">
        <v>51404</v>
      </c>
      <c r="F25" s="151">
        <v>2799248</v>
      </c>
      <c r="G25" s="151">
        <v>8945907</v>
      </c>
    </row>
    <row r="26" spans="2:7" s="32" customFormat="1" ht="13.5" customHeight="1" x14ac:dyDescent="0.2">
      <c r="B26" s="128">
        <v>44531</v>
      </c>
      <c r="C26" s="151">
        <v>1061679</v>
      </c>
      <c r="D26" s="151">
        <v>6921704</v>
      </c>
      <c r="E26" s="151">
        <v>163272</v>
      </c>
      <c r="F26" s="151">
        <v>2495589</v>
      </c>
      <c r="G26" s="151">
        <v>12865929</v>
      </c>
    </row>
    <row r="27" spans="2:7" s="32" customFormat="1" ht="13.5" customHeight="1" x14ac:dyDescent="0.2">
      <c r="B27" s="128">
        <v>44562</v>
      </c>
      <c r="C27" s="151">
        <v>1241829</v>
      </c>
      <c r="D27" s="151">
        <v>32245913</v>
      </c>
      <c r="E27" s="151">
        <v>1994163</v>
      </c>
      <c r="F27" s="151">
        <v>15514869</v>
      </c>
      <c r="G27" s="151">
        <v>40790506</v>
      </c>
    </row>
    <row r="28" spans="2:7" s="32" customFormat="1" ht="13.5" customHeight="1" x14ac:dyDescent="0.2">
      <c r="B28" s="128">
        <v>44593</v>
      </c>
      <c r="C28" s="151">
        <v>606571</v>
      </c>
      <c r="D28" s="151">
        <v>11284471</v>
      </c>
      <c r="E28" s="151">
        <v>882688</v>
      </c>
      <c r="F28" s="151">
        <v>16744247</v>
      </c>
      <c r="G28" s="151">
        <v>29413626</v>
      </c>
    </row>
    <row r="29" spans="2:7" s="32" customFormat="1" ht="13.5" customHeight="1" x14ac:dyDescent="0.2">
      <c r="B29" s="128">
        <v>44621</v>
      </c>
      <c r="C29" s="151">
        <v>233678</v>
      </c>
      <c r="D29" s="151">
        <v>3318703</v>
      </c>
      <c r="E29" s="151">
        <v>1740940</v>
      </c>
      <c r="F29" s="151">
        <v>22469713</v>
      </c>
      <c r="G29" s="151">
        <v>21118512</v>
      </c>
    </row>
    <row r="30" spans="2:7" s="32" customFormat="1" ht="13.5" customHeight="1" x14ac:dyDescent="0.2">
      <c r="B30" s="128">
        <v>44652</v>
      </c>
      <c r="C30" s="151">
        <v>160186</v>
      </c>
      <c r="D30" s="151">
        <v>2366086</v>
      </c>
      <c r="E30" s="151">
        <v>1639149</v>
      </c>
      <c r="F30" s="151">
        <v>8101077</v>
      </c>
      <c r="G30" s="151">
        <v>12961374</v>
      </c>
    </row>
    <row r="31" spans="2:7" s="32" customFormat="1" ht="13.5" customHeight="1" x14ac:dyDescent="0.2">
      <c r="B31" s="128">
        <v>44682</v>
      </c>
      <c r="C31" s="151">
        <v>236726</v>
      </c>
      <c r="D31" s="151">
        <v>4132459</v>
      </c>
      <c r="E31" s="151">
        <v>1730560</v>
      </c>
      <c r="F31" s="151">
        <v>4468871</v>
      </c>
      <c r="G31" s="151">
        <v>6502402</v>
      </c>
    </row>
    <row r="32" spans="2:7" s="32" customFormat="1" ht="13.5" customHeight="1" x14ac:dyDescent="0.2">
      <c r="B32" s="128">
        <v>44713</v>
      </c>
      <c r="C32" s="151">
        <v>187690</v>
      </c>
      <c r="D32" s="151">
        <v>5661250</v>
      </c>
      <c r="E32" s="151">
        <v>967371</v>
      </c>
      <c r="F32" s="151">
        <v>3599050</v>
      </c>
      <c r="G32" s="151">
        <v>6000973</v>
      </c>
    </row>
    <row r="33" spans="2:15" s="32" customFormat="1" ht="13.5" customHeight="1" x14ac:dyDescent="0.2">
      <c r="B33" s="128">
        <v>44743</v>
      </c>
      <c r="C33" s="151">
        <v>222430</v>
      </c>
      <c r="D33" s="151">
        <v>7975849</v>
      </c>
      <c r="E33" s="151">
        <v>1425766</v>
      </c>
      <c r="F33" s="151">
        <v>8812116</v>
      </c>
      <c r="G33" s="151">
        <v>12797144</v>
      </c>
    </row>
    <row r="34" spans="2:15" s="32" customFormat="1" ht="13.5" customHeight="1" x14ac:dyDescent="0.2">
      <c r="B34" s="128">
        <v>44774</v>
      </c>
      <c r="C34" s="151">
        <v>88706</v>
      </c>
      <c r="D34" s="151">
        <v>4820354</v>
      </c>
      <c r="E34" s="151">
        <v>933992</v>
      </c>
      <c r="F34" s="151">
        <v>13134078</v>
      </c>
      <c r="G34" s="151">
        <v>5492482</v>
      </c>
    </row>
    <row r="35" spans="2:15" s="32" customFormat="1" ht="13.5" customHeight="1" x14ac:dyDescent="0.2">
      <c r="B35" s="128">
        <v>44805</v>
      </c>
      <c r="C35" s="151">
        <v>47056</v>
      </c>
      <c r="D35" s="151">
        <v>2580967</v>
      </c>
      <c r="E35" s="151">
        <v>242098</v>
      </c>
      <c r="F35" s="151">
        <v>6058083</v>
      </c>
      <c r="G35" s="151">
        <v>5176218</v>
      </c>
    </row>
    <row r="36" spans="2:15" s="32" customFormat="1" ht="13.5" customHeight="1" x14ac:dyDescent="0.2">
      <c r="B36" s="128">
        <v>44835</v>
      </c>
      <c r="C36" s="151">
        <v>33104</v>
      </c>
      <c r="D36" s="151">
        <v>1744078</v>
      </c>
      <c r="E36" s="151">
        <v>267892</v>
      </c>
      <c r="F36" s="151">
        <v>3881943</v>
      </c>
      <c r="G36" s="151">
        <v>7754791</v>
      </c>
    </row>
    <row r="37" spans="2:15" s="32" customFormat="1" ht="13.5" customHeight="1" x14ac:dyDescent="0.2">
      <c r="B37" s="128">
        <v>44866</v>
      </c>
      <c r="C37" s="151">
        <v>49455</v>
      </c>
      <c r="D37" s="151">
        <v>1932135</v>
      </c>
      <c r="E37" s="151">
        <v>380420</v>
      </c>
      <c r="F37" s="151">
        <v>5312790</v>
      </c>
      <c r="G37" s="151">
        <v>3561762</v>
      </c>
    </row>
    <row r="38" spans="2:15" s="32" customFormat="1" ht="13.5" customHeight="1" x14ac:dyDescent="0.2">
      <c r="B38" s="128">
        <v>44896</v>
      </c>
      <c r="C38" s="151">
        <v>42558</v>
      </c>
      <c r="D38" s="151">
        <v>4230273</v>
      </c>
      <c r="E38" s="151">
        <v>565082</v>
      </c>
      <c r="F38" s="151">
        <v>81822590</v>
      </c>
      <c r="G38" s="151">
        <v>4322229</v>
      </c>
    </row>
    <row r="39" spans="2:15" s="32" customFormat="1" ht="13.5" customHeight="1" x14ac:dyDescent="0.2">
      <c r="B39" s="128">
        <v>44927</v>
      </c>
      <c r="C39" s="151">
        <v>36624</v>
      </c>
      <c r="D39" s="151">
        <v>2637265</v>
      </c>
      <c r="E39" s="151">
        <v>267103</v>
      </c>
      <c r="F39" s="151">
        <v>18160227</v>
      </c>
      <c r="G39" s="151">
        <v>1906811</v>
      </c>
    </row>
    <row r="40" spans="2:15" s="32" customFormat="1" ht="13.5" customHeight="1" x14ac:dyDescent="0.2">
      <c r="B40" s="127">
        <v>44958</v>
      </c>
      <c r="C40" s="151">
        <v>17661</v>
      </c>
      <c r="D40" s="151">
        <v>1560939</v>
      </c>
      <c r="E40" s="151">
        <v>102645</v>
      </c>
      <c r="F40" s="151">
        <v>1680274</v>
      </c>
      <c r="G40" s="151">
        <v>1469839</v>
      </c>
    </row>
    <row r="41" spans="2:15" s="32" customFormat="1" ht="13.5" customHeight="1" x14ac:dyDescent="0.2">
      <c r="B41" s="127">
        <v>44986</v>
      </c>
      <c r="C41" s="151">
        <v>18819</v>
      </c>
      <c r="D41" s="151">
        <v>1190876</v>
      </c>
      <c r="E41" s="151">
        <v>132751</v>
      </c>
      <c r="F41" s="151">
        <v>937078</v>
      </c>
      <c r="G41" s="151">
        <v>1542561</v>
      </c>
    </row>
    <row r="42" spans="2:15" s="32" customFormat="1" ht="13.5" customHeight="1" x14ac:dyDescent="0.2">
      <c r="B42" s="127">
        <v>45017</v>
      </c>
      <c r="C42" s="151">
        <v>9099</v>
      </c>
      <c r="D42" s="151">
        <v>905231</v>
      </c>
      <c r="E42" s="151">
        <v>159795</v>
      </c>
      <c r="F42" s="151">
        <v>1148105</v>
      </c>
      <c r="G42" s="151">
        <v>1044282</v>
      </c>
    </row>
    <row r="43" spans="2:15" s="32" customFormat="1" ht="13.5" customHeight="1" x14ac:dyDescent="0.2">
      <c r="B43" s="127">
        <v>45047</v>
      </c>
      <c r="C43" s="151">
        <v>10947</v>
      </c>
      <c r="D43" s="151">
        <v>402553</v>
      </c>
      <c r="E43" s="151">
        <v>258579</v>
      </c>
      <c r="F43" s="151">
        <v>980503</v>
      </c>
      <c r="G43" s="151">
        <v>478355</v>
      </c>
    </row>
    <row r="44" spans="2:15" s="32" customFormat="1" ht="13.5" customHeight="1" x14ac:dyDescent="0.2">
      <c r="B44" s="127">
        <v>45078</v>
      </c>
      <c r="C44" s="151">
        <v>8624</v>
      </c>
      <c r="D44" s="151">
        <v>139391</v>
      </c>
      <c r="E44" s="151">
        <v>113797</v>
      </c>
      <c r="F44" s="151">
        <v>544193</v>
      </c>
      <c r="G44" s="151">
        <v>213466</v>
      </c>
    </row>
    <row r="45" spans="2:15" s="32" customFormat="1" ht="13.5" customHeight="1" x14ac:dyDescent="0.2">
      <c r="B45" s="127">
        <v>45108</v>
      </c>
      <c r="C45" s="151">
        <v>3947</v>
      </c>
      <c r="D45" s="151">
        <v>112763</v>
      </c>
      <c r="E45" s="151">
        <v>63227</v>
      </c>
      <c r="F45" s="151">
        <v>1132850</v>
      </c>
      <c r="G45" s="151">
        <v>81828</v>
      </c>
    </row>
    <row r="46" spans="2:15" s="32" customFormat="1" ht="13.5" customHeight="1" thickBot="1" x14ac:dyDescent="0.25">
      <c r="B46" s="123">
        <v>45139</v>
      </c>
      <c r="C46" s="142">
        <v>1064</v>
      </c>
      <c r="D46" s="142">
        <v>1122</v>
      </c>
      <c r="E46" s="142">
        <v>35527</v>
      </c>
      <c r="F46" s="142">
        <v>1286479</v>
      </c>
      <c r="G46" s="142">
        <v>155013</v>
      </c>
    </row>
    <row r="47" spans="2:15" s="32" customFormat="1" ht="13.5" customHeight="1" thickBot="1" x14ac:dyDescent="0.25">
      <c r="B47" s="33"/>
    </row>
    <row r="48" spans="2:15" s="32" customFormat="1" thickBot="1" x14ac:dyDescent="0.25">
      <c r="B48" s="290" t="s">
        <v>708</v>
      </c>
      <c r="C48" s="291"/>
      <c r="D48" s="291"/>
      <c r="E48" s="291"/>
      <c r="F48" s="291"/>
      <c r="G48" s="291"/>
      <c r="H48" s="291"/>
      <c r="I48" s="291"/>
      <c r="J48" s="291"/>
      <c r="K48" s="291"/>
      <c r="L48" s="291"/>
      <c r="M48" s="291"/>
      <c r="N48" s="291"/>
      <c r="O48" s="292"/>
    </row>
    <row r="49" spans="2:24" s="66" customFormat="1" ht="13.5" customHeight="1" thickBot="1" x14ac:dyDescent="0.25">
      <c r="B49" s="61"/>
      <c r="C49" s="67"/>
      <c r="D49" s="67"/>
      <c r="E49" s="67"/>
      <c r="F49" s="67"/>
      <c r="G49" s="67"/>
    </row>
    <row r="50" spans="2:24" s="32" customFormat="1" ht="13.5" customHeight="1" thickBot="1" x14ac:dyDescent="0.25">
      <c r="B50" s="33"/>
    </row>
    <row r="51" spans="2:24" s="32" customFormat="1" ht="13.5" customHeight="1" thickBot="1" x14ac:dyDescent="0.25">
      <c r="B51" s="385" t="s">
        <v>707</v>
      </c>
      <c r="C51" s="348"/>
      <c r="D51" s="348"/>
      <c r="E51" s="348"/>
      <c r="F51" s="348"/>
      <c r="G51" s="348"/>
      <c r="H51" s="349"/>
      <c r="J51" s="385" t="s">
        <v>706</v>
      </c>
      <c r="K51" s="348"/>
      <c r="L51" s="348"/>
      <c r="M51" s="348"/>
      <c r="N51" s="348"/>
      <c r="O51" s="348"/>
      <c r="P51" s="349"/>
      <c r="R51" s="385" t="s">
        <v>705</v>
      </c>
      <c r="S51" s="348"/>
      <c r="T51" s="348"/>
      <c r="U51" s="348"/>
      <c r="V51" s="348"/>
      <c r="W51" s="348"/>
      <c r="X51" s="349"/>
    </row>
    <row r="52" spans="2:24" s="32" customFormat="1" ht="6.75" customHeight="1" thickBot="1" x14ac:dyDescent="0.25">
      <c r="B52" s="33"/>
      <c r="J52" s="33"/>
      <c r="R52" s="33"/>
    </row>
    <row r="53" spans="2:24" ht="27" customHeight="1" thickBot="1" x14ac:dyDescent="0.25">
      <c r="B53" s="132" t="s">
        <v>700</v>
      </c>
      <c r="C53" s="131" t="s">
        <v>699</v>
      </c>
      <c r="D53" s="131" t="s">
        <v>698</v>
      </c>
      <c r="E53" s="131" t="s">
        <v>697</v>
      </c>
      <c r="F53" s="131" t="s">
        <v>696</v>
      </c>
      <c r="G53" s="131" t="s">
        <v>695</v>
      </c>
      <c r="H53" s="130" t="s">
        <v>44</v>
      </c>
      <c r="J53" s="132" t="s">
        <v>700</v>
      </c>
      <c r="K53" s="131" t="s">
        <v>699</v>
      </c>
      <c r="L53" s="131" t="s">
        <v>698</v>
      </c>
      <c r="M53" s="131" t="s">
        <v>697</v>
      </c>
      <c r="N53" s="131" t="s">
        <v>696</v>
      </c>
      <c r="O53" s="131" t="s">
        <v>695</v>
      </c>
      <c r="P53" s="130" t="s">
        <v>44</v>
      </c>
      <c r="R53" s="132" t="s">
        <v>700</v>
      </c>
      <c r="S53" s="131" t="s">
        <v>699</v>
      </c>
      <c r="T53" s="131" t="s">
        <v>698</v>
      </c>
      <c r="U53" s="131" t="s">
        <v>697</v>
      </c>
      <c r="V53" s="131" t="s">
        <v>696</v>
      </c>
      <c r="W53" s="131" t="s">
        <v>695</v>
      </c>
      <c r="X53" s="130" t="s">
        <v>44</v>
      </c>
    </row>
    <row r="54" spans="2:24" ht="13.5" customHeight="1" x14ac:dyDescent="0.2">
      <c r="B54" s="128">
        <v>43891</v>
      </c>
      <c r="C54" s="150">
        <v>5658</v>
      </c>
      <c r="D54" s="150">
        <v>197904</v>
      </c>
      <c r="E54" s="150">
        <v>5050</v>
      </c>
      <c r="F54" s="150">
        <v>86460</v>
      </c>
      <c r="G54" s="150">
        <v>402643</v>
      </c>
      <c r="H54" s="149">
        <f t="shared" ref="H54:H95" si="0">SUM(C54:G54)</f>
        <v>697715</v>
      </c>
      <c r="J54" s="128">
        <v>43891</v>
      </c>
      <c r="K54" s="145">
        <f t="shared" ref="K54:K95" si="1">C54/$H54</f>
        <v>8.1093283074034524E-3</v>
      </c>
      <c r="L54" s="145">
        <f t="shared" ref="L54:L95" si="2">D54/$H54</f>
        <v>0.28364590126340983</v>
      </c>
      <c r="M54" s="145">
        <f t="shared" ref="M54:M95" si="3">E54/$H54</f>
        <v>7.2379123280995822E-3</v>
      </c>
      <c r="N54" s="145">
        <f t="shared" ref="N54:N95" si="4">F54/$H54</f>
        <v>0.12391879205692868</v>
      </c>
      <c r="O54" s="145">
        <f t="shared" ref="O54:O95" si="5">G54/$H54</f>
        <v>0.57708806604415841</v>
      </c>
      <c r="P54" s="135">
        <f t="shared" ref="P54:P95" si="6">H54/$H54</f>
        <v>1</v>
      </c>
      <c r="R54" s="128">
        <v>43891</v>
      </c>
      <c r="S54" s="144">
        <f t="shared" ref="S54:S63" si="7">C54/K$5</f>
        <v>4.1572373254959585</v>
      </c>
      <c r="T54" s="144">
        <f t="shared" ref="T54:T63" si="8">D54/L$5</f>
        <v>192.88888888888889</v>
      </c>
      <c r="U54" s="144">
        <f t="shared" ref="U54:U63" si="9">E54/M$5</f>
        <v>114.77272727272727</v>
      </c>
      <c r="V54" s="144">
        <f t="shared" ref="V54:V63" si="10">F54/N$5</f>
        <v>18.537735849056602</v>
      </c>
      <c r="W54" s="144">
        <f t="shared" ref="W54:W63" si="11">G54/O$5</f>
        <v>539.73592493297588</v>
      </c>
      <c r="X54" s="144">
        <f t="shared" ref="X54:X63" si="12">H54/SUM(K$5:O$5)</f>
        <v>88.982910343068482</v>
      </c>
    </row>
    <row r="55" spans="2:24" ht="13.5" customHeight="1" x14ac:dyDescent="0.2">
      <c r="B55" s="128">
        <v>43922</v>
      </c>
      <c r="C55" s="148">
        <v>31978</v>
      </c>
      <c r="D55" s="148">
        <v>1088557</v>
      </c>
      <c r="E55" s="148">
        <v>3056</v>
      </c>
      <c r="F55" s="148">
        <v>334418</v>
      </c>
      <c r="G55" s="148">
        <v>764880</v>
      </c>
      <c r="H55" s="146">
        <f t="shared" si="0"/>
        <v>2222889</v>
      </c>
      <c r="J55" s="128">
        <v>43922</v>
      </c>
      <c r="K55" s="145">
        <f t="shared" si="1"/>
        <v>1.4385783545647129E-2</v>
      </c>
      <c r="L55" s="145">
        <f t="shared" si="2"/>
        <v>0.48970371440049415</v>
      </c>
      <c r="M55" s="145">
        <f t="shared" si="3"/>
        <v>1.3747874950121217E-3</v>
      </c>
      <c r="N55" s="145">
        <f t="shared" si="4"/>
        <v>0.15044295958997503</v>
      </c>
      <c r="O55" s="145">
        <f t="shared" si="5"/>
        <v>0.34409275496887159</v>
      </c>
      <c r="P55" s="135">
        <f t="shared" si="6"/>
        <v>1</v>
      </c>
      <c r="R55" s="128">
        <v>43922</v>
      </c>
      <c r="S55" s="144">
        <f t="shared" si="7"/>
        <v>23.495958853783982</v>
      </c>
      <c r="T55" s="144">
        <f t="shared" si="8"/>
        <v>1060.9717348927875</v>
      </c>
      <c r="U55" s="144">
        <f t="shared" si="9"/>
        <v>69.454545454545453</v>
      </c>
      <c r="V55" s="144">
        <f t="shared" si="10"/>
        <v>71.701972555746138</v>
      </c>
      <c r="W55" s="144">
        <f t="shared" si="11"/>
        <v>1025.3083109919571</v>
      </c>
      <c r="X55" s="144">
        <f t="shared" si="12"/>
        <v>283.49560005101392</v>
      </c>
    </row>
    <row r="56" spans="2:24" ht="13.5" customHeight="1" x14ac:dyDescent="0.2">
      <c r="B56" s="128">
        <v>43952</v>
      </c>
      <c r="C56" s="148">
        <v>106939</v>
      </c>
      <c r="D56" s="148">
        <v>1571739</v>
      </c>
      <c r="E56" s="148">
        <v>500</v>
      </c>
      <c r="F56" s="148">
        <v>601599</v>
      </c>
      <c r="G56" s="148">
        <v>609601</v>
      </c>
      <c r="H56" s="146">
        <f t="shared" si="0"/>
        <v>2890378</v>
      </c>
      <c r="J56" s="128">
        <v>43952</v>
      </c>
      <c r="K56" s="145">
        <f t="shared" si="1"/>
        <v>3.6998274966111702E-2</v>
      </c>
      <c r="L56" s="145">
        <f t="shared" si="2"/>
        <v>0.54378320067479058</v>
      </c>
      <c r="M56" s="145">
        <f t="shared" si="3"/>
        <v>1.7298775454283142E-4</v>
      </c>
      <c r="N56" s="145">
        <f t="shared" si="4"/>
        <v>0.20813852029042568</v>
      </c>
      <c r="O56" s="145">
        <f t="shared" si="5"/>
        <v>0.21090701631412914</v>
      </c>
      <c r="P56" s="135">
        <f t="shared" si="6"/>
        <v>1</v>
      </c>
      <c r="R56" s="128">
        <v>43952</v>
      </c>
      <c r="S56" s="144">
        <f t="shared" si="7"/>
        <v>78.573842762674502</v>
      </c>
      <c r="T56" s="144">
        <f t="shared" si="8"/>
        <v>1531.9093567251462</v>
      </c>
      <c r="U56" s="144">
        <f t="shared" si="9"/>
        <v>11.363636363636363</v>
      </c>
      <c r="V56" s="144">
        <f t="shared" si="10"/>
        <v>128.98777873070327</v>
      </c>
      <c r="W56" s="144">
        <f t="shared" si="11"/>
        <v>817.15951742627351</v>
      </c>
      <c r="X56" s="144">
        <f t="shared" si="12"/>
        <v>368.62364494324703</v>
      </c>
    </row>
    <row r="57" spans="2:24" ht="13.5" customHeight="1" x14ac:dyDescent="0.2">
      <c r="B57" s="128">
        <v>43983</v>
      </c>
      <c r="C57" s="148">
        <v>256265</v>
      </c>
      <c r="D57" s="148">
        <v>2418312</v>
      </c>
      <c r="E57" s="148">
        <v>702</v>
      </c>
      <c r="F57" s="148">
        <v>1150241</v>
      </c>
      <c r="G57" s="148">
        <v>442883</v>
      </c>
      <c r="H57" s="146">
        <f t="shared" si="0"/>
        <v>4268403</v>
      </c>
      <c r="J57" s="128">
        <v>43983</v>
      </c>
      <c r="K57" s="145">
        <f t="shared" si="1"/>
        <v>6.0037676854786205E-2</v>
      </c>
      <c r="L57" s="145">
        <f t="shared" si="2"/>
        <v>0.56656131110394214</v>
      </c>
      <c r="M57" s="145">
        <f t="shared" si="3"/>
        <v>1.6446432073072764E-4</v>
      </c>
      <c r="N57" s="145">
        <f t="shared" si="4"/>
        <v>0.26947806943252545</v>
      </c>
      <c r="O57" s="145">
        <f t="shared" si="5"/>
        <v>0.10375847828801545</v>
      </c>
      <c r="P57" s="135">
        <f t="shared" si="6"/>
        <v>1</v>
      </c>
      <c r="R57" s="128">
        <v>43983</v>
      </c>
      <c r="S57" s="144">
        <f t="shared" si="7"/>
        <v>188.29169728141073</v>
      </c>
      <c r="T57" s="144">
        <f t="shared" si="8"/>
        <v>2357.0292397660819</v>
      </c>
      <c r="U57" s="144">
        <f t="shared" si="9"/>
        <v>15.954545454545455</v>
      </c>
      <c r="V57" s="144">
        <f t="shared" si="10"/>
        <v>246.62114065180103</v>
      </c>
      <c r="W57" s="144">
        <f t="shared" si="11"/>
        <v>593.67694369973185</v>
      </c>
      <c r="X57" s="144">
        <f t="shared" si="12"/>
        <v>544.36972324958549</v>
      </c>
    </row>
    <row r="58" spans="2:24" ht="13.5" customHeight="1" x14ac:dyDescent="0.2">
      <c r="B58" s="128">
        <v>44013</v>
      </c>
      <c r="C58" s="148">
        <v>516509</v>
      </c>
      <c r="D58" s="148">
        <v>4090735</v>
      </c>
      <c r="E58" s="148">
        <v>8743</v>
      </c>
      <c r="F58" s="148">
        <v>1925651</v>
      </c>
      <c r="G58" s="148">
        <v>432331</v>
      </c>
      <c r="H58" s="146">
        <f t="shared" si="0"/>
        <v>6973969</v>
      </c>
      <c r="J58" s="128">
        <v>44013</v>
      </c>
      <c r="K58" s="145">
        <f t="shared" si="1"/>
        <v>7.4062416968013481E-2</v>
      </c>
      <c r="L58" s="145">
        <f t="shared" si="2"/>
        <v>0.58657200799143216</v>
      </c>
      <c r="M58" s="145">
        <f t="shared" si="3"/>
        <v>1.2536620108291275E-3</v>
      </c>
      <c r="N58" s="145">
        <f t="shared" si="4"/>
        <v>0.27611981068456143</v>
      </c>
      <c r="O58" s="145">
        <f t="shared" si="5"/>
        <v>6.1992102345163849E-2</v>
      </c>
      <c r="P58" s="135">
        <f t="shared" si="6"/>
        <v>1</v>
      </c>
      <c r="R58" s="128">
        <v>44013</v>
      </c>
      <c r="S58" s="144">
        <f t="shared" si="7"/>
        <v>379.50698016164586</v>
      </c>
      <c r="T58" s="144">
        <f t="shared" si="8"/>
        <v>3987.0711500974658</v>
      </c>
      <c r="U58" s="144">
        <f t="shared" si="9"/>
        <v>198.70454545454547</v>
      </c>
      <c r="V58" s="144">
        <f t="shared" si="10"/>
        <v>412.87542881646652</v>
      </c>
      <c r="W58" s="144">
        <f t="shared" si="11"/>
        <v>579.53217158176949</v>
      </c>
      <c r="X58" s="144">
        <f t="shared" si="12"/>
        <v>889.42341538069127</v>
      </c>
    </row>
    <row r="59" spans="2:24" ht="13.5" customHeight="1" x14ac:dyDescent="0.2">
      <c r="B59" s="128">
        <v>44044</v>
      </c>
      <c r="C59" s="148">
        <v>335551</v>
      </c>
      <c r="D59" s="148">
        <v>4134691</v>
      </c>
      <c r="E59" s="148">
        <v>11412</v>
      </c>
      <c r="F59" s="148">
        <v>2995166</v>
      </c>
      <c r="G59" s="148">
        <v>811092</v>
      </c>
      <c r="H59" s="146">
        <f t="shared" si="0"/>
        <v>8287912</v>
      </c>
      <c r="J59" s="128">
        <v>44044</v>
      </c>
      <c r="K59" s="145">
        <f t="shared" si="1"/>
        <v>4.0486795709220848E-2</v>
      </c>
      <c r="L59" s="145">
        <f t="shared" si="2"/>
        <v>0.49888210685634693</v>
      </c>
      <c r="M59" s="145">
        <f t="shared" si="3"/>
        <v>1.3769451220041911E-3</v>
      </c>
      <c r="N59" s="145">
        <f t="shared" si="4"/>
        <v>0.36138969622264328</v>
      </c>
      <c r="O59" s="145">
        <f t="shared" si="5"/>
        <v>9.7864456089784738E-2</v>
      </c>
      <c r="P59" s="135">
        <f t="shared" si="6"/>
        <v>1</v>
      </c>
      <c r="R59" s="128">
        <v>44044</v>
      </c>
      <c r="S59" s="144">
        <f t="shared" si="7"/>
        <v>246.54739162380602</v>
      </c>
      <c r="T59" s="144">
        <f t="shared" si="8"/>
        <v>4029.9132553606237</v>
      </c>
      <c r="U59" s="144">
        <f t="shared" si="9"/>
        <v>259.36363636363637</v>
      </c>
      <c r="V59" s="144">
        <f t="shared" si="10"/>
        <v>642.18825042881645</v>
      </c>
      <c r="W59" s="144">
        <f t="shared" si="11"/>
        <v>1087.254691689008</v>
      </c>
      <c r="X59" s="144">
        <f t="shared" si="12"/>
        <v>1056.9968116311695</v>
      </c>
    </row>
    <row r="60" spans="2:24" ht="13.5" customHeight="1" x14ac:dyDescent="0.2">
      <c r="B60" s="128">
        <v>44075</v>
      </c>
      <c r="C60" s="148">
        <v>229879</v>
      </c>
      <c r="D60" s="148">
        <v>3293932</v>
      </c>
      <c r="E60" s="148">
        <v>3888</v>
      </c>
      <c r="F60" s="148">
        <v>3712163</v>
      </c>
      <c r="G60" s="148">
        <v>1394366</v>
      </c>
      <c r="H60" s="146">
        <f t="shared" si="0"/>
        <v>8634228</v>
      </c>
      <c r="J60" s="128">
        <v>44075</v>
      </c>
      <c r="K60" s="145">
        <f t="shared" si="1"/>
        <v>2.6624152153498844E-2</v>
      </c>
      <c r="L60" s="145">
        <f t="shared" si="2"/>
        <v>0.38149699081377048</v>
      </c>
      <c r="M60" s="145">
        <f t="shared" si="3"/>
        <v>4.5030082596845948E-4</v>
      </c>
      <c r="N60" s="145">
        <f t="shared" si="4"/>
        <v>0.42993571631418581</v>
      </c>
      <c r="O60" s="145">
        <f t="shared" si="5"/>
        <v>0.16149283989257637</v>
      </c>
      <c r="P60" s="135">
        <f t="shared" si="6"/>
        <v>1</v>
      </c>
      <c r="R60" s="128">
        <v>44075</v>
      </c>
      <c r="S60" s="144">
        <f t="shared" si="7"/>
        <v>168.90448199853049</v>
      </c>
      <c r="T60" s="144">
        <f t="shared" si="8"/>
        <v>3210.4600389863549</v>
      </c>
      <c r="U60" s="144">
        <f t="shared" si="9"/>
        <v>88.36363636363636</v>
      </c>
      <c r="V60" s="144">
        <f t="shared" si="10"/>
        <v>795.91831046312177</v>
      </c>
      <c r="W60" s="144">
        <f t="shared" si="11"/>
        <v>1869.1233243967829</v>
      </c>
      <c r="X60" s="144">
        <f t="shared" si="12"/>
        <v>1101.1641372273946</v>
      </c>
    </row>
    <row r="61" spans="2:24" ht="13.5" customHeight="1" x14ac:dyDescent="0.2">
      <c r="B61" s="128">
        <v>44105</v>
      </c>
      <c r="C61" s="148">
        <v>302963</v>
      </c>
      <c r="D61" s="148">
        <v>3815639</v>
      </c>
      <c r="E61" s="148">
        <v>8400</v>
      </c>
      <c r="F61" s="148">
        <v>3274607</v>
      </c>
      <c r="G61" s="148">
        <v>4369577</v>
      </c>
      <c r="H61" s="146">
        <f t="shared" si="0"/>
        <v>11771186</v>
      </c>
      <c r="J61" s="128">
        <v>44105</v>
      </c>
      <c r="K61" s="145">
        <f t="shared" si="1"/>
        <v>2.5737678429344334E-2</v>
      </c>
      <c r="L61" s="145">
        <f t="shared" si="2"/>
        <v>0.32415076951464367</v>
      </c>
      <c r="M61" s="145">
        <f t="shared" si="3"/>
        <v>7.1360693816239075E-4</v>
      </c>
      <c r="N61" s="145">
        <f t="shared" si="4"/>
        <v>0.27818836606608716</v>
      </c>
      <c r="O61" s="145">
        <f t="shared" si="5"/>
        <v>0.37120957905176249</v>
      </c>
      <c r="P61" s="135">
        <f t="shared" si="6"/>
        <v>1</v>
      </c>
      <c r="R61" s="128">
        <v>44105</v>
      </c>
      <c r="S61" s="144">
        <f t="shared" si="7"/>
        <v>222.60323291697281</v>
      </c>
      <c r="T61" s="144">
        <f t="shared" si="8"/>
        <v>3718.9463937621831</v>
      </c>
      <c r="U61" s="144">
        <f t="shared" si="9"/>
        <v>190.90909090909091</v>
      </c>
      <c r="V61" s="144">
        <f t="shared" si="10"/>
        <v>702.10270154373927</v>
      </c>
      <c r="W61" s="144">
        <f t="shared" si="11"/>
        <v>5857.3418230563002</v>
      </c>
      <c r="X61" s="144">
        <f t="shared" si="12"/>
        <v>1501.2353016196914</v>
      </c>
    </row>
    <row r="62" spans="2:24" ht="13.5" customHeight="1" x14ac:dyDescent="0.2">
      <c r="B62" s="128">
        <v>44136</v>
      </c>
      <c r="C62" s="148">
        <v>394177</v>
      </c>
      <c r="D62" s="148">
        <v>6324537</v>
      </c>
      <c r="E62" s="148">
        <v>9459</v>
      </c>
      <c r="F62" s="148">
        <v>3177439</v>
      </c>
      <c r="G62" s="148">
        <v>7809250</v>
      </c>
      <c r="H62" s="146">
        <f t="shared" si="0"/>
        <v>17714862</v>
      </c>
      <c r="J62" s="128">
        <v>44136</v>
      </c>
      <c r="K62" s="145">
        <f t="shared" si="1"/>
        <v>2.2251203537459113E-2</v>
      </c>
      <c r="L62" s="145">
        <f t="shared" si="2"/>
        <v>0.3570186998916503</v>
      </c>
      <c r="M62" s="145">
        <f t="shared" si="3"/>
        <v>5.3395843557799095E-4</v>
      </c>
      <c r="N62" s="145">
        <f t="shared" si="4"/>
        <v>0.17936572127968031</v>
      </c>
      <c r="O62" s="145">
        <f t="shared" si="5"/>
        <v>0.44083041685563229</v>
      </c>
      <c r="P62" s="135">
        <f t="shared" si="6"/>
        <v>1</v>
      </c>
      <c r="R62" s="128">
        <v>44136</v>
      </c>
      <c r="S62" s="144">
        <f t="shared" si="7"/>
        <v>289.62307127112416</v>
      </c>
      <c r="T62" s="144">
        <f t="shared" si="8"/>
        <v>6164.2660818713448</v>
      </c>
      <c r="U62" s="144">
        <f t="shared" si="9"/>
        <v>214.97727272727272</v>
      </c>
      <c r="V62" s="144">
        <f t="shared" si="10"/>
        <v>681.26908233276163</v>
      </c>
      <c r="W62" s="144">
        <f t="shared" si="11"/>
        <v>10468.163538873994</v>
      </c>
      <c r="X62" s="144">
        <f t="shared" si="12"/>
        <v>2259.2605535008288</v>
      </c>
    </row>
    <row r="63" spans="2:24" ht="13.5" customHeight="1" x14ac:dyDescent="0.2">
      <c r="B63" s="128">
        <v>44166</v>
      </c>
      <c r="C63" s="148">
        <v>567930</v>
      </c>
      <c r="D63" s="148">
        <v>8875793</v>
      </c>
      <c r="E63" s="148">
        <v>3948</v>
      </c>
      <c r="F63" s="148">
        <v>3161359</v>
      </c>
      <c r="G63" s="148">
        <v>6191987</v>
      </c>
      <c r="H63" s="146">
        <f t="shared" si="0"/>
        <v>18801017</v>
      </c>
      <c r="J63" s="128">
        <v>44166</v>
      </c>
      <c r="K63" s="145">
        <f t="shared" si="1"/>
        <v>3.0207408460935916E-2</v>
      </c>
      <c r="L63" s="145">
        <f t="shared" si="2"/>
        <v>0.47209111081597344</v>
      </c>
      <c r="M63" s="145">
        <f t="shared" si="3"/>
        <v>2.099886405081172E-4</v>
      </c>
      <c r="N63" s="145">
        <f t="shared" si="4"/>
        <v>0.16814829750965068</v>
      </c>
      <c r="O63" s="145">
        <f t="shared" si="5"/>
        <v>0.32934319457293187</v>
      </c>
      <c r="P63" s="135">
        <f t="shared" si="6"/>
        <v>1</v>
      </c>
      <c r="R63" s="128">
        <v>44166</v>
      </c>
      <c r="S63" s="144">
        <f t="shared" si="7"/>
        <v>417.2887582659809</v>
      </c>
      <c r="T63" s="144">
        <f t="shared" si="8"/>
        <v>8650.8703703703704</v>
      </c>
      <c r="U63" s="144">
        <f t="shared" si="9"/>
        <v>89.727272727272734</v>
      </c>
      <c r="V63" s="144">
        <f t="shared" si="10"/>
        <v>677.82139794168097</v>
      </c>
      <c r="W63" s="144">
        <f t="shared" si="11"/>
        <v>8300.2506702412866</v>
      </c>
      <c r="X63" s="144">
        <f t="shared" si="12"/>
        <v>2397.7830633847725</v>
      </c>
    </row>
    <row r="64" spans="2:24" ht="13.5" customHeight="1" x14ac:dyDescent="0.2">
      <c r="B64" s="127">
        <v>44197</v>
      </c>
      <c r="C64" s="147">
        <v>829867</v>
      </c>
      <c r="D64" s="147">
        <v>9909344</v>
      </c>
      <c r="E64" s="147">
        <v>2144</v>
      </c>
      <c r="F64" s="147">
        <v>2424773</v>
      </c>
      <c r="G64" s="147">
        <v>6885587</v>
      </c>
      <c r="H64" s="146">
        <f t="shared" si="0"/>
        <v>20051715</v>
      </c>
      <c r="J64" s="128">
        <v>44197</v>
      </c>
      <c r="K64" s="145">
        <f t="shared" si="1"/>
        <v>4.1386335283540583E-2</v>
      </c>
      <c r="L64" s="145">
        <f t="shared" si="2"/>
        <v>0.49418934988852575</v>
      </c>
      <c r="M64" s="145">
        <f t="shared" si="3"/>
        <v>1.0692352250169125E-4</v>
      </c>
      <c r="N64" s="145">
        <f t="shared" si="4"/>
        <v>0.120925965684232</v>
      </c>
      <c r="O64" s="145">
        <f t="shared" si="5"/>
        <v>0.34339142562120001</v>
      </c>
      <c r="P64" s="135">
        <f t="shared" si="6"/>
        <v>1</v>
      </c>
      <c r="R64" s="128">
        <v>44197</v>
      </c>
      <c r="S64" s="144">
        <f t="shared" ref="S64:S75" si="13">C64/K$6</f>
        <v>595.31348637015788</v>
      </c>
      <c r="T64" s="144">
        <f t="shared" ref="T64:T75" si="14">D64/L$6</f>
        <v>9611.3908826382158</v>
      </c>
      <c r="U64" s="144">
        <f t="shared" ref="U64:U75" si="15">E64/M$6</f>
        <v>48.727272727272727</v>
      </c>
      <c r="V64" s="144">
        <f t="shared" ref="V64:V75" si="16">F64/N$6</f>
        <v>516.45857294994676</v>
      </c>
      <c r="W64" s="144">
        <f t="shared" ref="W64:W75" si="17">G64/O$6</f>
        <v>9242.3986577181204</v>
      </c>
      <c r="X64" s="144">
        <f t="shared" ref="X64:X75" si="18">H64/SUM(K$6:O$6)</f>
        <v>2535.3034517638134</v>
      </c>
    </row>
    <row r="65" spans="2:24" ht="13.5" customHeight="1" x14ac:dyDescent="0.2">
      <c r="B65" s="127">
        <v>44228</v>
      </c>
      <c r="C65" s="147">
        <v>345901</v>
      </c>
      <c r="D65" s="147">
        <v>5014643</v>
      </c>
      <c r="E65" s="147">
        <v>1188</v>
      </c>
      <c r="F65" s="147">
        <v>1899188</v>
      </c>
      <c r="G65" s="147">
        <v>3760889</v>
      </c>
      <c r="H65" s="146">
        <f t="shared" si="0"/>
        <v>11021809</v>
      </c>
      <c r="J65" s="128">
        <v>44228</v>
      </c>
      <c r="K65" s="145">
        <f t="shared" si="1"/>
        <v>3.1383323735695294E-2</v>
      </c>
      <c r="L65" s="145">
        <f t="shared" si="2"/>
        <v>0.45497458720251821</v>
      </c>
      <c r="M65" s="145">
        <f t="shared" si="3"/>
        <v>1.0778629896417185E-4</v>
      </c>
      <c r="N65" s="145">
        <f t="shared" si="4"/>
        <v>0.1723118228595687</v>
      </c>
      <c r="O65" s="145">
        <f t="shared" si="5"/>
        <v>0.34122247990325361</v>
      </c>
      <c r="P65" s="135">
        <f t="shared" si="6"/>
        <v>1</v>
      </c>
      <c r="R65" s="128">
        <v>44228</v>
      </c>
      <c r="S65" s="144">
        <f t="shared" si="13"/>
        <v>248.13558106169296</v>
      </c>
      <c r="T65" s="144">
        <f t="shared" si="14"/>
        <v>4863.8632395732302</v>
      </c>
      <c r="U65" s="144">
        <f t="shared" si="15"/>
        <v>27</v>
      </c>
      <c r="V65" s="144">
        <f t="shared" si="16"/>
        <v>404.51288604898826</v>
      </c>
      <c r="W65" s="144">
        <f t="shared" si="17"/>
        <v>5048.1731543624164</v>
      </c>
      <c r="X65" s="144">
        <f t="shared" si="18"/>
        <v>1393.5780756100644</v>
      </c>
    </row>
    <row r="66" spans="2:24" ht="13.5" customHeight="1" x14ac:dyDescent="0.2">
      <c r="B66" s="127">
        <v>44256</v>
      </c>
      <c r="C66" s="147">
        <v>327340</v>
      </c>
      <c r="D66" s="147">
        <v>5269788</v>
      </c>
      <c r="E66" s="147">
        <v>6045</v>
      </c>
      <c r="F66" s="147">
        <v>3377848</v>
      </c>
      <c r="G66" s="147">
        <v>5194670</v>
      </c>
      <c r="H66" s="146">
        <f t="shared" si="0"/>
        <v>14175691</v>
      </c>
      <c r="J66" s="128">
        <v>44256</v>
      </c>
      <c r="K66" s="145">
        <f t="shared" si="1"/>
        <v>2.3091643292732607E-2</v>
      </c>
      <c r="L66" s="145">
        <f t="shared" si="2"/>
        <v>0.3717482272998191</v>
      </c>
      <c r="M66" s="145">
        <f t="shared" si="3"/>
        <v>4.2643423872599931E-4</v>
      </c>
      <c r="N66" s="145">
        <f t="shared" si="4"/>
        <v>0.23828453935684688</v>
      </c>
      <c r="O66" s="145">
        <f t="shared" si="5"/>
        <v>0.36644915581187543</v>
      </c>
      <c r="P66" s="135">
        <f t="shared" si="6"/>
        <v>1</v>
      </c>
      <c r="R66" s="128">
        <v>44256</v>
      </c>
      <c r="S66" s="144">
        <f t="shared" si="13"/>
        <v>234.82065997130559</v>
      </c>
      <c r="T66" s="144">
        <f t="shared" si="14"/>
        <v>5111.3365664403491</v>
      </c>
      <c r="U66" s="144">
        <f t="shared" si="15"/>
        <v>137.38636363636363</v>
      </c>
      <c r="V66" s="144">
        <f t="shared" si="16"/>
        <v>719.45644302449409</v>
      </c>
      <c r="W66" s="144">
        <f t="shared" si="17"/>
        <v>6972.7114093959735</v>
      </c>
      <c r="X66" s="144">
        <f t="shared" si="18"/>
        <v>1792.3493488430902</v>
      </c>
    </row>
    <row r="67" spans="2:24" ht="13.5" customHeight="1" x14ac:dyDescent="0.2">
      <c r="B67" s="127">
        <v>44287</v>
      </c>
      <c r="C67" s="147">
        <v>347579</v>
      </c>
      <c r="D67" s="147">
        <v>6121108</v>
      </c>
      <c r="E67" s="147">
        <v>6098</v>
      </c>
      <c r="F67" s="147">
        <v>10688909</v>
      </c>
      <c r="G67" s="147">
        <v>4800600</v>
      </c>
      <c r="H67" s="146">
        <f t="shared" si="0"/>
        <v>21964294</v>
      </c>
      <c r="J67" s="128">
        <v>44287</v>
      </c>
      <c r="K67" s="145">
        <f t="shared" si="1"/>
        <v>1.5824728989695731E-2</v>
      </c>
      <c r="L67" s="145">
        <f t="shared" si="2"/>
        <v>0.27868448674016111</v>
      </c>
      <c r="M67" s="145">
        <f t="shared" si="3"/>
        <v>2.7763241559232454E-4</v>
      </c>
      <c r="N67" s="145">
        <f t="shared" si="4"/>
        <v>0.48664933186561787</v>
      </c>
      <c r="O67" s="145">
        <f t="shared" si="5"/>
        <v>0.21856381998893296</v>
      </c>
      <c r="P67" s="135">
        <f t="shared" si="6"/>
        <v>1</v>
      </c>
      <c r="R67" s="128">
        <v>44287</v>
      </c>
      <c r="S67" s="144">
        <f t="shared" si="13"/>
        <v>249.33931133428982</v>
      </c>
      <c r="T67" s="144">
        <f t="shared" si="14"/>
        <v>5937.0591658583899</v>
      </c>
      <c r="U67" s="144">
        <f t="shared" si="15"/>
        <v>138.59090909090909</v>
      </c>
      <c r="V67" s="144">
        <f t="shared" si="16"/>
        <v>2276.6579339723112</v>
      </c>
      <c r="W67" s="144">
        <f t="shared" si="17"/>
        <v>6443.7583892617449</v>
      </c>
      <c r="X67" s="144">
        <f t="shared" si="18"/>
        <v>2777.1265646731572</v>
      </c>
    </row>
    <row r="68" spans="2:24" ht="13.5" customHeight="1" x14ac:dyDescent="0.2">
      <c r="B68" s="127">
        <v>44317</v>
      </c>
      <c r="C68" s="147">
        <v>287495</v>
      </c>
      <c r="D68" s="147">
        <v>5446396</v>
      </c>
      <c r="E68" s="147">
        <v>5721</v>
      </c>
      <c r="F68" s="147">
        <v>12053536</v>
      </c>
      <c r="G68" s="147">
        <v>2710776</v>
      </c>
      <c r="H68" s="146">
        <f t="shared" si="0"/>
        <v>20503924</v>
      </c>
      <c r="J68" s="128">
        <v>44317</v>
      </c>
      <c r="K68" s="145">
        <f t="shared" si="1"/>
        <v>1.4021462428362493E-2</v>
      </c>
      <c r="L68" s="145">
        <f t="shared" si="2"/>
        <v>0.26562700876183504</v>
      </c>
      <c r="M68" s="145">
        <f t="shared" si="3"/>
        <v>2.7901976226599358E-4</v>
      </c>
      <c r="N68" s="145">
        <f t="shared" si="4"/>
        <v>0.58786483992039773</v>
      </c>
      <c r="O68" s="145">
        <f t="shared" si="5"/>
        <v>0.1322076691271388</v>
      </c>
      <c r="P68" s="135">
        <f t="shared" si="6"/>
        <v>1</v>
      </c>
      <c r="R68" s="128">
        <v>44317</v>
      </c>
      <c r="S68" s="144">
        <f t="shared" si="13"/>
        <v>206.2374461979914</v>
      </c>
      <c r="T68" s="144">
        <f t="shared" si="14"/>
        <v>5282.6343355965082</v>
      </c>
      <c r="U68" s="144">
        <f t="shared" si="15"/>
        <v>130.02272727272728</v>
      </c>
      <c r="V68" s="144">
        <f t="shared" si="16"/>
        <v>2567.313312034079</v>
      </c>
      <c r="W68" s="144">
        <f t="shared" si="17"/>
        <v>3638.6255033557045</v>
      </c>
      <c r="X68" s="144">
        <f t="shared" si="18"/>
        <v>2592.4799595397649</v>
      </c>
    </row>
    <row r="69" spans="2:24" ht="13.5" customHeight="1" x14ac:dyDescent="0.2">
      <c r="B69" s="127">
        <v>44348</v>
      </c>
      <c r="C69" s="147">
        <v>643891</v>
      </c>
      <c r="D69" s="147">
        <v>4796900</v>
      </c>
      <c r="E69" s="147">
        <v>6383</v>
      </c>
      <c r="F69" s="147">
        <v>4620180</v>
      </c>
      <c r="G69" s="147">
        <v>1332915</v>
      </c>
      <c r="H69" s="146">
        <f t="shared" si="0"/>
        <v>11400269</v>
      </c>
      <c r="J69" s="128">
        <v>44348</v>
      </c>
      <c r="K69" s="145">
        <f t="shared" si="1"/>
        <v>5.6480333928962553E-2</v>
      </c>
      <c r="L69" s="145">
        <f t="shared" si="2"/>
        <v>0.4207707730405309</v>
      </c>
      <c r="M69" s="145">
        <f t="shared" si="3"/>
        <v>5.5989906904828303E-4</v>
      </c>
      <c r="N69" s="145">
        <f t="shared" si="4"/>
        <v>0.4052693844329463</v>
      </c>
      <c r="O69" s="145">
        <f t="shared" si="5"/>
        <v>0.11691960952851201</v>
      </c>
      <c r="P69" s="135">
        <f t="shared" si="6"/>
        <v>1</v>
      </c>
      <c r="R69" s="128">
        <v>44348</v>
      </c>
      <c r="S69" s="144">
        <f t="shared" si="13"/>
        <v>461.90172166427544</v>
      </c>
      <c r="T69" s="144">
        <f t="shared" si="14"/>
        <v>4652.6673132880696</v>
      </c>
      <c r="U69" s="144">
        <f t="shared" si="15"/>
        <v>145.06818181818181</v>
      </c>
      <c r="V69" s="144">
        <f t="shared" si="16"/>
        <v>984.06389776357832</v>
      </c>
      <c r="W69" s="144">
        <f t="shared" si="17"/>
        <v>1789.1476510067114</v>
      </c>
      <c r="X69" s="144">
        <f t="shared" si="18"/>
        <v>1441.4298899987357</v>
      </c>
    </row>
    <row r="70" spans="2:24" ht="13.5" customHeight="1" x14ac:dyDescent="0.2">
      <c r="B70" s="127">
        <v>44378</v>
      </c>
      <c r="C70" s="147">
        <v>1220614</v>
      </c>
      <c r="D70" s="147">
        <v>4869995</v>
      </c>
      <c r="E70" s="147">
        <v>30229</v>
      </c>
      <c r="F70" s="147">
        <v>6158654</v>
      </c>
      <c r="G70" s="147">
        <v>3302008</v>
      </c>
      <c r="H70" s="146">
        <f t="shared" si="0"/>
        <v>15581500</v>
      </c>
      <c r="J70" s="128">
        <v>44378</v>
      </c>
      <c r="K70" s="145">
        <f t="shared" si="1"/>
        <v>7.833738728620479E-2</v>
      </c>
      <c r="L70" s="145">
        <f t="shared" si="2"/>
        <v>0.31254981869524756</v>
      </c>
      <c r="M70" s="145">
        <f t="shared" si="3"/>
        <v>1.94005711901935E-3</v>
      </c>
      <c r="N70" s="145">
        <f t="shared" si="4"/>
        <v>0.39525424381478036</v>
      </c>
      <c r="O70" s="145">
        <f t="shared" si="5"/>
        <v>0.21191849308474794</v>
      </c>
      <c r="P70" s="135">
        <f t="shared" si="6"/>
        <v>1</v>
      </c>
      <c r="R70" s="128">
        <v>44378</v>
      </c>
      <c r="S70" s="144">
        <f t="shared" si="13"/>
        <v>875.61979913916787</v>
      </c>
      <c r="T70" s="144">
        <f t="shared" si="14"/>
        <v>4723.5645004849657</v>
      </c>
      <c r="U70" s="144">
        <f t="shared" si="15"/>
        <v>687.02272727272725</v>
      </c>
      <c r="V70" s="144">
        <f t="shared" si="16"/>
        <v>1311.7473908413206</v>
      </c>
      <c r="W70" s="144">
        <f t="shared" si="17"/>
        <v>4432.2255033557049</v>
      </c>
      <c r="X70" s="144">
        <f t="shared" si="18"/>
        <v>1970.0973574408902</v>
      </c>
    </row>
    <row r="71" spans="2:24" ht="13.5" customHeight="1" x14ac:dyDescent="0.2">
      <c r="B71" s="127">
        <v>44409</v>
      </c>
      <c r="C71" s="147">
        <v>1122757</v>
      </c>
      <c r="D71" s="147">
        <v>6751547</v>
      </c>
      <c r="E71" s="147">
        <v>62024</v>
      </c>
      <c r="F71" s="147">
        <v>8087800</v>
      </c>
      <c r="G71" s="147">
        <v>4062937</v>
      </c>
      <c r="H71" s="146">
        <f t="shared" si="0"/>
        <v>20087065</v>
      </c>
      <c r="J71" s="128">
        <v>44409</v>
      </c>
      <c r="K71" s="145">
        <f t="shared" si="1"/>
        <v>5.5894527149685631E-2</v>
      </c>
      <c r="L71" s="145">
        <f t="shared" si="2"/>
        <v>0.33611416102850267</v>
      </c>
      <c r="M71" s="145">
        <f t="shared" si="3"/>
        <v>3.0877582165438305E-3</v>
      </c>
      <c r="N71" s="145">
        <f t="shared" si="4"/>
        <v>0.40263721952410669</v>
      </c>
      <c r="O71" s="145">
        <f t="shared" si="5"/>
        <v>0.20226633408116118</v>
      </c>
      <c r="P71" s="135">
        <f t="shared" si="6"/>
        <v>1</v>
      </c>
      <c r="R71" s="128">
        <v>44409</v>
      </c>
      <c r="S71" s="144">
        <f t="shared" si="13"/>
        <v>805.42109038737442</v>
      </c>
      <c r="T71" s="144">
        <f t="shared" si="14"/>
        <v>6548.5421920465569</v>
      </c>
      <c r="U71" s="144">
        <f t="shared" si="15"/>
        <v>1409.6363636363637</v>
      </c>
      <c r="V71" s="144">
        <f t="shared" si="16"/>
        <v>1722.6411075612355</v>
      </c>
      <c r="W71" s="144">
        <f t="shared" si="17"/>
        <v>5453.6067114093958</v>
      </c>
      <c r="X71" s="144">
        <f t="shared" si="18"/>
        <v>2539.7730433683146</v>
      </c>
    </row>
    <row r="72" spans="2:24" ht="13.5" customHeight="1" x14ac:dyDescent="0.2">
      <c r="B72" s="127">
        <v>44440</v>
      </c>
      <c r="C72" s="147">
        <v>524685</v>
      </c>
      <c r="D72" s="147">
        <v>5999753</v>
      </c>
      <c r="E72" s="147">
        <v>70994</v>
      </c>
      <c r="F72" s="147">
        <v>5839961</v>
      </c>
      <c r="G72" s="147">
        <v>3604533</v>
      </c>
      <c r="H72" s="146">
        <f t="shared" si="0"/>
        <v>16039926</v>
      </c>
      <c r="J72" s="128">
        <v>44440</v>
      </c>
      <c r="K72" s="145">
        <f t="shared" si="1"/>
        <v>3.2711185824672757E-2</v>
      </c>
      <c r="L72" s="145">
        <f t="shared" si="2"/>
        <v>0.37405116457519816</v>
      </c>
      <c r="M72" s="145">
        <f t="shared" si="3"/>
        <v>4.4260802699463827E-3</v>
      </c>
      <c r="N72" s="145">
        <f t="shared" si="4"/>
        <v>0.36408902385210506</v>
      </c>
      <c r="O72" s="145">
        <f t="shared" si="5"/>
        <v>0.22472254547807763</v>
      </c>
      <c r="P72" s="135">
        <f t="shared" si="6"/>
        <v>1</v>
      </c>
      <c r="R72" s="128">
        <v>44440</v>
      </c>
      <c r="S72" s="144">
        <f t="shared" si="13"/>
        <v>376.38809182209468</v>
      </c>
      <c r="T72" s="144">
        <f t="shared" si="14"/>
        <v>5819.3530552861303</v>
      </c>
      <c r="U72" s="144">
        <f t="shared" si="15"/>
        <v>1613.5</v>
      </c>
      <c r="V72" s="144">
        <f t="shared" si="16"/>
        <v>1243.8681576144834</v>
      </c>
      <c r="W72" s="144">
        <f t="shared" si="17"/>
        <v>4838.2993288590606</v>
      </c>
      <c r="X72" s="144">
        <f t="shared" si="18"/>
        <v>2028.0599317233532</v>
      </c>
    </row>
    <row r="73" spans="2:24" ht="13.5" customHeight="1" x14ac:dyDescent="0.2">
      <c r="B73" s="127">
        <v>44470</v>
      </c>
      <c r="C73" s="147">
        <v>204774</v>
      </c>
      <c r="D73" s="147">
        <v>3784872</v>
      </c>
      <c r="E73" s="147">
        <v>88222</v>
      </c>
      <c r="F73" s="147">
        <v>3699129</v>
      </c>
      <c r="G73" s="147">
        <v>5726081</v>
      </c>
      <c r="H73" s="146">
        <f t="shared" si="0"/>
        <v>13503078</v>
      </c>
      <c r="J73" s="128">
        <v>44470</v>
      </c>
      <c r="K73" s="145">
        <f t="shared" si="1"/>
        <v>1.5164986827447786E-2</v>
      </c>
      <c r="L73" s="145">
        <f t="shared" si="2"/>
        <v>0.28029698117718049</v>
      </c>
      <c r="M73" s="145">
        <f t="shared" si="3"/>
        <v>6.5334733310434849E-3</v>
      </c>
      <c r="N73" s="145">
        <f t="shared" si="4"/>
        <v>0.27394709561775471</v>
      </c>
      <c r="O73" s="145">
        <f t="shared" si="5"/>
        <v>0.42405746304657355</v>
      </c>
      <c r="P73" s="135">
        <f t="shared" si="6"/>
        <v>1</v>
      </c>
      <c r="R73" s="128">
        <v>44470</v>
      </c>
      <c r="S73" s="144">
        <f t="shared" si="13"/>
        <v>146.89670014347203</v>
      </c>
      <c r="T73" s="144">
        <f t="shared" si="14"/>
        <v>3671.0688651794376</v>
      </c>
      <c r="U73" s="144">
        <f t="shared" si="15"/>
        <v>2005.0454545454545</v>
      </c>
      <c r="V73" s="144">
        <f t="shared" si="16"/>
        <v>787.88690095846641</v>
      </c>
      <c r="W73" s="144">
        <f t="shared" si="17"/>
        <v>7686.014765100671</v>
      </c>
      <c r="X73" s="144">
        <f t="shared" si="18"/>
        <v>1707.3053483373371</v>
      </c>
    </row>
    <row r="74" spans="2:24" ht="13.5" customHeight="1" x14ac:dyDescent="0.2">
      <c r="B74" s="127">
        <v>44501</v>
      </c>
      <c r="C74" s="147">
        <v>186801</v>
      </c>
      <c r="D74" s="147">
        <v>3290481</v>
      </c>
      <c r="E74" s="147">
        <v>51404</v>
      </c>
      <c r="F74" s="147">
        <v>2799248</v>
      </c>
      <c r="G74" s="147">
        <v>8945907</v>
      </c>
      <c r="H74" s="146">
        <f t="shared" si="0"/>
        <v>15273841</v>
      </c>
      <c r="J74" s="128">
        <v>44501</v>
      </c>
      <c r="K74" s="145">
        <f t="shared" si="1"/>
        <v>1.2230126004323339E-2</v>
      </c>
      <c r="L74" s="145">
        <f t="shared" si="2"/>
        <v>0.21543245081574439</v>
      </c>
      <c r="M74" s="145">
        <f t="shared" si="3"/>
        <v>3.3654926746978708E-3</v>
      </c>
      <c r="N74" s="145">
        <f t="shared" si="4"/>
        <v>0.18327073065642099</v>
      </c>
      <c r="O74" s="145">
        <f t="shared" si="5"/>
        <v>0.58570119984881341</v>
      </c>
      <c r="P74" s="135">
        <f t="shared" si="6"/>
        <v>1</v>
      </c>
      <c r="R74" s="128">
        <v>44501</v>
      </c>
      <c r="S74" s="144">
        <f t="shared" si="13"/>
        <v>134.00358680057388</v>
      </c>
      <c r="T74" s="144">
        <f t="shared" si="14"/>
        <v>3191.5431619786614</v>
      </c>
      <c r="U74" s="144">
        <f t="shared" si="15"/>
        <v>1168.2727272727273</v>
      </c>
      <c r="V74" s="144">
        <f t="shared" si="16"/>
        <v>596.21895633652821</v>
      </c>
      <c r="W74" s="144">
        <f t="shared" si="17"/>
        <v>12007.928859060403</v>
      </c>
      <c r="X74" s="144">
        <f t="shared" si="18"/>
        <v>1931.1974965229485</v>
      </c>
    </row>
    <row r="75" spans="2:24" ht="13.5" customHeight="1" x14ac:dyDescent="0.2">
      <c r="B75" s="127">
        <v>44531</v>
      </c>
      <c r="C75" s="147">
        <v>1061679</v>
      </c>
      <c r="D75" s="147">
        <v>6921704</v>
      </c>
      <c r="E75" s="147">
        <v>163272</v>
      </c>
      <c r="F75" s="147">
        <v>2495589</v>
      </c>
      <c r="G75" s="147">
        <v>12865929</v>
      </c>
      <c r="H75" s="146">
        <f t="shared" si="0"/>
        <v>23508173</v>
      </c>
      <c r="J75" s="128">
        <v>44531</v>
      </c>
      <c r="K75" s="145">
        <f t="shared" si="1"/>
        <v>4.5162122977400243E-2</v>
      </c>
      <c r="L75" s="145">
        <f t="shared" si="2"/>
        <v>0.294438193899628</v>
      </c>
      <c r="M75" s="145">
        <f t="shared" si="3"/>
        <v>6.9453291840246368E-3</v>
      </c>
      <c r="N75" s="145">
        <f t="shared" si="4"/>
        <v>0.10615835607471495</v>
      </c>
      <c r="O75" s="145">
        <f t="shared" si="5"/>
        <v>0.54729599786423211</v>
      </c>
      <c r="P75" s="135">
        <f t="shared" si="6"/>
        <v>1</v>
      </c>
      <c r="R75" s="128">
        <v>44531</v>
      </c>
      <c r="S75" s="144">
        <f t="shared" si="13"/>
        <v>761.6061692969871</v>
      </c>
      <c r="T75" s="144">
        <f t="shared" si="14"/>
        <v>6713.5829291949567</v>
      </c>
      <c r="U75" s="144">
        <f t="shared" si="15"/>
        <v>3710.7272727272725</v>
      </c>
      <c r="V75" s="144">
        <f t="shared" si="16"/>
        <v>531.54185303514373</v>
      </c>
      <c r="W75" s="144">
        <f t="shared" si="17"/>
        <v>17269.7033557047</v>
      </c>
      <c r="X75" s="144">
        <f t="shared" si="18"/>
        <v>2972.3319003666711</v>
      </c>
    </row>
    <row r="76" spans="2:24" ht="13.5" customHeight="1" x14ac:dyDescent="0.2">
      <c r="B76" s="127">
        <v>44562</v>
      </c>
      <c r="C76" s="147">
        <v>1241829</v>
      </c>
      <c r="D76" s="147">
        <v>32245913</v>
      </c>
      <c r="E76" s="147">
        <v>1994163</v>
      </c>
      <c r="F76" s="147">
        <v>15514869</v>
      </c>
      <c r="G76" s="147">
        <v>40790506</v>
      </c>
      <c r="H76" s="146">
        <f t="shared" si="0"/>
        <v>91787280</v>
      </c>
      <c r="J76" s="128">
        <v>44562</v>
      </c>
      <c r="K76" s="145">
        <f t="shared" si="1"/>
        <v>1.3529423684850449E-2</v>
      </c>
      <c r="L76" s="145">
        <f t="shared" si="2"/>
        <v>0.35131134728036389</v>
      </c>
      <c r="M76" s="145">
        <f t="shared" si="3"/>
        <v>2.1725918885492631E-2</v>
      </c>
      <c r="N76" s="145">
        <f t="shared" si="4"/>
        <v>0.16903070883024315</v>
      </c>
      <c r="O76" s="145">
        <f t="shared" si="5"/>
        <v>0.44440260131904985</v>
      </c>
      <c r="P76" s="135">
        <f t="shared" si="6"/>
        <v>1</v>
      </c>
      <c r="R76" s="128">
        <v>44562</v>
      </c>
      <c r="S76" s="144">
        <f t="shared" ref="S76:S87" si="19">C76/K$7</f>
        <v>870.23756131744915</v>
      </c>
      <c r="T76" s="144">
        <f t="shared" ref="T76:T87" si="20">D76/L$7</f>
        <v>31095.383799421408</v>
      </c>
      <c r="U76" s="144">
        <f t="shared" ref="U76:U87" si="21">E76/M$7</f>
        <v>44314.73333333333</v>
      </c>
      <c r="V76" s="144">
        <f t="shared" ref="V76:V87" si="22">F76/N$7</f>
        <v>3284.9606182511116</v>
      </c>
      <c r="W76" s="144">
        <f t="shared" ref="W76:W87" si="23">G76/O$7</f>
        <v>54825.948924731179</v>
      </c>
      <c r="X76" s="144">
        <f t="shared" ref="X76:X87" si="24">H76/SUM(K$7:O$7)</f>
        <v>11507.933801404213</v>
      </c>
    </row>
    <row r="77" spans="2:24" ht="13.5" customHeight="1" x14ac:dyDescent="0.2">
      <c r="B77" s="127">
        <v>44593</v>
      </c>
      <c r="C77" s="147">
        <v>606571</v>
      </c>
      <c r="D77" s="147">
        <v>11284471</v>
      </c>
      <c r="E77" s="147">
        <v>882688</v>
      </c>
      <c r="F77" s="147">
        <v>16744247</v>
      </c>
      <c r="G77" s="147">
        <v>29413626</v>
      </c>
      <c r="H77" s="146">
        <f t="shared" si="0"/>
        <v>58931603</v>
      </c>
      <c r="J77" s="128">
        <v>44593</v>
      </c>
      <c r="K77" s="145">
        <f t="shared" si="1"/>
        <v>1.0292796549247099E-2</v>
      </c>
      <c r="L77" s="145">
        <f t="shared" si="2"/>
        <v>0.19148420245755066</v>
      </c>
      <c r="M77" s="145">
        <f t="shared" si="3"/>
        <v>1.4978177328724623E-2</v>
      </c>
      <c r="N77" s="145">
        <f t="shared" si="4"/>
        <v>0.28413018054166966</v>
      </c>
      <c r="O77" s="145">
        <f t="shared" si="5"/>
        <v>0.49911464312280795</v>
      </c>
      <c r="P77" s="135">
        <f t="shared" si="6"/>
        <v>1</v>
      </c>
      <c r="R77" s="128">
        <v>44593</v>
      </c>
      <c r="S77" s="144">
        <f t="shared" si="19"/>
        <v>425.06727400140153</v>
      </c>
      <c r="T77" s="144">
        <f t="shared" si="20"/>
        <v>10881.842815814851</v>
      </c>
      <c r="U77" s="144">
        <f t="shared" si="21"/>
        <v>19615.288888888888</v>
      </c>
      <c r="V77" s="144">
        <f t="shared" si="22"/>
        <v>3545.256616557273</v>
      </c>
      <c r="W77" s="144">
        <f t="shared" si="23"/>
        <v>39534.443548387098</v>
      </c>
      <c r="X77" s="144">
        <f t="shared" si="24"/>
        <v>7388.6162236710134</v>
      </c>
    </row>
    <row r="78" spans="2:24" ht="13.5" customHeight="1" x14ac:dyDescent="0.2">
      <c r="B78" s="127">
        <v>44621</v>
      </c>
      <c r="C78" s="147">
        <v>233678</v>
      </c>
      <c r="D78" s="147">
        <v>3318703</v>
      </c>
      <c r="E78" s="147">
        <v>1740940</v>
      </c>
      <c r="F78" s="147">
        <v>22469713</v>
      </c>
      <c r="G78" s="147">
        <v>21118512</v>
      </c>
      <c r="H78" s="146">
        <f t="shared" si="0"/>
        <v>48881546</v>
      </c>
      <c r="J78" s="128">
        <v>44621</v>
      </c>
      <c r="K78" s="145">
        <f t="shared" si="1"/>
        <v>4.7804952813890137E-3</v>
      </c>
      <c r="L78" s="145">
        <f t="shared" si="2"/>
        <v>6.7892758547366733E-2</v>
      </c>
      <c r="M78" s="145">
        <f t="shared" si="3"/>
        <v>3.5615485647692076E-2</v>
      </c>
      <c r="N78" s="145">
        <f t="shared" si="4"/>
        <v>0.45967680727610377</v>
      </c>
      <c r="O78" s="145">
        <f t="shared" si="5"/>
        <v>0.43203445324744844</v>
      </c>
      <c r="P78" s="135">
        <f t="shared" si="6"/>
        <v>1</v>
      </c>
      <c r="R78" s="128">
        <v>44621</v>
      </c>
      <c r="S78" s="144">
        <f t="shared" si="19"/>
        <v>163.75473020322355</v>
      </c>
      <c r="T78" s="144">
        <f t="shared" si="20"/>
        <v>3200.29218900675</v>
      </c>
      <c r="U78" s="144">
        <f t="shared" si="21"/>
        <v>38687.555555555555</v>
      </c>
      <c r="V78" s="144">
        <f t="shared" si="22"/>
        <v>4757.5085750582257</v>
      </c>
      <c r="W78" s="144">
        <f t="shared" si="23"/>
        <v>28385.096774193549</v>
      </c>
      <c r="X78" s="144">
        <f t="shared" si="24"/>
        <v>6128.5789869608825</v>
      </c>
    </row>
    <row r="79" spans="2:24" ht="13.5" customHeight="1" x14ac:dyDescent="0.2">
      <c r="B79" s="127">
        <v>44652</v>
      </c>
      <c r="C79" s="147">
        <v>160186</v>
      </c>
      <c r="D79" s="147">
        <v>2366086</v>
      </c>
      <c r="E79" s="147">
        <v>1639149</v>
      </c>
      <c r="F79" s="147">
        <v>8101077</v>
      </c>
      <c r="G79" s="147">
        <v>12961374</v>
      </c>
      <c r="H79" s="146">
        <f t="shared" si="0"/>
        <v>25227872</v>
      </c>
      <c r="J79" s="128">
        <v>44652</v>
      </c>
      <c r="K79" s="145">
        <f t="shared" si="1"/>
        <v>6.3495644816970688E-3</v>
      </c>
      <c r="L79" s="145">
        <f t="shared" si="2"/>
        <v>9.3788568453177498E-2</v>
      </c>
      <c r="M79" s="145">
        <f t="shared" si="3"/>
        <v>6.4973732227593353E-2</v>
      </c>
      <c r="N79" s="145">
        <f t="shared" si="4"/>
        <v>0.32111614487341622</v>
      </c>
      <c r="O79" s="145">
        <f t="shared" si="5"/>
        <v>0.51377198996411588</v>
      </c>
      <c r="P79" s="135">
        <f t="shared" si="6"/>
        <v>1</v>
      </c>
      <c r="R79" s="128">
        <v>44652</v>
      </c>
      <c r="S79" s="144">
        <f t="shared" si="19"/>
        <v>112.25367904695165</v>
      </c>
      <c r="T79" s="144">
        <f t="shared" si="20"/>
        <v>2281.6644165863067</v>
      </c>
      <c r="U79" s="144">
        <f t="shared" si="21"/>
        <v>36425.533333333333</v>
      </c>
      <c r="V79" s="144">
        <f t="shared" si="22"/>
        <v>1715.2396781706543</v>
      </c>
      <c r="W79" s="144">
        <f t="shared" si="23"/>
        <v>17421.201612903227</v>
      </c>
      <c r="X79" s="144">
        <f t="shared" si="24"/>
        <v>3162.9729187562689</v>
      </c>
    </row>
    <row r="80" spans="2:24" ht="13.5" customHeight="1" x14ac:dyDescent="0.2">
      <c r="B80" s="127">
        <v>44682</v>
      </c>
      <c r="C80" s="147">
        <v>236726</v>
      </c>
      <c r="D80" s="147">
        <v>4132459</v>
      </c>
      <c r="E80" s="147">
        <v>1730560</v>
      </c>
      <c r="F80" s="147">
        <v>4468871</v>
      </c>
      <c r="G80" s="147">
        <v>6502402</v>
      </c>
      <c r="H80" s="146">
        <f t="shared" si="0"/>
        <v>17071018</v>
      </c>
      <c r="J80" s="128">
        <v>44682</v>
      </c>
      <c r="K80" s="145">
        <f t="shared" si="1"/>
        <v>1.3867128486420669E-2</v>
      </c>
      <c r="L80" s="145">
        <f t="shared" si="2"/>
        <v>0.24207454997704297</v>
      </c>
      <c r="M80" s="145">
        <f t="shared" si="3"/>
        <v>0.10137415355077242</v>
      </c>
      <c r="N80" s="145">
        <f t="shared" si="4"/>
        <v>0.26178116618469971</v>
      </c>
      <c r="O80" s="145">
        <f t="shared" si="5"/>
        <v>0.38090300180106423</v>
      </c>
      <c r="P80" s="135">
        <f t="shared" si="6"/>
        <v>1</v>
      </c>
      <c r="R80" s="128">
        <v>44682</v>
      </c>
      <c r="S80" s="144">
        <f t="shared" si="19"/>
        <v>165.89067974772249</v>
      </c>
      <c r="T80" s="144">
        <f t="shared" si="20"/>
        <v>3985.01350048216</v>
      </c>
      <c r="U80" s="144">
        <f t="shared" si="21"/>
        <v>38456.888888888891</v>
      </c>
      <c r="V80" s="144">
        <f t="shared" si="22"/>
        <v>946.19330933728565</v>
      </c>
      <c r="W80" s="144">
        <f t="shared" si="23"/>
        <v>8739.7876344086017</v>
      </c>
      <c r="X80" s="144">
        <f t="shared" si="24"/>
        <v>2140.2981444333</v>
      </c>
    </row>
    <row r="81" spans="2:24" ht="13.5" customHeight="1" x14ac:dyDescent="0.2">
      <c r="B81" s="127">
        <v>44713</v>
      </c>
      <c r="C81" s="147">
        <v>187690</v>
      </c>
      <c r="D81" s="147">
        <v>5661250</v>
      </c>
      <c r="E81" s="147">
        <v>967371</v>
      </c>
      <c r="F81" s="147">
        <v>3599050</v>
      </c>
      <c r="G81" s="147">
        <v>6000973</v>
      </c>
      <c r="H81" s="146">
        <f t="shared" si="0"/>
        <v>16416334</v>
      </c>
      <c r="J81" s="128">
        <v>44713</v>
      </c>
      <c r="K81" s="145">
        <f t="shared" si="1"/>
        <v>1.1433125081397589E-2</v>
      </c>
      <c r="L81" s="145">
        <f t="shared" si="2"/>
        <v>0.34485470385775535</v>
      </c>
      <c r="M81" s="145">
        <f t="shared" si="3"/>
        <v>5.8927346385618126E-2</v>
      </c>
      <c r="N81" s="145">
        <f t="shared" si="4"/>
        <v>0.21923591466889014</v>
      </c>
      <c r="O81" s="145">
        <f t="shared" si="5"/>
        <v>0.36554891000633882</v>
      </c>
      <c r="P81" s="135">
        <f t="shared" si="6"/>
        <v>1</v>
      </c>
      <c r="R81" s="128">
        <v>44713</v>
      </c>
      <c r="S81" s="144">
        <f t="shared" si="19"/>
        <v>131.52768044849336</v>
      </c>
      <c r="T81" s="144">
        <f t="shared" si="20"/>
        <v>5459.257473481196</v>
      </c>
      <c r="U81" s="144">
        <f t="shared" si="21"/>
        <v>21497.133333333335</v>
      </c>
      <c r="V81" s="144">
        <f t="shared" si="22"/>
        <v>762.02625449925893</v>
      </c>
      <c r="W81" s="144">
        <f t="shared" si="23"/>
        <v>8065.8239247311831</v>
      </c>
      <c r="X81" s="144">
        <f t="shared" si="24"/>
        <v>2058.2163991975926</v>
      </c>
    </row>
    <row r="82" spans="2:24" ht="13.5" customHeight="1" x14ac:dyDescent="0.2">
      <c r="B82" s="127">
        <v>44743</v>
      </c>
      <c r="C82" s="147">
        <v>222430</v>
      </c>
      <c r="D82" s="147">
        <v>7975849</v>
      </c>
      <c r="E82" s="147">
        <v>1425766</v>
      </c>
      <c r="F82" s="147">
        <v>8812116</v>
      </c>
      <c r="G82" s="147">
        <v>12797144</v>
      </c>
      <c r="H82" s="146">
        <f t="shared" si="0"/>
        <v>31233305</v>
      </c>
      <c r="J82" s="128">
        <v>44743</v>
      </c>
      <c r="K82" s="145">
        <f t="shared" si="1"/>
        <v>7.1215646246850913E-3</v>
      </c>
      <c r="L82" s="145">
        <f t="shared" si="2"/>
        <v>0.25536359344616266</v>
      </c>
      <c r="M82" s="145">
        <f t="shared" si="3"/>
        <v>4.5648899468051812E-2</v>
      </c>
      <c r="N82" s="145">
        <f t="shared" si="4"/>
        <v>0.28213844164106233</v>
      </c>
      <c r="O82" s="145">
        <f t="shared" si="5"/>
        <v>0.40972750082003812</v>
      </c>
      <c r="P82" s="135">
        <f t="shared" si="6"/>
        <v>1</v>
      </c>
      <c r="R82" s="128">
        <v>44743</v>
      </c>
      <c r="S82" s="144">
        <f t="shared" si="19"/>
        <v>155.87245970567625</v>
      </c>
      <c r="T82" s="144">
        <f t="shared" si="20"/>
        <v>7691.2719382835103</v>
      </c>
      <c r="U82" s="144">
        <f t="shared" si="21"/>
        <v>31683.68888888889</v>
      </c>
      <c r="V82" s="144">
        <f t="shared" si="22"/>
        <v>1865.7878467076011</v>
      </c>
      <c r="W82" s="144">
        <f t="shared" si="23"/>
        <v>17200.462365591397</v>
      </c>
      <c r="X82" s="144">
        <f t="shared" si="24"/>
        <v>3915.9108575727182</v>
      </c>
    </row>
    <row r="83" spans="2:24" ht="13.5" customHeight="1" x14ac:dyDescent="0.2">
      <c r="B83" s="127">
        <v>44774</v>
      </c>
      <c r="C83" s="147">
        <v>88706</v>
      </c>
      <c r="D83" s="147">
        <v>4820354</v>
      </c>
      <c r="E83" s="147">
        <v>933992</v>
      </c>
      <c r="F83" s="147">
        <v>13134078</v>
      </c>
      <c r="G83" s="147">
        <v>5492482</v>
      </c>
      <c r="H83" s="146">
        <f t="shared" si="0"/>
        <v>24469612</v>
      </c>
      <c r="J83" s="128">
        <v>44774</v>
      </c>
      <c r="K83" s="145">
        <f t="shared" si="1"/>
        <v>3.6251494302402508E-3</v>
      </c>
      <c r="L83" s="145">
        <f t="shared" si="2"/>
        <v>0.19699347909562276</v>
      </c>
      <c r="M83" s="145">
        <f t="shared" si="3"/>
        <v>3.8169465049139317E-2</v>
      </c>
      <c r="N83" s="145">
        <f t="shared" si="4"/>
        <v>0.53675056228925899</v>
      </c>
      <c r="O83" s="145">
        <f t="shared" si="5"/>
        <v>0.22446134413573865</v>
      </c>
      <c r="P83" s="135">
        <f t="shared" si="6"/>
        <v>1</v>
      </c>
      <c r="R83" s="128">
        <v>44774</v>
      </c>
      <c r="S83" s="144">
        <f t="shared" si="19"/>
        <v>62.162578836720392</v>
      </c>
      <c r="T83" s="144">
        <f t="shared" si="20"/>
        <v>4648.3645130183222</v>
      </c>
      <c r="U83" s="144">
        <f t="shared" si="21"/>
        <v>20755.37777777778</v>
      </c>
      <c r="V83" s="144">
        <f t="shared" si="22"/>
        <v>2780.8761380478509</v>
      </c>
      <c r="W83" s="144">
        <f t="shared" si="23"/>
        <v>7382.3682795698924</v>
      </c>
      <c r="X83" s="144">
        <f t="shared" si="24"/>
        <v>3067.9052156469406</v>
      </c>
    </row>
    <row r="84" spans="2:24" ht="13.5" customHeight="1" x14ac:dyDescent="0.2">
      <c r="B84" s="127">
        <v>44805</v>
      </c>
      <c r="C84" s="147">
        <v>47056</v>
      </c>
      <c r="D84" s="147">
        <v>2580967</v>
      </c>
      <c r="E84" s="147">
        <v>242098</v>
      </c>
      <c r="F84" s="147">
        <v>6058083</v>
      </c>
      <c r="G84" s="147">
        <v>5176218</v>
      </c>
      <c r="H84" s="146">
        <f t="shared" si="0"/>
        <v>14104422</v>
      </c>
      <c r="J84" s="128">
        <v>44805</v>
      </c>
      <c r="K84" s="145">
        <f t="shared" si="1"/>
        <v>3.3362586570367791E-3</v>
      </c>
      <c r="L84" s="145">
        <f t="shared" si="2"/>
        <v>0.18298991621209293</v>
      </c>
      <c r="M84" s="145">
        <f t="shared" si="3"/>
        <v>1.7164687783731938E-2</v>
      </c>
      <c r="N84" s="145">
        <f t="shared" si="4"/>
        <v>0.42951657288756673</v>
      </c>
      <c r="O84" s="145">
        <f t="shared" si="5"/>
        <v>0.36699256445957162</v>
      </c>
      <c r="P84" s="135">
        <f t="shared" si="6"/>
        <v>1</v>
      </c>
      <c r="R84" s="128">
        <v>44805</v>
      </c>
      <c r="S84" s="144">
        <f t="shared" si="19"/>
        <v>32.975473020322355</v>
      </c>
      <c r="T84" s="144">
        <f t="shared" si="20"/>
        <v>2488.8784956605591</v>
      </c>
      <c r="U84" s="144">
        <f t="shared" si="21"/>
        <v>5379.9555555555553</v>
      </c>
      <c r="V84" s="144">
        <f t="shared" si="22"/>
        <v>1282.6769002752487</v>
      </c>
      <c r="W84" s="144">
        <f t="shared" si="23"/>
        <v>6957.2822580645161</v>
      </c>
      <c r="X84" s="144">
        <f t="shared" si="24"/>
        <v>1768.3578234704112</v>
      </c>
    </row>
    <row r="85" spans="2:24" ht="13.5" customHeight="1" x14ac:dyDescent="0.2">
      <c r="B85" s="127">
        <v>44835</v>
      </c>
      <c r="C85" s="147">
        <v>33104</v>
      </c>
      <c r="D85" s="147">
        <v>1744078</v>
      </c>
      <c r="E85" s="147">
        <v>267892</v>
      </c>
      <c r="F85" s="147">
        <v>3881943</v>
      </c>
      <c r="G85" s="147">
        <v>7754791</v>
      </c>
      <c r="H85" s="146">
        <f t="shared" si="0"/>
        <v>13681808</v>
      </c>
      <c r="J85" s="128">
        <v>44835</v>
      </c>
      <c r="K85" s="145">
        <f t="shared" si="1"/>
        <v>2.4195632623992386E-3</v>
      </c>
      <c r="L85" s="145">
        <f t="shared" si="2"/>
        <v>0.12747423439943026</v>
      </c>
      <c r="M85" s="145">
        <f t="shared" si="3"/>
        <v>1.9580160750684413E-2</v>
      </c>
      <c r="N85" s="145">
        <f t="shared" si="4"/>
        <v>0.28373026430424986</v>
      </c>
      <c r="O85" s="145">
        <f t="shared" si="5"/>
        <v>0.56679577728323627</v>
      </c>
      <c r="P85" s="135">
        <f t="shared" si="6"/>
        <v>1</v>
      </c>
      <c r="R85" s="128">
        <v>44835</v>
      </c>
      <c r="S85" s="144">
        <f t="shared" si="19"/>
        <v>23.198318149964962</v>
      </c>
      <c r="T85" s="144">
        <f t="shared" si="20"/>
        <v>1681.8495660559306</v>
      </c>
      <c r="U85" s="144">
        <f t="shared" si="21"/>
        <v>5953.1555555555551</v>
      </c>
      <c r="V85" s="144">
        <f t="shared" si="22"/>
        <v>821.92314207071774</v>
      </c>
      <c r="W85" s="144">
        <f t="shared" si="23"/>
        <v>10423.106182795698</v>
      </c>
      <c r="X85" s="144">
        <f t="shared" si="24"/>
        <v>1715.3721163490472</v>
      </c>
    </row>
    <row r="86" spans="2:24" ht="13.5" customHeight="1" x14ac:dyDescent="0.2">
      <c r="B86" s="127">
        <v>44866</v>
      </c>
      <c r="C86" s="147">
        <v>49455</v>
      </c>
      <c r="D86" s="147">
        <v>1932135</v>
      </c>
      <c r="E86" s="147">
        <v>380420</v>
      </c>
      <c r="F86" s="147">
        <v>5312790</v>
      </c>
      <c r="G86" s="147">
        <v>3561762</v>
      </c>
      <c r="H86" s="146">
        <f t="shared" si="0"/>
        <v>11236562</v>
      </c>
      <c r="J86" s="128">
        <v>44866</v>
      </c>
      <c r="K86" s="145">
        <f t="shared" si="1"/>
        <v>4.4012572528857137E-3</v>
      </c>
      <c r="L86" s="145">
        <f t="shared" si="2"/>
        <v>0.17195072656565238</v>
      </c>
      <c r="M86" s="145">
        <f t="shared" si="3"/>
        <v>3.3855551190835775E-2</v>
      </c>
      <c r="N86" s="145">
        <f t="shared" si="4"/>
        <v>0.47281276959981178</v>
      </c>
      <c r="O86" s="145">
        <f t="shared" si="5"/>
        <v>0.31697969539081439</v>
      </c>
      <c r="P86" s="135">
        <f t="shared" si="6"/>
        <v>1</v>
      </c>
      <c r="R86" s="128">
        <v>44866</v>
      </c>
      <c r="S86" s="144">
        <f t="shared" si="19"/>
        <v>34.656622284512963</v>
      </c>
      <c r="T86" s="144">
        <f t="shared" si="20"/>
        <v>1863.1967213114754</v>
      </c>
      <c r="U86" s="144">
        <f t="shared" si="21"/>
        <v>8453.7777777777774</v>
      </c>
      <c r="V86" s="144">
        <f t="shared" si="22"/>
        <v>1124.8761380478509</v>
      </c>
      <c r="W86" s="144">
        <f t="shared" si="23"/>
        <v>4787.3145161290322</v>
      </c>
      <c r="X86" s="144">
        <f t="shared" si="24"/>
        <v>1408.7966399197592</v>
      </c>
    </row>
    <row r="87" spans="2:24" ht="13.5" customHeight="1" x14ac:dyDescent="0.2">
      <c r="B87" s="127">
        <v>44896</v>
      </c>
      <c r="C87" s="147">
        <v>42558</v>
      </c>
      <c r="D87" s="147">
        <v>4230273</v>
      </c>
      <c r="E87" s="147">
        <v>565082</v>
      </c>
      <c r="F87" s="147">
        <v>81822590</v>
      </c>
      <c r="G87" s="147">
        <v>4322229</v>
      </c>
      <c r="H87" s="146">
        <f t="shared" si="0"/>
        <v>90982732</v>
      </c>
      <c r="J87" s="128">
        <v>44896</v>
      </c>
      <c r="K87" s="145">
        <f t="shared" si="1"/>
        <v>4.6775909081296879E-4</v>
      </c>
      <c r="L87" s="145">
        <f t="shared" si="2"/>
        <v>4.6495339357362893E-2</v>
      </c>
      <c r="M87" s="145">
        <f t="shared" si="3"/>
        <v>6.2108708716286957E-3</v>
      </c>
      <c r="N87" s="145">
        <f t="shared" si="4"/>
        <v>0.89931999404018781</v>
      </c>
      <c r="O87" s="145">
        <f t="shared" si="5"/>
        <v>4.7506036640007687E-2</v>
      </c>
      <c r="P87" s="135">
        <f t="shared" si="6"/>
        <v>1</v>
      </c>
      <c r="R87" s="128">
        <v>44896</v>
      </c>
      <c r="S87" s="144">
        <f t="shared" si="19"/>
        <v>29.823405746320955</v>
      </c>
      <c r="T87" s="144">
        <f t="shared" si="20"/>
        <v>4079.3375120540018</v>
      </c>
      <c r="U87" s="144">
        <f t="shared" si="21"/>
        <v>12557.377777777778</v>
      </c>
      <c r="V87" s="144">
        <f t="shared" si="22"/>
        <v>17324.283294516197</v>
      </c>
      <c r="W87" s="144">
        <f t="shared" si="23"/>
        <v>5809.447580645161</v>
      </c>
      <c r="X87" s="144">
        <f t="shared" si="24"/>
        <v>11407.062688064192</v>
      </c>
    </row>
    <row r="88" spans="2:24" ht="13.5" customHeight="1" x14ac:dyDescent="0.2">
      <c r="B88" s="127">
        <v>44927</v>
      </c>
      <c r="C88" s="147">
        <v>36624</v>
      </c>
      <c r="D88" s="147">
        <v>2637265</v>
      </c>
      <c r="E88" s="147">
        <v>267103</v>
      </c>
      <c r="F88" s="147">
        <v>18160227</v>
      </c>
      <c r="G88" s="147">
        <v>1906811</v>
      </c>
      <c r="H88" s="146">
        <f t="shared" si="0"/>
        <v>23008030</v>
      </c>
      <c r="J88" s="128">
        <v>44927</v>
      </c>
      <c r="K88" s="145">
        <f t="shared" si="1"/>
        <v>1.5917920830249264E-3</v>
      </c>
      <c r="L88" s="145">
        <f t="shared" si="2"/>
        <v>0.11462367703797327</v>
      </c>
      <c r="M88" s="145">
        <f t="shared" si="3"/>
        <v>1.1609120815645668E-2</v>
      </c>
      <c r="N88" s="145">
        <f t="shared" si="4"/>
        <v>0.78929951847246371</v>
      </c>
      <c r="O88" s="145">
        <f t="shared" si="5"/>
        <v>8.2875891590892398E-2</v>
      </c>
      <c r="P88" s="135">
        <f t="shared" si="6"/>
        <v>1</v>
      </c>
      <c r="R88" s="128">
        <v>44927</v>
      </c>
      <c r="S88" s="144">
        <f t="shared" ref="S88:W95" si="25">C88/K$8</f>
        <v>25.084931506849315</v>
      </c>
      <c r="T88" s="144">
        <f t="shared" si="25"/>
        <v>2526.1159003831417</v>
      </c>
      <c r="U88" s="144">
        <f t="shared" si="25"/>
        <v>5806.586956521739</v>
      </c>
      <c r="V88" s="144">
        <f t="shared" si="25"/>
        <v>3820.7925520723752</v>
      </c>
      <c r="W88" s="144">
        <f t="shared" si="25"/>
        <v>2569.8261455525608</v>
      </c>
      <c r="X88" s="144">
        <f t="shared" ref="X88:X95" si="26">H88/SUM(K$8:O$8)</f>
        <v>2859.9167184586699</v>
      </c>
    </row>
    <row r="89" spans="2:24" ht="13.5" customHeight="1" x14ac:dyDescent="0.2">
      <c r="B89" s="127">
        <v>44958</v>
      </c>
      <c r="C89" s="147">
        <v>17661</v>
      </c>
      <c r="D89" s="147">
        <v>1560939</v>
      </c>
      <c r="E89" s="147">
        <v>102645</v>
      </c>
      <c r="F89" s="147">
        <v>1680274</v>
      </c>
      <c r="G89" s="147">
        <v>1469839</v>
      </c>
      <c r="H89" s="146">
        <f t="shared" si="0"/>
        <v>4831358</v>
      </c>
      <c r="J89" s="127">
        <v>44958</v>
      </c>
      <c r="K89" s="145">
        <f t="shared" si="1"/>
        <v>3.6554939625670466E-3</v>
      </c>
      <c r="L89" s="145">
        <f t="shared" si="2"/>
        <v>0.32308493802363641</v>
      </c>
      <c r="M89" s="145">
        <f t="shared" si="3"/>
        <v>2.1245579400243162E-2</v>
      </c>
      <c r="N89" s="145">
        <f t="shared" si="4"/>
        <v>0.3477850326968111</v>
      </c>
      <c r="O89" s="145">
        <f t="shared" si="5"/>
        <v>0.30422895591674226</v>
      </c>
      <c r="P89" s="135">
        <f t="shared" si="6"/>
        <v>1</v>
      </c>
      <c r="R89" s="127">
        <v>44958</v>
      </c>
      <c r="S89" s="144">
        <f t="shared" si="25"/>
        <v>12.096575342465753</v>
      </c>
      <c r="T89" s="144">
        <f t="shared" si="25"/>
        <v>1495.1522988505747</v>
      </c>
      <c r="U89" s="144">
        <f t="shared" si="25"/>
        <v>2231.413043478261</v>
      </c>
      <c r="V89" s="144">
        <f t="shared" si="25"/>
        <v>353.51861981906166</v>
      </c>
      <c r="W89" s="144">
        <f t="shared" si="25"/>
        <v>1980.9150943396226</v>
      </c>
      <c r="X89" s="144">
        <f t="shared" si="26"/>
        <v>600.54170292106903</v>
      </c>
    </row>
    <row r="90" spans="2:24" ht="13.5" customHeight="1" x14ac:dyDescent="0.2">
      <c r="B90" s="127">
        <v>44986</v>
      </c>
      <c r="C90" s="147">
        <v>18819</v>
      </c>
      <c r="D90" s="147">
        <v>1190876</v>
      </c>
      <c r="E90" s="147">
        <v>132751</v>
      </c>
      <c r="F90" s="147">
        <v>937078</v>
      </c>
      <c r="G90" s="147">
        <v>1542561</v>
      </c>
      <c r="H90" s="146">
        <f t="shared" si="0"/>
        <v>3822085</v>
      </c>
      <c r="J90" s="127">
        <v>44986</v>
      </c>
      <c r="K90" s="145">
        <f t="shared" si="1"/>
        <v>4.9237523498300009E-3</v>
      </c>
      <c r="L90" s="145">
        <f t="shared" si="2"/>
        <v>0.31157758134630703</v>
      </c>
      <c r="M90" s="145">
        <f t="shared" si="3"/>
        <v>3.4732613220271137E-2</v>
      </c>
      <c r="N90" s="145">
        <f t="shared" si="4"/>
        <v>0.24517455786566755</v>
      </c>
      <c r="O90" s="145">
        <f t="shared" si="5"/>
        <v>0.40359149521792426</v>
      </c>
      <c r="P90" s="135">
        <f t="shared" si="6"/>
        <v>1</v>
      </c>
      <c r="R90" s="127">
        <v>44986</v>
      </c>
      <c r="S90" s="144">
        <f t="shared" si="25"/>
        <v>12.889726027397261</v>
      </c>
      <c r="T90" s="144">
        <f t="shared" si="25"/>
        <v>1140.6858237547892</v>
      </c>
      <c r="U90" s="144">
        <f t="shared" si="25"/>
        <v>2885.891304347826</v>
      </c>
      <c r="V90" s="144">
        <f t="shared" si="25"/>
        <v>197.15505996212917</v>
      </c>
      <c r="W90" s="144">
        <f t="shared" si="25"/>
        <v>2078.9231805929921</v>
      </c>
      <c r="X90" s="144">
        <f t="shared" si="26"/>
        <v>475.08825357364822</v>
      </c>
    </row>
    <row r="91" spans="2:24" ht="13.5" customHeight="1" x14ac:dyDescent="0.2">
      <c r="B91" s="127">
        <v>45017</v>
      </c>
      <c r="C91" s="147">
        <v>9099</v>
      </c>
      <c r="D91" s="147">
        <v>905231</v>
      </c>
      <c r="E91" s="147">
        <v>159795</v>
      </c>
      <c r="F91" s="147">
        <v>1148105</v>
      </c>
      <c r="G91" s="147">
        <v>1044282</v>
      </c>
      <c r="H91" s="146">
        <f t="shared" si="0"/>
        <v>3266512</v>
      </c>
      <c r="J91" s="127">
        <v>45017</v>
      </c>
      <c r="K91" s="145">
        <f t="shared" si="1"/>
        <v>2.7855400500595129E-3</v>
      </c>
      <c r="L91" s="145">
        <f t="shared" si="2"/>
        <v>0.27712465161615818</v>
      </c>
      <c r="M91" s="145">
        <f t="shared" si="3"/>
        <v>4.8919152906831506E-2</v>
      </c>
      <c r="N91" s="145">
        <f t="shared" si="4"/>
        <v>0.35147735566255384</v>
      </c>
      <c r="O91" s="145">
        <f t="shared" si="5"/>
        <v>0.31969329976439703</v>
      </c>
      <c r="P91" s="135">
        <f t="shared" si="6"/>
        <v>1</v>
      </c>
      <c r="R91" s="127">
        <v>45017</v>
      </c>
      <c r="S91" s="144">
        <f t="shared" si="25"/>
        <v>6.2321917808219176</v>
      </c>
      <c r="T91" s="144">
        <f t="shared" si="25"/>
        <v>867.07950191570876</v>
      </c>
      <c r="U91" s="144">
        <f t="shared" si="25"/>
        <v>3473.804347826087</v>
      </c>
      <c r="V91" s="144">
        <f t="shared" si="25"/>
        <v>241.55375552282769</v>
      </c>
      <c r="W91" s="144">
        <f t="shared" si="25"/>
        <v>1407.388140161725</v>
      </c>
      <c r="X91" s="144">
        <f t="shared" si="26"/>
        <v>406.03008079552518</v>
      </c>
    </row>
    <row r="92" spans="2:24" ht="13.5" customHeight="1" x14ac:dyDescent="0.2">
      <c r="B92" s="127">
        <v>45047</v>
      </c>
      <c r="C92" s="147">
        <v>10947</v>
      </c>
      <c r="D92" s="147">
        <v>402553</v>
      </c>
      <c r="E92" s="147">
        <v>258579</v>
      </c>
      <c r="F92" s="147">
        <v>980503</v>
      </c>
      <c r="G92" s="147">
        <v>478355</v>
      </c>
      <c r="H92" s="146">
        <f t="shared" si="0"/>
        <v>2130937</v>
      </c>
      <c r="J92" s="127">
        <v>45047</v>
      </c>
      <c r="K92" s="145">
        <f t="shared" si="1"/>
        <v>5.1371767443148253E-3</v>
      </c>
      <c r="L92" s="145">
        <f t="shared" si="2"/>
        <v>0.18890891659396783</v>
      </c>
      <c r="M92" s="145">
        <f t="shared" si="3"/>
        <v>0.12134521105035015</v>
      </c>
      <c r="N92" s="145">
        <f t="shared" si="4"/>
        <v>0.46012763399387219</v>
      </c>
      <c r="O92" s="145">
        <f t="shared" si="5"/>
        <v>0.22448106161749504</v>
      </c>
      <c r="P92" s="135">
        <f t="shared" si="6"/>
        <v>1</v>
      </c>
      <c r="R92" s="127">
        <v>45047</v>
      </c>
      <c r="S92" s="144">
        <f t="shared" si="25"/>
        <v>7.4979452054794518</v>
      </c>
      <c r="T92" s="144">
        <f t="shared" si="25"/>
        <v>385.58716475095787</v>
      </c>
      <c r="U92" s="144">
        <f t="shared" si="25"/>
        <v>5621.282608695652</v>
      </c>
      <c r="V92" s="144">
        <f t="shared" si="25"/>
        <v>206.29139490847885</v>
      </c>
      <c r="W92" s="144">
        <f t="shared" si="25"/>
        <v>644.68328840970355</v>
      </c>
      <c r="X92" s="144">
        <f t="shared" si="26"/>
        <v>264.8771908017402</v>
      </c>
    </row>
    <row r="93" spans="2:24" ht="13.5" customHeight="1" x14ac:dyDescent="0.2">
      <c r="B93" s="127">
        <v>45078</v>
      </c>
      <c r="C93" s="147">
        <v>8624</v>
      </c>
      <c r="D93" s="147">
        <v>139391</v>
      </c>
      <c r="E93" s="147">
        <v>113797</v>
      </c>
      <c r="F93" s="147">
        <v>544193</v>
      </c>
      <c r="G93" s="147">
        <v>213466</v>
      </c>
      <c r="H93" s="146">
        <f t="shared" si="0"/>
        <v>1019471</v>
      </c>
      <c r="J93" s="127">
        <v>45078</v>
      </c>
      <c r="K93" s="145">
        <f t="shared" si="1"/>
        <v>8.459289180369034E-3</v>
      </c>
      <c r="L93" s="145">
        <f t="shared" si="2"/>
        <v>0.13672875442263685</v>
      </c>
      <c r="M93" s="145">
        <f t="shared" si="3"/>
        <v>0.11162357732588764</v>
      </c>
      <c r="N93" s="145">
        <f t="shared" si="4"/>
        <v>0.53379939203763516</v>
      </c>
      <c r="O93" s="145">
        <f t="shared" si="5"/>
        <v>0.20938898703347128</v>
      </c>
      <c r="P93" s="135">
        <f t="shared" si="6"/>
        <v>1</v>
      </c>
      <c r="R93" s="127">
        <v>45078</v>
      </c>
      <c r="S93" s="144">
        <f t="shared" si="25"/>
        <v>5.9068493150684933</v>
      </c>
      <c r="T93" s="144">
        <f t="shared" si="25"/>
        <v>133.51628352490422</v>
      </c>
      <c r="U93" s="144">
        <f t="shared" si="25"/>
        <v>2473.8478260869565</v>
      </c>
      <c r="V93" s="144">
        <f t="shared" si="25"/>
        <v>114.49463496738902</v>
      </c>
      <c r="W93" s="144">
        <f t="shared" si="25"/>
        <v>287.69002695417788</v>
      </c>
      <c r="X93" s="144">
        <f t="shared" si="26"/>
        <v>126.72106898694841</v>
      </c>
    </row>
    <row r="94" spans="2:24" ht="13.5" customHeight="1" x14ac:dyDescent="0.2">
      <c r="B94" s="127">
        <v>45108</v>
      </c>
      <c r="C94" s="147">
        <v>3947</v>
      </c>
      <c r="D94" s="147">
        <v>112763</v>
      </c>
      <c r="E94" s="147">
        <v>63227</v>
      </c>
      <c r="F94" s="147">
        <v>1132850</v>
      </c>
      <c r="G94" s="147">
        <v>81828</v>
      </c>
      <c r="H94" s="146">
        <f t="shared" si="0"/>
        <v>1394615</v>
      </c>
      <c r="J94" s="127">
        <v>45108</v>
      </c>
      <c r="K94" s="145">
        <f t="shared" si="1"/>
        <v>2.8301717678355675E-3</v>
      </c>
      <c r="L94" s="145">
        <f t="shared" si="2"/>
        <v>8.0856006854938461E-2</v>
      </c>
      <c r="M94" s="145">
        <f t="shared" si="3"/>
        <v>4.5336526568264361E-2</v>
      </c>
      <c r="N94" s="145">
        <f t="shared" si="4"/>
        <v>0.81230303703889606</v>
      </c>
      <c r="O94" s="145">
        <f t="shared" si="5"/>
        <v>5.8674257770065574E-2</v>
      </c>
      <c r="P94" s="135">
        <f t="shared" si="6"/>
        <v>1</v>
      </c>
      <c r="R94" s="127">
        <v>45108</v>
      </c>
      <c r="S94" s="144">
        <f t="shared" si="25"/>
        <v>2.7034246575342467</v>
      </c>
      <c r="T94" s="144">
        <f t="shared" si="25"/>
        <v>108.01053639846744</v>
      </c>
      <c r="U94" s="144">
        <f t="shared" si="25"/>
        <v>1374.5</v>
      </c>
      <c r="V94" s="144">
        <f t="shared" si="25"/>
        <v>238.34420366084578</v>
      </c>
      <c r="W94" s="144">
        <f t="shared" si="25"/>
        <v>110.28032345013477</v>
      </c>
      <c r="X94" s="144">
        <f t="shared" si="26"/>
        <v>173.35177128651335</v>
      </c>
    </row>
    <row r="95" spans="2:24" ht="13.5" customHeight="1" thickBot="1" x14ac:dyDescent="0.25">
      <c r="B95" s="123">
        <v>45139</v>
      </c>
      <c r="C95" s="143">
        <v>1064</v>
      </c>
      <c r="D95" s="143">
        <v>1122</v>
      </c>
      <c r="E95" s="143">
        <v>35527</v>
      </c>
      <c r="F95" s="143">
        <v>1286479</v>
      </c>
      <c r="G95" s="143">
        <v>155013</v>
      </c>
      <c r="H95" s="142">
        <f t="shared" si="0"/>
        <v>1479205</v>
      </c>
      <c r="J95" s="123">
        <v>45139</v>
      </c>
      <c r="K95" s="141">
        <f t="shared" si="1"/>
        <v>7.1930530251047018E-4</v>
      </c>
      <c r="L95" s="141">
        <f t="shared" si="2"/>
        <v>7.5851555396310854E-4</v>
      </c>
      <c r="M95" s="141">
        <f t="shared" si="3"/>
        <v>2.4017631092377326E-2</v>
      </c>
      <c r="N95" s="141">
        <f t="shared" si="4"/>
        <v>0.86970974273342772</v>
      </c>
      <c r="O95" s="141">
        <f t="shared" si="5"/>
        <v>0.10479480531772134</v>
      </c>
      <c r="P95" s="133">
        <f t="shared" si="6"/>
        <v>1</v>
      </c>
      <c r="R95" s="123">
        <v>45139</v>
      </c>
      <c r="S95" s="140">
        <f t="shared" si="25"/>
        <v>0.72876712328767124</v>
      </c>
      <c r="T95" s="140">
        <f t="shared" si="25"/>
        <v>1.0747126436781609</v>
      </c>
      <c r="U95" s="140">
        <f t="shared" si="25"/>
        <v>772.32608695652175</v>
      </c>
      <c r="V95" s="140">
        <f t="shared" si="25"/>
        <v>270.66673679781189</v>
      </c>
      <c r="W95" s="140">
        <f t="shared" si="25"/>
        <v>208.91239892183287</v>
      </c>
      <c r="X95" s="139">
        <f t="shared" si="26"/>
        <v>183.86637663144811</v>
      </c>
    </row>
    <row r="96" spans="2:24" ht="13.5" customHeight="1" thickBot="1" x14ac:dyDescent="0.25">
      <c r="R96" s="87"/>
    </row>
    <row r="97" spans="2:16" s="32" customFormat="1" ht="13.5" customHeight="1" thickBot="1" x14ac:dyDescent="0.25">
      <c r="B97" s="385" t="s">
        <v>704</v>
      </c>
      <c r="C97" s="348"/>
      <c r="D97" s="348"/>
      <c r="E97" s="348"/>
      <c r="F97" s="348"/>
      <c r="G97" s="348"/>
      <c r="H97" s="349"/>
      <c r="J97" s="385" t="s">
        <v>703</v>
      </c>
      <c r="K97" s="348"/>
      <c r="L97" s="348"/>
      <c r="M97" s="348"/>
      <c r="N97" s="348"/>
      <c r="O97" s="348"/>
      <c r="P97" s="349"/>
    </row>
    <row r="98" spans="2:16" s="32" customFormat="1" ht="6.75" customHeight="1" thickBot="1" x14ac:dyDescent="0.25">
      <c r="B98" s="33"/>
      <c r="J98" s="33"/>
    </row>
    <row r="99" spans="2:16" ht="27" customHeight="1" thickBot="1" x14ac:dyDescent="0.25">
      <c r="B99" s="132" t="s">
        <v>700</v>
      </c>
      <c r="C99" s="131" t="s">
        <v>699</v>
      </c>
      <c r="D99" s="131" t="s">
        <v>698</v>
      </c>
      <c r="E99" s="131" t="s">
        <v>697</v>
      </c>
      <c r="F99" s="131" t="s">
        <v>696</v>
      </c>
      <c r="G99" s="131" t="s">
        <v>695</v>
      </c>
      <c r="H99" s="130" t="s">
        <v>44</v>
      </c>
      <c r="J99" s="132" t="s">
        <v>700</v>
      </c>
      <c r="K99" s="131" t="s">
        <v>699</v>
      </c>
      <c r="L99" s="131" t="s">
        <v>698</v>
      </c>
      <c r="M99" s="131" t="s">
        <v>697</v>
      </c>
      <c r="N99" s="131" t="s">
        <v>696</v>
      </c>
      <c r="O99" s="131" t="s">
        <v>695</v>
      </c>
      <c r="P99" s="130" t="s">
        <v>44</v>
      </c>
    </row>
    <row r="100" spans="2:16" ht="13.5" customHeight="1" x14ac:dyDescent="0.2">
      <c r="B100" s="128">
        <v>43891</v>
      </c>
      <c r="C100" s="136">
        <f t="shared" ref="C100:H109" si="27">C54/C$54</f>
        <v>1</v>
      </c>
      <c r="D100" s="136">
        <f t="shared" si="27"/>
        <v>1</v>
      </c>
      <c r="E100" s="136">
        <f t="shared" si="27"/>
        <v>1</v>
      </c>
      <c r="F100" s="136">
        <f t="shared" si="27"/>
        <v>1</v>
      </c>
      <c r="G100" s="136">
        <f t="shared" si="27"/>
        <v>1</v>
      </c>
      <c r="H100" s="135">
        <f t="shared" si="27"/>
        <v>1</v>
      </c>
      <c r="J100" s="128">
        <v>43891</v>
      </c>
      <c r="K100" s="136">
        <f t="shared" ref="K100:P109" si="28">K54/K$54</f>
        <v>1</v>
      </c>
      <c r="L100" s="136">
        <f t="shared" si="28"/>
        <v>1</v>
      </c>
      <c r="M100" s="136">
        <f t="shared" si="28"/>
        <v>1</v>
      </c>
      <c r="N100" s="136">
        <f t="shared" si="28"/>
        <v>1</v>
      </c>
      <c r="O100" s="136">
        <f t="shared" si="28"/>
        <v>1</v>
      </c>
      <c r="P100" s="135">
        <f t="shared" si="28"/>
        <v>1</v>
      </c>
    </row>
    <row r="101" spans="2:16" ht="13.5" customHeight="1" x14ac:dyDescent="0.2">
      <c r="B101" s="128">
        <v>43922</v>
      </c>
      <c r="C101" s="136">
        <f t="shared" si="27"/>
        <v>5.6518204312477911</v>
      </c>
      <c r="D101" s="136">
        <f t="shared" si="27"/>
        <v>5.5004295011722855</v>
      </c>
      <c r="E101" s="136">
        <f t="shared" si="27"/>
        <v>0.60514851485148513</v>
      </c>
      <c r="F101" s="136">
        <f t="shared" si="27"/>
        <v>3.8678926671293086</v>
      </c>
      <c r="G101" s="136">
        <f t="shared" si="27"/>
        <v>1.8996480753421765</v>
      </c>
      <c r="H101" s="138">
        <f t="shared" si="27"/>
        <v>3.1859555835835547</v>
      </c>
      <c r="J101" s="128">
        <v>43922</v>
      </c>
      <c r="K101" s="136">
        <f t="shared" si="28"/>
        <v>1.7739796688849747</v>
      </c>
      <c r="L101" s="136">
        <f t="shared" si="28"/>
        <v>1.7264614514761742</v>
      </c>
      <c r="M101" s="136">
        <f t="shared" si="28"/>
        <v>0.18994254595690743</v>
      </c>
      <c r="N101" s="136">
        <f t="shared" si="28"/>
        <v>1.214044755381904</v>
      </c>
      <c r="O101" s="136">
        <f t="shared" si="28"/>
        <v>0.59625692370935601</v>
      </c>
      <c r="P101" s="135">
        <f t="shared" si="28"/>
        <v>1</v>
      </c>
    </row>
    <row r="102" spans="2:16" ht="13.5" customHeight="1" x14ac:dyDescent="0.2">
      <c r="B102" s="128">
        <v>43952</v>
      </c>
      <c r="C102" s="136">
        <f t="shared" si="27"/>
        <v>18.900494874513964</v>
      </c>
      <c r="D102" s="136">
        <f t="shared" si="27"/>
        <v>7.9419263885520248</v>
      </c>
      <c r="E102" s="136">
        <f t="shared" si="27"/>
        <v>9.9009900990099015E-2</v>
      </c>
      <c r="F102" s="136">
        <f t="shared" si="27"/>
        <v>6.9581193615544761</v>
      </c>
      <c r="G102" s="136">
        <f t="shared" si="27"/>
        <v>1.5139987532379799</v>
      </c>
      <c r="H102" s="138">
        <f t="shared" si="27"/>
        <v>4.1426341701124381</v>
      </c>
      <c r="J102" s="128">
        <v>43952</v>
      </c>
      <c r="K102" s="136">
        <f t="shared" si="28"/>
        <v>4.5624339727784777</v>
      </c>
      <c r="L102" s="136">
        <f t="shared" si="28"/>
        <v>1.9171198958020632</v>
      </c>
      <c r="M102" s="136">
        <f t="shared" si="28"/>
        <v>2.3900227952643887E-2</v>
      </c>
      <c r="N102" s="136">
        <f t="shared" si="28"/>
        <v>1.6796364525148548</v>
      </c>
      <c r="O102" s="136">
        <f t="shared" si="28"/>
        <v>0.36546764475630428</v>
      </c>
      <c r="P102" s="135">
        <f t="shared" si="28"/>
        <v>1</v>
      </c>
    </row>
    <row r="103" spans="2:16" ht="13.5" customHeight="1" x14ac:dyDescent="0.2">
      <c r="B103" s="128">
        <v>43983</v>
      </c>
      <c r="C103" s="136">
        <f t="shared" si="27"/>
        <v>45.292506185931423</v>
      </c>
      <c r="D103" s="136">
        <f t="shared" si="27"/>
        <v>12.219621634731991</v>
      </c>
      <c r="E103" s="136">
        <f t="shared" si="27"/>
        <v>0.13900990099009902</v>
      </c>
      <c r="F103" s="136">
        <f t="shared" si="27"/>
        <v>13.303735831598427</v>
      </c>
      <c r="G103" s="136">
        <f t="shared" si="27"/>
        <v>1.0999396487707473</v>
      </c>
      <c r="H103" s="138">
        <f t="shared" si="27"/>
        <v>6.1176884544548988</v>
      </c>
      <c r="J103" s="128">
        <v>43983</v>
      </c>
      <c r="K103" s="136">
        <f t="shared" si="28"/>
        <v>7.4035326452345629</v>
      </c>
      <c r="L103" s="136">
        <f t="shared" si="28"/>
        <v>1.9974246360704535</v>
      </c>
      <c r="M103" s="136">
        <f t="shared" si="28"/>
        <v>2.2722618522502899E-2</v>
      </c>
      <c r="N103" s="136">
        <f t="shared" si="28"/>
        <v>2.1746344114517058</v>
      </c>
      <c r="O103" s="136">
        <f t="shared" si="28"/>
        <v>0.179796610592318</v>
      </c>
      <c r="P103" s="135">
        <f t="shared" si="28"/>
        <v>1</v>
      </c>
    </row>
    <row r="104" spans="2:16" ht="13.5" customHeight="1" x14ac:dyDescent="0.2">
      <c r="B104" s="128">
        <v>44013</v>
      </c>
      <c r="C104" s="136">
        <f t="shared" si="27"/>
        <v>91.28826440438317</v>
      </c>
      <c r="D104" s="136">
        <f t="shared" si="27"/>
        <v>20.670299741288705</v>
      </c>
      <c r="E104" s="136">
        <f t="shared" si="27"/>
        <v>1.7312871287128713</v>
      </c>
      <c r="F104" s="136">
        <f t="shared" si="27"/>
        <v>22.272160536664355</v>
      </c>
      <c r="G104" s="136">
        <f t="shared" si="27"/>
        <v>1.0737328104549191</v>
      </c>
      <c r="H104" s="138">
        <f t="shared" si="27"/>
        <v>9.9954408318582804</v>
      </c>
      <c r="J104" s="128">
        <v>44013</v>
      </c>
      <c r="K104" s="136">
        <f t="shared" si="28"/>
        <v>9.1329903242908319</v>
      </c>
      <c r="L104" s="136">
        <f t="shared" si="28"/>
        <v>2.0679727976985918</v>
      </c>
      <c r="M104" s="136">
        <f t="shared" si="28"/>
        <v>0.17320768116547419</v>
      </c>
      <c r="N104" s="136">
        <f t="shared" si="28"/>
        <v>2.2282319420747028</v>
      </c>
      <c r="O104" s="136">
        <f t="shared" si="28"/>
        <v>0.10742225665851883</v>
      </c>
      <c r="P104" s="135">
        <f t="shared" si="28"/>
        <v>1</v>
      </c>
    </row>
    <row r="105" spans="2:16" ht="13.5" customHeight="1" x14ac:dyDescent="0.2">
      <c r="B105" s="128">
        <v>44044</v>
      </c>
      <c r="C105" s="136">
        <f t="shared" si="27"/>
        <v>59.305585012371864</v>
      </c>
      <c r="D105" s="136">
        <f t="shared" si="27"/>
        <v>20.892407429864985</v>
      </c>
      <c r="E105" s="136">
        <f t="shared" si="27"/>
        <v>2.2598019801980196</v>
      </c>
      <c r="F105" s="136">
        <f t="shared" si="27"/>
        <v>34.642216053666438</v>
      </c>
      <c r="G105" s="136">
        <f t="shared" si="27"/>
        <v>2.0144197216889403</v>
      </c>
      <c r="H105" s="138">
        <f t="shared" si="27"/>
        <v>11.878649591882072</v>
      </c>
      <c r="J105" s="128">
        <v>44044</v>
      </c>
      <c r="K105" s="136">
        <f t="shared" si="28"/>
        <v>4.9926201251783358</v>
      </c>
      <c r="L105" s="136">
        <f t="shared" si="28"/>
        <v>1.758820080368644</v>
      </c>
      <c r="M105" s="136">
        <f t="shared" si="28"/>
        <v>0.19024064669290183</v>
      </c>
      <c r="N105" s="136">
        <f t="shared" si="28"/>
        <v>2.9163429551235436</v>
      </c>
      <c r="O105" s="136">
        <f t="shared" si="28"/>
        <v>0.16958322628403863</v>
      </c>
      <c r="P105" s="135">
        <f t="shared" si="28"/>
        <v>1</v>
      </c>
    </row>
    <row r="106" spans="2:16" ht="13.5" customHeight="1" x14ac:dyDescent="0.2">
      <c r="B106" s="128">
        <v>44075</v>
      </c>
      <c r="C106" s="136">
        <f t="shared" si="27"/>
        <v>40.629020855425942</v>
      </c>
      <c r="D106" s="136">
        <f t="shared" si="27"/>
        <v>16.644090063869349</v>
      </c>
      <c r="E106" s="136">
        <f t="shared" si="27"/>
        <v>0.76990099009900992</v>
      </c>
      <c r="F106" s="136">
        <f t="shared" si="27"/>
        <v>42.935033541522088</v>
      </c>
      <c r="G106" s="136">
        <f t="shared" si="27"/>
        <v>3.4630330093904527</v>
      </c>
      <c r="H106" s="138">
        <f t="shared" si="27"/>
        <v>12.375006987093585</v>
      </c>
      <c r="J106" s="128">
        <v>44075</v>
      </c>
      <c r="K106" s="136">
        <f t="shared" si="28"/>
        <v>3.2831513467264841</v>
      </c>
      <c r="L106" s="136">
        <f t="shared" si="28"/>
        <v>1.3449762154662355</v>
      </c>
      <c r="M106" s="136">
        <f t="shared" si="28"/>
        <v>6.2214186295165091E-2</v>
      </c>
      <c r="N106" s="136">
        <f t="shared" si="28"/>
        <v>3.4694957009964398</v>
      </c>
      <c r="O106" s="136">
        <f t="shared" si="28"/>
        <v>0.27984089326189437</v>
      </c>
      <c r="P106" s="135">
        <f t="shared" si="28"/>
        <v>1</v>
      </c>
    </row>
    <row r="107" spans="2:16" ht="13.5" customHeight="1" x14ac:dyDescent="0.2">
      <c r="B107" s="128">
        <v>44105</v>
      </c>
      <c r="C107" s="136">
        <f t="shared" si="27"/>
        <v>53.545952633439377</v>
      </c>
      <c r="D107" s="136">
        <f t="shared" si="27"/>
        <v>19.280252041393808</v>
      </c>
      <c r="E107" s="136">
        <f t="shared" si="27"/>
        <v>1.6633663366336633</v>
      </c>
      <c r="F107" s="136">
        <f t="shared" si="27"/>
        <v>37.874242424242425</v>
      </c>
      <c r="G107" s="136">
        <f t="shared" si="27"/>
        <v>10.85223634832842</v>
      </c>
      <c r="H107" s="138">
        <f t="shared" si="27"/>
        <v>16.871051933812517</v>
      </c>
      <c r="J107" s="128">
        <v>44105</v>
      </c>
      <c r="K107" s="136">
        <f t="shared" si="28"/>
        <v>3.1738360384110962</v>
      </c>
      <c r="L107" s="136">
        <f t="shared" si="28"/>
        <v>1.1428008233886613</v>
      </c>
      <c r="M107" s="136">
        <f t="shared" si="28"/>
        <v>9.8592923734648008E-2</v>
      </c>
      <c r="N107" s="136">
        <f t="shared" si="28"/>
        <v>2.244924772493639</v>
      </c>
      <c r="O107" s="136">
        <f t="shared" si="28"/>
        <v>0.64324598080210127</v>
      </c>
      <c r="P107" s="135">
        <f t="shared" si="28"/>
        <v>1</v>
      </c>
    </row>
    <row r="108" spans="2:16" ht="13.5" customHeight="1" x14ac:dyDescent="0.2">
      <c r="B108" s="128">
        <v>44136</v>
      </c>
      <c r="C108" s="136">
        <f t="shared" si="27"/>
        <v>69.667196889360198</v>
      </c>
      <c r="D108" s="136">
        <f t="shared" si="27"/>
        <v>31.957600654862965</v>
      </c>
      <c r="E108" s="136">
        <f t="shared" si="27"/>
        <v>1.8730693069306932</v>
      </c>
      <c r="F108" s="136">
        <f t="shared" si="27"/>
        <v>36.750393245431411</v>
      </c>
      <c r="G108" s="136">
        <f t="shared" si="27"/>
        <v>19.394972717767352</v>
      </c>
      <c r="H108" s="138">
        <f t="shared" si="27"/>
        <v>25.389825358491649</v>
      </c>
      <c r="J108" s="128">
        <v>44136</v>
      </c>
      <c r="K108" s="136">
        <f t="shared" si="28"/>
        <v>2.7439021696957027</v>
      </c>
      <c r="L108" s="136">
        <f t="shared" si="28"/>
        <v>1.2586774506574037</v>
      </c>
      <c r="M108" s="136">
        <f t="shared" si="28"/>
        <v>7.3772437599860977E-2</v>
      </c>
      <c r="N108" s="136">
        <f t="shared" si="28"/>
        <v>1.4474456884415008</v>
      </c>
      <c r="O108" s="136">
        <f t="shared" si="28"/>
        <v>0.76388759843441334</v>
      </c>
      <c r="P108" s="135">
        <f t="shared" si="28"/>
        <v>1</v>
      </c>
    </row>
    <row r="109" spans="2:16" ht="13.5" customHeight="1" x14ac:dyDescent="0.2">
      <c r="B109" s="128">
        <v>44166</v>
      </c>
      <c r="C109" s="136">
        <f t="shared" si="27"/>
        <v>100.37645811240721</v>
      </c>
      <c r="D109" s="136">
        <f t="shared" si="27"/>
        <v>44.848982334869433</v>
      </c>
      <c r="E109" s="136">
        <f t="shared" si="27"/>
        <v>0.78178217821782181</v>
      </c>
      <c r="F109" s="136">
        <f t="shared" si="27"/>
        <v>36.564411288457087</v>
      </c>
      <c r="G109" s="136">
        <f t="shared" si="27"/>
        <v>15.378355019210566</v>
      </c>
      <c r="H109" s="138">
        <f t="shared" si="27"/>
        <v>26.946556975269271</v>
      </c>
      <c r="J109" s="128">
        <v>44166</v>
      </c>
      <c r="K109" s="136">
        <f t="shared" si="28"/>
        <v>3.7250197939770064</v>
      </c>
      <c r="L109" s="136">
        <f t="shared" si="28"/>
        <v>1.6643678216861051</v>
      </c>
      <c r="M109" s="136">
        <f t="shared" si="28"/>
        <v>2.9012321645964553E-2</v>
      </c>
      <c r="N109" s="136">
        <f t="shared" si="28"/>
        <v>1.3569233101659257</v>
      </c>
      <c r="O109" s="136">
        <f t="shared" si="28"/>
        <v>0.57069832829939471</v>
      </c>
      <c r="P109" s="135">
        <f t="shared" si="28"/>
        <v>1</v>
      </c>
    </row>
    <row r="110" spans="2:16" ht="13.5" customHeight="1" x14ac:dyDescent="0.2">
      <c r="B110" s="128">
        <v>44197</v>
      </c>
      <c r="C110" s="136">
        <f t="shared" ref="C110:H119" si="29">C64/C$54</f>
        <v>146.67143867090846</v>
      </c>
      <c r="D110" s="136">
        <f t="shared" si="29"/>
        <v>50.071468995068315</v>
      </c>
      <c r="E110" s="136">
        <f t="shared" si="29"/>
        <v>0.42455445544554454</v>
      </c>
      <c r="F110" s="136">
        <f t="shared" si="29"/>
        <v>28.045026601896829</v>
      </c>
      <c r="G110" s="136">
        <f t="shared" si="29"/>
        <v>17.10097282207812</v>
      </c>
      <c r="H110" s="138">
        <f t="shared" si="29"/>
        <v>28.739119841195905</v>
      </c>
      <c r="J110" s="128">
        <v>44197</v>
      </c>
      <c r="K110" s="136">
        <f t="shared" ref="K110:P119" si="30">K64/K$54</f>
        <v>5.1035466458740757</v>
      </c>
      <c r="L110" s="136">
        <f t="shared" si="30"/>
        <v>1.7422756602063261</v>
      </c>
      <c r="M110" s="136">
        <f t="shared" si="30"/>
        <v>1.4772702079656932E-2</v>
      </c>
      <c r="N110" s="136">
        <f t="shared" si="30"/>
        <v>0.97584848655301792</v>
      </c>
      <c r="O110" s="136">
        <f t="shared" si="30"/>
        <v>0.59504163372341146</v>
      </c>
      <c r="P110" s="135">
        <f t="shared" si="30"/>
        <v>1</v>
      </c>
    </row>
    <row r="111" spans="2:16" ht="13.5" customHeight="1" x14ac:dyDescent="0.2">
      <c r="B111" s="128">
        <v>44228</v>
      </c>
      <c r="C111" s="136">
        <f t="shared" si="29"/>
        <v>61.13485330505479</v>
      </c>
      <c r="D111" s="136">
        <f t="shared" si="29"/>
        <v>25.338765259924003</v>
      </c>
      <c r="E111" s="136">
        <f t="shared" si="29"/>
        <v>0.23524752475247523</v>
      </c>
      <c r="F111" s="136">
        <f t="shared" si="29"/>
        <v>21.966088364561646</v>
      </c>
      <c r="G111" s="136">
        <f t="shared" si="29"/>
        <v>9.3405051124693586</v>
      </c>
      <c r="H111" s="138">
        <f t="shared" si="29"/>
        <v>15.797007374071075</v>
      </c>
      <c r="J111" s="128">
        <v>44228</v>
      </c>
      <c r="K111" s="136">
        <f t="shared" si="30"/>
        <v>3.8700275221369109</v>
      </c>
      <c r="L111" s="136">
        <f t="shared" si="30"/>
        <v>1.6040231329836943</v>
      </c>
      <c r="M111" s="136">
        <f t="shared" si="30"/>
        <v>1.4891904471641022E-2</v>
      </c>
      <c r="N111" s="136">
        <f t="shared" si="30"/>
        <v>1.3905221314650009</v>
      </c>
      <c r="O111" s="136">
        <f t="shared" si="30"/>
        <v>0.59128320265271861</v>
      </c>
      <c r="P111" s="135">
        <f t="shared" si="30"/>
        <v>1</v>
      </c>
    </row>
    <row r="112" spans="2:16" ht="13.5" customHeight="1" x14ac:dyDescent="0.2">
      <c r="B112" s="128">
        <v>44256</v>
      </c>
      <c r="C112" s="136">
        <f t="shared" si="29"/>
        <v>57.854365500176741</v>
      </c>
      <c r="D112" s="136">
        <f t="shared" si="29"/>
        <v>26.628001455251031</v>
      </c>
      <c r="E112" s="136">
        <f t="shared" si="29"/>
        <v>1.197029702970297</v>
      </c>
      <c r="F112" s="136">
        <f t="shared" si="29"/>
        <v>39.068332176729122</v>
      </c>
      <c r="G112" s="136">
        <f t="shared" si="29"/>
        <v>12.901428809143583</v>
      </c>
      <c r="H112" s="138">
        <f t="shared" si="29"/>
        <v>20.31730864321392</v>
      </c>
      <c r="J112" s="128">
        <v>44256</v>
      </c>
      <c r="K112" s="136">
        <f t="shared" si="30"/>
        <v>2.8475408094713561</v>
      </c>
      <c r="L112" s="136">
        <f t="shared" si="30"/>
        <v>1.3106067305890396</v>
      </c>
      <c r="M112" s="136">
        <f t="shared" si="30"/>
        <v>5.8916745519348633E-2</v>
      </c>
      <c r="N112" s="136">
        <f t="shared" si="30"/>
        <v>1.9229088292547123</v>
      </c>
      <c r="O112" s="136">
        <f t="shared" si="30"/>
        <v>0.63499693958986669</v>
      </c>
      <c r="P112" s="135">
        <f t="shared" si="30"/>
        <v>1</v>
      </c>
    </row>
    <row r="113" spans="2:16" ht="13.5" customHeight="1" x14ac:dyDescent="0.2">
      <c r="B113" s="128">
        <v>44287</v>
      </c>
      <c r="C113" s="136">
        <f t="shared" si="29"/>
        <v>61.431424531636623</v>
      </c>
      <c r="D113" s="136">
        <f t="shared" si="29"/>
        <v>30.929683078664404</v>
      </c>
      <c r="E113" s="136">
        <f t="shared" si="29"/>
        <v>1.2075247524752475</v>
      </c>
      <c r="F113" s="136">
        <f t="shared" si="29"/>
        <v>123.62837150127227</v>
      </c>
      <c r="G113" s="136">
        <f t="shared" si="29"/>
        <v>11.922720623480354</v>
      </c>
      <c r="H113" s="138">
        <f t="shared" si="29"/>
        <v>31.480323627842314</v>
      </c>
      <c r="J113" s="128">
        <v>44287</v>
      </c>
      <c r="K113" s="136">
        <f t="shared" si="30"/>
        <v>1.9514229033307808</v>
      </c>
      <c r="L113" s="136">
        <f t="shared" si="30"/>
        <v>0.98250842158779772</v>
      </c>
      <c r="M113" s="136">
        <f t="shared" si="30"/>
        <v>3.8358079375247267E-2</v>
      </c>
      <c r="N113" s="136">
        <f t="shared" si="30"/>
        <v>3.9271632961209759</v>
      </c>
      <c r="O113" s="136">
        <f t="shared" si="30"/>
        <v>0.37873564339521204</v>
      </c>
      <c r="P113" s="135">
        <f t="shared" si="30"/>
        <v>1</v>
      </c>
    </row>
    <row r="114" spans="2:16" ht="13.5" customHeight="1" x14ac:dyDescent="0.2">
      <c r="B114" s="128">
        <v>44317</v>
      </c>
      <c r="C114" s="136">
        <f t="shared" si="29"/>
        <v>50.812124425592081</v>
      </c>
      <c r="D114" s="136">
        <f t="shared" si="29"/>
        <v>27.520393726251111</v>
      </c>
      <c r="E114" s="136">
        <f t="shared" si="29"/>
        <v>1.1328712871287128</v>
      </c>
      <c r="F114" s="136">
        <f t="shared" si="29"/>
        <v>139.41170483460559</v>
      </c>
      <c r="G114" s="136">
        <f t="shared" si="29"/>
        <v>6.7324553015947126</v>
      </c>
      <c r="H114" s="138">
        <f t="shared" si="29"/>
        <v>29.387248375052852</v>
      </c>
      <c r="J114" s="128">
        <v>44317</v>
      </c>
      <c r="K114" s="136">
        <f t="shared" si="30"/>
        <v>1.7290534920828804</v>
      </c>
      <c r="L114" s="136">
        <f t="shared" si="30"/>
        <v>0.93647398950129224</v>
      </c>
      <c r="M114" s="136">
        <f t="shared" si="30"/>
        <v>3.8549757114736183E-2</v>
      </c>
      <c r="N114" s="136">
        <f t="shared" si="30"/>
        <v>4.7439523107224186</v>
      </c>
      <c r="O114" s="136">
        <f t="shared" si="30"/>
        <v>0.22909444312962512</v>
      </c>
      <c r="P114" s="135">
        <f t="shared" si="30"/>
        <v>1</v>
      </c>
    </row>
    <row r="115" spans="2:16" ht="13.5" customHeight="1" x14ac:dyDescent="0.2">
      <c r="B115" s="128">
        <v>44348</v>
      </c>
      <c r="C115" s="136">
        <f t="shared" si="29"/>
        <v>113.80187345351715</v>
      </c>
      <c r="D115" s="136">
        <f t="shared" si="29"/>
        <v>24.238519686312557</v>
      </c>
      <c r="E115" s="136">
        <f t="shared" si="29"/>
        <v>1.263960396039604</v>
      </c>
      <c r="F115" s="136">
        <f t="shared" si="29"/>
        <v>53.437196391394863</v>
      </c>
      <c r="G115" s="136">
        <f t="shared" si="29"/>
        <v>3.3104139398921624</v>
      </c>
      <c r="H115" s="138">
        <f t="shared" si="29"/>
        <v>16.339435156188415</v>
      </c>
      <c r="J115" s="128">
        <v>44348</v>
      </c>
      <c r="K115" s="136">
        <f t="shared" si="30"/>
        <v>6.9648597008211572</v>
      </c>
      <c r="L115" s="136">
        <f t="shared" si="30"/>
        <v>1.483436817406288</v>
      </c>
      <c r="M115" s="136">
        <f t="shared" si="30"/>
        <v>7.7356431477430251E-2</v>
      </c>
      <c r="N115" s="136">
        <f t="shared" si="30"/>
        <v>3.2704433097343641</v>
      </c>
      <c r="O115" s="136">
        <f t="shared" si="30"/>
        <v>0.20260271595976029</v>
      </c>
      <c r="P115" s="135">
        <f t="shared" si="30"/>
        <v>1</v>
      </c>
    </row>
    <row r="116" spans="2:16" ht="13.5" customHeight="1" x14ac:dyDescent="0.2">
      <c r="B116" s="128">
        <v>44378</v>
      </c>
      <c r="C116" s="136">
        <f t="shared" si="29"/>
        <v>215.73241428066456</v>
      </c>
      <c r="D116" s="136">
        <f t="shared" si="29"/>
        <v>24.607865429703292</v>
      </c>
      <c r="E116" s="136">
        <f t="shared" si="29"/>
        <v>5.9859405940594064</v>
      </c>
      <c r="F116" s="136">
        <f t="shared" si="29"/>
        <v>71.231251445755262</v>
      </c>
      <c r="G116" s="136">
        <f t="shared" si="29"/>
        <v>8.2008329959790682</v>
      </c>
      <c r="H116" s="138">
        <f t="shared" si="29"/>
        <v>22.332184344610621</v>
      </c>
      <c r="J116" s="128">
        <v>44378</v>
      </c>
      <c r="K116" s="136">
        <f t="shared" si="30"/>
        <v>9.6601573295147354</v>
      </c>
      <c r="L116" s="136">
        <f t="shared" si="30"/>
        <v>1.1019014105372031</v>
      </c>
      <c r="M116" s="136">
        <f t="shared" si="30"/>
        <v>0.26804098075179916</v>
      </c>
      <c r="N116" s="136">
        <f t="shared" si="30"/>
        <v>3.1896231173170193</v>
      </c>
      <c r="O116" s="136">
        <f t="shared" si="30"/>
        <v>0.36722036991236634</v>
      </c>
      <c r="P116" s="135">
        <f t="shared" si="30"/>
        <v>1</v>
      </c>
    </row>
    <row r="117" spans="2:16" ht="13.5" customHeight="1" x14ac:dyDescent="0.2">
      <c r="B117" s="128">
        <v>44409</v>
      </c>
      <c r="C117" s="136">
        <f t="shared" si="29"/>
        <v>198.43708024036764</v>
      </c>
      <c r="D117" s="136">
        <f t="shared" si="29"/>
        <v>34.115262955776537</v>
      </c>
      <c r="E117" s="136">
        <f t="shared" si="29"/>
        <v>12.281980198019802</v>
      </c>
      <c r="F117" s="136">
        <f t="shared" si="29"/>
        <v>93.543835299560484</v>
      </c>
      <c r="G117" s="136">
        <f t="shared" si="29"/>
        <v>10.090668408490897</v>
      </c>
      <c r="H117" s="137">
        <f t="shared" si="29"/>
        <v>28.789785227492601</v>
      </c>
      <c r="J117" s="128">
        <v>44409</v>
      </c>
      <c r="K117" s="136">
        <f t="shared" si="30"/>
        <v>6.8926210693253642</v>
      </c>
      <c r="L117" s="136">
        <f t="shared" si="30"/>
        <v>1.1849780290545</v>
      </c>
      <c r="M117" s="136">
        <f t="shared" si="30"/>
        <v>0.42660895525858983</v>
      </c>
      <c r="N117" s="136">
        <f t="shared" si="30"/>
        <v>3.2492022625521875</v>
      </c>
      <c r="O117" s="136">
        <f t="shared" si="30"/>
        <v>0.35049474418638193</v>
      </c>
      <c r="P117" s="135">
        <f t="shared" si="30"/>
        <v>1</v>
      </c>
    </row>
    <row r="118" spans="2:16" ht="13.5" customHeight="1" x14ac:dyDescent="0.2">
      <c r="B118" s="128">
        <v>44440</v>
      </c>
      <c r="C118" s="136">
        <f t="shared" si="29"/>
        <v>92.733297985153769</v>
      </c>
      <c r="D118" s="136">
        <f t="shared" si="29"/>
        <v>30.316481728514834</v>
      </c>
      <c r="E118" s="136">
        <f t="shared" si="29"/>
        <v>14.058217821782177</v>
      </c>
      <c r="F118" s="136">
        <f t="shared" si="29"/>
        <v>67.545234790654632</v>
      </c>
      <c r="G118" s="136">
        <f t="shared" si="29"/>
        <v>8.9521809642785293</v>
      </c>
      <c r="H118" s="137">
        <f t="shared" si="29"/>
        <v>22.989223393505945</v>
      </c>
      <c r="J118" s="128">
        <v>44440</v>
      </c>
      <c r="K118" s="136">
        <f t="shared" si="30"/>
        <v>4.0337725375859943</v>
      </c>
      <c r="L118" s="136">
        <f t="shared" si="30"/>
        <v>1.318725787713156</v>
      </c>
      <c r="M118" s="136">
        <f t="shared" si="30"/>
        <v>0.61151338525656251</v>
      </c>
      <c r="N118" s="136">
        <f t="shared" si="30"/>
        <v>2.9381259921000638</v>
      </c>
      <c r="O118" s="136">
        <f t="shared" si="30"/>
        <v>0.38940771556499665</v>
      </c>
      <c r="P118" s="135">
        <f t="shared" si="30"/>
        <v>1</v>
      </c>
    </row>
    <row r="119" spans="2:16" ht="13.5" customHeight="1" x14ac:dyDescent="0.2">
      <c r="B119" s="128">
        <v>44470</v>
      </c>
      <c r="C119" s="136">
        <f t="shared" si="29"/>
        <v>36.191940615058321</v>
      </c>
      <c r="D119" s="136">
        <f t="shared" si="29"/>
        <v>19.124787775891342</v>
      </c>
      <c r="E119" s="136">
        <f t="shared" si="29"/>
        <v>17.469702970297028</v>
      </c>
      <c r="F119" s="136">
        <f t="shared" si="29"/>
        <v>42.784281748785567</v>
      </c>
      <c r="G119" s="136">
        <f t="shared" si="29"/>
        <v>14.221235685209976</v>
      </c>
      <c r="H119" s="137">
        <f t="shared" si="29"/>
        <v>19.353286083859455</v>
      </c>
      <c r="J119" s="128">
        <v>44470</v>
      </c>
      <c r="K119" s="136">
        <f t="shared" si="30"/>
        <v>1.8700669466795214</v>
      </c>
      <c r="L119" s="136">
        <f t="shared" si="30"/>
        <v>0.98819330696719876</v>
      </c>
      <c r="M119" s="136">
        <f t="shared" si="30"/>
        <v>0.90267373171663468</v>
      </c>
      <c r="N119" s="136">
        <f t="shared" si="30"/>
        <v>2.2106985637166519</v>
      </c>
      <c r="O119" s="136">
        <f t="shared" si="30"/>
        <v>0.73482279048571586</v>
      </c>
      <c r="P119" s="135">
        <f t="shared" si="30"/>
        <v>1</v>
      </c>
    </row>
    <row r="120" spans="2:16" ht="13.5" customHeight="1" x14ac:dyDescent="0.2">
      <c r="B120" s="128">
        <v>44501</v>
      </c>
      <c r="C120" s="136">
        <f t="shared" ref="C120:H129" si="31">C74/C$54</f>
        <v>33.015376458112407</v>
      </c>
      <c r="D120" s="136">
        <f t="shared" si="31"/>
        <v>16.626652316274559</v>
      </c>
      <c r="E120" s="136">
        <f t="shared" si="31"/>
        <v>10.179009900990099</v>
      </c>
      <c r="F120" s="136">
        <f t="shared" si="31"/>
        <v>32.376220217441592</v>
      </c>
      <c r="G120" s="136">
        <f t="shared" si="31"/>
        <v>22.217962314010176</v>
      </c>
      <c r="H120" s="137">
        <f t="shared" si="31"/>
        <v>21.891232093333237</v>
      </c>
      <c r="J120" s="128">
        <v>44501</v>
      </c>
      <c r="K120" s="136">
        <f t="shared" ref="K120:P129" si="32">K74/K$54</f>
        <v>1.5081552430375502</v>
      </c>
      <c r="L120" s="136">
        <f t="shared" si="32"/>
        <v>0.75951194731236915</v>
      </c>
      <c r="M120" s="136">
        <f t="shared" si="32"/>
        <v>0.46498113297560889</v>
      </c>
      <c r="N120" s="136">
        <f t="shared" si="32"/>
        <v>1.4789583372651489</v>
      </c>
      <c r="O120" s="136">
        <f t="shared" si="32"/>
        <v>1.0149251636127161</v>
      </c>
      <c r="P120" s="135">
        <f t="shared" si="32"/>
        <v>1</v>
      </c>
    </row>
    <row r="121" spans="2:16" ht="13.5" customHeight="1" x14ac:dyDescent="0.2">
      <c r="B121" s="128">
        <v>44531</v>
      </c>
      <c r="C121" s="136">
        <f t="shared" si="31"/>
        <v>187.6420996818664</v>
      </c>
      <c r="D121" s="136">
        <f t="shared" si="31"/>
        <v>34.975058614277629</v>
      </c>
      <c r="E121" s="136">
        <f t="shared" si="31"/>
        <v>32.331089108910888</v>
      </c>
      <c r="F121" s="136">
        <f t="shared" si="31"/>
        <v>28.864087439278279</v>
      </c>
      <c r="G121" s="136">
        <f t="shared" si="31"/>
        <v>31.953688503215005</v>
      </c>
      <c r="H121" s="137">
        <f t="shared" si="31"/>
        <v>33.693088152039159</v>
      </c>
      <c r="J121" s="128">
        <v>44531</v>
      </c>
      <c r="K121" s="136">
        <f t="shared" si="32"/>
        <v>5.5691570578255236</v>
      </c>
      <c r="L121" s="136">
        <f t="shared" si="32"/>
        <v>1.0380484702516319</v>
      </c>
      <c r="M121" s="136">
        <f t="shared" si="32"/>
        <v>0.95957630725381182</v>
      </c>
      <c r="N121" s="136">
        <f t="shared" si="32"/>
        <v>0.8566768148122802</v>
      </c>
      <c r="O121" s="136">
        <f t="shared" si="32"/>
        <v>0.94837517888015621</v>
      </c>
      <c r="P121" s="135">
        <f t="shared" si="32"/>
        <v>1</v>
      </c>
    </row>
    <row r="122" spans="2:16" ht="13.5" customHeight="1" x14ac:dyDescent="0.2">
      <c r="B122" s="128">
        <v>44562</v>
      </c>
      <c r="C122" s="136">
        <f t="shared" si="31"/>
        <v>219.48197242841994</v>
      </c>
      <c r="D122" s="136">
        <f t="shared" si="31"/>
        <v>162.93714629315224</v>
      </c>
      <c r="E122" s="136">
        <f t="shared" si="31"/>
        <v>394.8837623762376</v>
      </c>
      <c r="F122" s="136">
        <f t="shared" si="31"/>
        <v>179.44562803608605</v>
      </c>
      <c r="G122" s="136">
        <f t="shared" si="31"/>
        <v>101.30687979177584</v>
      </c>
      <c r="H122" s="137">
        <f t="shared" si="31"/>
        <v>131.55411593558975</v>
      </c>
      <c r="J122" s="128">
        <v>44562</v>
      </c>
      <c r="K122" s="136">
        <f t="shared" si="32"/>
        <v>1.6683778448701718</v>
      </c>
      <c r="L122" s="136">
        <f t="shared" si="32"/>
        <v>1.2385560507504603</v>
      </c>
      <c r="M122" s="136">
        <f t="shared" si="32"/>
        <v>3.0016830683547506</v>
      </c>
      <c r="N122" s="136">
        <f t="shared" si="32"/>
        <v>1.3640441939797954</v>
      </c>
      <c r="O122" s="136">
        <f t="shared" si="32"/>
        <v>0.7700776146097682</v>
      </c>
      <c r="P122" s="135">
        <f t="shared" si="32"/>
        <v>1</v>
      </c>
    </row>
    <row r="123" spans="2:16" ht="13.5" customHeight="1" x14ac:dyDescent="0.2">
      <c r="B123" s="128">
        <v>44593</v>
      </c>
      <c r="C123" s="136">
        <f t="shared" si="31"/>
        <v>107.20590314598797</v>
      </c>
      <c r="D123" s="136">
        <f t="shared" si="31"/>
        <v>57.019923801439084</v>
      </c>
      <c r="E123" s="136">
        <f t="shared" si="31"/>
        <v>174.78970297029704</v>
      </c>
      <c r="F123" s="136">
        <f t="shared" si="31"/>
        <v>193.66466574138329</v>
      </c>
      <c r="G123" s="136">
        <f t="shared" si="31"/>
        <v>73.051378019734599</v>
      </c>
      <c r="H123" s="137">
        <f t="shared" si="31"/>
        <v>84.463717993736694</v>
      </c>
      <c r="J123" s="128">
        <v>44593</v>
      </c>
      <c r="K123" s="136">
        <f t="shared" si="32"/>
        <v>1.2692538961396147</v>
      </c>
      <c r="L123" s="136">
        <f t="shared" si="32"/>
        <v>0.67508185947565469</v>
      </c>
      <c r="M123" s="136">
        <f t="shared" si="32"/>
        <v>2.0694057415665545</v>
      </c>
      <c r="N123" s="136">
        <f t="shared" si="32"/>
        <v>2.2928740332712358</v>
      </c>
      <c r="O123" s="136">
        <f t="shared" si="32"/>
        <v>0.86488470736217926</v>
      </c>
      <c r="P123" s="135">
        <f t="shared" si="32"/>
        <v>1</v>
      </c>
    </row>
    <row r="124" spans="2:16" ht="13.5" customHeight="1" x14ac:dyDescent="0.2">
      <c r="B124" s="128">
        <v>44621</v>
      </c>
      <c r="C124" s="136">
        <f t="shared" si="31"/>
        <v>41.300459526334393</v>
      </c>
      <c r="D124" s="136">
        <f t="shared" si="31"/>
        <v>16.769256811383297</v>
      </c>
      <c r="E124" s="136">
        <f t="shared" si="31"/>
        <v>344.74059405940596</v>
      </c>
      <c r="F124" s="136">
        <f t="shared" si="31"/>
        <v>259.88564654175343</v>
      </c>
      <c r="G124" s="136">
        <f t="shared" si="31"/>
        <v>52.449718485109635</v>
      </c>
      <c r="H124" s="137">
        <f t="shared" si="31"/>
        <v>70.059474140587483</v>
      </c>
      <c r="J124" s="128">
        <v>44621</v>
      </c>
      <c r="K124" s="136">
        <f t="shared" si="32"/>
        <v>0.58950570259002044</v>
      </c>
      <c r="L124" s="136">
        <f t="shared" si="32"/>
        <v>0.23935744618540294</v>
      </c>
      <c r="M124" s="136">
        <f t="shared" si="32"/>
        <v>4.920684865085045</v>
      </c>
      <c r="N124" s="136">
        <f t="shared" si="32"/>
        <v>3.7095003884877022</v>
      </c>
      <c r="O124" s="136">
        <f t="shared" si="32"/>
        <v>0.74864562043185523</v>
      </c>
      <c r="P124" s="135">
        <f t="shared" si="32"/>
        <v>1</v>
      </c>
    </row>
    <row r="125" spans="2:16" ht="13.5" customHeight="1" x14ac:dyDescent="0.2">
      <c r="B125" s="128">
        <v>44652</v>
      </c>
      <c r="C125" s="136">
        <f t="shared" si="31"/>
        <v>28.311417462000708</v>
      </c>
      <c r="D125" s="136">
        <f t="shared" si="31"/>
        <v>11.955726008569812</v>
      </c>
      <c r="E125" s="136">
        <f t="shared" si="31"/>
        <v>324.58396039603963</v>
      </c>
      <c r="F125" s="136">
        <f t="shared" si="31"/>
        <v>93.697397640527413</v>
      </c>
      <c r="G125" s="136">
        <f t="shared" si="31"/>
        <v>32.190734720335385</v>
      </c>
      <c r="H125" s="137">
        <f t="shared" si="31"/>
        <v>36.157846685251144</v>
      </c>
      <c r="J125" s="128">
        <v>44652</v>
      </c>
      <c r="K125" s="136">
        <f t="shared" si="32"/>
        <v>0.78299511883126027</v>
      </c>
      <c r="L125" s="136">
        <f t="shared" si="32"/>
        <v>0.33065370603074595</v>
      </c>
      <c r="M125" s="136">
        <f t="shared" si="32"/>
        <v>8.9768609071634256</v>
      </c>
      <c r="N125" s="136">
        <f t="shared" si="32"/>
        <v>2.5913434075914368</v>
      </c>
      <c r="O125" s="136">
        <f t="shared" si="32"/>
        <v>0.89028351164136255</v>
      </c>
      <c r="P125" s="135">
        <f t="shared" si="32"/>
        <v>1</v>
      </c>
    </row>
    <row r="126" spans="2:16" ht="13.5" customHeight="1" x14ac:dyDescent="0.2">
      <c r="B126" s="128">
        <v>44682</v>
      </c>
      <c r="C126" s="136">
        <f t="shared" si="31"/>
        <v>41.839165782962176</v>
      </c>
      <c r="D126" s="136">
        <f t="shared" si="31"/>
        <v>20.881129234376264</v>
      </c>
      <c r="E126" s="136">
        <f t="shared" si="31"/>
        <v>342.68514851485151</v>
      </c>
      <c r="F126" s="136">
        <f t="shared" si="31"/>
        <v>51.687150127226467</v>
      </c>
      <c r="G126" s="136">
        <f t="shared" si="31"/>
        <v>16.14929851009455</v>
      </c>
      <c r="H126" s="137">
        <f t="shared" si="31"/>
        <v>24.467035967407895</v>
      </c>
      <c r="J126" s="128">
        <v>44682</v>
      </c>
      <c r="K126" s="136">
        <f t="shared" si="32"/>
        <v>1.7100218366742661</v>
      </c>
      <c r="L126" s="136">
        <f t="shared" si="32"/>
        <v>0.85343926670119119</v>
      </c>
      <c r="M126" s="136">
        <f t="shared" si="32"/>
        <v>14.005993573203401</v>
      </c>
      <c r="N126" s="136">
        <f t="shared" si="32"/>
        <v>2.1125219334323129</v>
      </c>
      <c r="O126" s="136">
        <f t="shared" si="32"/>
        <v>0.66004310990537407</v>
      </c>
      <c r="P126" s="135">
        <f t="shared" si="32"/>
        <v>1</v>
      </c>
    </row>
    <row r="127" spans="2:16" ht="13.5" customHeight="1" x14ac:dyDescent="0.2">
      <c r="B127" s="128">
        <v>44713</v>
      </c>
      <c r="C127" s="136">
        <f t="shared" si="31"/>
        <v>33.172499116295512</v>
      </c>
      <c r="D127" s="136">
        <f t="shared" si="31"/>
        <v>28.606041312959817</v>
      </c>
      <c r="E127" s="136">
        <f t="shared" si="31"/>
        <v>191.55861386138614</v>
      </c>
      <c r="F127" s="136">
        <f t="shared" si="31"/>
        <v>41.626763821420312</v>
      </c>
      <c r="G127" s="136">
        <f t="shared" si="31"/>
        <v>14.903954619849346</v>
      </c>
      <c r="H127" s="137">
        <f t="shared" si="31"/>
        <v>23.528710146693133</v>
      </c>
      <c r="J127" s="128">
        <v>44713</v>
      </c>
      <c r="K127" s="136">
        <f t="shared" si="32"/>
        <v>1.4098732531225378</v>
      </c>
      <c r="L127" s="136">
        <f t="shared" si="32"/>
        <v>1.2157930092474825</v>
      </c>
      <c r="M127" s="136">
        <f t="shared" si="32"/>
        <v>8.1414838581072377</v>
      </c>
      <c r="N127" s="136">
        <f t="shared" si="32"/>
        <v>1.7691902174786571</v>
      </c>
      <c r="O127" s="136">
        <f t="shared" si="32"/>
        <v>0.63343695965178259</v>
      </c>
      <c r="P127" s="135">
        <f t="shared" si="32"/>
        <v>1</v>
      </c>
    </row>
    <row r="128" spans="2:16" ht="13.5" customHeight="1" x14ac:dyDescent="0.2">
      <c r="B128" s="128">
        <v>44743</v>
      </c>
      <c r="C128" s="136">
        <f t="shared" si="31"/>
        <v>39.312477907387766</v>
      </c>
      <c r="D128" s="136">
        <f t="shared" si="31"/>
        <v>40.301605829088849</v>
      </c>
      <c r="E128" s="136">
        <f t="shared" si="31"/>
        <v>282.32990099009902</v>
      </c>
      <c r="F128" s="136">
        <f t="shared" si="31"/>
        <v>101.92130464954893</v>
      </c>
      <c r="G128" s="136">
        <f t="shared" si="31"/>
        <v>31.782854786994932</v>
      </c>
      <c r="H128" s="137">
        <f t="shared" si="31"/>
        <v>44.765133328078086</v>
      </c>
      <c r="J128" s="128">
        <v>44743</v>
      </c>
      <c r="K128" s="136">
        <f t="shared" si="32"/>
        <v>0.87819414317995026</v>
      </c>
      <c r="L128" s="136">
        <f t="shared" si="32"/>
        <v>0.90029008813004985</v>
      </c>
      <c r="M128" s="136">
        <f t="shared" si="32"/>
        <v>6.3069152262082717</v>
      </c>
      <c r="N128" s="136">
        <f t="shared" si="32"/>
        <v>2.2768010965717536</v>
      </c>
      <c r="O128" s="136">
        <f t="shared" si="32"/>
        <v>0.70999129063376964</v>
      </c>
      <c r="P128" s="135">
        <f t="shared" si="32"/>
        <v>1</v>
      </c>
    </row>
    <row r="129" spans="1:16" ht="13.5" customHeight="1" x14ac:dyDescent="0.2">
      <c r="B129" s="128">
        <v>44774</v>
      </c>
      <c r="C129" s="136">
        <f t="shared" si="31"/>
        <v>15.677978084128668</v>
      </c>
      <c r="D129" s="136">
        <f t="shared" si="31"/>
        <v>24.35703169213356</v>
      </c>
      <c r="E129" s="136">
        <f t="shared" si="31"/>
        <v>184.9489108910891</v>
      </c>
      <c r="F129" s="136">
        <f t="shared" si="31"/>
        <v>151.9092990978487</v>
      </c>
      <c r="G129" s="136">
        <f t="shared" si="31"/>
        <v>13.641071619275635</v>
      </c>
      <c r="H129" s="137">
        <f t="shared" si="31"/>
        <v>35.071070566062076</v>
      </c>
      <c r="J129" s="128">
        <v>44774</v>
      </c>
      <c r="K129" s="136">
        <f t="shared" si="32"/>
        <v>0.44703448828562686</v>
      </c>
      <c r="L129" s="136">
        <f t="shared" si="32"/>
        <v>0.69450493808716574</v>
      </c>
      <c r="M129" s="136">
        <f t="shared" si="32"/>
        <v>5.2735461993584627</v>
      </c>
      <c r="N129" s="136">
        <f t="shared" si="32"/>
        <v>4.3314702587051856</v>
      </c>
      <c r="O129" s="136">
        <f t="shared" si="32"/>
        <v>0.38895509601226619</v>
      </c>
      <c r="P129" s="135">
        <f t="shared" si="32"/>
        <v>1</v>
      </c>
    </row>
    <row r="130" spans="1:16" ht="13.5" customHeight="1" x14ac:dyDescent="0.2">
      <c r="B130" s="128">
        <v>44805</v>
      </c>
      <c r="C130" s="136">
        <f t="shared" ref="C130:H139" si="33">C84/C$54</f>
        <v>8.3167196889360202</v>
      </c>
      <c r="D130" s="136">
        <f t="shared" si="33"/>
        <v>13.041510025062657</v>
      </c>
      <c r="E130" s="136">
        <f t="shared" si="33"/>
        <v>47.940198019801983</v>
      </c>
      <c r="F130" s="136">
        <f t="shared" si="33"/>
        <v>70.068043025676616</v>
      </c>
      <c r="G130" s="136">
        <f t="shared" si="33"/>
        <v>12.855601612346421</v>
      </c>
      <c r="H130" s="137">
        <f t="shared" si="33"/>
        <v>20.215162351389893</v>
      </c>
      <c r="J130" s="128">
        <v>44805</v>
      </c>
      <c r="K130" s="136">
        <f t="shared" ref="K130:P139" si="34">K84/K$54</f>
        <v>0.41140998743273532</v>
      </c>
      <c r="L130" s="136">
        <f t="shared" si="34"/>
        <v>0.64513506240359175</v>
      </c>
      <c r="M130" s="136">
        <f t="shared" si="34"/>
        <v>2.3714970568369367</v>
      </c>
      <c r="N130" s="136">
        <f t="shared" si="34"/>
        <v>3.4661132969263084</v>
      </c>
      <c r="O130" s="136">
        <f t="shared" si="34"/>
        <v>0.63593857862153325</v>
      </c>
      <c r="P130" s="135">
        <f t="shared" si="34"/>
        <v>1</v>
      </c>
    </row>
    <row r="131" spans="1:16" ht="13.5" customHeight="1" x14ac:dyDescent="0.2">
      <c r="B131" s="128">
        <v>44835</v>
      </c>
      <c r="C131" s="136">
        <f t="shared" si="33"/>
        <v>5.8508306822198657</v>
      </c>
      <c r="D131" s="136">
        <f t="shared" si="33"/>
        <v>8.8127475947934357</v>
      </c>
      <c r="E131" s="136">
        <f t="shared" si="33"/>
        <v>53.047920792079211</v>
      </c>
      <c r="F131" s="136">
        <f t="shared" si="33"/>
        <v>44.898716169326853</v>
      </c>
      <c r="G131" s="136">
        <f t="shared" si="33"/>
        <v>19.259718907319883</v>
      </c>
      <c r="H131" s="137">
        <f t="shared" si="33"/>
        <v>19.609450850275543</v>
      </c>
      <c r="J131" s="128">
        <v>44835</v>
      </c>
      <c r="K131" s="136">
        <f t="shared" si="34"/>
        <v>0.2983679006053172</v>
      </c>
      <c r="L131" s="136">
        <f t="shared" si="34"/>
        <v>0.44941327842791701</v>
      </c>
      <c r="M131" s="136">
        <f t="shared" si="34"/>
        <v>2.7052221501314406</v>
      </c>
      <c r="N131" s="136">
        <f t="shared" si="34"/>
        <v>2.2896467887929641</v>
      </c>
      <c r="O131" s="136">
        <f t="shared" si="34"/>
        <v>0.98216513324998378</v>
      </c>
      <c r="P131" s="135">
        <f t="shared" si="34"/>
        <v>1</v>
      </c>
    </row>
    <row r="132" spans="1:16" ht="13.5" customHeight="1" x14ac:dyDescent="0.2">
      <c r="B132" s="128">
        <v>44866</v>
      </c>
      <c r="C132" s="136">
        <f t="shared" si="33"/>
        <v>8.740721102863203</v>
      </c>
      <c r="D132" s="136">
        <f t="shared" si="33"/>
        <v>9.7629911472228965</v>
      </c>
      <c r="E132" s="136">
        <f t="shared" si="33"/>
        <v>75.330693069306932</v>
      </c>
      <c r="F132" s="136">
        <f t="shared" si="33"/>
        <v>61.44795281054823</v>
      </c>
      <c r="G132" s="136">
        <f t="shared" si="33"/>
        <v>8.8459553500247114</v>
      </c>
      <c r="H132" s="137">
        <f t="shared" si="33"/>
        <v>16.10480210401095</v>
      </c>
      <c r="J132" s="128">
        <v>44866</v>
      </c>
      <c r="K132" s="136">
        <f t="shared" si="34"/>
        <v>0.54274005022926053</v>
      </c>
      <c r="L132" s="136">
        <f t="shared" si="34"/>
        <v>0.60621615119327632</v>
      </c>
      <c r="M132" s="136">
        <f t="shared" si="34"/>
        <v>4.6775298810126698</v>
      </c>
      <c r="N132" s="136">
        <f t="shared" si="34"/>
        <v>3.8155049912252221</v>
      </c>
      <c r="O132" s="136">
        <f t="shared" si="34"/>
        <v>0.54927438989278854</v>
      </c>
      <c r="P132" s="135">
        <f t="shared" si="34"/>
        <v>1</v>
      </c>
    </row>
    <row r="133" spans="1:16" ht="13.5" customHeight="1" x14ac:dyDescent="0.2">
      <c r="B133" s="128">
        <v>44896</v>
      </c>
      <c r="C133" s="136">
        <f t="shared" si="33"/>
        <v>7.5217391304347823</v>
      </c>
      <c r="D133" s="136">
        <f t="shared" si="33"/>
        <v>21.375378971622606</v>
      </c>
      <c r="E133" s="136">
        <f t="shared" si="33"/>
        <v>111.89742574257426</v>
      </c>
      <c r="F133" s="136">
        <f t="shared" si="33"/>
        <v>946.36352070321539</v>
      </c>
      <c r="G133" s="136">
        <f t="shared" si="33"/>
        <v>10.734643344103834</v>
      </c>
      <c r="H133" s="137">
        <f t="shared" si="33"/>
        <v>130.4009975419763</v>
      </c>
      <c r="J133" s="128">
        <v>44896</v>
      </c>
      <c r="K133" s="136">
        <f t="shared" si="34"/>
        <v>5.7681607289955909E-2</v>
      </c>
      <c r="L133" s="136">
        <f t="shared" si="34"/>
        <v>0.16392036391241438</v>
      </c>
      <c r="M133" s="136">
        <f t="shared" si="34"/>
        <v>0.85810252875216142</v>
      </c>
      <c r="N133" s="136">
        <f t="shared" si="34"/>
        <v>7.2573334448502163</v>
      </c>
      <c r="O133" s="136">
        <f t="shared" si="34"/>
        <v>8.2320254802102519E-2</v>
      </c>
      <c r="P133" s="135">
        <f t="shared" si="34"/>
        <v>1</v>
      </c>
    </row>
    <row r="134" spans="1:16" ht="13.5" customHeight="1" x14ac:dyDescent="0.2">
      <c r="B134" s="128">
        <v>44927</v>
      </c>
      <c r="C134" s="136">
        <f t="shared" si="33"/>
        <v>6.4729586426299042</v>
      </c>
      <c r="D134" s="136">
        <f t="shared" si="33"/>
        <v>13.325981283854798</v>
      </c>
      <c r="E134" s="136">
        <f t="shared" si="33"/>
        <v>52.891683168316831</v>
      </c>
      <c r="F134" s="136">
        <f t="shared" si="33"/>
        <v>210.04195003469812</v>
      </c>
      <c r="G134" s="136">
        <f t="shared" si="33"/>
        <v>4.7357361235635542</v>
      </c>
      <c r="H134" s="137">
        <f t="shared" si="33"/>
        <v>32.976258214313866</v>
      </c>
      <c r="J134" s="128">
        <v>44927</v>
      </c>
      <c r="K134" s="136">
        <f t="shared" si="34"/>
        <v>0.19629148342307115</v>
      </c>
      <c r="L134" s="136">
        <f t="shared" si="34"/>
        <v>0.40410834962683689</v>
      </c>
      <c r="M134" s="136">
        <f t="shared" si="34"/>
        <v>1.6039322237402409</v>
      </c>
      <c r="N134" s="136">
        <f t="shared" si="34"/>
        <v>6.3694900940436625</v>
      </c>
      <c r="O134" s="136">
        <f t="shared" si="34"/>
        <v>0.14361047553624301</v>
      </c>
      <c r="P134" s="135">
        <f t="shared" si="34"/>
        <v>1</v>
      </c>
    </row>
    <row r="135" spans="1:16" ht="13.5" customHeight="1" x14ac:dyDescent="0.2">
      <c r="B135" s="127">
        <v>44958</v>
      </c>
      <c r="C135" s="136">
        <f t="shared" si="33"/>
        <v>3.1214209968186637</v>
      </c>
      <c r="D135" s="136">
        <f t="shared" si="33"/>
        <v>7.8873544748969193</v>
      </c>
      <c r="E135" s="136">
        <f t="shared" si="33"/>
        <v>20.325742574257426</v>
      </c>
      <c r="F135" s="136">
        <f t="shared" si="33"/>
        <v>19.434119824196159</v>
      </c>
      <c r="G135" s="136">
        <f t="shared" si="33"/>
        <v>3.6504769733982707</v>
      </c>
      <c r="H135" s="137">
        <f t="shared" si="33"/>
        <v>6.9245436890420873</v>
      </c>
      <c r="J135" s="127">
        <v>44958</v>
      </c>
      <c r="K135" s="136">
        <f t="shared" si="34"/>
        <v>0.45077641747834341</v>
      </c>
      <c r="L135" s="136">
        <f t="shared" si="34"/>
        <v>1.139043210511973</v>
      </c>
      <c r="M135" s="136">
        <f t="shared" si="34"/>
        <v>2.9353186992555758</v>
      </c>
      <c r="N135" s="136">
        <f t="shared" si="34"/>
        <v>2.8065560269263887</v>
      </c>
      <c r="O135" s="136">
        <f t="shared" si="34"/>
        <v>0.52717942688051156</v>
      </c>
      <c r="P135" s="135">
        <f t="shared" si="34"/>
        <v>1</v>
      </c>
    </row>
    <row r="136" spans="1:16" ht="13.5" customHeight="1" x14ac:dyDescent="0.2">
      <c r="B136" s="127">
        <v>44986</v>
      </c>
      <c r="C136" s="136">
        <f t="shared" si="33"/>
        <v>3.3260869565217392</v>
      </c>
      <c r="D136" s="136">
        <f t="shared" si="33"/>
        <v>6.0174428005497616</v>
      </c>
      <c r="E136" s="136">
        <f t="shared" si="33"/>
        <v>26.287326732673268</v>
      </c>
      <c r="F136" s="136">
        <f t="shared" si="33"/>
        <v>10.838283599352302</v>
      </c>
      <c r="G136" s="136">
        <f t="shared" si="33"/>
        <v>3.8310885821931588</v>
      </c>
      <c r="H136" s="137">
        <f t="shared" si="33"/>
        <v>5.4780031961474238</v>
      </c>
      <c r="J136" s="127">
        <v>44986</v>
      </c>
      <c r="K136" s="136">
        <f t="shared" si="34"/>
        <v>0.60717141582920453</v>
      </c>
      <c r="L136" s="136">
        <f t="shared" si="34"/>
        <v>1.0984737659119503</v>
      </c>
      <c r="M136" s="136">
        <f t="shared" si="34"/>
        <v>4.7987059867290052</v>
      </c>
      <c r="N136" s="136">
        <f t="shared" si="34"/>
        <v>1.9785099079486959</v>
      </c>
      <c r="O136" s="136">
        <f t="shared" si="34"/>
        <v>0.69935858834246223</v>
      </c>
      <c r="P136" s="135">
        <f t="shared" si="34"/>
        <v>1</v>
      </c>
    </row>
    <row r="137" spans="1:16" ht="13.5" customHeight="1" x14ac:dyDescent="0.2">
      <c r="B137" s="127">
        <v>45017</v>
      </c>
      <c r="C137" s="136">
        <f t="shared" si="33"/>
        <v>1.6081654294803818</v>
      </c>
      <c r="D137" s="136">
        <f t="shared" si="33"/>
        <v>4.5740914786967419</v>
      </c>
      <c r="E137" s="136">
        <f t="shared" si="33"/>
        <v>31.642574257425743</v>
      </c>
      <c r="F137" s="136">
        <f t="shared" si="33"/>
        <v>13.279030765671987</v>
      </c>
      <c r="G137" s="136">
        <f t="shared" si="33"/>
        <v>2.593567999443676</v>
      </c>
      <c r="H137" s="137">
        <f t="shared" si="33"/>
        <v>4.681728212808955</v>
      </c>
      <c r="J137" s="127">
        <v>45017</v>
      </c>
      <c r="K137" s="136">
        <f t="shared" si="34"/>
        <v>0.3434982460281501</v>
      </c>
      <c r="L137" s="136">
        <f t="shared" si="34"/>
        <v>0.97700918779998291</v>
      </c>
      <c r="M137" s="136">
        <f t="shared" si="34"/>
        <v>6.7587379743346423</v>
      </c>
      <c r="N137" s="136">
        <f t="shared" si="34"/>
        <v>2.8363523387242511</v>
      </c>
      <c r="O137" s="136">
        <f t="shared" si="34"/>
        <v>0.55397662605612485</v>
      </c>
      <c r="P137" s="135">
        <f t="shared" si="34"/>
        <v>1</v>
      </c>
    </row>
    <row r="138" spans="1:16" ht="13.5" customHeight="1" x14ac:dyDescent="0.2">
      <c r="B138" s="127">
        <v>45047</v>
      </c>
      <c r="C138" s="136">
        <f t="shared" si="33"/>
        <v>1.9347826086956521</v>
      </c>
      <c r="D138" s="136">
        <f t="shared" si="33"/>
        <v>2.0340821812596008</v>
      </c>
      <c r="E138" s="136">
        <f t="shared" si="33"/>
        <v>51.203762376237627</v>
      </c>
      <c r="F138" s="136">
        <f t="shared" si="33"/>
        <v>11.340538977561879</v>
      </c>
      <c r="G138" s="136">
        <f t="shared" si="33"/>
        <v>1.1880375419416207</v>
      </c>
      <c r="H138" s="137">
        <f t="shared" si="33"/>
        <v>3.0541653827135722</v>
      </c>
      <c r="J138" s="127">
        <v>45047</v>
      </c>
      <c r="K138" s="136">
        <f t="shared" si="34"/>
        <v>0.63348979712966036</v>
      </c>
      <c r="L138" s="136">
        <f t="shared" si="34"/>
        <v>0.66600263128264348</v>
      </c>
      <c r="M138" s="136">
        <f t="shared" si="34"/>
        <v>16.765222559999021</v>
      </c>
      <c r="N138" s="136">
        <f t="shared" si="34"/>
        <v>3.7131384704144637</v>
      </c>
      <c r="O138" s="136">
        <f t="shared" si="34"/>
        <v>0.3889892632094698</v>
      </c>
      <c r="P138" s="135">
        <f t="shared" si="34"/>
        <v>1</v>
      </c>
    </row>
    <row r="139" spans="1:16" ht="13.5" customHeight="1" x14ac:dyDescent="0.2">
      <c r="B139" s="127">
        <v>45078</v>
      </c>
      <c r="C139" s="136">
        <f t="shared" si="33"/>
        <v>1.5242135030045953</v>
      </c>
      <c r="D139" s="136">
        <f t="shared" si="33"/>
        <v>0.70433644595359368</v>
      </c>
      <c r="E139" s="136">
        <f t="shared" si="33"/>
        <v>22.534059405940592</v>
      </c>
      <c r="F139" s="136">
        <f t="shared" si="33"/>
        <v>6.2941591487393014</v>
      </c>
      <c r="G139" s="136">
        <f t="shared" si="33"/>
        <v>0.5301619548831098</v>
      </c>
      <c r="H139" s="137">
        <f t="shared" si="33"/>
        <v>1.4611567760475266</v>
      </c>
      <c r="J139" s="127">
        <v>45078</v>
      </c>
      <c r="K139" s="136">
        <f t="shared" si="34"/>
        <v>1.0431553464972041</v>
      </c>
      <c r="L139" s="136">
        <f t="shared" si="34"/>
        <v>0.48204029677010102</v>
      </c>
      <c r="M139" s="136">
        <f t="shared" si="34"/>
        <v>15.422068169095384</v>
      </c>
      <c r="N139" s="136">
        <f t="shared" si="34"/>
        <v>4.3076549018683625</v>
      </c>
      <c r="O139" s="136">
        <f t="shared" si="34"/>
        <v>0.36283714627612657</v>
      </c>
      <c r="P139" s="135">
        <f t="shared" si="34"/>
        <v>1</v>
      </c>
    </row>
    <row r="140" spans="1:16" ht="13.5" customHeight="1" x14ac:dyDescent="0.2">
      <c r="B140" s="127">
        <v>45108</v>
      </c>
      <c r="C140" s="136">
        <f t="shared" ref="C140:H141" si="35">C94/C$54</f>
        <v>0.6975963237893249</v>
      </c>
      <c r="D140" s="136">
        <f t="shared" si="35"/>
        <v>0.5697863610639502</v>
      </c>
      <c r="E140" s="136">
        <f t="shared" si="35"/>
        <v>12.520198019801979</v>
      </c>
      <c r="F140" s="136">
        <f t="shared" si="35"/>
        <v>13.102590793430489</v>
      </c>
      <c r="G140" s="136">
        <f t="shared" si="35"/>
        <v>0.20322717643172736</v>
      </c>
      <c r="H140" s="137">
        <f t="shared" si="35"/>
        <v>1.9988319012777422</v>
      </c>
      <c r="J140" s="127">
        <v>45108</v>
      </c>
      <c r="K140" s="136">
        <f t="shared" ref="K140:P141" si="36">K94/K$54</f>
        <v>0.3490019962876269</v>
      </c>
      <c r="L140" s="136">
        <f t="shared" si="36"/>
        <v>0.28505966944980088</v>
      </c>
      <c r="M140" s="136">
        <f t="shared" si="36"/>
        <v>6.2637573533814992</v>
      </c>
      <c r="N140" s="136">
        <f t="shared" si="36"/>
        <v>6.555123912648547</v>
      </c>
      <c r="O140" s="136">
        <f t="shared" si="36"/>
        <v>0.10167297024918179</v>
      </c>
      <c r="P140" s="135">
        <f t="shared" si="36"/>
        <v>1</v>
      </c>
    </row>
    <row r="141" spans="1:16" ht="13.5" customHeight="1" thickBot="1" x14ac:dyDescent="0.25">
      <c r="B141" s="123">
        <v>44409</v>
      </c>
      <c r="C141" s="134">
        <f t="shared" si="35"/>
        <v>0.18805231530576175</v>
      </c>
      <c r="D141" s="134">
        <f t="shared" si="35"/>
        <v>5.6694154741692938E-3</v>
      </c>
      <c r="E141" s="134">
        <f t="shared" si="35"/>
        <v>7.0350495049504946</v>
      </c>
      <c r="F141" s="134">
        <f t="shared" si="35"/>
        <v>14.879470275271801</v>
      </c>
      <c r="G141" s="134">
        <f t="shared" si="35"/>
        <v>0.3849886872490022</v>
      </c>
      <c r="H141" s="133">
        <f t="shared" si="35"/>
        <v>2.1200705158983251</v>
      </c>
      <c r="I141" s="124"/>
      <c r="J141" s="123">
        <v>45139</v>
      </c>
      <c r="K141" s="134">
        <f t="shared" si="36"/>
        <v>8.87009719231341E-2</v>
      </c>
      <c r="L141" s="134">
        <f t="shared" si="36"/>
        <v>2.6741636335464178E-3</v>
      </c>
      <c r="M141" s="134">
        <f t="shared" si="36"/>
        <v>3.318309203488722</v>
      </c>
      <c r="N141" s="134">
        <f t="shared" si="36"/>
        <v>7.018384607347369</v>
      </c>
      <c r="O141" s="134">
        <f t="shared" si="36"/>
        <v>0.18159239721602996</v>
      </c>
      <c r="P141" s="133">
        <f t="shared" si="36"/>
        <v>1</v>
      </c>
    </row>
    <row r="142" spans="1:16" ht="13.5" customHeight="1" thickBot="1" x14ac:dyDescent="0.25"/>
    <row r="143" spans="1:16" ht="13.5" customHeight="1" thickBot="1" x14ac:dyDescent="0.25">
      <c r="A143" s="32"/>
      <c r="B143" s="385" t="s">
        <v>702</v>
      </c>
      <c r="C143" s="348"/>
      <c r="D143" s="348"/>
      <c r="E143" s="348"/>
      <c r="F143" s="348"/>
      <c r="G143" s="348"/>
      <c r="H143" s="349"/>
      <c r="I143" s="32"/>
      <c r="J143" s="385" t="s">
        <v>701</v>
      </c>
      <c r="K143" s="348"/>
      <c r="L143" s="348"/>
      <c r="M143" s="348"/>
      <c r="N143" s="348"/>
      <c r="O143" s="348"/>
      <c r="P143" s="349"/>
    </row>
    <row r="144" spans="1:16" ht="6.75" customHeight="1" thickBot="1" x14ac:dyDescent="0.25">
      <c r="A144" s="32"/>
      <c r="B144" s="33"/>
      <c r="C144" s="32"/>
      <c r="D144" s="32"/>
      <c r="E144" s="32"/>
      <c r="F144" s="32"/>
      <c r="G144" s="32"/>
      <c r="H144" s="32"/>
      <c r="I144" s="32"/>
      <c r="J144" s="33"/>
      <c r="K144" s="32"/>
      <c r="L144" s="32"/>
      <c r="M144" s="32"/>
      <c r="N144" s="32"/>
      <c r="O144" s="32"/>
      <c r="P144" s="32"/>
    </row>
    <row r="145" spans="2:16" ht="27" customHeight="1" thickBot="1" x14ac:dyDescent="0.25">
      <c r="B145" s="132" t="s">
        <v>700</v>
      </c>
      <c r="C145" s="131" t="s">
        <v>699</v>
      </c>
      <c r="D145" s="131" t="s">
        <v>698</v>
      </c>
      <c r="E145" s="131" t="s">
        <v>697</v>
      </c>
      <c r="F145" s="131" t="s">
        <v>696</v>
      </c>
      <c r="G145" s="131" t="s">
        <v>695</v>
      </c>
      <c r="H145" s="130" t="s">
        <v>44</v>
      </c>
      <c r="J145" s="132" t="s">
        <v>700</v>
      </c>
      <c r="K145" s="131" t="s">
        <v>699</v>
      </c>
      <c r="L145" s="131" t="s">
        <v>698</v>
      </c>
      <c r="M145" s="131" t="s">
        <v>697</v>
      </c>
      <c r="N145" s="131" t="s">
        <v>696</v>
      </c>
      <c r="O145" s="131" t="s">
        <v>695</v>
      </c>
      <c r="P145" s="130" t="s">
        <v>44</v>
      </c>
    </row>
    <row r="146" spans="2:16" ht="13.5" customHeight="1" x14ac:dyDescent="0.2">
      <c r="B146" s="128">
        <v>43891</v>
      </c>
      <c r="C146" s="129"/>
      <c r="D146" s="129"/>
      <c r="E146" s="129"/>
      <c r="F146" s="129"/>
      <c r="G146" s="129"/>
      <c r="H146" s="129"/>
      <c r="J146" s="128">
        <v>43891</v>
      </c>
      <c r="K146" s="129"/>
      <c r="L146" s="129"/>
      <c r="M146" s="129"/>
      <c r="N146" s="129"/>
      <c r="O146" s="129"/>
      <c r="P146" s="129"/>
    </row>
    <row r="147" spans="2:16" ht="13.5" customHeight="1" x14ac:dyDescent="0.2">
      <c r="B147" s="128">
        <v>43922</v>
      </c>
      <c r="C147" s="126">
        <f t="shared" ref="C147:H156" si="37">C55/C54</f>
        <v>5.6518204312477911</v>
      </c>
      <c r="D147" s="126">
        <f t="shared" si="37"/>
        <v>5.5004295011722855</v>
      </c>
      <c r="E147" s="126">
        <f t="shared" si="37"/>
        <v>0.60514851485148513</v>
      </c>
      <c r="F147" s="126">
        <f t="shared" si="37"/>
        <v>3.8678926671293086</v>
      </c>
      <c r="G147" s="126">
        <f t="shared" si="37"/>
        <v>1.8996480753421765</v>
      </c>
      <c r="H147" s="126">
        <f t="shared" si="37"/>
        <v>3.1859555835835547</v>
      </c>
      <c r="J147" s="128">
        <v>43922</v>
      </c>
      <c r="K147" s="126">
        <f t="shared" ref="K147:P156" si="38">K55/K54</f>
        <v>1.7739796688849747</v>
      </c>
      <c r="L147" s="126">
        <f t="shared" si="38"/>
        <v>1.7264614514761742</v>
      </c>
      <c r="M147" s="126">
        <f t="shared" si="38"/>
        <v>0.18994254595690743</v>
      </c>
      <c r="N147" s="126">
        <f t="shared" si="38"/>
        <v>1.214044755381904</v>
      </c>
      <c r="O147" s="126">
        <f t="shared" si="38"/>
        <v>0.59625692370935601</v>
      </c>
      <c r="P147" s="126">
        <f t="shared" si="38"/>
        <v>1</v>
      </c>
    </row>
    <row r="148" spans="2:16" ht="13.5" customHeight="1" x14ac:dyDescent="0.2">
      <c r="B148" s="128">
        <v>43952</v>
      </c>
      <c r="C148" s="126">
        <f t="shared" si="37"/>
        <v>3.344142848208143</v>
      </c>
      <c r="D148" s="126">
        <f t="shared" si="37"/>
        <v>1.4438738623700917</v>
      </c>
      <c r="E148" s="126">
        <f t="shared" si="37"/>
        <v>0.16361256544502617</v>
      </c>
      <c r="F148" s="126">
        <f t="shared" si="37"/>
        <v>1.798943238701266</v>
      </c>
      <c r="G148" s="126">
        <f t="shared" si="37"/>
        <v>0.79698907018094345</v>
      </c>
      <c r="H148" s="126">
        <f t="shared" si="37"/>
        <v>1.3002799510007021</v>
      </c>
      <c r="J148" s="128">
        <v>43952</v>
      </c>
      <c r="K148" s="126">
        <f t="shared" si="38"/>
        <v>2.5718637326019476</v>
      </c>
      <c r="L148" s="126">
        <f t="shared" si="38"/>
        <v>1.1104330734768915</v>
      </c>
      <c r="M148" s="126">
        <f t="shared" si="38"/>
        <v>0.12582872274475129</v>
      </c>
      <c r="N148" s="126">
        <f t="shared" si="38"/>
        <v>1.3835045578583212</v>
      </c>
      <c r="O148" s="126">
        <f t="shared" si="38"/>
        <v>0.61293652152951861</v>
      </c>
      <c r="P148" s="126">
        <f t="shared" si="38"/>
        <v>1</v>
      </c>
    </row>
    <row r="149" spans="2:16" ht="13.5" customHeight="1" x14ac:dyDescent="0.2">
      <c r="B149" s="128">
        <v>43983</v>
      </c>
      <c r="C149" s="126">
        <f t="shared" si="37"/>
        <v>2.3963661526664732</v>
      </c>
      <c r="D149" s="126">
        <f t="shared" si="37"/>
        <v>1.5386218704250514</v>
      </c>
      <c r="E149" s="126">
        <f t="shared" si="37"/>
        <v>1.4039999999999999</v>
      </c>
      <c r="F149" s="126">
        <f t="shared" si="37"/>
        <v>1.9119729254869107</v>
      </c>
      <c r="G149" s="126">
        <f t="shared" si="37"/>
        <v>0.72651291582526933</v>
      </c>
      <c r="H149" s="126">
        <f t="shared" si="37"/>
        <v>1.4767629009077705</v>
      </c>
      <c r="J149" s="128">
        <v>43983</v>
      </c>
      <c r="K149" s="126">
        <f t="shared" si="38"/>
        <v>1.6227155701117761</v>
      </c>
      <c r="L149" s="126">
        <f t="shared" si="38"/>
        <v>1.0418882201599566</v>
      </c>
      <c r="M149" s="126">
        <f t="shared" si="38"/>
        <v>0.95072810885007819</v>
      </c>
      <c r="N149" s="126">
        <f t="shared" si="38"/>
        <v>1.2947054156842748</v>
      </c>
      <c r="O149" s="126">
        <f t="shared" si="38"/>
        <v>0.49196314139438341</v>
      </c>
      <c r="P149" s="126">
        <f t="shared" si="38"/>
        <v>1</v>
      </c>
    </row>
    <row r="150" spans="2:16" ht="13.5" customHeight="1" x14ac:dyDescent="0.2">
      <c r="B150" s="128">
        <v>44013</v>
      </c>
      <c r="C150" s="126">
        <f t="shared" si="37"/>
        <v>2.0155268959865764</v>
      </c>
      <c r="D150" s="126">
        <f t="shared" si="37"/>
        <v>1.6915662660566544</v>
      </c>
      <c r="E150" s="126">
        <f t="shared" si="37"/>
        <v>12.454415954415955</v>
      </c>
      <c r="F150" s="126">
        <f t="shared" si="37"/>
        <v>1.6741282913754596</v>
      </c>
      <c r="G150" s="126">
        <f t="shared" si="37"/>
        <v>0.97617429433958858</v>
      </c>
      <c r="H150" s="126">
        <f t="shared" si="37"/>
        <v>1.6338590803164557</v>
      </c>
      <c r="J150" s="128">
        <v>44013</v>
      </c>
      <c r="K150" s="126">
        <f t="shared" si="38"/>
        <v>1.2335989806392587</v>
      </c>
      <c r="L150" s="126">
        <f t="shared" si="38"/>
        <v>1.0353195611759993</v>
      </c>
      <c r="M150" s="126">
        <f t="shared" si="38"/>
        <v>7.6226989857679204</v>
      </c>
      <c r="N150" s="126">
        <f t="shared" si="38"/>
        <v>1.0246466855949441</v>
      </c>
      <c r="O150" s="126">
        <f t="shared" si="38"/>
        <v>0.59746541553052257</v>
      </c>
      <c r="P150" s="126">
        <f t="shared" si="38"/>
        <v>1</v>
      </c>
    </row>
    <row r="151" spans="2:16" ht="13.5" customHeight="1" x14ac:dyDescent="0.2">
      <c r="B151" s="128">
        <v>44044</v>
      </c>
      <c r="C151" s="126">
        <f t="shared" si="37"/>
        <v>0.6496517969677198</v>
      </c>
      <c r="D151" s="126">
        <f t="shared" si="37"/>
        <v>1.0107452572703928</v>
      </c>
      <c r="E151" s="126">
        <f t="shared" si="37"/>
        <v>1.3052727896602996</v>
      </c>
      <c r="F151" s="126">
        <f t="shared" si="37"/>
        <v>1.5554043801291095</v>
      </c>
      <c r="G151" s="126">
        <f t="shared" si="37"/>
        <v>1.876090310433441</v>
      </c>
      <c r="H151" s="126">
        <f t="shared" si="37"/>
        <v>1.1884067738184669</v>
      </c>
      <c r="J151" s="128">
        <v>44044</v>
      </c>
      <c r="K151" s="126">
        <f t="shared" si="38"/>
        <v>0.54665777011715033</v>
      </c>
      <c r="L151" s="126">
        <f t="shared" si="38"/>
        <v>0.8505044565025236</v>
      </c>
      <c r="M151" s="126">
        <f t="shared" si="38"/>
        <v>1.0983383959234183</v>
      </c>
      <c r="N151" s="126">
        <f t="shared" si="38"/>
        <v>1.3088148051625819</v>
      </c>
      <c r="O151" s="126">
        <f t="shared" si="38"/>
        <v>1.5786600613234305</v>
      </c>
      <c r="P151" s="126">
        <f t="shared" si="38"/>
        <v>1</v>
      </c>
    </row>
    <row r="152" spans="2:16" ht="13.5" customHeight="1" x14ac:dyDescent="0.2">
      <c r="B152" s="128">
        <v>44075</v>
      </c>
      <c r="C152" s="126">
        <f t="shared" si="37"/>
        <v>0.68507916829334436</v>
      </c>
      <c r="D152" s="126">
        <f t="shared" si="37"/>
        <v>0.79665735601523791</v>
      </c>
      <c r="E152" s="126">
        <f t="shared" si="37"/>
        <v>0.34069400630914826</v>
      </c>
      <c r="F152" s="126">
        <f t="shared" si="37"/>
        <v>1.2393847285926722</v>
      </c>
      <c r="G152" s="126">
        <f t="shared" si="37"/>
        <v>1.7191218752003472</v>
      </c>
      <c r="H152" s="126">
        <f t="shared" si="37"/>
        <v>1.0417856753305297</v>
      </c>
      <c r="J152" s="128">
        <v>44075</v>
      </c>
      <c r="K152" s="126">
        <f t="shared" si="38"/>
        <v>0.65760087176855064</v>
      </c>
      <c r="L152" s="126">
        <f t="shared" si="38"/>
        <v>0.76470369566415919</v>
      </c>
      <c r="M152" s="126">
        <f t="shared" si="38"/>
        <v>0.32702888355712467</v>
      </c>
      <c r="N152" s="126">
        <f t="shared" si="38"/>
        <v>1.1896734212624398</v>
      </c>
      <c r="O152" s="126">
        <f t="shared" si="38"/>
        <v>1.6501684712212208</v>
      </c>
      <c r="P152" s="126">
        <f t="shared" si="38"/>
        <v>1</v>
      </c>
    </row>
    <row r="153" spans="2:16" ht="13.5" customHeight="1" x14ac:dyDescent="0.2">
      <c r="B153" s="128">
        <v>44105</v>
      </c>
      <c r="C153" s="126">
        <f t="shared" si="37"/>
        <v>1.3179237772915315</v>
      </c>
      <c r="D153" s="126">
        <f t="shared" si="37"/>
        <v>1.1583842653703842</v>
      </c>
      <c r="E153" s="126">
        <f t="shared" si="37"/>
        <v>2.1604938271604937</v>
      </c>
      <c r="F153" s="126">
        <f t="shared" si="37"/>
        <v>0.88212909831815034</v>
      </c>
      <c r="G153" s="126">
        <f t="shared" si="37"/>
        <v>3.1337374835588361</v>
      </c>
      <c r="H153" s="126">
        <f t="shared" si="37"/>
        <v>1.3633165582377487</v>
      </c>
      <c r="J153" s="128">
        <v>44105</v>
      </c>
      <c r="K153" s="126">
        <f t="shared" si="38"/>
        <v>0.96670415196534198</v>
      </c>
      <c r="L153" s="126">
        <f t="shared" si="38"/>
        <v>0.84968106517222663</v>
      </c>
      <c r="M153" s="126">
        <f t="shared" si="38"/>
        <v>1.5847337979619298</v>
      </c>
      <c r="N153" s="126">
        <f t="shared" si="38"/>
        <v>0.64704641998803925</v>
      </c>
      <c r="O153" s="126">
        <f t="shared" si="38"/>
        <v>2.2986132344857384</v>
      </c>
      <c r="P153" s="126">
        <f t="shared" si="38"/>
        <v>1</v>
      </c>
    </row>
    <row r="154" spans="2:16" ht="13.5" customHeight="1" x14ac:dyDescent="0.2">
      <c r="B154" s="128">
        <v>44136</v>
      </c>
      <c r="C154" s="126">
        <f t="shared" si="37"/>
        <v>1.3010730683284757</v>
      </c>
      <c r="D154" s="126">
        <f t="shared" si="37"/>
        <v>1.6575302328129049</v>
      </c>
      <c r="E154" s="126">
        <f t="shared" si="37"/>
        <v>1.1260714285714286</v>
      </c>
      <c r="F154" s="126">
        <f t="shared" si="37"/>
        <v>0.97032682089789701</v>
      </c>
      <c r="G154" s="126">
        <f t="shared" si="37"/>
        <v>1.7871867231084382</v>
      </c>
      <c r="H154" s="126">
        <f t="shared" si="37"/>
        <v>1.5049343371177721</v>
      </c>
      <c r="J154" s="128">
        <v>44136</v>
      </c>
      <c r="K154" s="126">
        <f t="shared" si="38"/>
        <v>0.86453809727025799</v>
      </c>
      <c r="L154" s="126">
        <f t="shared" si="38"/>
        <v>1.101397045659402</v>
      </c>
      <c r="M154" s="126">
        <f t="shared" si="38"/>
        <v>0.748252864459232</v>
      </c>
      <c r="N154" s="126">
        <f t="shared" si="38"/>
        <v>0.64476356008744706</v>
      </c>
      <c r="O154" s="126">
        <f t="shared" si="38"/>
        <v>1.187551296444755</v>
      </c>
      <c r="P154" s="126">
        <f t="shared" si="38"/>
        <v>1</v>
      </c>
    </row>
    <row r="155" spans="2:16" ht="13.5" customHeight="1" x14ac:dyDescent="0.2">
      <c r="B155" s="128">
        <v>44166</v>
      </c>
      <c r="C155" s="126">
        <f t="shared" si="37"/>
        <v>1.4407994378160065</v>
      </c>
      <c r="D155" s="126">
        <f t="shared" si="37"/>
        <v>1.4033901612086386</v>
      </c>
      <c r="E155" s="126">
        <f t="shared" si="37"/>
        <v>0.41738027275610529</v>
      </c>
      <c r="F155" s="126">
        <f t="shared" si="37"/>
        <v>0.99493932062897195</v>
      </c>
      <c r="G155" s="126">
        <f t="shared" si="37"/>
        <v>0.79290418414060249</v>
      </c>
      <c r="H155" s="126">
        <f t="shared" si="37"/>
        <v>1.0613132069558318</v>
      </c>
      <c r="J155" s="128">
        <v>44166</v>
      </c>
      <c r="K155" s="126">
        <f t="shared" si="38"/>
        <v>1.3575629026125626</v>
      </c>
      <c r="L155" s="126">
        <f t="shared" si="38"/>
        <v>1.3223148002030309</v>
      </c>
      <c r="M155" s="126">
        <f t="shared" si="38"/>
        <v>0.39326776489786514</v>
      </c>
      <c r="N155" s="126">
        <f t="shared" si="38"/>
        <v>0.93746060456814606</v>
      </c>
      <c r="O155" s="126">
        <f t="shared" si="38"/>
        <v>0.74709725549811279</v>
      </c>
      <c r="P155" s="126">
        <f t="shared" si="38"/>
        <v>1</v>
      </c>
    </row>
    <row r="156" spans="2:16" ht="13.5" customHeight="1" x14ac:dyDescent="0.2">
      <c r="B156" s="128">
        <v>44197</v>
      </c>
      <c r="C156" s="126">
        <f t="shared" si="37"/>
        <v>1.4612135298364235</v>
      </c>
      <c r="D156" s="126">
        <f t="shared" si="37"/>
        <v>1.1164460460040022</v>
      </c>
      <c r="E156" s="126">
        <f t="shared" si="37"/>
        <v>0.54305977710233033</v>
      </c>
      <c r="F156" s="126">
        <f t="shared" si="37"/>
        <v>0.76700336785540646</v>
      </c>
      <c r="G156" s="126">
        <f t="shared" si="37"/>
        <v>1.1120157390511318</v>
      </c>
      <c r="H156" s="126">
        <f t="shared" si="37"/>
        <v>1.0665228907563884</v>
      </c>
      <c r="J156" s="128">
        <v>44197</v>
      </c>
      <c r="K156" s="126">
        <f t="shared" si="38"/>
        <v>1.3700723561592913</v>
      </c>
      <c r="L156" s="126">
        <f t="shared" si="38"/>
        <v>1.0468092674618616</v>
      </c>
      <c r="M156" s="126">
        <f t="shared" si="38"/>
        <v>0.50918717432983274</v>
      </c>
      <c r="N156" s="126">
        <f t="shared" si="38"/>
        <v>0.71916259322989329</v>
      </c>
      <c r="O156" s="126">
        <f t="shared" si="38"/>
        <v>1.0426552947799175</v>
      </c>
      <c r="P156" s="125">
        <f t="shared" si="38"/>
        <v>1</v>
      </c>
    </row>
    <row r="157" spans="2:16" ht="13.5" customHeight="1" x14ac:dyDescent="0.2">
      <c r="B157" s="128">
        <v>44228</v>
      </c>
      <c r="C157" s="126">
        <f t="shared" ref="C157:H166" si="39">C65/C64</f>
        <v>0.41681498360580671</v>
      </c>
      <c r="D157" s="126">
        <f t="shared" si="39"/>
        <v>0.5060519646911037</v>
      </c>
      <c r="E157" s="126">
        <f t="shared" si="39"/>
        <v>0.55410447761194026</v>
      </c>
      <c r="F157" s="126">
        <f t="shared" si="39"/>
        <v>0.7832436273416109</v>
      </c>
      <c r="G157" s="126">
        <f t="shared" si="39"/>
        <v>0.54619729588777255</v>
      </c>
      <c r="H157" s="126">
        <f t="shared" si="39"/>
        <v>0.54966914301345293</v>
      </c>
      <c r="J157" s="128">
        <v>44228</v>
      </c>
      <c r="K157" s="126">
        <f t="shared" ref="K157:P166" si="40">K65/K64</f>
        <v>0.75830158724337438</v>
      </c>
      <c r="L157" s="126">
        <f t="shared" si="40"/>
        <v>0.92064830475433512</v>
      </c>
      <c r="M157" s="126">
        <f t="shared" si="40"/>
        <v>1.008069098756702</v>
      </c>
      <c r="N157" s="126">
        <f t="shared" si="40"/>
        <v>1.4249365046173628</v>
      </c>
      <c r="O157" s="126">
        <f t="shared" si="40"/>
        <v>0.99368375108952489</v>
      </c>
      <c r="P157" s="125">
        <f t="shared" si="40"/>
        <v>1</v>
      </c>
    </row>
    <row r="158" spans="2:16" ht="13.5" customHeight="1" x14ac:dyDescent="0.2">
      <c r="B158" s="128">
        <v>44256</v>
      </c>
      <c r="C158" s="126">
        <f t="shared" si="39"/>
        <v>0.94634013778508874</v>
      </c>
      <c r="D158" s="126">
        <f t="shared" si="39"/>
        <v>1.0508799928529309</v>
      </c>
      <c r="E158" s="126">
        <f t="shared" si="39"/>
        <v>5.0883838383838382</v>
      </c>
      <c r="F158" s="126">
        <f t="shared" si="39"/>
        <v>1.7785748435647235</v>
      </c>
      <c r="G158" s="126">
        <f t="shared" si="39"/>
        <v>1.3812345963946291</v>
      </c>
      <c r="H158" s="126">
        <f t="shared" si="39"/>
        <v>1.2861492156142427</v>
      </c>
      <c r="J158" s="128">
        <v>44256</v>
      </c>
      <c r="K158" s="126">
        <f t="shared" si="40"/>
        <v>0.73579342606303499</v>
      </c>
      <c r="L158" s="126">
        <f t="shared" si="40"/>
        <v>0.81707470649200586</v>
      </c>
      <c r="M158" s="126">
        <f t="shared" si="40"/>
        <v>3.9562935440221954</v>
      </c>
      <c r="N158" s="126">
        <f t="shared" si="40"/>
        <v>1.3828681944305403</v>
      </c>
      <c r="O158" s="126">
        <f t="shared" si="40"/>
        <v>1.0739302871128957</v>
      </c>
      <c r="P158" s="125">
        <f t="shared" si="40"/>
        <v>1</v>
      </c>
    </row>
    <row r="159" spans="2:16" ht="13.5" customHeight="1" x14ac:dyDescent="0.2">
      <c r="B159" s="128">
        <v>44287</v>
      </c>
      <c r="C159" s="126">
        <f t="shared" si="39"/>
        <v>1.061828679660292</v>
      </c>
      <c r="D159" s="126">
        <f t="shared" si="39"/>
        <v>1.1615472956407356</v>
      </c>
      <c r="E159" s="126">
        <f t="shared" si="39"/>
        <v>1.0087675765095121</v>
      </c>
      <c r="F159" s="126">
        <f t="shared" si="39"/>
        <v>3.1644138516593996</v>
      </c>
      <c r="G159" s="126">
        <f t="shared" si="39"/>
        <v>0.92413955073180776</v>
      </c>
      <c r="H159" s="126">
        <f t="shared" si="39"/>
        <v>1.5494337454167137</v>
      </c>
      <c r="J159" s="128">
        <v>44287</v>
      </c>
      <c r="K159" s="126">
        <f t="shared" si="40"/>
        <v>0.68530111907090141</v>
      </c>
      <c r="L159" s="126">
        <f t="shared" si="40"/>
        <v>0.74965922168446264</v>
      </c>
      <c r="M159" s="126">
        <f t="shared" si="40"/>
        <v>0.65105563854762194</v>
      </c>
      <c r="N159" s="126">
        <f t="shared" si="40"/>
        <v>2.0423034292494666</v>
      </c>
      <c r="O159" s="126">
        <f t="shared" si="40"/>
        <v>0.59643695864082547</v>
      </c>
      <c r="P159" s="125">
        <f t="shared" si="40"/>
        <v>1</v>
      </c>
    </row>
    <row r="160" spans="2:16" ht="13.5" customHeight="1" x14ac:dyDescent="0.2">
      <c r="B160" s="128">
        <v>44317</v>
      </c>
      <c r="C160" s="126">
        <f t="shared" si="39"/>
        <v>0.82713570152397009</v>
      </c>
      <c r="D160" s="126">
        <f t="shared" si="39"/>
        <v>0.88977289732512477</v>
      </c>
      <c r="E160" s="126">
        <f t="shared" si="39"/>
        <v>0.93817645129550675</v>
      </c>
      <c r="F160" s="126">
        <f t="shared" si="39"/>
        <v>1.1276675664466784</v>
      </c>
      <c r="G160" s="126">
        <f t="shared" si="39"/>
        <v>0.56467441569803778</v>
      </c>
      <c r="H160" s="126">
        <f t="shared" si="39"/>
        <v>0.93351163483788735</v>
      </c>
      <c r="J160" s="128">
        <v>44317</v>
      </c>
      <c r="K160" s="126">
        <f t="shared" si="40"/>
        <v>0.88604755490552578</v>
      </c>
      <c r="L160" s="126">
        <f t="shared" si="40"/>
        <v>0.95314601781009589</v>
      </c>
      <c r="M160" s="126">
        <f t="shared" si="40"/>
        <v>1.0049970630076073</v>
      </c>
      <c r="N160" s="126">
        <f t="shared" si="40"/>
        <v>1.2079844796390868</v>
      </c>
      <c r="O160" s="126">
        <f t="shared" si="40"/>
        <v>0.60489274544081983</v>
      </c>
      <c r="P160" s="125">
        <f t="shared" si="40"/>
        <v>1</v>
      </c>
    </row>
    <row r="161" spans="2:16" ht="13.5" customHeight="1" x14ac:dyDescent="0.2">
      <c r="B161" s="128">
        <v>44348</v>
      </c>
      <c r="C161" s="126">
        <f t="shared" si="39"/>
        <v>2.2396598201707856</v>
      </c>
      <c r="D161" s="126">
        <f t="shared" si="39"/>
        <v>0.88074756224115913</v>
      </c>
      <c r="E161" s="126">
        <f t="shared" si="39"/>
        <v>1.1157140360076909</v>
      </c>
      <c r="F161" s="126">
        <f t="shared" si="39"/>
        <v>0.38330494885484229</v>
      </c>
      <c r="G161" s="126">
        <f t="shared" si="39"/>
        <v>0.49170975395975175</v>
      </c>
      <c r="H161" s="126">
        <f t="shared" si="39"/>
        <v>0.55600425557566446</v>
      </c>
      <c r="J161" s="128">
        <v>44348</v>
      </c>
      <c r="K161" s="126">
        <f t="shared" si="40"/>
        <v>4.0281343132022105</v>
      </c>
      <c r="L161" s="126">
        <f t="shared" si="40"/>
        <v>1.5840662250494262</v>
      </c>
      <c r="M161" s="126">
        <f t="shared" si="40"/>
        <v>2.0066645620410326</v>
      </c>
      <c r="N161" s="126">
        <f t="shared" si="40"/>
        <v>0.68939211347939</v>
      </c>
      <c r="O161" s="126">
        <f t="shared" si="40"/>
        <v>0.88436329223893295</v>
      </c>
      <c r="P161" s="125">
        <f t="shared" si="40"/>
        <v>1</v>
      </c>
    </row>
    <row r="162" spans="2:16" ht="13.5" customHeight="1" x14ac:dyDescent="0.2">
      <c r="B162" s="128">
        <v>44378</v>
      </c>
      <c r="C162" s="126">
        <f t="shared" si="39"/>
        <v>1.8956842074202001</v>
      </c>
      <c r="D162" s="126">
        <f t="shared" si="39"/>
        <v>1.0152379661864954</v>
      </c>
      <c r="E162" s="126">
        <f t="shared" si="39"/>
        <v>4.7358608804637319</v>
      </c>
      <c r="F162" s="126">
        <f t="shared" si="39"/>
        <v>1.332990056664459</v>
      </c>
      <c r="G162" s="126">
        <f t="shared" si="39"/>
        <v>2.4772832476189404</v>
      </c>
      <c r="H162" s="126">
        <f t="shared" si="39"/>
        <v>1.3667659947322295</v>
      </c>
      <c r="J162" s="128">
        <v>44378</v>
      </c>
      <c r="K162" s="126">
        <f t="shared" si="40"/>
        <v>1.3869852006316514</v>
      </c>
      <c r="L162" s="126">
        <f t="shared" si="40"/>
        <v>0.74280306219163439</v>
      </c>
      <c r="M162" s="126">
        <f t="shared" si="40"/>
        <v>3.4650122250016611</v>
      </c>
      <c r="N162" s="126">
        <f t="shared" si="40"/>
        <v>0.97528769504220225</v>
      </c>
      <c r="O162" s="126">
        <f t="shared" si="40"/>
        <v>1.8125145468696551</v>
      </c>
      <c r="P162" s="125">
        <f t="shared" si="40"/>
        <v>1</v>
      </c>
    </row>
    <row r="163" spans="2:16" ht="13.5" customHeight="1" x14ac:dyDescent="0.2">
      <c r="B163" s="128">
        <v>44409</v>
      </c>
      <c r="C163" s="126">
        <f t="shared" si="39"/>
        <v>0.91982969226962819</v>
      </c>
      <c r="D163" s="126">
        <f t="shared" si="39"/>
        <v>1.3863560434866977</v>
      </c>
      <c r="E163" s="126">
        <f t="shared" si="39"/>
        <v>2.0518045585365048</v>
      </c>
      <c r="F163" s="126">
        <f t="shared" si="39"/>
        <v>1.3132414972492366</v>
      </c>
      <c r="G163" s="126">
        <f t="shared" si="39"/>
        <v>1.2304443235752305</v>
      </c>
      <c r="H163" s="126">
        <f t="shared" si="39"/>
        <v>1.2891611847383115</v>
      </c>
      <c r="J163" s="128">
        <v>44409</v>
      </c>
      <c r="K163" s="126">
        <f t="shared" si="40"/>
        <v>0.71351022910013051</v>
      </c>
      <c r="L163" s="126">
        <f t="shared" si="40"/>
        <v>1.0753938761878841</v>
      </c>
      <c r="M163" s="126">
        <f t="shared" si="40"/>
        <v>1.5915810860788546</v>
      </c>
      <c r="N163" s="126">
        <f t="shared" si="40"/>
        <v>1.0186790548738196</v>
      </c>
      <c r="O163" s="126">
        <f t="shared" si="40"/>
        <v>0.95445343696490526</v>
      </c>
      <c r="P163" s="125">
        <f t="shared" si="40"/>
        <v>1</v>
      </c>
    </row>
    <row r="164" spans="2:16" ht="13.5" customHeight="1" x14ac:dyDescent="0.2">
      <c r="B164" s="128">
        <v>44440</v>
      </c>
      <c r="C164" s="126">
        <f t="shared" si="39"/>
        <v>0.4673183956991584</v>
      </c>
      <c r="D164" s="126">
        <f t="shared" si="39"/>
        <v>0.88864863119519122</v>
      </c>
      <c r="E164" s="126">
        <f t="shared" si="39"/>
        <v>1.1446214368631498</v>
      </c>
      <c r="F164" s="126">
        <f t="shared" si="39"/>
        <v>0.72207040233438013</v>
      </c>
      <c r="G164" s="126">
        <f t="shared" si="39"/>
        <v>0.88717422888910169</v>
      </c>
      <c r="H164" s="126">
        <f t="shared" si="39"/>
        <v>0.79852014219100698</v>
      </c>
      <c r="J164" s="128">
        <v>44440</v>
      </c>
      <c r="K164" s="126">
        <f t="shared" si="40"/>
        <v>0.58523056715503019</v>
      </c>
      <c r="L164" s="126">
        <f t="shared" si="40"/>
        <v>1.1128693995831922</v>
      </c>
      <c r="M164" s="126">
        <f t="shared" si="40"/>
        <v>1.43342838381321</v>
      </c>
      <c r="N164" s="126">
        <f t="shared" si="40"/>
        <v>0.90426072453618844</v>
      </c>
      <c r="O164" s="126">
        <f t="shared" si="40"/>
        <v>1.1110229811546675</v>
      </c>
      <c r="P164" s="125">
        <f t="shared" si="40"/>
        <v>1</v>
      </c>
    </row>
    <row r="165" spans="2:16" ht="13.5" customHeight="1" x14ac:dyDescent="0.2">
      <c r="B165" s="128">
        <v>44470</v>
      </c>
      <c r="C165" s="126">
        <f t="shared" si="39"/>
        <v>0.39027988221504334</v>
      </c>
      <c r="D165" s="126">
        <f t="shared" si="39"/>
        <v>0.63083796949641091</v>
      </c>
      <c r="E165" s="126">
        <f t="shared" si="39"/>
        <v>1.2426683945122123</v>
      </c>
      <c r="F165" s="126">
        <f t="shared" si="39"/>
        <v>0.63341673000898469</v>
      </c>
      <c r="G165" s="126">
        <f t="shared" si="39"/>
        <v>1.5885777713784281</v>
      </c>
      <c r="H165" s="126">
        <f t="shared" si="39"/>
        <v>0.84184166435680563</v>
      </c>
      <c r="J165" s="128">
        <v>44470</v>
      </c>
      <c r="K165" s="126">
        <f t="shared" si="40"/>
        <v>0.46360247863620507</v>
      </c>
      <c r="L165" s="126">
        <f t="shared" si="40"/>
        <v>0.74935465445083627</v>
      </c>
      <c r="M165" s="126">
        <f t="shared" si="40"/>
        <v>1.4761307822197791</v>
      </c>
      <c r="N165" s="126">
        <f t="shared" si="40"/>
        <v>0.75241789142491011</v>
      </c>
      <c r="O165" s="126">
        <f t="shared" si="40"/>
        <v>1.8870267873854323</v>
      </c>
      <c r="P165" s="125">
        <f t="shared" si="40"/>
        <v>1</v>
      </c>
    </row>
    <row r="166" spans="2:16" ht="13.5" customHeight="1" x14ac:dyDescent="0.2">
      <c r="B166" s="128">
        <v>44501</v>
      </c>
      <c r="C166" s="126">
        <f t="shared" si="39"/>
        <v>0.91223006827038589</v>
      </c>
      <c r="D166" s="126">
        <f t="shared" si="39"/>
        <v>0.86937708857789642</v>
      </c>
      <c r="E166" s="126">
        <f t="shared" si="39"/>
        <v>0.58266645507923198</v>
      </c>
      <c r="F166" s="126">
        <f t="shared" si="39"/>
        <v>0.75673165223489092</v>
      </c>
      <c r="G166" s="126">
        <f t="shared" si="39"/>
        <v>1.5623088461375241</v>
      </c>
      <c r="H166" s="126">
        <f t="shared" si="39"/>
        <v>1.1311377302271379</v>
      </c>
      <c r="J166" s="128">
        <v>44501</v>
      </c>
      <c r="K166" s="126">
        <f t="shared" si="40"/>
        <v>0.80647125800251207</v>
      </c>
      <c r="L166" s="126">
        <f t="shared" si="40"/>
        <v>0.7685864111378562</v>
      </c>
      <c r="M166" s="126">
        <f t="shared" si="40"/>
        <v>0.5151153917942688</v>
      </c>
      <c r="N166" s="126">
        <f t="shared" si="40"/>
        <v>0.66900045150375775</v>
      </c>
      <c r="O166" s="126">
        <f t="shared" si="40"/>
        <v>1.3811835680026383</v>
      </c>
      <c r="P166" s="125">
        <f t="shared" si="40"/>
        <v>1</v>
      </c>
    </row>
    <row r="167" spans="2:16" ht="13.5" customHeight="1" x14ac:dyDescent="0.2">
      <c r="B167" s="128">
        <v>44531</v>
      </c>
      <c r="C167" s="126">
        <f t="shared" ref="C167:H176" si="41">C75/C74</f>
        <v>5.6834759985224919</v>
      </c>
      <c r="D167" s="126">
        <f t="shared" si="41"/>
        <v>2.103553857323595</v>
      </c>
      <c r="E167" s="126">
        <f t="shared" si="41"/>
        <v>3.1762508754182552</v>
      </c>
      <c r="F167" s="126">
        <f t="shared" si="41"/>
        <v>0.8915212228427063</v>
      </c>
      <c r="G167" s="126">
        <f t="shared" si="41"/>
        <v>1.438191678048967</v>
      </c>
      <c r="H167" s="126">
        <f t="shared" si="41"/>
        <v>1.5391133769167822</v>
      </c>
      <c r="J167" s="128">
        <v>44531</v>
      </c>
      <c r="K167" s="126">
        <f t="shared" ref="K167:P176" si="42">K75/K74</f>
        <v>3.6926948227218159</v>
      </c>
      <c r="L167" s="126">
        <f t="shared" si="42"/>
        <v>1.3667309302044559</v>
      </c>
      <c r="M167" s="126">
        <f t="shared" si="42"/>
        <v>2.0636886944489152</v>
      </c>
      <c r="N167" s="126">
        <f t="shared" si="42"/>
        <v>0.57924337232949008</v>
      </c>
      <c r="O167" s="126">
        <f t="shared" si="42"/>
        <v>0.93442867797693629</v>
      </c>
      <c r="P167" s="125">
        <f t="shared" si="42"/>
        <v>1</v>
      </c>
    </row>
    <row r="168" spans="2:16" ht="13.5" customHeight="1" x14ac:dyDescent="0.2">
      <c r="B168" s="128">
        <v>44562</v>
      </c>
      <c r="C168" s="126">
        <f t="shared" si="41"/>
        <v>1.1696840570454912</v>
      </c>
      <c r="D168" s="126">
        <f t="shared" si="41"/>
        <v>4.6586668542890592</v>
      </c>
      <c r="E168" s="126">
        <f t="shared" si="41"/>
        <v>12.213747611347936</v>
      </c>
      <c r="F168" s="126">
        <f t="shared" si="41"/>
        <v>6.2169167278746622</v>
      </c>
      <c r="G168" s="126">
        <f t="shared" si="41"/>
        <v>3.1704283460603584</v>
      </c>
      <c r="H168" s="126">
        <f t="shared" si="41"/>
        <v>3.9044837725160524</v>
      </c>
      <c r="J168" s="128">
        <v>44562</v>
      </c>
      <c r="K168" s="126">
        <f t="shared" si="42"/>
        <v>0.29957457251557379</v>
      </c>
      <c r="L168" s="126">
        <f t="shared" si="42"/>
        <v>1.1931582062350361</v>
      </c>
      <c r="M168" s="126">
        <f t="shared" si="42"/>
        <v>3.1281337874474984</v>
      </c>
      <c r="N168" s="126">
        <f t="shared" si="42"/>
        <v>1.5922506252006976</v>
      </c>
      <c r="O168" s="126">
        <f t="shared" si="42"/>
        <v>0.81199680438608457</v>
      </c>
      <c r="P168" s="125">
        <f t="shared" si="42"/>
        <v>1</v>
      </c>
    </row>
    <row r="169" spans="2:16" ht="13.5" customHeight="1" x14ac:dyDescent="0.2">
      <c r="B169" s="128">
        <v>44593</v>
      </c>
      <c r="C169" s="126">
        <f t="shared" si="41"/>
        <v>0.48844969798579352</v>
      </c>
      <c r="D169" s="126">
        <f t="shared" si="41"/>
        <v>0.34995042627572681</v>
      </c>
      <c r="E169" s="126">
        <f t="shared" si="41"/>
        <v>0.44263583267766976</v>
      </c>
      <c r="F169" s="126">
        <f t="shared" si="41"/>
        <v>1.0792386967624412</v>
      </c>
      <c r="G169" s="126">
        <f t="shared" si="41"/>
        <v>0.72109000069771134</v>
      </c>
      <c r="H169" s="126">
        <f t="shared" si="41"/>
        <v>0.64204542285161947</v>
      </c>
      <c r="J169" s="128">
        <v>44593</v>
      </c>
      <c r="K169" s="126">
        <f t="shared" si="42"/>
        <v>0.76077124857671818</v>
      </c>
      <c r="L169" s="126">
        <f t="shared" si="42"/>
        <v>0.54505555809655293</v>
      </c>
      <c r="M169" s="126">
        <f t="shared" si="42"/>
        <v>0.68941513625581208</v>
      </c>
      <c r="N169" s="126">
        <f t="shared" si="42"/>
        <v>1.6809382301474014</v>
      </c>
      <c r="O169" s="126">
        <f t="shared" si="42"/>
        <v>1.1231136848464995</v>
      </c>
      <c r="P169" s="125">
        <f t="shared" si="42"/>
        <v>1</v>
      </c>
    </row>
    <row r="170" spans="2:16" ht="13.5" customHeight="1" x14ac:dyDescent="0.2">
      <c r="B170" s="128">
        <v>44621</v>
      </c>
      <c r="C170" s="126">
        <f t="shared" si="41"/>
        <v>0.38524426654093258</v>
      </c>
      <c r="D170" s="126">
        <f t="shared" si="41"/>
        <v>0.29409468995046378</v>
      </c>
      <c r="E170" s="126">
        <f t="shared" si="41"/>
        <v>1.9723163790603249</v>
      </c>
      <c r="F170" s="126">
        <f t="shared" si="41"/>
        <v>1.3419363080346343</v>
      </c>
      <c r="G170" s="126">
        <f t="shared" si="41"/>
        <v>0.71798397110237278</v>
      </c>
      <c r="H170" s="126">
        <f t="shared" si="41"/>
        <v>0.829462351465308</v>
      </c>
      <c r="J170" s="128">
        <v>44621</v>
      </c>
      <c r="K170" s="126">
        <f t="shared" si="42"/>
        <v>0.46445057555700925</v>
      </c>
      <c r="L170" s="126">
        <f t="shared" si="42"/>
        <v>0.35456062524227083</v>
      </c>
      <c r="M170" s="126">
        <f t="shared" si="42"/>
        <v>2.3778250761786581</v>
      </c>
      <c r="N170" s="126">
        <f t="shared" si="42"/>
        <v>1.6178387188568621</v>
      </c>
      <c r="O170" s="126">
        <f t="shared" si="42"/>
        <v>0.86560163922328692</v>
      </c>
      <c r="P170" s="125">
        <f t="shared" si="42"/>
        <v>1</v>
      </c>
    </row>
    <row r="171" spans="2:16" ht="13.5" customHeight="1" x14ac:dyDescent="0.2">
      <c r="B171" s="128">
        <v>44652</v>
      </c>
      <c r="C171" s="126">
        <f t="shared" si="41"/>
        <v>0.68549884884328005</v>
      </c>
      <c r="D171" s="126">
        <f t="shared" si="41"/>
        <v>0.71295503092623835</v>
      </c>
      <c r="E171" s="126">
        <f t="shared" si="41"/>
        <v>0.94153101198203271</v>
      </c>
      <c r="F171" s="126">
        <f t="shared" si="41"/>
        <v>0.36053317636945342</v>
      </c>
      <c r="G171" s="126">
        <f t="shared" si="41"/>
        <v>0.61374466155570051</v>
      </c>
      <c r="H171" s="126">
        <f t="shared" si="41"/>
        <v>0.51610217074558162</v>
      </c>
      <c r="J171" s="128">
        <v>44652</v>
      </c>
      <c r="K171" s="126">
        <f t="shared" si="42"/>
        <v>1.32822314591892</v>
      </c>
      <c r="L171" s="126">
        <f t="shared" si="42"/>
        <v>1.3814222674093297</v>
      </c>
      <c r="M171" s="126">
        <f t="shared" si="42"/>
        <v>1.8243112805006416</v>
      </c>
      <c r="N171" s="126">
        <f t="shared" si="42"/>
        <v>0.69856938568697158</v>
      </c>
      <c r="O171" s="126">
        <f t="shared" si="42"/>
        <v>1.1891921722961574</v>
      </c>
      <c r="P171" s="125">
        <f t="shared" si="42"/>
        <v>1</v>
      </c>
    </row>
    <row r="172" spans="2:16" ht="13.5" customHeight="1" x14ac:dyDescent="0.2">
      <c r="B172" s="128">
        <v>44682</v>
      </c>
      <c r="C172" s="126">
        <f t="shared" si="41"/>
        <v>1.4778195347908056</v>
      </c>
      <c r="D172" s="126">
        <f t="shared" si="41"/>
        <v>1.7465379533964531</v>
      </c>
      <c r="E172" s="126">
        <f t="shared" si="41"/>
        <v>1.0557673524493503</v>
      </c>
      <c r="F172" s="126">
        <f t="shared" si="41"/>
        <v>0.55163912156371309</v>
      </c>
      <c r="G172" s="126">
        <f t="shared" si="41"/>
        <v>0.50167536250400613</v>
      </c>
      <c r="H172" s="126">
        <f t="shared" si="41"/>
        <v>0.67667292746689056</v>
      </c>
      <c r="J172" s="128">
        <v>44682</v>
      </c>
      <c r="K172" s="126">
        <f t="shared" si="42"/>
        <v>2.1839495490428278</v>
      </c>
      <c r="L172" s="126">
        <f t="shared" si="42"/>
        <v>2.5810666904239503</v>
      </c>
      <c r="M172" s="126">
        <f t="shared" si="42"/>
        <v>1.5602328829699021</v>
      </c>
      <c r="N172" s="126">
        <f t="shared" si="42"/>
        <v>0.81522268613399573</v>
      </c>
      <c r="O172" s="126">
        <f t="shared" si="42"/>
        <v>0.74138530173213257</v>
      </c>
      <c r="P172" s="125">
        <f t="shared" si="42"/>
        <v>1</v>
      </c>
    </row>
    <row r="173" spans="2:16" ht="13.5" customHeight="1" x14ac:dyDescent="0.2">
      <c r="B173" s="128">
        <v>44713</v>
      </c>
      <c r="C173" s="126">
        <f t="shared" si="41"/>
        <v>0.79285756528644935</v>
      </c>
      <c r="D173" s="126">
        <f t="shared" si="41"/>
        <v>1.3699470460565972</v>
      </c>
      <c r="E173" s="126">
        <f t="shared" si="41"/>
        <v>0.55899304271449701</v>
      </c>
      <c r="F173" s="126">
        <f t="shared" si="41"/>
        <v>0.80536001151073733</v>
      </c>
      <c r="G173" s="126">
        <f t="shared" si="41"/>
        <v>0.92288557366954549</v>
      </c>
      <c r="H173" s="126">
        <f t="shared" si="41"/>
        <v>0.96164938728317195</v>
      </c>
      <c r="J173" s="128">
        <v>44713</v>
      </c>
      <c r="K173" s="126">
        <f t="shared" si="42"/>
        <v>0.82447675397205933</v>
      </c>
      <c r="L173" s="126">
        <f t="shared" si="42"/>
        <v>1.4245805843301558</v>
      </c>
      <c r="M173" s="126">
        <f t="shared" si="42"/>
        <v>0.58128570569129179</v>
      </c>
      <c r="N173" s="126">
        <f t="shared" si="42"/>
        <v>0.83747779820878421</v>
      </c>
      <c r="O173" s="126">
        <f t="shared" si="42"/>
        <v>0.95969028408249601</v>
      </c>
      <c r="P173" s="125">
        <f t="shared" si="42"/>
        <v>1</v>
      </c>
    </row>
    <row r="174" spans="2:16" ht="13.5" customHeight="1" x14ac:dyDescent="0.2">
      <c r="B174" s="128">
        <v>44743</v>
      </c>
      <c r="C174" s="126">
        <f t="shared" si="41"/>
        <v>1.1850924396611433</v>
      </c>
      <c r="D174" s="126">
        <f t="shared" si="41"/>
        <v>1.4088494590417311</v>
      </c>
      <c r="E174" s="126">
        <f t="shared" si="41"/>
        <v>1.4738564625154156</v>
      </c>
      <c r="F174" s="126">
        <f t="shared" si="41"/>
        <v>2.4484561203650963</v>
      </c>
      <c r="G174" s="126">
        <f t="shared" si="41"/>
        <v>2.132511511049958</v>
      </c>
      <c r="H174" s="126">
        <f t="shared" si="41"/>
        <v>1.9025748988781539</v>
      </c>
      <c r="J174" s="128">
        <v>44743</v>
      </c>
      <c r="K174" s="126">
        <f t="shared" si="42"/>
        <v>0.62288871799997392</v>
      </c>
      <c r="L174" s="126">
        <f t="shared" si="42"/>
        <v>0.74049618749435497</v>
      </c>
      <c r="M174" s="126">
        <f t="shared" si="42"/>
        <v>0.77466409516096812</v>
      </c>
      <c r="N174" s="126">
        <f t="shared" si="42"/>
        <v>1.2869170731774182</v>
      </c>
      <c r="O174" s="126">
        <f t="shared" si="42"/>
        <v>1.1208554850100174</v>
      </c>
      <c r="P174" s="125">
        <f t="shared" si="42"/>
        <v>1</v>
      </c>
    </row>
    <row r="175" spans="2:16" ht="13.5" customHeight="1" x14ac:dyDescent="0.2">
      <c r="B175" s="128">
        <v>44774</v>
      </c>
      <c r="C175" s="126">
        <f t="shared" si="41"/>
        <v>0.39880411814953021</v>
      </c>
      <c r="D175" s="126">
        <f t="shared" si="41"/>
        <v>0.60436876375167081</v>
      </c>
      <c r="E175" s="126">
        <f t="shared" si="41"/>
        <v>0.65508084776884845</v>
      </c>
      <c r="F175" s="126">
        <f t="shared" si="41"/>
        <v>1.4904567756484368</v>
      </c>
      <c r="G175" s="126">
        <f t="shared" si="41"/>
        <v>0.42919592058978162</v>
      </c>
      <c r="H175" s="126">
        <f t="shared" si="41"/>
        <v>0.78344613226169946</v>
      </c>
      <c r="J175" s="128">
        <v>44774</v>
      </c>
      <c r="K175" s="126">
        <f t="shared" si="42"/>
        <v>0.5090383393664073</v>
      </c>
      <c r="L175" s="126">
        <f t="shared" si="42"/>
        <v>0.77142350809358484</v>
      </c>
      <c r="M175" s="126">
        <f t="shared" si="42"/>
        <v>0.83615301779296758</v>
      </c>
      <c r="N175" s="126">
        <f t="shared" si="42"/>
        <v>1.9024368291227582</v>
      </c>
      <c r="O175" s="126">
        <f t="shared" si="42"/>
        <v>0.54783079897369957</v>
      </c>
      <c r="P175" s="125">
        <f t="shared" si="42"/>
        <v>1</v>
      </c>
    </row>
    <row r="176" spans="2:16" ht="13.5" customHeight="1" x14ac:dyDescent="0.2">
      <c r="B176" s="128">
        <v>44805</v>
      </c>
      <c r="C176" s="126">
        <f t="shared" si="41"/>
        <v>0.53047144499808352</v>
      </c>
      <c r="D176" s="126">
        <f t="shared" si="41"/>
        <v>0.53543100776416008</v>
      </c>
      <c r="E176" s="126">
        <f t="shared" si="41"/>
        <v>0.25920778764700342</v>
      </c>
      <c r="F176" s="126">
        <f t="shared" si="41"/>
        <v>0.4612492022660441</v>
      </c>
      <c r="G176" s="126">
        <f t="shared" si="41"/>
        <v>0.94241874620617783</v>
      </c>
      <c r="H176" s="126">
        <f t="shared" si="41"/>
        <v>0.57640562506671544</v>
      </c>
      <c r="J176" s="128">
        <v>44805</v>
      </c>
      <c r="K176" s="126">
        <f t="shared" si="42"/>
        <v>0.92030927862073653</v>
      </c>
      <c r="L176" s="126">
        <f t="shared" si="42"/>
        <v>0.92891357141455255</v>
      </c>
      <c r="M176" s="126">
        <f t="shared" si="42"/>
        <v>0.44969683912609576</v>
      </c>
      <c r="N176" s="126">
        <f t="shared" si="42"/>
        <v>0.80021634454496748</v>
      </c>
      <c r="O176" s="126">
        <f t="shared" si="42"/>
        <v>1.634992278392666</v>
      </c>
      <c r="P176" s="125">
        <f t="shared" si="42"/>
        <v>1</v>
      </c>
    </row>
    <row r="177" spans="2:16" ht="13.5" customHeight="1" x14ac:dyDescent="0.2">
      <c r="B177" s="128">
        <v>44835</v>
      </c>
      <c r="C177" s="126">
        <f t="shared" ref="C177:H186" si="43">C85/C84</f>
        <v>0.70350221013260794</v>
      </c>
      <c r="D177" s="126">
        <f t="shared" si="43"/>
        <v>0.67574595103308177</v>
      </c>
      <c r="E177" s="126">
        <f t="shared" si="43"/>
        <v>1.1065436310915415</v>
      </c>
      <c r="F177" s="126">
        <f t="shared" si="43"/>
        <v>0.64078735798106434</v>
      </c>
      <c r="G177" s="126">
        <f t="shared" si="43"/>
        <v>1.4981577282873326</v>
      </c>
      <c r="H177" s="126">
        <f t="shared" si="43"/>
        <v>0.97003677286456691</v>
      </c>
      <c r="J177" s="128">
        <v>44835</v>
      </c>
      <c r="K177" s="126">
        <f t="shared" ref="K177:P186" si="44">K85/K84</f>
        <v>0.72523251675823686</v>
      </c>
      <c r="L177" s="126">
        <f t="shared" si="44"/>
        <v>0.69661890140264515</v>
      </c>
      <c r="M177" s="126">
        <f t="shared" si="44"/>
        <v>1.1407233849742244</v>
      </c>
      <c r="N177" s="126">
        <f t="shared" si="44"/>
        <v>0.66058048097371336</v>
      </c>
      <c r="O177" s="126">
        <f t="shared" si="44"/>
        <v>1.5444339536357969</v>
      </c>
      <c r="P177" s="125">
        <f t="shared" si="44"/>
        <v>1</v>
      </c>
    </row>
    <row r="178" spans="2:16" ht="13.5" customHeight="1" x14ac:dyDescent="0.2">
      <c r="B178" s="128">
        <v>44866</v>
      </c>
      <c r="C178" s="126">
        <f t="shared" si="43"/>
        <v>1.4939282261962301</v>
      </c>
      <c r="D178" s="126">
        <f t="shared" si="43"/>
        <v>1.1078260261295654</v>
      </c>
      <c r="E178" s="126">
        <f t="shared" si="43"/>
        <v>1.4200498708434743</v>
      </c>
      <c r="F178" s="126">
        <f t="shared" si="43"/>
        <v>1.3685904197975087</v>
      </c>
      <c r="G178" s="126">
        <f t="shared" si="43"/>
        <v>0.45929825832830312</v>
      </c>
      <c r="H178" s="126">
        <f t="shared" si="43"/>
        <v>0.8212775679939377</v>
      </c>
      <c r="J178" s="128">
        <v>44866</v>
      </c>
      <c r="K178" s="126">
        <f t="shared" si="44"/>
        <v>1.8190296245949062</v>
      </c>
      <c r="L178" s="126">
        <f t="shared" si="44"/>
        <v>1.3489057406444867</v>
      </c>
      <c r="M178" s="126">
        <f t="shared" si="44"/>
        <v>1.7290742206829111</v>
      </c>
      <c r="N178" s="126">
        <f t="shared" si="44"/>
        <v>1.6664164140516389</v>
      </c>
      <c r="O178" s="126">
        <f t="shared" si="44"/>
        <v>0.55924851259506636</v>
      </c>
      <c r="P178" s="125">
        <f t="shared" si="44"/>
        <v>1</v>
      </c>
    </row>
    <row r="179" spans="2:16" ht="13.5" customHeight="1" x14ac:dyDescent="0.2">
      <c r="B179" s="128">
        <v>44896</v>
      </c>
      <c r="C179" s="126">
        <f t="shared" si="43"/>
        <v>0.86053988474370635</v>
      </c>
      <c r="D179" s="126">
        <f t="shared" si="43"/>
        <v>2.1894293100637379</v>
      </c>
      <c r="E179" s="126">
        <f t="shared" si="43"/>
        <v>1.4854161190263393</v>
      </c>
      <c r="F179" s="126">
        <f t="shared" si="43"/>
        <v>15.401058577508239</v>
      </c>
      <c r="G179" s="126">
        <f t="shared" si="43"/>
        <v>1.2135086510552924</v>
      </c>
      <c r="H179" s="126">
        <f t="shared" si="43"/>
        <v>8.0970257628623425</v>
      </c>
      <c r="J179" s="128">
        <v>44896</v>
      </c>
      <c r="K179" s="126">
        <f t="shared" si="44"/>
        <v>0.10627851632764239</v>
      </c>
      <c r="L179" s="126">
        <f t="shared" si="44"/>
        <v>0.27039920264373257</v>
      </c>
      <c r="M179" s="126">
        <f t="shared" si="44"/>
        <v>0.1834520677752218</v>
      </c>
      <c r="N179" s="126">
        <f t="shared" si="44"/>
        <v>1.9020636748059307</v>
      </c>
      <c r="O179" s="126">
        <f t="shared" si="44"/>
        <v>0.14987091391275387</v>
      </c>
      <c r="P179" s="125">
        <f t="shared" si="44"/>
        <v>1</v>
      </c>
    </row>
    <row r="180" spans="2:16" ht="13.5" customHeight="1" x14ac:dyDescent="0.2">
      <c r="B180" s="128">
        <v>44927</v>
      </c>
      <c r="C180" s="126">
        <f t="shared" si="43"/>
        <v>0.86056675595657695</v>
      </c>
      <c r="D180" s="126">
        <f t="shared" si="43"/>
        <v>0.62342666773515565</v>
      </c>
      <c r="E180" s="126">
        <f t="shared" si="43"/>
        <v>0.47268007121090388</v>
      </c>
      <c r="F180" s="126">
        <f t="shared" si="43"/>
        <v>0.22194637202268958</v>
      </c>
      <c r="G180" s="126">
        <f t="shared" si="43"/>
        <v>0.44116380691536705</v>
      </c>
      <c r="H180" s="126">
        <f t="shared" si="43"/>
        <v>0.25288348123026244</v>
      </c>
      <c r="J180" s="128">
        <v>44927</v>
      </c>
      <c r="K180" s="126">
        <f t="shared" si="44"/>
        <v>3.4030168825973641</v>
      </c>
      <c r="L180" s="126">
        <f t="shared" si="44"/>
        <v>2.4652724041215484</v>
      </c>
      <c r="M180" s="126">
        <f t="shared" si="44"/>
        <v>1.8691615162498738</v>
      </c>
      <c r="N180" s="126">
        <f t="shared" si="44"/>
        <v>0.87766259362981802</v>
      </c>
      <c r="O180" s="126">
        <f t="shared" si="44"/>
        <v>1.7445339045837731</v>
      </c>
      <c r="P180" s="125">
        <f t="shared" si="44"/>
        <v>1</v>
      </c>
    </row>
    <row r="181" spans="2:16" ht="13.5" customHeight="1" x14ac:dyDescent="0.2">
      <c r="B181" s="127">
        <v>44958</v>
      </c>
      <c r="C181" s="126">
        <f t="shared" si="43"/>
        <v>0.48222477064220182</v>
      </c>
      <c r="D181" s="126">
        <f t="shared" si="43"/>
        <v>0.59187794931491522</v>
      </c>
      <c r="E181" s="126">
        <f t="shared" si="43"/>
        <v>0.38428995556021461</v>
      </c>
      <c r="F181" s="126">
        <f t="shared" si="43"/>
        <v>9.2524944759776406E-2</v>
      </c>
      <c r="G181" s="126">
        <f t="shared" si="43"/>
        <v>0.77083622865611745</v>
      </c>
      <c r="H181" s="126">
        <f t="shared" si="43"/>
        <v>0.20998573106867471</v>
      </c>
      <c r="J181" s="127">
        <v>44958</v>
      </c>
      <c r="K181" s="126">
        <f t="shared" si="44"/>
        <v>2.2964644701715131</v>
      </c>
      <c r="L181" s="126">
        <f t="shared" si="44"/>
        <v>2.8186579454836607</v>
      </c>
      <c r="M181" s="126">
        <f t="shared" si="44"/>
        <v>1.8300765180779575</v>
      </c>
      <c r="N181" s="126">
        <f t="shared" si="44"/>
        <v>0.44062491431628092</v>
      </c>
      <c r="O181" s="126">
        <f t="shared" si="44"/>
        <v>3.6708981354738794</v>
      </c>
      <c r="P181" s="125">
        <f t="shared" si="44"/>
        <v>1</v>
      </c>
    </row>
    <row r="182" spans="2:16" ht="13.5" customHeight="1" x14ac:dyDescent="0.2">
      <c r="B182" s="127">
        <v>44986</v>
      </c>
      <c r="C182" s="126">
        <f t="shared" si="43"/>
        <v>1.0655682011211143</v>
      </c>
      <c r="D182" s="126">
        <f t="shared" si="43"/>
        <v>0.76292283042450726</v>
      </c>
      <c r="E182" s="126">
        <f t="shared" si="43"/>
        <v>1.2933021579229382</v>
      </c>
      <c r="F182" s="126">
        <f t="shared" si="43"/>
        <v>0.55769356664448777</v>
      </c>
      <c r="G182" s="126">
        <f t="shared" si="43"/>
        <v>1.0494761671176231</v>
      </c>
      <c r="H182" s="126">
        <f t="shared" si="43"/>
        <v>0.79109952108703185</v>
      </c>
      <c r="J182" s="127">
        <v>44986</v>
      </c>
      <c r="K182" s="126">
        <f t="shared" si="44"/>
        <v>1.3469458300985206</v>
      </c>
      <c r="L182" s="126">
        <f t="shared" si="44"/>
        <v>0.96438287483247664</v>
      </c>
      <c r="M182" s="126">
        <f t="shared" si="44"/>
        <v>1.6348160041177136</v>
      </c>
      <c r="N182" s="126">
        <f t="shared" si="44"/>
        <v>0.70496006100240549</v>
      </c>
      <c r="O182" s="126">
        <f t="shared" si="44"/>
        <v>1.3266044778734813</v>
      </c>
      <c r="P182" s="125">
        <f t="shared" si="44"/>
        <v>1</v>
      </c>
    </row>
    <row r="183" spans="2:16" ht="13.5" customHeight="1" x14ac:dyDescent="0.2">
      <c r="B183" s="127">
        <v>45017</v>
      </c>
      <c r="C183" s="126">
        <f t="shared" si="43"/>
        <v>0.4835007173601148</v>
      </c>
      <c r="D183" s="126">
        <f t="shared" si="43"/>
        <v>0.76013875500052064</v>
      </c>
      <c r="E183" s="126">
        <f t="shared" si="43"/>
        <v>1.2037197459906139</v>
      </c>
      <c r="F183" s="126">
        <f t="shared" si="43"/>
        <v>1.2251968352687823</v>
      </c>
      <c r="G183" s="126">
        <f t="shared" si="43"/>
        <v>0.67697938687675885</v>
      </c>
      <c r="H183" s="126">
        <f t="shared" si="43"/>
        <v>0.85464138029374015</v>
      </c>
      <c r="J183" s="127">
        <v>45017</v>
      </c>
      <c r="K183" s="126">
        <f t="shared" si="44"/>
        <v>0.56573520602751015</v>
      </c>
      <c r="L183" s="126">
        <f t="shared" si="44"/>
        <v>0.8894242339860271</v>
      </c>
      <c r="M183" s="126">
        <f t="shared" si="44"/>
        <v>1.4084501098892444</v>
      </c>
      <c r="N183" s="126">
        <f t="shared" si="44"/>
        <v>1.4335800530132092</v>
      </c>
      <c r="O183" s="126">
        <f t="shared" si="44"/>
        <v>0.79212100243037742</v>
      </c>
      <c r="P183" s="125">
        <f t="shared" si="44"/>
        <v>1</v>
      </c>
    </row>
    <row r="184" spans="2:16" ht="13.5" customHeight="1" x14ac:dyDescent="0.2">
      <c r="B184" s="127">
        <v>45047</v>
      </c>
      <c r="C184" s="126">
        <f t="shared" si="43"/>
        <v>1.2030992416749093</v>
      </c>
      <c r="D184" s="126">
        <f t="shared" si="43"/>
        <v>0.44469643660016062</v>
      </c>
      <c r="E184" s="126">
        <f t="shared" si="43"/>
        <v>1.6181920585750493</v>
      </c>
      <c r="F184" s="126">
        <f t="shared" si="43"/>
        <v>0.8540185784401253</v>
      </c>
      <c r="G184" s="126">
        <f t="shared" si="43"/>
        <v>0.45807071270020933</v>
      </c>
      <c r="H184" s="126">
        <f t="shared" si="43"/>
        <v>0.65235854024108897</v>
      </c>
      <c r="J184" s="127">
        <v>45047</v>
      </c>
      <c r="K184" s="126">
        <f t="shared" si="44"/>
        <v>1.8442300781871974</v>
      </c>
      <c r="L184" s="126">
        <f t="shared" si="44"/>
        <v>0.68167489067563414</v>
      </c>
      <c r="M184" s="126">
        <f t="shared" si="44"/>
        <v>2.4805255986639216</v>
      </c>
      <c r="N184" s="126">
        <f t="shared" si="44"/>
        <v>1.3091245469470052</v>
      </c>
      <c r="O184" s="126">
        <f t="shared" si="44"/>
        <v>0.702176310178943</v>
      </c>
      <c r="P184" s="125">
        <f t="shared" si="44"/>
        <v>1</v>
      </c>
    </row>
    <row r="185" spans="2:16" ht="13.5" customHeight="1" x14ac:dyDescent="0.2">
      <c r="B185" s="127">
        <v>45078</v>
      </c>
      <c r="C185" s="126">
        <f t="shared" si="43"/>
        <v>0.78779574312597056</v>
      </c>
      <c r="D185" s="126">
        <f t="shared" si="43"/>
        <v>0.34626744801305664</v>
      </c>
      <c r="E185" s="126">
        <f t="shared" si="43"/>
        <v>0.44008600853124191</v>
      </c>
      <c r="F185" s="126">
        <f t="shared" si="43"/>
        <v>0.55501411010471158</v>
      </c>
      <c r="G185" s="126">
        <f t="shared" si="43"/>
        <v>0.44625016985293348</v>
      </c>
      <c r="H185" s="126">
        <f t="shared" si="43"/>
        <v>0.4784144252035607</v>
      </c>
      <c r="J185" s="127">
        <v>45078</v>
      </c>
      <c r="K185" s="126">
        <f t="shared" si="44"/>
        <v>1.6466805798984239</v>
      </c>
      <c r="L185" s="126">
        <f t="shared" si="44"/>
        <v>0.72378136981493235</v>
      </c>
      <c r="M185" s="126">
        <f t="shared" si="44"/>
        <v>0.91988448789768318</v>
      </c>
      <c r="N185" s="126">
        <f t="shared" si="44"/>
        <v>1.1601115703577676</v>
      </c>
      <c r="O185" s="126">
        <f t="shared" si="44"/>
        <v>0.93276905198470628</v>
      </c>
      <c r="P185" s="125">
        <f t="shared" si="44"/>
        <v>1</v>
      </c>
    </row>
    <row r="186" spans="2:16" ht="13.5" customHeight="1" x14ac:dyDescent="0.2">
      <c r="B186" s="127">
        <v>45108</v>
      </c>
      <c r="C186" s="126">
        <f t="shared" si="43"/>
        <v>0.45767625231910947</v>
      </c>
      <c r="D186" s="126">
        <f t="shared" si="43"/>
        <v>0.80896901521619047</v>
      </c>
      <c r="E186" s="126">
        <f t="shared" si="43"/>
        <v>0.55561218661300382</v>
      </c>
      <c r="F186" s="126">
        <f t="shared" si="43"/>
        <v>2.081706306402324</v>
      </c>
      <c r="G186" s="126">
        <f t="shared" si="43"/>
        <v>0.38333036642837737</v>
      </c>
      <c r="H186" s="126">
        <f t="shared" si="43"/>
        <v>1.3679790793460529</v>
      </c>
      <c r="J186" s="127">
        <v>45108</v>
      </c>
      <c r="K186" s="126">
        <f t="shared" si="44"/>
        <v>0.33456378041826229</v>
      </c>
      <c r="L186" s="126">
        <f t="shared" si="44"/>
        <v>0.59136066291518796</v>
      </c>
      <c r="M186" s="126">
        <f t="shared" si="44"/>
        <v>0.40615547050515427</v>
      </c>
      <c r="N186" s="126">
        <f t="shared" si="44"/>
        <v>1.5217384080153189</v>
      </c>
      <c r="O186" s="126">
        <f t="shared" si="44"/>
        <v>0.28021654147783032</v>
      </c>
      <c r="P186" s="125">
        <f t="shared" si="44"/>
        <v>1</v>
      </c>
    </row>
    <row r="187" spans="2:16" ht="13.5" customHeight="1" thickBot="1" x14ac:dyDescent="0.25">
      <c r="B187" s="123">
        <v>44409</v>
      </c>
      <c r="C187" s="122">
        <f t="shared" ref="C187:H187" si="45">C95/C94</f>
        <v>0.26957182670382568</v>
      </c>
      <c r="D187" s="122">
        <f t="shared" si="45"/>
        <v>9.9500722754804326E-3</v>
      </c>
      <c r="E187" s="122">
        <f t="shared" si="45"/>
        <v>0.56189602543217299</v>
      </c>
      <c r="F187" s="122">
        <f t="shared" si="45"/>
        <v>1.1356128348854659</v>
      </c>
      <c r="G187" s="122">
        <f t="shared" si="45"/>
        <v>1.8943760082123478</v>
      </c>
      <c r="H187" s="122">
        <f t="shared" si="45"/>
        <v>1.0606547326681557</v>
      </c>
      <c r="I187" s="124"/>
      <c r="J187" s="123">
        <v>45139</v>
      </c>
      <c r="K187" s="122">
        <f t="shared" ref="K187:P187" si="46">K95/K94</f>
        <v>0.25415605889552556</v>
      </c>
      <c r="L187" s="122">
        <f t="shared" si="46"/>
        <v>9.3810662122350476E-3</v>
      </c>
      <c r="M187" s="122">
        <f t="shared" si="46"/>
        <v>0.5297633698561659</v>
      </c>
      <c r="N187" s="122">
        <f t="shared" si="46"/>
        <v>1.0706715389170494</v>
      </c>
      <c r="O187" s="122">
        <f t="shared" si="46"/>
        <v>1.7860439876102794</v>
      </c>
      <c r="P187" s="122">
        <f t="shared" si="46"/>
        <v>1</v>
      </c>
    </row>
  </sheetData>
  <mergeCells count="9">
    <mergeCell ref="R51:X51"/>
    <mergeCell ref="B97:H97"/>
    <mergeCell ref="J97:P97"/>
    <mergeCell ref="B143:H143"/>
    <mergeCell ref="J143:P143"/>
    <mergeCell ref="B2:O2"/>
    <mergeCell ref="B48:O48"/>
    <mergeCell ref="B51:H51"/>
    <mergeCell ref="J51:P51"/>
  </mergeCells>
  <conditionalFormatting sqref="C100:H141 K100:P141 C146:H187 K146:P187">
    <cfRule type="cellIs" dxfId="2" priority="3" stopIfTrue="1" operator="greaterThan">
      <formula>1</formula>
    </cfRule>
  </conditionalFormatting>
  <conditionalFormatting sqref="K54:O95">
    <cfRule type="dataBar" priority="1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{E8FB88C3-2390-431A-8669-172B4BCEF176}</x14:id>
        </ext>
      </extLst>
    </cfRule>
  </conditionalFormatting>
  <conditionalFormatting sqref="P54:P94">
    <cfRule type="cellIs" dxfId="1" priority="2" stopIfTrue="1" operator="greaterThan">
      <formula>1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FB88C3-2390-431A-8669-172B4BCEF1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K54:O95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1E7A-F5CD-4087-B5CE-C912800C844D}">
  <sheetPr>
    <tabColor theme="1" tint="0.34998626667073579"/>
  </sheetPr>
  <dimension ref="A1:Z56"/>
  <sheetViews>
    <sheetView workbookViewId="0"/>
  </sheetViews>
  <sheetFormatPr defaultColWidth="9.140625" defaultRowHeight="13.5" customHeight="1" x14ac:dyDescent="0.2"/>
  <cols>
    <col min="1" max="1" width="2.5703125" style="86" customWidth="1"/>
    <col min="2" max="2" width="9.140625" style="87"/>
    <col min="3" max="13" width="14.5703125" style="86" customWidth="1"/>
    <col min="14" max="14" width="4.28515625" style="86" customWidth="1"/>
    <col min="15" max="15" width="9.140625" style="86"/>
    <col min="16" max="26" width="14.5703125" style="86" customWidth="1"/>
    <col min="27" max="16384" width="9.140625" style="86"/>
  </cols>
  <sheetData>
    <row r="1" spans="2:26" s="94" customFormat="1" ht="13.5" customHeight="1" thickBot="1" x14ac:dyDescent="0.25">
      <c r="B1" s="95"/>
    </row>
    <row r="2" spans="2:26" s="94" customFormat="1" ht="27" customHeight="1" thickBot="1" x14ac:dyDescent="0.25">
      <c r="B2" s="290" t="s">
        <v>724</v>
      </c>
      <c r="C2" s="383"/>
      <c r="D2" s="383"/>
      <c r="E2" s="383"/>
      <c r="F2" s="383"/>
      <c r="G2" s="383"/>
      <c r="H2" s="383"/>
      <c r="I2" s="384"/>
      <c r="J2" s="154"/>
      <c r="K2" s="154"/>
      <c r="L2" s="154"/>
    </row>
    <row r="3" spans="2:26" s="94" customFormat="1" ht="13.5" customHeight="1" thickBot="1" x14ac:dyDescent="0.25">
      <c r="B3" s="95"/>
    </row>
    <row r="4" spans="2:26" s="94" customFormat="1" ht="13.9" customHeight="1" thickBot="1" x14ac:dyDescent="0.25">
      <c r="B4" s="290" t="s">
        <v>725</v>
      </c>
      <c r="C4" s="383"/>
      <c r="D4" s="383"/>
      <c r="E4" s="383"/>
      <c r="F4" s="383"/>
      <c r="G4" s="383"/>
      <c r="H4" s="383"/>
      <c r="I4" s="384"/>
      <c r="J4" s="154"/>
      <c r="K4" s="154"/>
      <c r="L4" s="154"/>
    </row>
    <row r="5" spans="2:26" s="97" customFormat="1" ht="13.5" customHeight="1" thickBot="1" x14ac:dyDescent="0.25">
      <c r="B5" s="121"/>
      <c r="C5" s="98"/>
      <c r="D5" s="98"/>
      <c r="E5" s="98"/>
      <c r="F5" s="98"/>
      <c r="G5" s="98"/>
    </row>
    <row r="6" spans="2:26" s="94" customFormat="1" ht="13.5" customHeight="1" thickBot="1" x14ac:dyDescent="0.25">
      <c r="B6" s="95"/>
    </row>
    <row r="7" spans="2:26" s="94" customFormat="1" ht="13.5" customHeight="1" thickBot="1" x14ac:dyDescent="0.25">
      <c r="B7" s="380" t="s">
        <v>723</v>
      </c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2"/>
      <c r="O7" s="380" t="s">
        <v>722</v>
      </c>
      <c r="P7" s="381"/>
      <c r="Q7" s="381"/>
      <c r="R7" s="381"/>
      <c r="S7" s="381"/>
      <c r="T7" s="381"/>
      <c r="U7" s="381"/>
      <c r="V7" s="381"/>
      <c r="W7" s="381"/>
      <c r="X7" s="381"/>
      <c r="Y7" s="381"/>
      <c r="Z7" s="382"/>
    </row>
    <row r="8" spans="2:26" s="94" customFormat="1" ht="6.75" customHeight="1" thickBot="1" x14ac:dyDescent="0.25">
      <c r="B8" s="95"/>
      <c r="O8" s="95"/>
    </row>
    <row r="9" spans="2:26" ht="27" customHeight="1" thickBot="1" x14ac:dyDescent="0.25">
      <c r="B9" s="106" t="s">
        <v>52</v>
      </c>
      <c r="C9" s="105" t="s">
        <v>726</v>
      </c>
      <c r="D9" s="105" t="s">
        <v>717</v>
      </c>
      <c r="E9" s="105" t="s">
        <v>716</v>
      </c>
      <c r="F9" s="105" t="s">
        <v>715</v>
      </c>
      <c r="G9" s="105" t="s">
        <v>714</v>
      </c>
      <c r="H9" s="105" t="s">
        <v>727</v>
      </c>
      <c r="I9" s="105" t="s">
        <v>713</v>
      </c>
      <c r="J9" s="105" t="s">
        <v>712</v>
      </c>
      <c r="K9" s="105" t="s">
        <v>711</v>
      </c>
      <c r="L9" s="105" t="s">
        <v>710</v>
      </c>
      <c r="M9" s="158" t="s">
        <v>44</v>
      </c>
      <c r="O9" s="106" t="s">
        <v>52</v>
      </c>
      <c r="P9" s="105" t="s">
        <v>726</v>
      </c>
      <c r="Q9" s="105" t="s">
        <v>717</v>
      </c>
      <c r="R9" s="105" t="s">
        <v>716</v>
      </c>
      <c r="S9" s="105" t="s">
        <v>715</v>
      </c>
      <c r="T9" s="105" t="s">
        <v>714</v>
      </c>
      <c r="U9" s="105" t="s">
        <v>727</v>
      </c>
      <c r="V9" s="105" t="s">
        <v>713</v>
      </c>
      <c r="W9" s="105" t="s">
        <v>712</v>
      </c>
      <c r="X9" s="105" t="s">
        <v>711</v>
      </c>
      <c r="Y9" s="105" t="s">
        <v>710</v>
      </c>
      <c r="Z9" s="158" t="s">
        <v>44</v>
      </c>
    </row>
    <row r="10" spans="2:26" ht="13.5" customHeight="1" x14ac:dyDescent="0.2">
      <c r="B10" s="117">
        <v>2010</v>
      </c>
      <c r="C10" s="155">
        <v>988918</v>
      </c>
      <c r="D10" s="155">
        <v>335351</v>
      </c>
      <c r="E10" s="155">
        <v>479589</v>
      </c>
      <c r="F10" s="155">
        <v>900748</v>
      </c>
      <c r="G10" s="155">
        <v>46566</v>
      </c>
      <c r="H10" s="155">
        <v>105421</v>
      </c>
      <c r="I10" s="155">
        <v>1257980</v>
      </c>
      <c r="J10" s="155">
        <v>237092</v>
      </c>
      <c r="K10" s="155">
        <v>1110747</v>
      </c>
      <c r="L10" s="155">
        <v>419506</v>
      </c>
      <c r="M10" s="159">
        <f>SUM(C10:L10)</f>
        <v>5881918</v>
      </c>
      <c r="O10" s="96">
        <v>2010</v>
      </c>
      <c r="P10" s="112">
        <f t="shared" ref="P10:P22" si="0">C10/$M10</f>
        <v>0.16812849142065564</v>
      </c>
      <c r="Q10" s="112">
        <f t="shared" ref="Q10:Q22" si="1">D10/$M10</f>
        <v>5.7013885606701759E-2</v>
      </c>
      <c r="R10" s="112">
        <f t="shared" ref="R10:R22" si="2">E10/$M10</f>
        <v>8.1536158783580462E-2</v>
      </c>
      <c r="S10" s="112">
        <f t="shared" ref="S10:S22" si="3">F10/$M10</f>
        <v>0.15313848305943742</v>
      </c>
      <c r="T10" s="112">
        <f t="shared" ref="T10:T22" si="4">G10/$M10</f>
        <v>7.9168053685889535E-3</v>
      </c>
      <c r="U10" s="112">
        <f t="shared" ref="U10:U22" si="5">H10/$M10</f>
        <v>1.7922895218872484E-2</v>
      </c>
      <c r="V10" s="112">
        <f t="shared" ref="V10:V22" si="6">I10/$M10</f>
        <v>0.21387241372627092</v>
      </c>
      <c r="W10" s="112">
        <f t="shared" ref="W10:W22" si="7">J10/$M10</f>
        <v>4.0308620419393808E-2</v>
      </c>
      <c r="X10" s="112">
        <f t="shared" ref="X10:X22" si="8">K10/$M10</f>
        <v>0.18884095290005742</v>
      </c>
      <c r="Y10" s="112">
        <f t="shared" ref="Y10:Y22" si="9">L10/$M10</f>
        <v>7.1321293496441132E-2</v>
      </c>
      <c r="Z10" s="111">
        <f t="shared" ref="Z10:Z22" si="10">M10/$M10</f>
        <v>1</v>
      </c>
    </row>
    <row r="11" spans="2:26" ht="13.5" customHeight="1" x14ac:dyDescent="0.2">
      <c r="B11" s="117">
        <v>2011</v>
      </c>
      <c r="C11" s="155">
        <v>981906</v>
      </c>
      <c r="D11" s="155">
        <v>348685</v>
      </c>
      <c r="E11" s="155">
        <v>500976</v>
      </c>
      <c r="F11" s="155">
        <v>895262</v>
      </c>
      <c r="G11" s="155">
        <v>46908</v>
      </c>
      <c r="H11" s="155">
        <v>94343</v>
      </c>
      <c r="I11" s="155">
        <v>1323531</v>
      </c>
      <c r="J11" s="155">
        <v>234253</v>
      </c>
      <c r="K11" s="155">
        <v>1075531</v>
      </c>
      <c r="L11" s="155">
        <v>376706</v>
      </c>
      <c r="M11" s="159">
        <f t="shared" ref="M11:M22" si="11">SUM(C11:L11)</f>
        <v>5878101</v>
      </c>
      <c r="O11" s="96">
        <v>2011</v>
      </c>
      <c r="P11" s="112">
        <f t="shared" si="0"/>
        <v>0.16704476496746143</v>
      </c>
      <c r="Q11" s="112">
        <f t="shared" si="1"/>
        <v>5.9319327789706236E-2</v>
      </c>
      <c r="R11" s="112">
        <f t="shared" si="2"/>
        <v>8.5227525011904351E-2</v>
      </c>
      <c r="S11" s="112">
        <f t="shared" si="3"/>
        <v>0.1523046303559602</v>
      </c>
      <c r="T11" s="112">
        <f t="shared" si="4"/>
        <v>7.9801282761218298E-3</v>
      </c>
      <c r="U11" s="112">
        <f t="shared" si="5"/>
        <v>1.6049911357426488E-2</v>
      </c>
      <c r="V11" s="112">
        <f t="shared" si="6"/>
        <v>0.2251630245890637</v>
      </c>
      <c r="W11" s="112">
        <f t="shared" si="7"/>
        <v>3.9851816088223052E-2</v>
      </c>
      <c r="X11" s="112">
        <f t="shared" si="8"/>
        <v>0.18297252803243769</v>
      </c>
      <c r="Y11" s="112">
        <f t="shared" si="9"/>
        <v>6.4086343531695011E-2</v>
      </c>
      <c r="Z11" s="111">
        <f t="shared" si="10"/>
        <v>1</v>
      </c>
    </row>
    <row r="12" spans="2:26" ht="13.5" customHeight="1" x14ac:dyDescent="0.2">
      <c r="B12" s="117">
        <v>2012</v>
      </c>
      <c r="C12" s="155">
        <v>978122</v>
      </c>
      <c r="D12" s="155">
        <v>233298</v>
      </c>
      <c r="E12" s="155">
        <v>518719</v>
      </c>
      <c r="F12" s="155">
        <v>936268</v>
      </c>
      <c r="G12" s="155">
        <v>56136</v>
      </c>
      <c r="H12" s="155">
        <v>104780</v>
      </c>
      <c r="I12" s="155">
        <v>1336637</v>
      </c>
      <c r="J12" s="155">
        <v>231664</v>
      </c>
      <c r="K12" s="155">
        <v>1044032</v>
      </c>
      <c r="L12" s="155">
        <v>346907</v>
      </c>
      <c r="M12" s="159">
        <f t="shared" si="11"/>
        <v>5786563</v>
      </c>
      <c r="O12" s="96">
        <v>2012</v>
      </c>
      <c r="P12" s="112">
        <f t="shared" si="0"/>
        <v>0.16903332772839422</v>
      </c>
      <c r="Q12" s="112">
        <f t="shared" si="1"/>
        <v>4.0317196926742176E-2</v>
      </c>
      <c r="R12" s="112">
        <f t="shared" si="2"/>
        <v>8.964198609779242E-2</v>
      </c>
      <c r="S12" s="112">
        <f t="shared" si="3"/>
        <v>0.16180036405030068</v>
      </c>
      <c r="T12" s="112">
        <f t="shared" si="4"/>
        <v>9.701095451652389E-3</v>
      </c>
      <c r="U12" s="112">
        <f t="shared" si="5"/>
        <v>1.8107467247829152E-2</v>
      </c>
      <c r="V12" s="112">
        <f t="shared" si="6"/>
        <v>0.23098979480565579</v>
      </c>
      <c r="W12" s="112">
        <f t="shared" si="7"/>
        <v>4.0034818596116552E-2</v>
      </c>
      <c r="X12" s="112">
        <f t="shared" si="8"/>
        <v>0.18042350873912547</v>
      </c>
      <c r="Y12" s="112">
        <f t="shared" si="9"/>
        <v>5.9950440356391174E-2</v>
      </c>
      <c r="Z12" s="111">
        <f t="shared" si="10"/>
        <v>1</v>
      </c>
    </row>
    <row r="13" spans="2:26" ht="13.5" customHeight="1" x14ac:dyDescent="0.2">
      <c r="B13" s="117">
        <v>2013</v>
      </c>
      <c r="C13" s="155">
        <v>1012522</v>
      </c>
      <c r="D13" s="155">
        <v>252646</v>
      </c>
      <c r="E13" s="155">
        <v>546425</v>
      </c>
      <c r="F13" s="155">
        <v>939886</v>
      </c>
      <c r="G13" s="155">
        <v>71853</v>
      </c>
      <c r="H13" s="155">
        <v>109005</v>
      </c>
      <c r="I13" s="155">
        <v>1402094</v>
      </c>
      <c r="J13" s="155">
        <v>227635</v>
      </c>
      <c r="K13" s="155">
        <v>1032791</v>
      </c>
      <c r="L13" s="155">
        <v>391451</v>
      </c>
      <c r="M13" s="159">
        <f t="shared" si="11"/>
        <v>5986308</v>
      </c>
      <c r="O13" s="96">
        <v>2013</v>
      </c>
      <c r="P13" s="112">
        <f t="shared" si="0"/>
        <v>0.169139643332752</v>
      </c>
      <c r="Q13" s="112">
        <f t="shared" si="1"/>
        <v>4.2203976140218646E-2</v>
      </c>
      <c r="R13" s="112">
        <f t="shared" si="2"/>
        <v>9.1279132313272227E-2</v>
      </c>
      <c r="S13" s="112">
        <f t="shared" si="3"/>
        <v>0.15700595425427491</v>
      </c>
      <c r="T13" s="112">
        <f t="shared" si="4"/>
        <v>1.200289059634085E-2</v>
      </c>
      <c r="U13" s="112">
        <f t="shared" si="5"/>
        <v>1.8209053059080823E-2</v>
      </c>
      <c r="V13" s="112">
        <f t="shared" si="6"/>
        <v>0.23421681610769107</v>
      </c>
      <c r="W13" s="112">
        <f t="shared" si="7"/>
        <v>3.8025941866004886E-2</v>
      </c>
      <c r="X13" s="112">
        <f t="shared" si="8"/>
        <v>0.17252553660787251</v>
      </c>
      <c r="Y13" s="112">
        <f t="shared" si="9"/>
        <v>6.5391055722492056E-2</v>
      </c>
      <c r="Z13" s="111">
        <f t="shared" si="10"/>
        <v>1</v>
      </c>
    </row>
    <row r="14" spans="2:26" ht="13.5" customHeight="1" x14ac:dyDescent="0.2">
      <c r="B14" s="117">
        <v>2014</v>
      </c>
      <c r="C14" s="155">
        <v>1254767</v>
      </c>
      <c r="D14" s="155">
        <v>215163</v>
      </c>
      <c r="E14" s="155">
        <v>575465</v>
      </c>
      <c r="F14" s="155">
        <v>954244</v>
      </c>
      <c r="G14" s="155">
        <v>71660</v>
      </c>
      <c r="H14" s="155">
        <v>124536</v>
      </c>
      <c r="I14" s="155">
        <v>1430663</v>
      </c>
      <c r="J14" s="155">
        <v>276640</v>
      </c>
      <c r="K14" s="155">
        <v>1231073</v>
      </c>
      <c r="L14" s="155">
        <v>424923</v>
      </c>
      <c r="M14" s="159">
        <f t="shared" si="11"/>
        <v>6559134</v>
      </c>
      <c r="O14" s="96">
        <v>2014</v>
      </c>
      <c r="P14" s="112">
        <f t="shared" si="0"/>
        <v>0.19130071134390608</v>
      </c>
      <c r="Q14" s="112">
        <f t="shared" si="1"/>
        <v>3.2803568275933989E-2</v>
      </c>
      <c r="R14" s="112">
        <f t="shared" si="2"/>
        <v>8.773490524816234E-2</v>
      </c>
      <c r="S14" s="112">
        <f t="shared" si="3"/>
        <v>0.14548322995078314</v>
      </c>
      <c r="T14" s="112">
        <f t="shared" si="4"/>
        <v>1.0925222750442361E-2</v>
      </c>
      <c r="U14" s="112">
        <f t="shared" si="5"/>
        <v>1.8986652811179037E-2</v>
      </c>
      <c r="V14" s="112">
        <f t="shared" si="6"/>
        <v>0.21811766614312195</v>
      </c>
      <c r="W14" s="112">
        <f t="shared" si="7"/>
        <v>4.2176299493195291E-2</v>
      </c>
      <c r="X14" s="112">
        <f t="shared" si="8"/>
        <v>0.18768834422349048</v>
      </c>
      <c r="Y14" s="112">
        <f t="shared" si="9"/>
        <v>6.4783399759785365E-2</v>
      </c>
      <c r="Z14" s="111">
        <f t="shared" si="10"/>
        <v>1</v>
      </c>
    </row>
    <row r="15" spans="2:26" ht="13.5" customHeight="1" x14ac:dyDescent="0.2">
      <c r="B15" s="117">
        <v>2015</v>
      </c>
      <c r="C15" s="155">
        <v>1191693</v>
      </c>
      <c r="D15" s="155">
        <v>236884</v>
      </c>
      <c r="E15" s="155">
        <v>619185</v>
      </c>
      <c r="F15" s="155">
        <v>1012665</v>
      </c>
      <c r="G15" s="155">
        <v>81177</v>
      </c>
      <c r="H15" s="155">
        <v>125542</v>
      </c>
      <c r="I15" s="155">
        <v>1562559</v>
      </c>
      <c r="J15" s="155">
        <v>310780</v>
      </c>
      <c r="K15" s="155">
        <v>1311363</v>
      </c>
      <c r="L15" s="155">
        <v>441154</v>
      </c>
      <c r="M15" s="159">
        <f t="shared" si="11"/>
        <v>6893002</v>
      </c>
      <c r="O15" s="96">
        <v>2015</v>
      </c>
      <c r="P15" s="112">
        <f t="shared" si="0"/>
        <v>0.17288447036574195</v>
      </c>
      <c r="Q15" s="112">
        <f t="shared" si="1"/>
        <v>3.4365868456153068E-2</v>
      </c>
      <c r="R15" s="112">
        <f t="shared" si="2"/>
        <v>8.9828060400968981E-2</v>
      </c>
      <c r="S15" s="112">
        <f t="shared" si="3"/>
        <v>0.14691204209718783</v>
      </c>
      <c r="T15" s="112">
        <f t="shared" si="4"/>
        <v>1.1776726598947745E-2</v>
      </c>
      <c r="U15" s="112">
        <f t="shared" si="5"/>
        <v>1.8212964394903702E-2</v>
      </c>
      <c r="V15" s="112">
        <f t="shared" si="6"/>
        <v>0.22668773344328058</v>
      </c>
      <c r="W15" s="112">
        <f t="shared" si="7"/>
        <v>4.508630637275312E-2</v>
      </c>
      <c r="X15" s="112">
        <f t="shared" si="8"/>
        <v>0.19024555629027817</v>
      </c>
      <c r="Y15" s="112">
        <f t="shared" si="9"/>
        <v>6.4000271579784829E-2</v>
      </c>
      <c r="Z15" s="111">
        <f t="shared" si="10"/>
        <v>1</v>
      </c>
    </row>
    <row r="16" spans="2:26" ht="13.5" customHeight="1" x14ac:dyDescent="0.2">
      <c r="B16" s="117">
        <v>2016</v>
      </c>
      <c r="C16" s="155">
        <v>1265635</v>
      </c>
      <c r="D16" s="155">
        <v>265878</v>
      </c>
      <c r="E16" s="155">
        <v>710767</v>
      </c>
      <c r="F16" s="155">
        <v>1013059</v>
      </c>
      <c r="G16" s="155">
        <v>92648</v>
      </c>
      <c r="H16" s="155">
        <v>110029</v>
      </c>
      <c r="I16" s="155">
        <v>1640086</v>
      </c>
      <c r="J16" s="155">
        <v>320299</v>
      </c>
      <c r="K16" s="155">
        <v>1370797</v>
      </c>
      <c r="L16" s="155">
        <v>438054</v>
      </c>
      <c r="M16" s="159">
        <f t="shared" si="11"/>
        <v>7227252</v>
      </c>
      <c r="O16" s="96">
        <v>2016</v>
      </c>
      <c r="P16" s="112">
        <f t="shared" si="0"/>
        <v>0.17511981040650029</v>
      </c>
      <c r="Q16" s="112">
        <f t="shared" si="1"/>
        <v>3.6788256449339252E-2</v>
      </c>
      <c r="R16" s="112">
        <f t="shared" si="2"/>
        <v>9.8345401544044683E-2</v>
      </c>
      <c r="S16" s="112">
        <f t="shared" si="3"/>
        <v>0.14017208753755922</v>
      </c>
      <c r="T16" s="112">
        <f t="shared" si="4"/>
        <v>1.2819256890447434E-2</v>
      </c>
      <c r="U16" s="112">
        <f t="shared" si="5"/>
        <v>1.5224182026584931E-2</v>
      </c>
      <c r="V16" s="112">
        <f t="shared" si="6"/>
        <v>0.22693078918515641</v>
      </c>
      <c r="W16" s="112">
        <f t="shared" si="7"/>
        <v>4.4318227730263178E-2</v>
      </c>
      <c r="X16" s="112">
        <f t="shared" si="8"/>
        <v>0.18967056911811017</v>
      </c>
      <c r="Y16" s="112">
        <f t="shared" si="9"/>
        <v>6.0611419111994434E-2</v>
      </c>
      <c r="Z16" s="111">
        <f t="shared" si="10"/>
        <v>1</v>
      </c>
    </row>
    <row r="17" spans="2:26" ht="13.5" customHeight="1" x14ac:dyDescent="0.2">
      <c r="B17" s="117">
        <v>2017</v>
      </c>
      <c r="C17" s="155">
        <v>1390267</v>
      </c>
      <c r="D17" s="155">
        <v>317845</v>
      </c>
      <c r="E17" s="155">
        <v>776680</v>
      </c>
      <c r="F17" s="155">
        <v>1011554</v>
      </c>
      <c r="G17" s="155">
        <v>191320</v>
      </c>
      <c r="H17" s="155">
        <v>125256</v>
      </c>
      <c r="I17" s="155">
        <v>1738623</v>
      </c>
      <c r="J17" s="155">
        <v>427223</v>
      </c>
      <c r="K17" s="155">
        <v>1469126</v>
      </c>
      <c r="L17" s="155">
        <v>482785</v>
      </c>
      <c r="M17" s="159">
        <f t="shared" si="11"/>
        <v>7930679</v>
      </c>
      <c r="O17" s="96">
        <v>2017</v>
      </c>
      <c r="P17" s="112">
        <f t="shared" si="0"/>
        <v>0.17530239214069818</v>
      </c>
      <c r="Q17" s="112">
        <f t="shared" si="1"/>
        <v>4.0077905057057536E-2</v>
      </c>
      <c r="R17" s="112">
        <f t="shared" si="2"/>
        <v>9.7933606945886972E-2</v>
      </c>
      <c r="S17" s="112">
        <f t="shared" si="3"/>
        <v>0.12754948220700901</v>
      </c>
      <c r="T17" s="112">
        <f t="shared" si="4"/>
        <v>2.4124037803068311E-2</v>
      </c>
      <c r="U17" s="112">
        <f t="shared" si="5"/>
        <v>1.5793855734168537E-2</v>
      </c>
      <c r="V17" s="112">
        <f t="shared" si="6"/>
        <v>0.21922750876690381</v>
      </c>
      <c r="W17" s="112">
        <f t="shared" si="7"/>
        <v>5.3869662358040214E-2</v>
      </c>
      <c r="X17" s="112">
        <f t="shared" si="8"/>
        <v>0.18524592913166704</v>
      </c>
      <c r="Y17" s="112">
        <f t="shared" si="9"/>
        <v>6.0875619855500392E-2</v>
      </c>
      <c r="Z17" s="111">
        <f t="shared" si="10"/>
        <v>1</v>
      </c>
    </row>
    <row r="18" spans="2:26" ht="13.5" customHeight="1" x14ac:dyDescent="0.2">
      <c r="B18" s="117">
        <v>2018</v>
      </c>
      <c r="C18" s="156">
        <v>1525727</v>
      </c>
      <c r="D18" s="156">
        <v>373751</v>
      </c>
      <c r="E18" s="156">
        <v>827467</v>
      </c>
      <c r="F18" s="156">
        <v>1198040</v>
      </c>
      <c r="G18" s="156">
        <v>119340</v>
      </c>
      <c r="H18" s="156">
        <v>133295</v>
      </c>
      <c r="I18" s="156">
        <v>1876258</v>
      </c>
      <c r="J18" s="156">
        <v>429967</v>
      </c>
      <c r="K18" s="156">
        <v>1552048</v>
      </c>
      <c r="L18" s="156">
        <v>508063</v>
      </c>
      <c r="M18" s="159">
        <f t="shared" si="11"/>
        <v>8543956</v>
      </c>
      <c r="O18" s="96">
        <v>2018</v>
      </c>
      <c r="P18" s="112">
        <f t="shared" si="0"/>
        <v>0.17857383628848275</v>
      </c>
      <c r="Q18" s="112">
        <f t="shared" si="1"/>
        <v>4.3744490257206378E-2</v>
      </c>
      <c r="R18" s="112">
        <f t="shared" si="2"/>
        <v>9.6848228150987675E-2</v>
      </c>
      <c r="S18" s="112">
        <f t="shared" si="3"/>
        <v>0.1402207595638367</v>
      </c>
      <c r="T18" s="112">
        <f t="shared" si="4"/>
        <v>1.3967768560605883E-2</v>
      </c>
      <c r="U18" s="112">
        <f t="shared" si="5"/>
        <v>1.5601086896983083E-2</v>
      </c>
      <c r="V18" s="112">
        <f t="shared" si="6"/>
        <v>0.21960061592077487</v>
      </c>
      <c r="W18" s="112">
        <f t="shared" si="7"/>
        <v>5.0324112156008294E-2</v>
      </c>
      <c r="X18" s="112">
        <f t="shared" si="8"/>
        <v>0.18165449353905849</v>
      </c>
      <c r="Y18" s="112">
        <f t="shared" si="9"/>
        <v>5.9464608666055865E-2</v>
      </c>
      <c r="Z18" s="111">
        <f t="shared" si="10"/>
        <v>1</v>
      </c>
    </row>
    <row r="19" spans="2:26" ht="13.5" customHeight="1" x14ac:dyDescent="0.2">
      <c r="B19" s="117">
        <v>2019</v>
      </c>
      <c r="C19" s="156">
        <v>1751621</v>
      </c>
      <c r="D19" s="156">
        <v>416226</v>
      </c>
      <c r="E19" s="156">
        <v>910893</v>
      </c>
      <c r="F19" s="156">
        <v>1517853</v>
      </c>
      <c r="G19" s="156">
        <v>143840</v>
      </c>
      <c r="H19" s="156">
        <v>161419</v>
      </c>
      <c r="I19" s="156">
        <v>1971310</v>
      </c>
      <c r="J19" s="156">
        <v>472983</v>
      </c>
      <c r="K19" s="156">
        <v>1672230</v>
      </c>
      <c r="L19" s="156">
        <v>557331</v>
      </c>
      <c r="M19" s="159">
        <f t="shared" si="11"/>
        <v>9575706</v>
      </c>
      <c r="O19" s="96">
        <v>2019</v>
      </c>
      <c r="P19" s="112">
        <f t="shared" si="0"/>
        <v>0.1829234314420263</v>
      </c>
      <c r="Q19" s="112">
        <f t="shared" si="1"/>
        <v>4.3466873356387506E-2</v>
      </c>
      <c r="R19" s="112">
        <f t="shared" si="2"/>
        <v>9.5125414251440055E-2</v>
      </c>
      <c r="S19" s="112">
        <f t="shared" si="3"/>
        <v>0.15851081894118302</v>
      </c>
      <c r="T19" s="112">
        <f t="shared" si="4"/>
        <v>1.5021346728899154E-2</v>
      </c>
      <c r="U19" s="112">
        <f t="shared" si="5"/>
        <v>1.6857138262181399E-2</v>
      </c>
      <c r="V19" s="112">
        <f t="shared" si="6"/>
        <v>0.20586576070735671</v>
      </c>
      <c r="W19" s="112">
        <f t="shared" si="7"/>
        <v>4.9394060343957928E-2</v>
      </c>
      <c r="X19" s="112">
        <f t="shared" si="8"/>
        <v>0.17463255450825244</v>
      </c>
      <c r="Y19" s="112">
        <f t="shared" si="9"/>
        <v>5.8202601458315448E-2</v>
      </c>
      <c r="Z19" s="111">
        <f t="shared" si="10"/>
        <v>1</v>
      </c>
    </row>
    <row r="20" spans="2:26" ht="13.5" customHeight="1" x14ac:dyDescent="0.2">
      <c r="B20" s="115">
        <v>2020</v>
      </c>
      <c r="C20" s="156">
        <v>1821000</v>
      </c>
      <c r="D20" s="156">
        <v>475223</v>
      </c>
      <c r="E20" s="156">
        <v>952329</v>
      </c>
      <c r="F20" s="156">
        <v>1628957</v>
      </c>
      <c r="G20" s="156">
        <v>154903</v>
      </c>
      <c r="H20" s="156">
        <v>165890</v>
      </c>
      <c r="I20" s="156">
        <v>2465153</v>
      </c>
      <c r="J20" s="156">
        <v>426952</v>
      </c>
      <c r="K20" s="156">
        <v>1683586</v>
      </c>
      <c r="L20" s="156">
        <v>553203</v>
      </c>
      <c r="M20" s="160">
        <f t="shared" si="11"/>
        <v>10327196</v>
      </c>
      <c r="O20" s="102">
        <v>2020</v>
      </c>
      <c r="P20" s="112">
        <f t="shared" si="0"/>
        <v>0.17633053541348495</v>
      </c>
      <c r="Q20" s="112">
        <f t="shared" si="1"/>
        <v>4.6016653504010185E-2</v>
      </c>
      <c r="R20" s="112">
        <f t="shared" si="2"/>
        <v>9.2215641109164581E-2</v>
      </c>
      <c r="S20" s="112">
        <f t="shared" si="3"/>
        <v>0.15773468422599901</v>
      </c>
      <c r="T20" s="112">
        <f t="shared" si="4"/>
        <v>1.499952165137565E-2</v>
      </c>
      <c r="U20" s="112">
        <f t="shared" si="5"/>
        <v>1.6063411597881942E-2</v>
      </c>
      <c r="V20" s="112">
        <f t="shared" si="6"/>
        <v>0.23870496889959289</v>
      </c>
      <c r="W20" s="112">
        <f t="shared" si="7"/>
        <v>4.1342490255825495E-2</v>
      </c>
      <c r="X20" s="112">
        <f t="shared" si="8"/>
        <v>0.16302450345669822</v>
      </c>
      <c r="Y20" s="112">
        <f t="shared" si="9"/>
        <v>5.3567589885967111E-2</v>
      </c>
      <c r="Z20" s="111">
        <f t="shared" si="10"/>
        <v>1</v>
      </c>
    </row>
    <row r="21" spans="2:26" ht="13.5" customHeight="1" x14ac:dyDescent="0.2">
      <c r="B21" s="115">
        <v>2021</v>
      </c>
      <c r="C21" s="156">
        <v>2010958.44043</v>
      </c>
      <c r="D21" s="156">
        <v>539076</v>
      </c>
      <c r="E21" s="156">
        <v>960743.66309499997</v>
      </c>
      <c r="F21" s="156">
        <v>1815643.903405</v>
      </c>
      <c r="G21" s="156">
        <v>190915</v>
      </c>
      <c r="H21" s="156">
        <v>179657.333082</v>
      </c>
      <c r="I21" s="156">
        <v>2757041</v>
      </c>
      <c r="J21" s="156">
        <v>491109</v>
      </c>
      <c r="K21" s="156">
        <v>1973365.099439</v>
      </c>
      <c r="L21" s="156">
        <v>596099.2466500001</v>
      </c>
      <c r="M21" s="160">
        <f t="shared" si="11"/>
        <v>11514608.686101001</v>
      </c>
      <c r="O21" s="102">
        <v>2021</v>
      </c>
      <c r="P21" s="112">
        <f t="shared" si="0"/>
        <v>0.17464409735932912</v>
      </c>
      <c r="Q21" s="112">
        <f t="shared" si="1"/>
        <v>4.6816701695708104E-2</v>
      </c>
      <c r="R21" s="112">
        <f t="shared" si="2"/>
        <v>8.3436935573389465E-2</v>
      </c>
      <c r="S21" s="112">
        <f t="shared" si="3"/>
        <v>0.15768177216448692</v>
      </c>
      <c r="T21" s="112">
        <f t="shared" si="4"/>
        <v>1.6580242125852594E-2</v>
      </c>
      <c r="U21" s="112">
        <f t="shared" si="5"/>
        <v>1.560255654183541E-2</v>
      </c>
      <c r="V21" s="112">
        <f t="shared" si="6"/>
        <v>0.23943853196921541</v>
      </c>
      <c r="W21" s="112">
        <f t="shared" si="7"/>
        <v>4.2650950057278585E-2</v>
      </c>
      <c r="X21" s="112">
        <f t="shared" si="8"/>
        <v>0.17137925857793154</v>
      </c>
      <c r="Y21" s="112">
        <f t="shared" si="9"/>
        <v>5.1768953934972772E-2</v>
      </c>
      <c r="Z21" s="111">
        <f t="shared" si="10"/>
        <v>1</v>
      </c>
    </row>
    <row r="22" spans="2:26" ht="13.5" customHeight="1" thickBot="1" x14ac:dyDescent="0.25">
      <c r="B22" s="110">
        <v>2022</v>
      </c>
      <c r="C22" s="157">
        <v>2370980.6720989347</v>
      </c>
      <c r="D22" s="157">
        <v>784007</v>
      </c>
      <c r="E22" s="157">
        <v>1259562.9589189999</v>
      </c>
      <c r="F22" s="157">
        <v>2152086.8228857424</v>
      </c>
      <c r="G22" s="157">
        <v>248609.88889005926</v>
      </c>
      <c r="H22" s="157">
        <v>195981.42296599998</v>
      </c>
      <c r="I22" s="157">
        <v>2737508.7947840001</v>
      </c>
      <c r="J22" s="157">
        <v>648963.8361990077</v>
      </c>
      <c r="K22" s="157">
        <v>2471937.2748546177</v>
      </c>
      <c r="L22" s="157">
        <v>716795.29496258067</v>
      </c>
      <c r="M22" s="161">
        <f t="shared" si="11"/>
        <v>13586433.966559943</v>
      </c>
      <c r="O22" s="99">
        <v>2022</v>
      </c>
      <c r="P22" s="107">
        <f t="shared" si="0"/>
        <v>0.17451088916595692</v>
      </c>
      <c r="Q22" s="107">
        <f t="shared" si="1"/>
        <v>5.7705134543005396E-2</v>
      </c>
      <c r="R22" s="107">
        <f t="shared" si="2"/>
        <v>9.2707399308688404E-2</v>
      </c>
      <c r="S22" s="107">
        <f t="shared" si="3"/>
        <v>0.15839968222586123</v>
      </c>
      <c r="T22" s="107">
        <f t="shared" si="4"/>
        <v>1.8298391579568158E-2</v>
      </c>
      <c r="U22" s="107">
        <f t="shared" si="5"/>
        <v>1.4424787508507803E-2</v>
      </c>
      <c r="V22" s="107">
        <f t="shared" si="6"/>
        <v>0.20148839655216252</v>
      </c>
      <c r="W22" s="107">
        <f t="shared" si="7"/>
        <v>4.7765575411199974E-2</v>
      </c>
      <c r="X22" s="107">
        <f t="shared" si="8"/>
        <v>0.18194158091363447</v>
      </c>
      <c r="Y22" s="107">
        <f t="shared" si="9"/>
        <v>5.275816279141507E-2</v>
      </c>
      <c r="Z22" s="107">
        <f t="shared" si="10"/>
        <v>1</v>
      </c>
    </row>
    <row r="23" spans="2:26" ht="13.5" customHeight="1" thickBot="1" x14ac:dyDescent="0.25"/>
    <row r="24" spans="2:26" s="94" customFormat="1" ht="13.5" customHeight="1" thickBot="1" x14ac:dyDescent="0.25">
      <c r="B24" s="380" t="s">
        <v>721</v>
      </c>
      <c r="C24" s="381"/>
      <c r="D24" s="381"/>
      <c r="E24" s="381"/>
      <c r="F24" s="381"/>
      <c r="G24" s="381"/>
      <c r="H24" s="381"/>
      <c r="I24" s="381"/>
      <c r="J24" s="381"/>
      <c r="K24" s="381"/>
      <c r="L24" s="381"/>
      <c r="M24" s="382"/>
      <c r="O24" s="380" t="s">
        <v>720</v>
      </c>
      <c r="P24" s="381"/>
      <c r="Q24" s="381"/>
      <c r="R24" s="381"/>
      <c r="S24" s="381"/>
      <c r="T24" s="381"/>
      <c r="U24" s="381"/>
      <c r="V24" s="381"/>
      <c r="W24" s="381"/>
      <c r="X24" s="381"/>
      <c r="Y24" s="381"/>
      <c r="Z24" s="382"/>
    </row>
    <row r="25" spans="2:26" s="94" customFormat="1" ht="6.75" customHeight="1" thickBot="1" x14ac:dyDescent="0.25">
      <c r="B25" s="95"/>
      <c r="O25" s="95"/>
    </row>
    <row r="26" spans="2:26" ht="27" customHeight="1" thickBot="1" x14ac:dyDescent="0.25">
      <c r="B26" s="106" t="s">
        <v>52</v>
      </c>
      <c r="C26" s="105" t="s">
        <v>726</v>
      </c>
      <c r="D26" s="105" t="s">
        <v>717</v>
      </c>
      <c r="E26" s="105" t="s">
        <v>716</v>
      </c>
      <c r="F26" s="105" t="s">
        <v>715</v>
      </c>
      <c r="G26" s="105" t="s">
        <v>714</v>
      </c>
      <c r="H26" s="105" t="s">
        <v>727</v>
      </c>
      <c r="I26" s="105" t="s">
        <v>713</v>
      </c>
      <c r="J26" s="105" t="s">
        <v>712</v>
      </c>
      <c r="K26" s="105" t="s">
        <v>711</v>
      </c>
      <c r="L26" s="105" t="s">
        <v>710</v>
      </c>
      <c r="M26" s="158" t="s">
        <v>44</v>
      </c>
      <c r="O26" s="106" t="s">
        <v>52</v>
      </c>
      <c r="P26" s="105" t="s">
        <v>726</v>
      </c>
      <c r="Q26" s="105" t="s">
        <v>717</v>
      </c>
      <c r="R26" s="105" t="s">
        <v>716</v>
      </c>
      <c r="S26" s="105" t="s">
        <v>715</v>
      </c>
      <c r="T26" s="105" t="s">
        <v>714</v>
      </c>
      <c r="U26" s="105" t="s">
        <v>727</v>
      </c>
      <c r="V26" s="105" t="s">
        <v>713</v>
      </c>
      <c r="W26" s="105" t="s">
        <v>712</v>
      </c>
      <c r="X26" s="105" t="s">
        <v>711</v>
      </c>
      <c r="Y26" s="105" t="s">
        <v>710</v>
      </c>
      <c r="Z26" s="158" t="s">
        <v>44</v>
      </c>
    </row>
    <row r="27" spans="2:26" ht="13.5" customHeight="1" x14ac:dyDescent="0.2">
      <c r="B27" s="96">
        <v>2010</v>
      </c>
      <c r="C27" s="111">
        <f t="shared" ref="C27:M27" si="12">C10/C$10</f>
        <v>1</v>
      </c>
      <c r="D27" s="111">
        <f t="shared" si="12"/>
        <v>1</v>
      </c>
      <c r="E27" s="111">
        <f t="shared" si="12"/>
        <v>1</v>
      </c>
      <c r="F27" s="111">
        <f t="shared" si="12"/>
        <v>1</v>
      </c>
      <c r="G27" s="111">
        <f t="shared" si="12"/>
        <v>1</v>
      </c>
      <c r="H27" s="111">
        <f t="shared" si="12"/>
        <v>1</v>
      </c>
      <c r="I27" s="111">
        <f t="shared" si="12"/>
        <v>1</v>
      </c>
      <c r="J27" s="111">
        <f t="shared" si="12"/>
        <v>1</v>
      </c>
      <c r="K27" s="111">
        <f t="shared" si="12"/>
        <v>1</v>
      </c>
      <c r="L27" s="111">
        <f t="shared" si="12"/>
        <v>1</v>
      </c>
      <c r="M27" s="111">
        <f t="shared" si="12"/>
        <v>1</v>
      </c>
      <c r="O27" s="96">
        <v>2010</v>
      </c>
      <c r="P27" s="112">
        <f t="shared" ref="P27:Z27" si="13">P10/P$10</f>
        <v>1</v>
      </c>
      <c r="Q27" s="112">
        <f t="shared" si="13"/>
        <v>1</v>
      </c>
      <c r="R27" s="112">
        <f t="shared" si="13"/>
        <v>1</v>
      </c>
      <c r="S27" s="112">
        <f t="shared" si="13"/>
        <v>1</v>
      </c>
      <c r="T27" s="112">
        <f t="shared" si="13"/>
        <v>1</v>
      </c>
      <c r="U27" s="112">
        <f t="shared" si="13"/>
        <v>1</v>
      </c>
      <c r="V27" s="112">
        <f t="shared" si="13"/>
        <v>1</v>
      </c>
      <c r="W27" s="112">
        <f t="shared" si="13"/>
        <v>1</v>
      </c>
      <c r="X27" s="112">
        <f t="shared" si="13"/>
        <v>1</v>
      </c>
      <c r="Y27" s="112">
        <f t="shared" si="13"/>
        <v>1</v>
      </c>
      <c r="Z27" s="103">
        <f t="shared" si="13"/>
        <v>1</v>
      </c>
    </row>
    <row r="28" spans="2:26" ht="13.5" customHeight="1" x14ac:dyDescent="0.2">
      <c r="B28" s="96">
        <v>2011</v>
      </c>
      <c r="C28" s="111">
        <f t="shared" ref="C28:M28" si="14">C11/C$10</f>
        <v>0.99290942221700884</v>
      </c>
      <c r="D28" s="111">
        <f t="shared" si="14"/>
        <v>1.0397613247015813</v>
      </c>
      <c r="E28" s="111">
        <f t="shared" si="14"/>
        <v>1.0445944339840989</v>
      </c>
      <c r="F28" s="111">
        <f t="shared" si="14"/>
        <v>0.99390950632141284</v>
      </c>
      <c r="G28" s="111">
        <f t="shared" si="14"/>
        <v>1.0073444143795902</v>
      </c>
      <c r="H28" s="111">
        <f t="shared" si="14"/>
        <v>0.89491657259938717</v>
      </c>
      <c r="I28" s="111">
        <f t="shared" si="14"/>
        <v>1.0521081416238731</v>
      </c>
      <c r="J28" s="111">
        <f t="shared" si="14"/>
        <v>0.98802574528031317</v>
      </c>
      <c r="K28" s="111">
        <f t="shared" si="14"/>
        <v>0.96829521034042854</v>
      </c>
      <c r="L28" s="111">
        <f t="shared" si="14"/>
        <v>0.8979752375412986</v>
      </c>
      <c r="M28" s="111">
        <f t="shared" si="14"/>
        <v>0.99935106201752555</v>
      </c>
      <c r="O28" s="96">
        <v>2011</v>
      </c>
      <c r="P28" s="112">
        <f t="shared" ref="P28:Z28" si="15">P11/P$10</f>
        <v>0.99355417726027917</v>
      </c>
      <c r="Q28" s="112">
        <f t="shared" si="15"/>
        <v>1.040436503467034</v>
      </c>
      <c r="R28" s="112">
        <f t="shared" si="15"/>
        <v>1.0452727511743813</v>
      </c>
      <c r="S28" s="112">
        <f t="shared" si="15"/>
        <v>0.99455491077867364</v>
      </c>
      <c r="T28" s="112">
        <f t="shared" si="15"/>
        <v>1.0079985429203702</v>
      </c>
      <c r="U28" s="112">
        <f t="shared" si="15"/>
        <v>0.89549769506693444</v>
      </c>
      <c r="V28" s="112">
        <f t="shared" si="15"/>
        <v>1.0527913379106635</v>
      </c>
      <c r="W28" s="112">
        <f t="shared" si="15"/>
        <v>0.98866732906217325</v>
      </c>
      <c r="X28" s="112">
        <f t="shared" si="15"/>
        <v>0.96892398191442319</v>
      </c>
      <c r="Y28" s="112">
        <f t="shared" si="15"/>
        <v>0.89855834618160513</v>
      </c>
      <c r="Z28" s="103">
        <f t="shared" si="15"/>
        <v>1</v>
      </c>
    </row>
    <row r="29" spans="2:26" ht="13.5" customHeight="1" x14ac:dyDescent="0.2">
      <c r="B29" s="96">
        <v>2012</v>
      </c>
      <c r="C29" s="111">
        <f t="shared" ref="C29:M29" si="16">C12/C$10</f>
        <v>0.98908301800553733</v>
      </c>
      <c r="D29" s="111">
        <f t="shared" si="16"/>
        <v>0.69568303061568326</v>
      </c>
      <c r="E29" s="111">
        <f t="shared" si="16"/>
        <v>1.0815906953662406</v>
      </c>
      <c r="F29" s="111">
        <f t="shared" si="16"/>
        <v>1.0394338927202724</v>
      </c>
      <c r="G29" s="111">
        <f t="shared" si="16"/>
        <v>1.2055147532534467</v>
      </c>
      <c r="H29" s="111">
        <f t="shared" si="16"/>
        <v>0.99391961753350855</v>
      </c>
      <c r="I29" s="111">
        <f t="shared" si="16"/>
        <v>1.0625264312628182</v>
      </c>
      <c r="J29" s="111">
        <f t="shared" si="16"/>
        <v>0.97710593356165543</v>
      </c>
      <c r="K29" s="111">
        <f t="shared" si="16"/>
        <v>0.93993681729502754</v>
      </c>
      <c r="L29" s="111">
        <f t="shared" si="16"/>
        <v>0.82694168855749384</v>
      </c>
      <c r="M29" s="111">
        <f t="shared" si="16"/>
        <v>0.98378845131809045</v>
      </c>
      <c r="O29" s="96">
        <v>2012</v>
      </c>
      <c r="P29" s="111">
        <f t="shared" ref="P29:Z29" si="17">P12/P$10</f>
        <v>1.0053818142308473</v>
      </c>
      <c r="Q29" s="111">
        <f t="shared" si="17"/>
        <v>0.70714697827932371</v>
      </c>
      <c r="R29" s="111">
        <f t="shared" si="17"/>
        <v>1.099413897283622</v>
      </c>
      <c r="S29" s="112">
        <f t="shared" si="17"/>
        <v>1.0565624055940357</v>
      </c>
      <c r="T29" s="112">
        <f t="shared" si="17"/>
        <v>1.2253800617788153</v>
      </c>
      <c r="U29" s="112">
        <f t="shared" si="17"/>
        <v>1.0102981146016139</v>
      </c>
      <c r="V29" s="112">
        <f t="shared" si="17"/>
        <v>1.0800354790089615</v>
      </c>
      <c r="W29" s="112">
        <f t="shared" si="17"/>
        <v>0.9932073630794489</v>
      </c>
      <c r="X29" s="112">
        <f t="shared" si="17"/>
        <v>0.95542574832596394</v>
      </c>
      <c r="Y29" s="112">
        <f t="shared" si="17"/>
        <v>0.84056860745778039</v>
      </c>
      <c r="Z29" s="103">
        <f t="shared" si="17"/>
        <v>1</v>
      </c>
    </row>
    <row r="30" spans="2:26" ht="13.5" customHeight="1" x14ac:dyDescent="0.2">
      <c r="B30" s="96">
        <v>2013</v>
      </c>
      <c r="C30" s="111">
        <f t="shared" ref="C30:M30" si="18">C13/C$10</f>
        <v>1.0238685108370966</v>
      </c>
      <c r="D30" s="111">
        <f t="shared" si="18"/>
        <v>0.75337780415147115</v>
      </c>
      <c r="E30" s="111">
        <f t="shared" si="18"/>
        <v>1.1393609945182228</v>
      </c>
      <c r="F30" s="111">
        <f t="shared" si="18"/>
        <v>1.0434505544280976</v>
      </c>
      <c r="G30" s="111">
        <f t="shared" si="18"/>
        <v>1.5430356912768972</v>
      </c>
      <c r="H30" s="111">
        <f t="shared" si="18"/>
        <v>1.0339970214663112</v>
      </c>
      <c r="I30" s="111">
        <f t="shared" si="18"/>
        <v>1.1145598499181226</v>
      </c>
      <c r="J30" s="111">
        <f t="shared" si="18"/>
        <v>0.96011253015706988</v>
      </c>
      <c r="K30" s="111">
        <f t="shared" si="18"/>
        <v>0.92981660090011498</v>
      </c>
      <c r="L30" s="111">
        <f t="shared" si="18"/>
        <v>0.93312372171077407</v>
      </c>
      <c r="M30" s="111">
        <f t="shared" si="18"/>
        <v>1.0177476122584503</v>
      </c>
      <c r="O30" s="96">
        <v>2013</v>
      </c>
      <c r="P30" s="111">
        <f t="shared" ref="P30:Z30" si="19">P13/P$10</f>
        <v>1.0060141615710241</v>
      </c>
      <c r="Q30" s="111">
        <f t="shared" si="19"/>
        <v>0.74024030621862635</v>
      </c>
      <c r="R30" s="111">
        <f t="shared" si="19"/>
        <v>1.1194926726380663</v>
      </c>
      <c r="S30" s="112">
        <f t="shared" si="19"/>
        <v>1.0252547309962343</v>
      </c>
      <c r="T30" s="112">
        <f t="shared" si="19"/>
        <v>1.5161280387116776</v>
      </c>
      <c r="U30" s="112">
        <f t="shared" si="19"/>
        <v>1.015966049944153</v>
      </c>
      <c r="V30" s="112">
        <f t="shared" si="19"/>
        <v>1.0951240135507068</v>
      </c>
      <c r="W30" s="112">
        <f t="shared" si="19"/>
        <v>0.94336996578799681</v>
      </c>
      <c r="X30" s="112">
        <f t="shared" si="19"/>
        <v>0.91360234079723313</v>
      </c>
      <c r="Y30" s="112">
        <f t="shared" si="19"/>
        <v>0.91685179161473018</v>
      </c>
      <c r="Z30" s="103">
        <f t="shared" si="19"/>
        <v>1</v>
      </c>
    </row>
    <row r="31" spans="2:26" ht="13.5" customHeight="1" x14ac:dyDescent="0.2">
      <c r="B31" s="96">
        <v>2014</v>
      </c>
      <c r="C31" s="111">
        <f t="shared" ref="C31:M31" si="20">C14/C$10</f>
        <v>1.2688281535981749</v>
      </c>
      <c r="D31" s="111">
        <f t="shared" si="20"/>
        <v>0.64160536273933877</v>
      </c>
      <c r="E31" s="111">
        <f t="shared" si="20"/>
        <v>1.1999128420376615</v>
      </c>
      <c r="F31" s="111">
        <f t="shared" si="20"/>
        <v>1.0593906397793833</v>
      </c>
      <c r="G31" s="111">
        <f t="shared" si="20"/>
        <v>1.5388910363784736</v>
      </c>
      <c r="H31" s="111">
        <f t="shared" si="20"/>
        <v>1.1813206097456863</v>
      </c>
      <c r="I31" s="111">
        <f t="shared" si="20"/>
        <v>1.1372700678866119</v>
      </c>
      <c r="J31" s="111">
        <f t="shared" si="20"/>
        <v>1.1668044472188011</v>
      </c>
      <c r="K31" s="111">
        <f t="shared" si="20"/>
        <v>1.1083288993803269</v>
      </c>
      <c r="L31" s="111">
        <f t="shared" si="20"/>
        <v>1.0129128069681959</v>
      </c>
      <c r="M31" s="111">
        <f t="shared" si="20"/>
        <v>1.1151352330991353</v>
      </c>
      <c r="O31" s="96">
        <v>2014</v>
      </c>
      <c r="P31" s="111">
        <f t="shared" ref="P31:Z31" si="21">P14/P$10</f>
        <v>1.1378244682233769</v>
      </c>
      <c r="Q31" s="111">
        <f t="shared" si="21"/>
        <v>0.57536103576982056</v>
      </c>
      <c r="R31" s="111">
        <f t="shared" si="21"/>
        <v>1.0760245093349941</v>
      </c>
      <c r="S31" s="112">
        <f t="shared" si="21"/>
        <v>0.95001091198165355</v>
      </c>
      <c r="T31" s="112">
        <f t="shared" si="21"/>
        <v>1.3800039588935367</v>
      </c>
      <c r="U31" s="112">
        <f t="shared" si="21"/>
        <v>1.0593518836837497</v>
      </c>
      <c r="V31" s="112">
        <f t="shared" si="21"/>
        <v>1.0198494623167456</v>
      </c>
      <c r="W31" s="112">
        <f t="shared" si="21"/>
        <v>1.0463344826582772</v>
      </c>
      <c r="X31" s="112">
        <f t="shared" si="21"/>
        <v>0.99389640510246235</v>
      </c>
      <c r="Y31" s="112">
        <f t="shared" si="21"/>
        <v>0.90833181205579228</v>
      </c>
      <c r="Z31" s="103">
        <f t="shared" si="21"/>
        <v>1</v>
      </c>
    </row>
    <row r="32" spans="2:26" ht="13.5" customHeight="1" x14ac:dyDescent="0.2">
      <c r="B32" s="96">
        <v>2015</v>
      </c>
      <c r="C32" s="111">
        <f t="shared" ref="C32:M32" si="22">C15/C$10</f>
        <v>1.2050473345616117</v>
      </c>
      <c r="D32" s="111">
        <f t="shared" si="22"/>
        <v>0.7063763042304928</v>
      </c>
      <c r="E32" s="111">
        <f t="shared" si="22"/>
        <v>1.2910742323114166</v>
      </c>
      <c r="F32" s="111">
        <f t="shared" si="22"/>
        <v>1.1242489575330725</v>
      </c>
      <c r="G32" s="111">
        <f t="shared" si="22"/>
        <v>1.7432676201520423</v>
      </c>
      <c r="H32" s="111">
        <f t="shared" si="22"/>
        <v>1.1908633004809288</v>
      </c>
      <c r="I32" s="111">
        <f t="shared" si="22"/>
        <v>1.2421175217412042</v>
      </c>
      <c r="J32" s="111">
        <f t="shared" si="22"/>
        <v>1.31079918343934</v>
      </c>
      <c r="K32" s="111">
        <f t="shared" si="22"/>
        <v>1.1806135870724837</v>
      </c>
      <c r="L32" s="111">
        <f t="shared" si="22"/>
        <v>1.0516035527501395</v>
      </c>
      <c r="M32" s="111">
        <f t="shared" si="22"/>
        <v>1.1718969900634453</v>
      </c>
      <c r="O32" s="96">
        <v>2015</v>
      </c>
      <c r="P32" s="111">
        <f t="shared" ref="P32:Z32" si="23">P15/P$10</f>
        <v>1.0282877631560192</v>
      </c>
      <c r="Q32" s="111">
        <f t="shared" si="23"/>
        <v>0.60276313551436833</v>
      </c>
      <c r="R32" s="111">
        <f t="shared" si="23"/>
        <v>1.1016960050742337</v>
      </c>
      <c r="S32" s="112">
        <f t="shared" si="23"/>
        <v>0.95934110853224974</v>
      </c>
      <c r="T32" s="112">
        <f t="shared" si="23"/>
        <v>1.4875604553414405</v>
      </c>
      <c r="U32" s="112">
        <f t="shared" si="23"/>
        <v>1.0161842811939101</v>
      </c>
      <c r="V32" s="112">
        <f t="shared" si="23"/>
        <v>1.0599203959675305</v>
      </c>
      <c r="W32" s="112">
        <f t="shared" si="23"/>
        <v>1.118527647526746</v>
      </c>
      <c r="X32" s="112">
        <f t="shared" si="23"/>
        <v>1.0074380232076254</v>
      </c>
      <c r="Y32" s="112">
        <f t="shared" si="23"/>
        <v>0.89735152634294812</v>
      </c>
      <c r="Z32" s="103">
        <f t="shared" si="23"/>
        <v>1</v>
      </c>
    </row>
    <row r="33" spans="1:26" ht="13.5" customHeight="1" x14ac:dyDescent="0.2">
      <c r="B33" s="96">
        <v>2016</v>
      </c>
      <c r="C33" s="111">
        <f t="shared" ref="C33:M33" si="24">C16/C$10</f>
        <v>1.2798179424380991</v>
      </c>
      <c r="D33" s="111">
        <f t="shared" si="24"/>
        <v>0.79283496992703173</v>
      </c>
      <c r="E33" s="111">
        <f t="shared" si="24"/>
        <v>1.4820335745815687</v>
      </c>
      <c r="F33" s="111">
        <f t="shared" si="24"/>
        <v>1.1246863717710169</v>
      </c>
      <c r="G33" s="111">
        <f t="shared" si="24"/>
        <v>1.9896061504101705</v>
      </c>
      <c r="H33" s="111">
        <f t="shared" si="24"/>
        <v>1.0437104561709716</v>
      </c>
      <c r="I33" s="111">
        <f t="shared" si="24"/>
        <v>1.3037456875308033</v>
      </c>
      <c r="J33" s="111">
        <f t="shared" si="24"/>
        <v>1.3509481551465254</v>
      </c>
      <c r="K33" s="111">
        <f t="shared" si="24"/>
        <v>1.2341217216881972</v>
      </c>
      <c r="L33" s="111">
        <f t="shared" si="24"/>
        <v>1.0442139087402802</v>
      </c>
      <c r="M33" s="111">
        <f t="shared" si="24"/>
        <v>1.2287236918297739</v>
      </c>
      <c r="O33" s="96">
        <v>2016</v>
      </c>
      <c r="P33" s="111">
        <f t="shared" ref="P33:Z33" si="25">P16/P$10</f>
        <v>1.0415831898970203</v>
      </c>
      <c r="Q33" s="111">
        <f t="shared" si="25"/>
        <v>0.64525082017940794</v>
      </c>
      <c r="R33" s="111">
        <f t="shared" si="25"/>
        <v>1.2061569126046348</v>
      </c>
      <c r="S33" s="112">
        <f t="shared" si="25"/>
        <v>0.915328954141164</v>
      </c>
      <c r="T33" s="112">
        <f t="shared" si="25"/>
        <v>1.619246184996495</v>
      </c>
      <c r="U33" s="112">
        <f t="shared" si="25"/>
        <v>0.84942649279978732</v>
      </c>
      <c r="V33" s="112">
        <f t="shared" si="25"/>
        <v>1.0610568480121916</v>
      </c>
      <c r="W33" s="112">
        <f t="shared" si="25"/>
        <v>1.0994727001110713</v>
      </c>
      <c r="X33" s="112">
        <f t="shared" si="25"/>
        <v>1.0043932007613403</v>
      </c>
      <c r="Y33" s="112">
        <f t="shared" si="25"/>
        <v>0.84983622899406452</v>
      </c>
      <c r="Z33" s="103">
        <f t="shared" si="25"/>
        <v>1</v>
      </c>
    </row>
    <row r="34" spans="1:26" ht="13.5" customHeight="1" x14ac:dyDescent="0.2">
      <c r="B34" s="96">
        <v>2017</v>
      </c>
      <c r="C34" s="111">
        <f t="shared" ref="C34:M34" si="26">C17/C$10</f>
        <v>1.4058465919317882</v>
      </c>
      <c r="D34" s="111">
        <f t="shared" si="26"/>
        <v>0.94779797883411709</v>
      </c>
      <c r="E34" s="111">
        <f t="shared" si="26"/>
        <v>1.6194700045247077</v>
      </c>
      <c r="F34" s="111">
        <f t="shared" si="26"/>
        <v>1.1230155381971427</v>
      </c>
      <c r="G34" s="111">
        <f t="shared" si="26"/>
        <v>4.1085770734011939</v>
      </c>
      <c r="H34" s="111">
        <f t="shared" si="26"/>
        <v>1.1881503685224006</v>
      </c>
      <c r="I34" s="111">
        <f t="shared" si="26"/>
        <v>1.382075231720695</v>
      </c>
      <c r="J34" s="111">
        <f t="shared" si="26"/>
        <v>1.801929208914683</v>
      </c>
      <c r="K34" s="111">
        <f t="shared" si="26"/>
        <v>1.3226468313666389</v>
      </c>
      <c r="L34" s="111">
        <f t="shared" si="26"/>
        <v>1.1508417042902843</v>
      </c>
      <c r="M34" s="111">
        <f t="shared" si="26"/>
        <v>1.3483151244202995</v>
      </c>
      <c r="O34" s="96">
        <v>2017</v>
      </c>
      <c r="P34" s="111">
        <f t="shared" ref="P34:Z34" si="27">P17/P$10</f>
        <v>1.0426691553550762</v>
      </c>
      <c r="Q34" s="111">
        <f t="shared" si="27"/>
        <v>0.70294989774116601</v>
      </c>
      <c r="R34" s="111">
        <f t="shared" si="27"/>
        <v>1.2011064588636053</v>
      </c>
      <c r="S34" s="112">
        <f t="shared" si="27"/>
        <v>0.83290287104060845</v>
      </c>
      <c r="T34" s="112">
        <f t="shared" si="27"/>
        <v>3.0471934928176769</v>
      </c>
      <c r="U34" s="112">
        <f t="shared" si="27"/>
        <v>0.88121118498410311</v>
      </c>
      <c r="V34" s="112">
        <f t="shared" si="27"/>
        <v>1.0250387366342941</v>
      </c>
      <c r="W34" s="112">
        <f t="shared" si="27"/>
        <v>1.3364303168292444</v>
      </c>
      <c r="X34" s="112">
        <f t="shared" si="27"/>
        <v>0.98096268996114933</v>
      </c>
      <c r="Y34" s="112">
        <f t="shared" si="27"/>
        <v>0.85354060296926648</v>
      </c>
      <c r="Z34" s="103">
        <f t="shared" si="27"/>
        <v>1</v>
      </c>
    </row>
    <row r="35" spans="1:26" ht="13.5" customHeight="1" x14ac:dyDescent="0.2">
      <c r="B35" s="96">
        <v>2018</v>
      </c>
      <c r="C35" s="111">
        <f t="shared" ref="C35:M35" si="28">C18/C$10</f>
        <v>1.5428245820179227</v>
      </c>
      <c r="D35" s="111">
        <f t="shared" si="28"/>
        <v>1.1145068897960644</v>
      </c>
      <c r="E35" s="111">
        <f t="shared" si="28"/>
        <v>1.7253669287660893</v>
      </c>
      <c r="F35" s="111">
        <f t="shared" si="28"/>
        <v>1.3300501361091004</v>
      </c>
      <c r="G35" s="111">
        <f t="shared" si="28"/>
        <v>2.562814070351759</v>
      </c>
      <c r="H35" s="111">
        <f t="shared" si="28"/>
        <v>1.2644065224196317</v>
      </c>
      <c r="I35" s="111">
        <f t="shared" si="28"/>
        <v>1.4914847612839632</v>
      </c>
      <c r="J35" s="111">
        <f t="shared" si="28"/>
        <v>1.8135027752939787</v>
      </c>
      <c r="K35" s="111">
        <f t="shared" si="28"/>
        <v>1.3973010955690179</v>
      </c>
      <c r="L35" s="111">
        <f t="shared" si="28"/>
        <v>1.2110982918003557</v>
      </c>
      <c r="M35" s="111">
        <f t="shared" si="28"/>
        <v>1.4525799237595627</v>
      </c>
      <c r="O35" s="96">
        <v>2018</v>
      </c>
      <c r="P35" s="111">
        <f t="shared" ref="P35:Z35" si="29">P18/P$10</f>
        <v>1.0621271551274019</v>
      </c>
      <c r="Q35" s="111">
        <f t="shared" si="29"/>
        <v>0.76726028741434149</v>
      </c>
      <c r="R35" s="111">
        <f t="shared" si="29"/>
        <v>1.1877948335541497</v>
      </c>
      <c r="S35" s="112">
        <f t="shared" si="29"/>
        <v>0.91564678428617463</v>
      </c>
      <c r="T35" s="112">
        <f t="shared" si="29"/>
        <v>1.7643188016248301</v>
      </c>
      <c r="U35" s="112">
        <f t="shared" si="29"/>
        <v>0.87045573309804447</v>
      </c>
      <c r="V35" s="112">
        <f t="shared" si="29"/>
        <v>1.0267832680928888</v>
      </c>
      <c r="W35" s="112">
        <f t="shared" si="29"/>
        <v>1.2484702188367554</v>
      </c>
      <c r="X35" s="112">
        <f t="shared" si="29"/>
        <v>0.9619443809690883</v>
      </c>
      <c r="Y35" s="112">
        <f t="shared" si="29"/>
        <v>0.83375673309995557</v>
      </c>
      <c r="Z35" s="103">
        <f t="shared" si="29"/>
        <v>1</v>
      </c>
    </row>
    <row r="36" spans="1:26" ht="13.5" customHeight="1" x14ac:dyDescent="0.2">
      <c r="B36" s="96">
        <v>2019</v>
      </c>
      <c r="C36" s="111">
        <f t="shared" ref="C36:M36" si="30">C19/C$10</f>
        <v>1.7712499924159535</v>
      </c>
      <c r="D36" s="111">
        <f t="shared" si="30"/>
        <v>1.2411652268816851</v>
      </c>
      <c r="E36" s="111">
        <f t="shared" si="30"/>
        <v>1.8993200427866361</v>
      </c>
      <c r="F36" s="111">
        <f t="shared" si="30"/>
        <v>1.6851028256515697</v>
      </c>
      <c r="G36" s="111">
        <f t="shared" si="30"/>
        <v>3.0889490185972597</v>
      </c>
      <c r="H36" s="111">
        <f t="shared" si="30"/>
        <v>1.5311844888589561</v>
      </c>
      <c r="I36" s="111">
        <f t="shared" si="30"/>
        <v>1.5670439911604317</v>
      </c>
      <c r="J36" s="111">
        <f t="shared" si="30"/>
        <v>1.994934455823056</v>
      </c>
      <c r="K36" s="111">
        <f t="shared" si="30"/>
        <v>1.5055003524655028</v>
      </c>
      <c r="L36" s="111">
        <f t="shared" si="30"/>
        <v>1.3285411889222085</v>
      </c>
      <c r="M36" s="111">
        <f t="shared" si="30"/>
        <v>1.6279903936097035</v>
      </c>
      <c r="O36" s="96">
        <v>2019</v>
      </c>
      <c r="P36" s="111">
        <f t="shared" ref="P36:Z36" si="31">P19/P$10</f>
        <v>1.0879978158154877</v>
      </c>
      <c r="Q36" s="111">
        <f t="shared" si="31"/>
        <v>0.76239100166290275</v>
      </c>
      <c r="R36" s="111">
        <f t="shared" si="31"/>
        <v>1.1666653871189743</v>
      </c>
      <c r="S36" s="112">
        <f t="shared" si="31"/>
        <v>1.0350815534698776</v>
      </c>
      <c r="T36" s="112">
        <f t="shared" si="31"/>
        <v>1.8974000281096306</v>
      </c>
      <c r="U36" s="112">
        <f t="shared" si="31"/>
        <v>0.94053656266601049</v>
      </c>
      <c r="V36" s="112">
        <f t="shared" si="31"/>
        <v>0.96256341395594058</v>
      </c>
      <c r="W36" s="112">
        <f t="shared" si="31"/>
        <v>1.2253969456169433</v>
      </c>
      <c r="X36" s="112">
        <f t="shared" si="31"/>
        <v>0.92475997301642154</v>
      </c>
      <c r="Y36" s="112">
        <f t="shared" si="31"/>
        <v>0.81606205671549836</v>
      </c>
      <c r="Z36" s="103">
        <f t="shared" si="31"/>
        <v>1</v>
      </c>
    </row>
    <row r="37" spans="1:26" ht="13.5" customHeight="1" x14ac:dyDescent="0.2">
      <c r="B37" s="102">
        <v>2020</v>
      </c>
      <c r="C37" s="153">
        <f t="shared" ref="C37:M37" si="32">C20/C$10</f>
        <v>1.8414064664613243</v>
      </c>
      <c r="D37" s="153">
        <f t="shared" si="32"/>
        <v>1.4170913460821646</v>
      </c>
      <c r="E37" s="153">
        <f t="shared" si="32"/>
        <v>1.9857190219125125</v>
      </c>
      <c r="F37" s="153">
        <f t="shared" si="32"/>
        <v>1.8084491999982237</v>
      </c>
      <c r="G37" s="153">
        <f t="shared" si="32"/>
        <v>3.326525791349912</v>
      </c>
      <c r="H37" s="153">
        <f t="shared" si="32"/>
        <v>1.5735953937071361</v>
      </c>
      <c r="I37" s="153">
        <f t="shared" si="32"/>
        <v>1.9596122354886405</v>
      </c>
      <c r="J37" s="153">
        <f t="shared" si="32"/>
        <v>1.8007861927015674</v>
      </c>
      <c r="K37" s="153">
        <f t="shared" si="32"/>
        <v>1.5157241027884838</v>
      </c>
      <c r="L37" s="153">
        <f t="shared" si="32"/>
        <v>1.3187010436084348</v>
      </c>
      <c r="M37" s="111">
        <f t="shared" si="32"/>
        <v>1.7557531403872002</v>
      </c>
      <c r="O37" s="102">
        <v>2020</v>
      </c>
      <c r="P37" s="111">
        <f t="shared" ref="P37:Z37" si="33">P20/P$10</f>
        <v>1.0487843786827771</v>
      </c>
      <c r="Q37" s="111">
        <f t="shared" si="33"/>
        <v>0.8071130920885895</v>
      </c>
      <c r="R37" s="111">
        <f t="shared" si="33"/>
        <v>1.1309784822452873</v>
      </c>
      <c r="S37" s="112">
        <f t="shared" si="33"/>
        <v>1.0300133648625582</v>
      </c>
      <c r="T37" s="112">
        <f t="shared" si="33"/>
        <v>1.894643224511793</v>
      </c>
      <c r="U37" s="112">
        <f t="shared" si="33"/>
        <v>0.89625093500337272</v>
      </c>
      <c r="V37" s="112">
        <f t="shared" si="33"/>
        <v>1.1161092014658067</v>
      </c>
      <c r="W37" s="112">
        <f t="shared" si="33"/>
        <v>1.0256488519248419</v>
      </c>
      <c r="X37" s="112">
        <f t="shared" si="33"/>
        <v>0.863289985318903</v>
      </c>
      <c r="Y37" s="112">
        <f t="shared" si="33"/>
        <v>0.75107429015768035</v>
      </c>
      <c r="Z37" s="103">
        <f t="shared" si="33"/>
        <v>1</v>
      </c>
    </row>
    <row r="38" spans="1:26" ht="13.5" customHeight="1" x14ac:dyDescent="0.2">
      <c r="B38" s="102">
        <v>2021</v>
      </c>
      <c r="C38" s="153">
        <f t="shared" ref="C38:M38" si="34">C21/C$10</f>
        <v>2.0334936166901603</v>
      </c>
      <c r="D38" s="153">
        <f t="shared" si="34"/>
        <v>1.6074978157214381</v>
      </c>
      <c r="E38" s="153">
        <f t="shared" si="34"/>
        <v>2.0032645934227014</v>
      </c>
      <c r="F38" s="153">
        <f t="shared" si="34"/>
        <v>2.0157068385441876</v>
      </c>
      <c r="G38" s="153">
        <f t="shared" si="34"/>
        <v>4.0998797405832583</v>
      </c>
      <c r="H38" s="153">
        <f t="shared" si="34"/>
        <v>1.7041892325248289</v>
      </c>
      <c r="I38" s="153">
        <f t="shared" si="34"/>
        <v>2.1916413615478785</v>
      </c>
      <c r="J38" s="153">
        <f t="shared" si="34"/>
        <v>2.0713857911696727</v>
      </c>
      <c r="K38" s="153">
        <f t="shared" si="34"/>
        <v>1.7766107848492951</v>
      </c>
      <c r="L38" s="153">
        <f t="shared" si="34"/>
        <v>1.4209552346092789</v>
      </c>
      <c r="M38" s="111">
        <f t="shared" si="34"/>
        <v>1.9576282236680282</v>
      </c>
      <c r="O38" s="102">
        <v>2021</v>
      </c>
      <c r="P38" s="111">
        <f t="shared" ref="P38:Z38" si="35">P21/P$10</f>
        <v>1.0387537286727417</v>
      </c>
      <c r="Q38" s="111">
        <f t="shared" si="35"/>
        <v>0.82114560685555138</v>
      </c>
      <c r="R38" s="111">
        <f t="shared" si="35"/>
        <v>1.0233120718239155</v>
      </c>
      <c r="S38" s="112">
        <f t="shared" si="35"/>
        <v>1.0296678471294909</v>
      </c>
      <c r="T38" s="112">
        <f t="shared" si="35"/>
        <v>2.0943096809777657</v>
      </c>
      <c r="U38" s="112">
        <f t="shared" si="35"/>
        <v>0.87053773128161793</v>
      </c>
      <c r="V38" s="112">
        <f t="shared" si="35"/>
        <v>1.1195391111808644</v>
      </c>
      <c r="W38" s="112">
        <f t="shared" si="35"/>
        <v>1.0581098934548949</v>
      </c>
      <c r="X38" s="112">
        <f t="shared" si="35"/>
        <v>0.90753226959531741</v>
      </c>
      <c r="Y38" s="112">
        <f t="shared" si="35"/>
        <v>0.72585551098503276</v>
      </c>
      <c r="Z38" s="103">
        <f t="shared" si="35"/>
        <v>1</v>
      </c>
    </row>
    <row r="39" spans="1:26" ht="13.5" customHeight="1" thickBot="1" x14ac:dyDescent="0.25">
      <c r="B39" s="99">
        <v>2022</v>
      </c>
      <c r="C39" s="107">
        <f t="shared" ref="C39:M39" si="36">C22/C$10</f>
        <v>2.3975503247983498</v>
      </c>
      <c r="D39" s="107">
        <f t="shared" si="36"/>
        <v>2.3378698736547676</v>
      </c>
      <c r="E39" s="107">
        <f t="shared" si="36"/>
        <v>2.6263382999172205</v>
      </c>
      <c r="F39" s="107">
        <f t="shared" si="36"/>
        <v>2.3892218721393137</v>
      </c>
      <c r="G39" s="107">
        <f t="shared" si="36"/>
        <v>5.3388714703873914</v>
      </c>
      <c r="H39" s="107">
        <f t="shared" si="36"/>
        <v>1.8590358938541656</v>
      </c>
      <c r="I39" s="107">
        <f t="shared" si="36"/>
        <v>2.1761147194581789</v>
      </c>
      <c r="J39" s="107">
        <f t="shared" si="36"/>
        <v>2.7371815000042501</v>
      </c>
      <c r="K39" s="107">
        <f t="shared" si="36"/>
        <v>2.2254728348171255</v>
      </c>
      <c r="L39" s="107">
        <f t="shared" si="36"/>
        <v>1.7086651799082271</v>
      </c>
      <c r="M39" s="107">
        <f t="shared" si="36"/>
        <v>2.309864565701178</v>
      </c>
      <c r="O39" s="99">
        <v>2022</v>
      </c>
      <c r="P39" s="107">
        <f t="shared" ref="P39:Z39" si="37">P22/P$10</f>
        <v>1.0379614287344825</v>
      </c>
      <c r="Q39" s="107">
        <f t="shared" si="37"/>
        <v>1.0121242207744281</v>
      </c>
      <c r="R39" s="107">
        <f t="shared" si="37"/>
        <v>1.1370096493601018</v>
      </c>
      <c r="S39" s="107">
        <f t="shared" si="37"/>
        <v>1.0343558265781032</v>
      </c>
      <c r="T39" s="107">
        <f t="shared" si="37"/>
        <v>2.3113352833163763</v>
      </c>
      <c r="U39" s="107">
        <f t="shared" si="37"/>
        <v>0.80482462974613411</v>
      </c>
      <c r="V39" s="107">
        <f t="shared" si="37"/>
        <v>0.9420962387886157</v>
      </c>
      <c r="W39" s="107">
        <f t="shared" si="37"/>
        <v>1.1849965321119842</v>
      </c>
      <c r="X39" s="107">
        <f t="shared" si="37"/>
        <v>0.96346464111482011</v>
      </c>
      <c r="Y39" s="107">
        <f t="shared" si="37"/>
        <v>0.7397252658358987</v>
      </c>
      <c r="Z39" s="100">
        <f t="shared" si="37"/>
        <v>1</v>
      </c>
    </row>
    <row r="40" spans="1:26" ht="13.5" customHeight="1" thickBot="1" x14ac:dyDescent="0.25"/>
    <row r="41" spans="1:26" ht="13.5" customHeight="1" thickBot="1" x14ac:dyDescent="0.25">
      <c r="A41" s="94"/>
      <c r="B41" s="380" t="s">
        <v>719</v>
      </c>
      <c r="C41" s="381"/>
      <c r="D41" s="381"/>
      <c r="E41" s="381"/>
      <c r="F41" s="381"/>
      <c r="G41" s="381"/>
      <c r="H41" s="381"/>
      <c r="I41" s="381"/>
      <c r="J41" s="381"/>
      <c r="K41" s="381"/>
      <c r="L41" s="381"/>
      <c r="M41" s="382"/>
      <c r="N41" s="94"/>
      <c r="O41" s="380" t="s">
        <v>718</v>
      </c>
      <c r="P41" s="381"/>
      <c r="Q41" s="381"/>
      <c r="R41" s="381"/>
      <c r="S41" s="381"/>
      <c r="T41" s="381"/>
      <c r="U41" s="381"/>
      <c r="V41" s="381"/>
      <c r="W41" s="381"/>
      <c r="X41" s="381"/>
      <c r="Y41" s="381"/>
      <c r="Z41" s="382"/>
    </row>
    <row r="42" spans="1:26" ht="6.75" customHeight="1" thickBot="1" x14ac:dyDescent="0.25">
      <c r="A42" s="94"/>
      <c r="B42" s="95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5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spans="1:26" ht="27" customHeight="1" thickBot="1" x14ac:dyDescent="0.25">
      <c r="B43" s="106" t="s">
        <v>52</v>
      </c>
      <c r="C43" s="105" t="s">
        <v>726</v>
      </c>
      <c r="D43" s="105" t="s">
        <v>717</v>
      </c>
      <c r="E43" s="105" t="s">
        <v>716</v>
      </c>
      <c r="F43" s="105" t="s">
        <v>715</v>
      </c>
      <c r="G43" s="105" t="s">
        <v>714</v>
      </c>
      <c r="H43" s="105" t="s">
        <v>727</v>
      </c>
      <c r="I43" s="105" t="s">
        <v>713</v>
      </c>
      <c r="J43" s="105" t="s">
        <v>712</v>
      </c>
      <c r="K43" s="105" t="s">
        <v>711</v>
      </c>
      <c r="L43" s="105" t="s">
        <v>710</v>
      </c>
      <c r="M43" s="158" t="s">
        <v>44</v>
      </c>
      <c r="O43" s="106" t="s">
        <v>52</v>
      </c>
      <c r="P43" s="105" t="s">
        <v>726</v>
      </c>
      <c r="Q43" s="105" t="s">
        <v>717</v>
      </c>
      <c r="R43" s="105" t="s">
        <v>716</v>
      </c>
      <c r="S43" s="105" t="s">
        <v>715</v>
      </c>
      <c r="T43" s="105" t="s">
        <v>714</v>
      </c>
      <c r="U43" s="105" t="s">
        <v>727</v>
      </c>
      <c r="V43" s="105" t="s">
        <v>713</v>
      </c>
      <c r="W43" s="105" t="s">
        <v>712</v>
      </c>
      <c r="X43" s="105" t="s">
        <v>711</v>
      </c>
      <c r="Y43" s="105" t="s">
        <v>710</v>
      </c>
      <c r="Z43" s="158" t="s">
        <v>44</v>
      </c>
    </row>
    <row r="44" spans="1:26" ht="13.5" customHeight="1" x14ac:dyDescent="0.2">
      <c r="B44" s="96">
        <v>2010</v>
      </c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O44" s="96">
        <v>2010</v>
      </c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</row>
    <row r="45" spans="1:26" ht="13.5" customHeight="1" x14ac:dyDescent="0.2">
      <c r="B45" s="96">
        <v>2011</v>
      </c>
      <c r="C45" s="111">
        <f t="shared" ref="C45:M45" si="38">C11/C10</f>
        <v>0.99290942221700884</v>
      </c>
      <c r="D45" s="111">
        <f t="shared" si="38"/>
        <v>1.0397613247015813</v>
      </c>
      <c r="E45" s="111">
        <f t="shared" si="38"/>
        <v>1.0445944339840989</v>
      </c>
      <c r="F45" s="111">
        <f t="shared" si="38"/>
        <v>0.99390950632141284</v>
      </c>
      <c r="G45" s="111">
        <f t="shared" si="38"/>
        <v>1.0073444143795902</v>
      </c>
      <c r="H45" s="111">
        <f t="shared" si="38"/>
        <v>0.89491657259938717</v>
      </c>
      <c r="I45" s="111">
        <f t="shared" si="38"/>
        <v>1.0521081416238731</v>
      </c>
      <c r="J45" s="111">
        <f t="shared" si="38"/>
        <v>0.98802574528031317</v>
      </c>
      <c r="K45" s="111">
        <f t="shared" si="38"/>
        <v>0.96829521034042854</v>
      </c>
      <c r="L45" s="111">
        <f t="shared" si="38"/>
        <v>0.8979752375412986</v>
      </c>
      <c r="M45" s="111">
        <f t="shared" si="38"/>
        <v>0.99935106201752555</v>
      </c>
      <c r="O45" s="96">
        <v>2011</v>
      </c>
      <c r="P45" s="111">
        <f t="shared" ref="P45:Z45" si="39">P11/P10</f>
        <v>0.99355417726027917</v>
      </c>
      <c r="Q45" s="111">
        <f t="shared" si="39"/>
        <v>1.040436503467034</v>
      </c>
      <c r="R45" s="111">
        <f t="shared" si="39"/>
        <v>1.0452727511743813</v>
      </c>
      <c r="S45" s="111">
        <f t="shared" si="39"/>
        <v>0.99455491077867364</v>
      </c>
      <c r="T45" s="111">
        <f t="shared" si="39"/>
        <v>1.0079985429203702</v>
      </c>
      <c r="U45" s="111">
        <f t="shared" si="39"/>
        <v>0.89549769506693444</v>
      </c>
      <c r="V45" s="111">
        <f t="shared" si="39"/>
        <v>1.0527913379106635</v>
      </c>
      <c r="W45" s="111">
        <f t="shared" si="39"/>
        <v>0.98866732906217325</v>
      </c>
      <c r="X45" s="111">
        <f t="shared" si="39"/>
        <v>0.96892398191442319</v>
      </c>
      <c r="Y45" s="111">
        <f t="shared" si="39"/>
        <v>0.89855834618160513</v>
      </c>
      <c r="Z45" s="101">
        <f t="shared" si="39"/>
        <v>1</v>
      </c>
    </row>
    <row r="46" spans="1:26" ht="13.5" customHeight="1" x14ac:dyDescent="0.2">
      <c r="B46" s="96">
        <v>2012</v>
      </c>
      <c r="C46" s="111">
        <f t="shared" ref="C46:M46" si="40">C12/C11</f>
        <v>0.99614627062060934</v>
      </c>
      <c r="D46" s="111">
        <f t="shared" si="40"/>
        <v>0.66907954170669803</v>
      </c>
      <c r="E46" s="111">
        <f t="shared" si="40"/>
        <v>1.0354168662770273</v>
      </c>
      <c r="F46" s="111">
        <f t="shared" si="40"/>
        <v>1.0458033514211482</v>
      </c>
      <c r="G46" s="111">
        <f t="shared" si="40"/>
        <v>1.196725505244308</v>
      </c>
      <c r="H46" s="111">
        <f t="shared" si="40"/>
        <v>1.1106282395090257</v>
      </c>
      <c r="I46" s="111">
        <f t="shared" si="40"/>
        <v>1.009902299228352</v>
      </c>
      <c r="J46" s="111">
        <f t="shared" si="40"/>
        <v>0.98894784698595106</v>
      </c>
      <c r="K46" s="111">
        <f t="shared" si="40"/>
        <v>0.97071307103189031</v>
      </c>
      <c r="L46" s="111">
        <f t="shared" si="40"/>
        <v>0.92089587105063364</v>
      </c>
      <c r="M46" s="111">
        <f t="shared" si="40"/>
        <v>0.98442728357338538</v>
      </c>
      <c r="O46" s="96">
        <v>2012</v>
      </c>
      <c r="P46" s="111">
        <f t="shared" ref="P46:Z46" si="41">P12/P11</f>
        <v>1.0119043704322019</v>
      </c>
      <c r="Q46" s="111">
        <f t="shared" si="41"/>
        <v>0.67966375259125023</v>
      </c>
      <c r="R46" s="111">
        <f t="shared" si="41"/>
        <v>1.051796190083796</v>
      </c>
      <c r="S46" s="111">
        <f t="shared" si="41"/>
        <v>1.062346979682413</v>
      </c>
      <c r="T46" s="111">
        <f t="shared" si="41"/>
        <v>1.2156565804437058</v>
      </c>
      <c r="U46" s="111">
        <f t="shared" si="41"/>
        <v>1.1281973367068228</v>
      </c>
      <c r="V46" s="111">
        <f t="shared" si="41"/>
        <v>1.0258780065120652</v>
      </c>
      <c r="W46" s="111">
        <f t="shared" si="41"/>
        <v>1.0045920744863515</v>
      </c>
      <c r="X46" s="111">
        <f t="shared" si="41"/>
        <v>0.98606884147733742</v>
      </c>
      <c r="Y46" s="111">
        <f t="shared" si="41"/>
        <v>0.93546358011112996</v>
      </c>
      <c r="Z46" s="101">
        <f t="shared" si="41"/>
        <v>1</v>
      </c>
    </row>
    <row r="47" spans="1:26" ht="13.5" customHeight="1" x14ac:dyDescent="0.2">
      <c r="B47" s="96">
        <v>2013</v>
      </c>
      <c r="C47" s="111">
        <f t="shared" ref="C47:M47" si="42">C13/C12</f>
        <v>1.035169436941404</v>
      </c>
      <c r="D47" s="111">
        <f t="shared" si="42"/>
        <v>1.0829325583588372</v>
      </c>
      <c r="E47" s="111">
        <f t="shared" si="42"/>
        <v>1.0534123484969704</v>
      </c>
      <c r="F47" s="111">
        <f t="shared" si="42"/>
        <v>1.0038642781767613</v>
      </c>
      <c r="G47" s="111">
        <f t="shared" si="42"/>
        <v>1.2799807610089782</v>
      </c>
      <c r="H47" s="111">
        <f t="shared" si="42"/>
        <v>1.0403225806451613</v>
      </c>
      <c r="I47" s="111">
        <f t="shared" si="42"/>
        <v>1.0489714110861812</v>
      </c>
      <c r="J47" s="111">
        <f t="shared" si="42"/>
        <v>0.98260843290282474</v>
      </c>
      <c r="K47" s="111">
        <f t="shared" si="42"/>
        <v>0.98923308864096116</v>
      </c>
      <c r="L47" s="111">
        <f t="shared" si="42"/>
        <v>1.1284032896424689</v>
      </c>
      <c r="M47" s="111">
        <f t="shared" si="42"/>
        <v>1.0345187635561905</v>
      </c>
      <c r="O47" s="96">
        <v>2013</v>
      </c>
      <c r="P47" s="111">
        <f t="shared" ref="P47:Z47" si="43">P13/P12</f>
        <v>1.0006289623814815</v>
      </c>
      <c r="Q47" s="111">
        <f t="shared" si="43"/>
        <v>1.0467983728359096</v>
      </c>
      <c r="R47" s="111">
        <f t="shared" si="43"/>
        <v>1.0182631631308772</v>
      </c>
      <c r="S47" s="111">
        <f t="shared" si="43"/>
        <v>0.9703683621222553</v>
      </c>
      <c r="T47" s="111">
        <f t="shared" si="43"/>
        <v>1.2372716726847994</v>
      </c>
      <c r="U47" s="111">
        <f t="shared" si="43"/>
        <v>1.0056101612589607</v>
      </c>
      <c r="V47" s="111">
        <f t="shared" si="43"/>
        <v>1.0139704063755299</v>
      </c>
      <c r="W47" s="111">
        <f t="shared" si="43"/>
        <v>0.94982176014389308</v>
      </c>
      <c r="X47" s="111">
        <f t="shared" si="43"/>
        <v>0.9562253711478772</v>
      </c>
      <c r="Y47" s="111">
        <f t="shared" si="43"/>
        <v>1.0907518832848886</v>
      </c>
      <c r="Z47" s="101">
        <f t="shared" si="43"/>
        <v>1</v>
      </c>
    </row>
    <row r="48" spans="1:26" ht="13.5" customHeight="1" x14ac:dyDescent="0.2">
      <c r="B48" s="96">
        <v>2014</v>
      </c>
      <c r="C48" s="111">
        <f t="shared" ref="C48:M48" si="44">C14/C13</f>
        <v>1.2392491224882027</v>
      </c>
      <c r="D48" s="111">
        <f t="shared" si="44"/>
        <v>0.85163826064928794</v>
      </c>
      <c r="E48" s="111">
        <f t="shared" si="44"/>
        <v>1.0531454453950679</v>
      </c>
      <c r="F48" s="111">
        <f t="shared" si="44"/>
        <v>1.015276320745282</v>
      </c>
      <c r="G48" s="111">
        <f t="shared" si="44"/>
        <v>0.99731396044702381</v>
      </c>
      <c r="H48" s="111">
        <f t="shared" si="44"/>
        <v>1.1424797027659281</v>
      </c>
      <c r="I48" s="111">
        <f t="shared" si="44"/>
        <v>1.0203759519689835</v>
      </c>
      <c r="J48" s="111">
        <f t="shared" si="44"/>
        <v>1.2152788455202408</v>
      </c>
      <c r="K48" s="111">
        <f t="shared" si="44"/>
        <v>1.1919865684344655</v>
      </c>
      <c r="L48" s="111">
        <f t="shared" si="44"/>
        <v>1.0855075092412587</v>
      </c>
      <c r="M48" s="111">
        <f t="shared" si="44"/>
        <v>1.0956893631266551</v>
      </c>
      <c r="O48" s="96">
        <v>2014</v>
      </c>
      <c r="P48" s="111">
        <f t="shared" ref="P48:Z48" si="45">P14/P13</f>
        <v>1.1310223172668996</v>
      </c>
      <c r="Q48" s="111">
        <f t="shared" si="45"/>
        <v>0.77726250642705541</v>
      </c>
      <c r="R48" s="111">
        <f t="shared" si="45"/>
        <v>0.96117155175242008</v>
      </c>
      <c r="S48" s="111">
        <f t="shared" si="45"/>
        <v>0.92660963491339665</v>
      </c>
      <c r="T48" s="111">
        <f t="shared" si="45"/>
        <v>0.91021597362330187</v>
      </c>
      <c r="U48" s="111">
        <f t="shared" si="45"/>
        <v>1.042704019235664</v>
      </c>
      <c r="V48" s="111">
        <f t="shared" si="45"/>
        <v>0.93126390225897848</v>
      </c>
      <c r="W48" s="111">
        <f t="shared" si="45"/>
        <v>1.109145426083471</v>
      </c>
      <c r="X48" s="111">
        <f t="shared" si="45"/>
        <v>1.0878873233130757</v>
      </c>
      <c r="Y48" s="111">
        <f t="shared" si="45"/>
        <v>0.99070735353646111</v>
      </c>
      <c r="Z48" s="101">
        <f t="shared" si="45"/>
        <v>1</v>
      </c>
    </row>
    <row r="49" spans="2:26" ht="13.5" customHeight="1" x14ac:dyDescent="0.2">
      <c r="B49" s="96">
        <v>2015</v>
      </c>
      <c r="C49" s="111">
        <f t="shared" ref="C49:M49" si="46">C15/C14</f>
        <v>0.94973250013747568</v>
      </c>
      <c r="D49" s="111">
        <f t="shared" si="46"/>
        <v>1.1009513717507193</v>
      </c>
      <c r="E49" s="111">
        <f t="shared" si="46"/>
        <v>1.0759733432962908</v>
      </c>
      <c r="F49" s="111">
        <f t="shared" si="46"/>
        <v>1.0612222869622445</v>
      </c>
      <c r="G49" s="111">
        <f t="shared" si="46"/>
        <v>1.1328077030421435</v>
      </c>
      <c r="H49" s="111">
        <f t="shared" si="46"/>
        <v>1.0080779854821096</v>
      </c>
      <c r="I49" s="111">
        <f t="shared" si="46"/>
        <v>1.0921922213686941</v>
      </c>
      <c r="J49" s="111">
        <f t="shared" si="46"/>
        <v>1.1234094852515906</v>
      </c>
      <c r="K49" s="111">
        <f t="shared" si="46"/>
        <v>1.0652195280052441</v>
      </c>
      <c r="L49" s="111">
        <f t="shared" si="46"/>
        <v>1.0381975087251103</v>
      </c>
      <c r="M49" s="111">
        <f t="shared" si="46"/>
        <v>1.0509012317784634</v>
      </c>
      <c r="O49" s="96">
        <v>2015</v>
      </c>
      <c r="P49" s="111">
        <f t="shared" ref="P49:Z49" si="47">P15/P14</f>
        <v>0.90373145583835912</v>
      </c>
      <c r="Q49" s="111">
        <f t="shared" si="47"/>
        <v>1.0476259218837862</v>
      </c>
      <c r="R49" s="111">
        <f t="shared" si="47"/>
        <v>1.0238577239798237</v>
      </c>
      <c r="S49" s="111">
        <f t="shared" si="47"/>
        <v>1.0098211467183404</v>
      </c>
      <c r="T49" s="111">
        <f t="shared" si="47"/>
        <v>1.0779392665903225</v>
      </c>
      <c r="U49" s="111">
        <f t="shared" si="47"/>
        <v>0.95925093148489027</v>
      </c>
      <c r="V49" s="111">
        <f t="shared" si="47"/>
        <v>1.0392910278736214</v>
      </c>
      <c r="W49" s="111">
        <f t="shared" si="47"/>
        <v>1.0689962589066717</v>
      </c>
      <c r="X49" s="111">
        <f t="shared" si="47"/>
        <v>1.0136247782320604</v>
      </c>
      <c r="Y49" s="111">
        <f t="shared" si="47"/>
        <v>0.98791159181357646</v>
      </c>
      <c r="Z49" s="101">
        <f t="shared" si="47"/>
        <v>1</v>
      </c>
    </row>
    <row r="50" spans="2:26" ht="13.5" customHeight="1" x14ac:dyDescent="0.2">
      <c r="B50" s="96">
        <v>2016</v>
      </c>
      <c r="C50" s="111">
        <f t="shared" ref="C50:M50" si="48">C16/C15</f>
        <v>1.0620478596417031</v>
      </c>
      <c r="D50" s="111">
        <f t="shared" si="48"/>
        <v>1.122397460360345</v>
      </c>
      <c r="E50" s="111">
        <f t="shared" si="48"/>
        <v>1.147907329796426</v>
      </c>
      <c r="F50" s="111">
        <f t="shared" si="48"/>
        <v>1.0003890723980784</v>
      </c>
      <c r="G50" s="111">
        <f t="shared" si="48"/>
        <v>1.1413084987126896</v>
      </c>
      <c r="H50" s="111">
        <f t="shared" si="48"/>
        <v>0.87643179175096786</v>
      </c>
      <c r="I50" s="111">
        <f t="shared" si="48"/>
        <v>1.0496154065222498</v>
      </c>
      <c r="J50" s="111">
        <f t="shared" si="48"/>
        <v>1.030629384130253</v>
      </c>
      <c r="K50" s="111">
        <f t="shared" si="48"/>
        <v>1.0453223096884692</v>
      </c>
      <c r="L50" s="111">
        <f t="shared" si="48"/>
        <v>0.99297297542354823</v>
      </c>
      <c r="M50" s="111">
        <f t="shared" si="48"/>
        <v>1.0484912089101381</v>
      </c>
      <c r="O50" s="96">
        <v>2016</v>
      </c>
      <c r="P50" s="111">
        <f t="shared" ref="P50:Z50" si="49">P16/P15</f>
        <v>1.0129296751526</v>
      </c>
      <c r="Q50" s="111">
        <f t="shared" si="49"/>
        <v>1.0704881937227011</v>
      </c>
      <c r="R50" s="111">
        <f t="shared" si="49"/>
        <v>1.0948182684236587</v>
      </c>
      <c r="S50" s="111">
        <f t="shared" si="49"/>
        <v>0.95412251804947423</v>
      </c>
      <c r="T50" s="111">
        <f t="shared" si="49"/>
        <v>1.0885246237772761</v>
      </c>
      <c r="U50" s="111">
        <f t="shared" si="49"/>
        <v>0.83589808317227687</v>
      </c>
      <c r="V50" s="111">
        <f t="shared" si="49"/>
        <v>1.0010722050910472</v>
      </c>
      <c r="W50" s="111">
        <f t="shared" si="49"/>
        <v>0.98296425890070005</v>
      </c>
      <c r="X50" s="111">
        <f t="shared" si="49"/>
        <v>0.99697765780510172</v>
      </c>
      <c r="Y50" s="111">
        <f t="shared" si="49"/>
        <v>0.94704940488313805</v>
      </c>
      <c r="Z50" s="101">
        <f t="shared" si="49"/>
        <v>1</v>
      </c>
    </row>
    <row r="51" spans="2:26" ht="13.5" customHeight="1" x14ac:dyDescent="0.2">
      <c r="B51" s="96">
        <v>2017</v>
      </c>
      <c r="C51" s="111">
        <f t="shared" ref="C51:M51" si="50">C17/C16</f>
        <v>1.0984738886013741</v>
      </c>
      <c r="D51" s="111">
        <f t="shared" si="50"/>
        <v>1.1954543061103213</v>
      </c>
      <c r="E51" s="111">
        <f t="shared" si="50"/>
        <v>1.0927350313112454</v>
      </c>
      <c r="F51" s="111">
        <f t="shared" si="50"/>
        <v>0.99851440044459405</v>
      </c>
      <c r="G51" s="111">
        <f t="shared" si="50"/>
        <v>2.0650202918573526</v>
      </c>
      <c r="H51" s="111">
        <f t="shared" si="50"/>
        <v>1.1383907878831945</v>
      </c>
      <c r="I51" s="111">
        <f t="shared" si="50"/>
        <v>1.0600803860285375</v>
      </c>
      <c r="J51" s="111">
        <f t="shared" si="50"/>
        <v>1.3338255817220783</v>
      </c>
      <c r="K51" s="111">
        <f t="shared" si="50"/>
        <v>1.071731262907637</v>
      </c>
      <c r="L51" s="111">
        <f t="shared" si="50"/>
        <v>1.1021129815045634</v>
      </c>
      <c r="M51" s="111">
        <f t="shared" si="50"/>
        <v>1.0973298011471027</v>
      </c>
      <c r="O51" s="96">
        <v>2017</v>
      </c>
      <c r="P51" s="111">
        <f t="shared" ref="P51:Z51" si="51">P17/P16</f>
        <v>1.0010426103921313</v>
      </c>
      <c r="Q51" s="111">
        <f t="shared" si="51"/>
        <v>1.0894211611319071</v>
      </c>
      <c r="R51" s="111">
        <f t="shared" si="51"/>
        <v>0.99581277221209696</v>
      </c>
      <c r="S51" s="111">
        <f t="shared" si="51"/>
        <v>0.90994922347027207</v>
      </c>
      <c r="T51" s="111">
        <f t="shared" si="51"/>
        <v>1.8818593003659125</v>
      </c>
      <c r="U51" s="111">
        <f t="shared" si="51"/>
        <v>1.0374190026491292</v>
      </c>
      <c r="V51" s="111">
        <f t="shared" si="51"/>
        <v>0.96605449420982992</v>
      </c>
      <c r="W51" s="111">
        <f t="shared" si="51"/>
        <v>1.2155193273050207</v>
      </c>
      <c r="X51" s="111">
        <f t="shared" si="51"/>
        <v>0.97667197390182425</v>
      </c>
      <c r="Y51" s="111">
        <f t="shared" si="51"/>
        <v>1.0043589268718125</v>
      </c>
      <c r="Z51" s="101">
        <f t="shared" si="51"/>
        <v>1</v>
      </c>
    </row>
    <row r="52" spans="2:26" ht="13.5" customHeight="1" x14ac:dyDescent="0.2">
      <c r="B52" s="96">
        <v>2018</v>
      </c>
      <c r="C52" s="111">
        <f t="shared" ref="C52:M52" si="52">C18/C17</f>
        <v>1.0974345215703172</v>
      </c>
      <c r="D52" s="111">
        <f t="shared" si="52"/>
        <v>1.1758907643662793</v>
      </c>
      <c r="E52" s="111">
        <f t="shared" si="52"/>
        <v>1.0653898645516815</v>
      </c>
      <c r="F52" s="111">
        <f t="shared" si="52"/>
        <v>1.184355951338238</v>
      </c>
      <c r="G52" s="111">
        <f t="shared" si="52"/>
        <v>0.62377169140706668</v>
      </c>
      <c r="H52" s="111">
        <f t="shared" si="52"/>
        <v>1.064180558216772</v>
      </c>
      <c r="I52" s="111">
        <f t="shared" si="52"/>
        <v>1.0791632228493468</v>
      </c>
      <c r="J52" s="111">
        <f t="shared" si="52"/>
        <v>1.006422875172919</v>
      </c>
      <c r="K52" s="111">
        <f t="shared" si="52"/>
        <v>1.0564430824857773</v>
      </c>
      <c r="L52" s="111">
        <f t="shared" si="52"/>
        <v>1.0523587103990388</v>
      </c>
      <c r="M52" s="111">
        <f t="shared" si="52"/>
        <v>1.0773296964862655</v>
      </c>
      <c r="O52" s="96">
        <v>2018</v>
      </c>
      <c r="P52" s="111">
        <f t="shared" ref="P52:Z52" si="53">P18/P17</f>
        <v>1.0186617199448078</v>
      </c>
      <c r="Q52" s="111">
        <f t="shared" si="53"/>
        <v>1.0914864485788081</v>
      </c>
      <c r="R52" s="111">
        <f t="shared" si="53"/>
        <v>0.9889171977960638</v>
      </c>
      <c r="S52" s="111">
        <f t="shared" si="53"/>
        <v>1.0993440125163549</v>
      </c>
      <c r="T52" s="111">
        <f t="shared" si="53"/>
        <v>0.5789979552605965</v>
      </c>
      <c r="U52" s="111">
        <f t="shared" si="53"/>
        <v>0.9877946943146747</v>
      </c>
      <c r="V52" s="111">
        <f t="shared" si="53"/>
        <v>1.0017019175922297</v>
      </c>
      <c r="W52" s="111">
        <f t="shared" si="53"/>
        <v>0.93418280258623643</v>
      </c>
      <c r="X52" s="111">
        <f t="shared" si="53"/>
        <v>0.98061260720036736</v>
      </c>
      <c r="Y52" s="111">
        <f t="shared" si="53"/>
        <v>0.97682140744038704</v>
      </c>
      <c r="Z52" s="101">
        <f t="shared" si="53"/>
        <v>1</v>
      </c>
    </row>
    <row r="53" spans="2:26" ht="13.5" customHeight="1" x14ac:dyDescent="0.2">
      <c r="B53" s="96">
        <v>2019</v>
      </c>
      <c r="C53" s="111">
        <f t="shared" ref="C53:M53" si="54">C19/C18</f>
        <v>1.1480566313632781</v>
      </c>
      <c r="D53" s="111">
        <f t="shared" si="54"/>
        <v>1.1136451808824592</v>
      </c>
      <c r="E53" s="111">
        <f t="shared" si="54"/>
        <v>1.100820939082767</v>
      </c>
      <c r="F53" s="111">
        <f t="shared" si="54"/>
        <v>1.2669468465159761</v>
      </c>
      <c r="G53" s="111">
        <f t="shared" si="54"/>
        <v>1.2052957935310877</v>
      </c>
      <c r="H53" s="111">
        <f t="shared" si="54"/>
        <v>1.2109906598146967</v>
      </c>
      <c r="I53" s="111">
        <f t="shared" si="54"/>
        <v>1.0506604102420882</v>
      </c>
      <c r="J53" s="111">
        <f t="shared" si="54"/>
        <v>1.1000448871657593</v>
      </c>
      <c r="K53" s="111">
        <f t="shared" si="54"/>
        <v>1.0774344607898725</v>
      </c>
      <c r="L53" s="111">
        <f t="shared" si="54"/>
        <v>1.0969722258853725</v>
      </c>
      <c r="M53" s="111">
        <f t="shared" si="54"/>
        <v>1.1207578784347672</v>
      </c>
      <c r="O53" s="96">
        <v>2019</v>
      </c>
      <c r="P53" s="111">
        <f t="shared" ref="P53:Z53" si="55">P19/P18</f>
        <v>1.0243574044437107</v>
      </c>
      <c r="Q53" s="111">
        <f t="shared" si="55"/>
        <v>0.99365367160100493</v>
      </c>
      <c r="R53" s="111">
        <f t="shared" si="55"/>
        <v>0.98221119856873651</v>
      </c>
      <c r="S53" s="111">
        <f t="shared" si="55"/>
        <v>1.1304376002115408</v>
      </c>
      <c r="T53" s="111">
        <f t="shared" si="55"/>
        <v>1.0754292400909864</v>
      </c>
      <c r="U53" s="111">
        <f t="shared" si="55"/>
        <v>1.0805105037547871</v>
      </c>
      <c r="V53" s="111">
        <f t="shared" si="55"/>
        <v>0.93745529740056255</v>
      </c>
      <c r="W53" s="111">
        <f t="shared" si="55"/>
        <v>0.98151876362632806</v>
      </c>
      <c r="X53" s="111">
        <f t="shared" si="55"/>
        <v>0.96134453437400802</v>
      </c>
      <c r="Y53" s="111">
        <f t="shared" si="55"/>
        <v>0.97877717122755059</v>
      </c>
      <c r="Z53" s="101">
        <f t="shared" si="55"/>
        <v>1</v>
      </c>
    </row>
    <row r="54" spans="2:26" ht="13.5" customHeight="1" x14ac:dyDescent="0.2">
      <c r="B54" s="102">
        <v>2020</v>
      </c>
      <c r="C54" s="111">
        <f t="shared" ref="C54:M54" si="56">C20/C19</f>
        <v>1.0396084541119339</v>
      </c>
      <c r="D54" s="111">
        <f t="shared" si="56"/>
        <v>1.1417427070870152</v>
      </c>
      <c r="E54" s="111">
        <f t="shared" si="56"/>
        <v>1.0454894263102252</v>
      </c>
      <c r="F54" s="111">
        <f t="shared" si="56"/>
        <v>1.0731981291995998</v>
      </c>
      <c r="G54" s="111">
        <f t="shared" si="56"/>
        <v>1.0769118464961067</v>
      </c>
      <c r="H54" s="111">
        <f t="shared" si="56"/>
        <v>1.0276981024538623</v>
      </c>
      <c r="I54" s="111">
        <f t="shared" si="56"/>
        <v>1.2505151396786909</v>
      </c>
      <c r="J54" s="111">
        <f t="shared" si="56"/>
        <v>0.9026793774829116</v>
      </c>
      <c r="K54" s="111">
        <f t="shared" si="56"/>
        <v>1.0067909318694199</v>
      </c>
      <c r="L54" s="111">
        <f t="shared" si="56"/>
        <v>0.99259327042637135</v>
      </c>
      <c r="M54" s="111">
        <f t="shared" si="56"/>
        <v>1.0784788087687738</v>
      </c>
      <c r="O54" s="102">
        <v>2020</v>
      </c>
      <c r="P54" s="111">
        <f t="shared" ref="P54:Z54" si="57">P20/P19</f>
        <v>0.96395816557469938</v>
      </c>
      <c r="Q54" s="111">
        <f t="shared" si="57"/>
        <v>1.0586603072808316</v>
      </c>
      <c r="R54" s="111">
        <f t="shared" si="57"/>
        <v>0.96941119084554817</v>
      </c>
      <c r="S54" s="111">
        <f t="shared" si="57"/>
        <v>0.99510358522927067</v>
      </c>
      <c r="T54" s="111">
        <f t="shared" si="57"/>
        <v>0.99854706252925274</v>
      </c>
      <c r="U54" s="111">
        <f t="shared" si="57"/>
        <v>0.95291450707975955</v>
      </c>
      <c r="V54" s="111">
        <f t="shared" si="57"/>
        <v>1.1595175811626002</v>
      </c>
      <c r="W54" s="111">
        <f t="shared" si="57"/>
        <v>0.83699315196878055</v>
      </c>
      <c r="X54" s="111">
        <f t="shared" si="57"/>
        <v>0.93352871070207211</v>
      </c>
      <c r="Y54" s="111">
        <f t="shared" si="57"/>
        <v>0.92036418551380528</v>
      </c>
      <c r="Z54" s="101">
        <f t="shared" si="57"/>
        <v>1</v>
      </c>
    </row>
    <row r="55" spans="2:26" ht="13.5" customHeight="1" x14ac:dyDescent="0.2">
      <c r="B55" s="102">
        <v>2021</v>
      </c>
      <c r="C55" s="111">
        <f t="shared" ref="C55:M55" si="58">C21/C20</f>
        <v>1.1043154532839099</v>
      </c>
      <c r="D55" s="111">
        <f t="shared" si="58"/>
        <v>1.1343642879237748</v>
      </c>
      <c r="E55" s="111">
        <f t="shared" si="58"/>
        <v>1.0088358782469082</v>
      </c>
      <c r="F55" s="111">
        <f t="shared" si="58"/>
        <v>1.1146051758303013</v>
      </c>
      <c r="G55" s="111">
        <f t="shared" si="58"/>
        <v>1.2324809719630996</v>
      </c>
      <c r="H55" s="111">
        <f t="shared" si="58"/>
        <v>1.0829907353185846</v>
      </c>
      <c r="I55" s="111">
        <f t="shared" si="58"/>
        <v>1.1184056324293057</v>
      </c>
      <c r="J55" s="111">
        <f t="shared" si="58"/>
        <v>1.1502674773745059</v>
      </c>
      <c r="K55" s="111">
        <f t="shared" si="58"/>
        <v>1.1721201646004422</v>
      </c>
      <c r="L55" s="111">
        <f t="shared" si="58"/>
        <v>1.0775416016362893</v>
      </c>
      <c r="M55" s="111">
        <f t="shared" si="58"/>
        <v>1.1149791953305621</v>
      </c>
      <c r="O55" s="102">
        <v>2021</v>
      </c>
      <c r="P55" s="111">
        <f t="shared" ref="P55:Z55" si="59">P21/P20</f>
        <v>0.99043592733271502</v>
      </c>
      <c r="Q55" s="111">
        <f t="shared" si="59"/>
        <v>1.0173860576721034</v>
      </c>
      <c r="R55" s="111">
        <f t="shared" si="59"/>
        <v>0.90480242364326335</v>
      </c>
      <c r="S55" s="111">
        <f t="shared" si="59"/>
        <v>0.99966455024288581</v>
      </c>
      <c r="T55" s="111">
        <f t="shared" si="59"/>
        <v>1.1053847256743665</v>
      </c>
      <c r="U55" s="111">
        <f t="shared" si="59"/>
        <v>0.9713102628767043</v>
      </c>
      <c r="V55" s="111">
        <f t="shared" si="59"/>
        <v>1.0030730950972835</v>
      </c>
      <c r="W55" s="111">
        <f t="shared" si="59"/>
        <v>1.0316492739880061</v>
      </c>
      <c r="X55" s="111">
        <f t="shared" si="59"/>
        <v>1.0512484623113878</v>
      </c>
      <c r="Y55" s="111">
        <f t="shared" si="59"/>
        <v>0.96642305627669245</v>
      </c>
      <c r="Z55" s="101">
        <f t="shared" si="59"/>
        <v>1</v>
      </c>
    </row>
    <row r="56" spans="2:26" ht="13.5" customHeight="1" thickBot="1" x14ac:dyDescent="0.25">
      <c r="B56" s="99">
        <v>2022</v>
      </c>
      <c r="C56" s="107">
        <f t="shared" ref="C56:I56" si="60">C22/C19</f>
        <v>1.3535922851455506</v>
      </c>
      <c r="D56" s="107">
        <f t="shared" si="60"/>
        <v>1.8836089047776929</v>
      </c>
      <c r="E56" s="107">
        <f t="shared" si="60"/>
        <v>1.3827781736372986</v>
      </c>
      <c r="F56" s="107">
        <f t="shared" si="60"/>
        <v>1.417849306148713</v>
      </c>
      <c r="G56" s="107">
        <f t="shared" si="60"/>
        <v>1.7283779817162073</v>
      </c>
      <c r="H56" s="107">
        <f t="shared" si="60"/>
        <v>1.2141162004844535</v>
      </c>
      <c r="I56" s="107">
        <f t="shared" si="60"/>
        <v>1.3886749393976594</v>
      </c>
      <c r="J56" s="107">
        <f>J22/J21</f>
        <v>1.3214252563056423</v>
      </c>
      <c r="K56" s="107">
        <f>K22/K21</f>
        <v>1.2526507515296357</v>
      </c>
      <c r="L56" s="107">
        <f>L22/L21</f>
        <v>1.2024764315520891</v>
      </c>
      <c r="M56" s="107">
        <f>M22/M19</f>
        <v>1.4188441005352443</v>
      </c>
      <c r="O56" s="99">
        <v>2022</v>
      </c>
      <c r="P56" s="107">
        <f t="shared" ref="P56:V56" si="61">P22/P19</f>
        <v>0.95401058131398786</v>
      </c>
      <c r="Q56" s="107">
        <f t="shared" si="61"/>
        <v>1.327565800969339</v>
      </c>
      <c r="R56" s="107">
        <f t="shared" si="61"/>
        <v>0.97458076832800711</v>
      </c>
      <c r="S56" s="107">
        <f t="shared" si="61"/>
        <v>0.99929886984330685</v>
      </c>
      <c r="T56" s="107">
        <f t="shared" si="61"/>
        <v>1.2181591910374046</v>
      </c>
      <c r="U56" s="107">
        <f t="shared" si="61"/>
        <v>0.85570796680652972</v>
      </c>
      <c r="V56" s="107">
        <f t="shared" si="61"/>
        <v>0.97873680334139335</v>
      </c>
      <c r="W56" s="107">
        <f>W22/W21</f>
        <v>1.1199182045664315</v>
      </c>
      <c r="X56" s="107">
        <f>X22/X21</f>
        <v>1.0616312757059798</v>
      </c>
      <c r="Y56" s="107">
        <f>Y22/Y21</f>
        <v>1.0191081484413389</v>
      </c>
      <c r="Z56" s="100">
        <f>Z22/Z19</f>
        <v>1</v>
      </c>
    </row>
  </sheetData>
  <mergeCells count="8">
    <mergeCell ref="B41:M41"/>
    <mergeCell ref="O41:Z41"/>
    <mergeCell ref="B2:I2"/>
    <mergeCell ref="B4:I4"/>
    <mergeCell ref="B7:M7"/>
    <mergeCell ref="O7:Z7"/>
    <mergeCell ref="B24:M24"/>
    <mergeCell ref="O24:Z24"/>
  </mergeCells>
  <conditionalFormatting sqref="C27:M39 P27:Z39 C44:M56 P44:Z56">
    <cfRule type="cellIs" dxfId="0" priority="1" stopIfTrue="1" operator="greaterThan">
      <formula>1</formula>
    </cfRule>
  </conditionalFormatting>
  <conditionalFormatting sqref="P10:Y22">
    <cfRule type="dataBar" priority="2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{A6F3557D-B971-42CB-A578-791BB49F6C94}</x14:id>
        </ext>
      </extLst>
    </cfRule>
  </conditionalFormatting>
  <pageMargins left="0.75" right="0.75" top="1" bottom="1" header="0.5" footer="0.5"/>
  <headerFooter alignWithMargins="0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F3557D-B971-42CB-A578-791BB49F6C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P10:Y22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17</vt:i4>
      </vt:variant>
      <vt:variant>
        <vt:lpstr>Névvel ellátott tartományok</vt:lpstr>
      </vt:variant>
      <vt:variant>
        <vt:i4>4</vt:i4>
      </vt:variant>
    </vt:vector>
  </HeadingPairs>
  <TitlesOfParts>
    <vt:vector size="21" baseType="lpstr">
      <vt:lpstr>Gy1.12.</vt:lpstr>
      <vt:lpstr>E2.1</vt:lpstr>
      <vt:lpstr>E2.2</vt:lpstr>
      <vt:lpstr>E2.3</vt:lpstr>
      <vt:lpstr>Gy1.13.</vt:lpstr>
      <vt:lpstr>Gy1.8v</vt:lpstr>
      <vt:lpstr>E2.4</vt:lpstr>
      <vt:lpstr>E2.5</vt:lpstr>
      <vt:lpstr>E2.5a</vt:lpstr>
      <vt:lpstr>E2.5b</vt:lpstr>
      <vt:lpstr>E2.5c</vt:lpstr>
      <vt:lpstr>E2.5d</vt:lpstr>
      <vt:lpstr>E2.5e</vt:lpstr>
      <vt:lpstr>E2.6</vt:lpstr>
      <vt:lpstr>E2.7</vt:lpstr>
      <vt:lpstr>E2.8</vt:lpstr>
      <vt:lpstr>E2.9</vt:lpstr>
      <vt:lpstr>E2.1!Nyomtatási_terület</vt:lpstr>
      <vt:lpstr>Gy1.12.!Nyomtatási_terület</vt:lpstr>
      <vt:lpstr>Gy1.13.!Nyomtatási_terület</vt:lpstr>
      <vt:lpstr>Gy1.8v!Nyomtatási_terület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Balázsné Mócsai Andrea</cp:lastModifiedBy>
  <cp:lastPrinted>2012-09-05T10:47:12Z</cp:lastPrinted>
  <dcterms:created xsi:type="dcterms:W3CDTF">1997-01-17T14:02:09Z</dcterms:created>
  <dcterms:modified xsi:type="dcterms:W3CDTF">2026-09-23T14:01:24Z</dcterms:modified>
</cp:coreProperties>
</file>