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.xml" ContentType="application/vnd.openxmlformats-officedocument.spreadsheetml.pivotTable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unicorvinus-my.sharepoint.com/personal/b_mocsai_andrea_uni-corvinus_hu/Documents/BCE/Tananyag/Statisztika I GI 2026-2027 I/Excel modellek GI Stat I 2026I/"/>
    </mc:Choice>
  </mc:AlternateContent>
  <xr:revisionPtr revIDLastSave="1335" documentId="13_ncr:1_{52B49CE9-F196-4A4B-B1AA-AE665B8441EC}" xr6:coauthVersionLast="47" xr6:coauthVersionMax="47" xr10:uidLastSave="{947C698E-EE8B-42EC-B8EC-EBE8F69CCFC3}"/>
  <bookViews>
    <workbookView xWindow="-108" yWindow="-108" windowWidth="23256" windowHeight="13896" xr2:uid="{00000000-000D-0000-FFFF-FFFF00000000}"/>
  </bookViews>
  <sheets>
    <sheet name="E1.1" sheetId="48" r:id="rId1"/>
    <sheet name="E1.2" sheetId="58" r:id="rId2"/>
    <sheet name="E1.3" sheetId="46" r:id="rId3"/>
    <sheet name="E1.4" sheetId="49" r:id="rId4"/>
    <sheet name="E1.5" sheetId="56" r:id="rId5"/>
    <sheet name="E1.6" sheetId="57" r:id="rId6"/>
    <sheet name="E1.7" sheetId="59" r:id="rId7"/>
    <sheet name="Gy1.4v" sheetId="29" r:id="rId8"/>
  </sheet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48" l="1"/>
  <c r="C30" i="59"/>
  <c r="D31" i="59"/>
  <c r="D30" i="59"/>
  <c r="D8" i="59"/>
  <c r="D9" i="59"/>
  <c r="D10" i="59"/>
  <c r="D11" i="59"/>
  <c r="D12" i="59"/>
  <c r="D13" i="59"/>
  <c r="D14" i="59"/>
  <c r="D15" i="59"/>
  <c r="D16" i="59"/>
  <c r="D17" i="59"/>
  <c r="D18" i="59"/>
  <c r="D19" i="59"/>
  <c r="D20" i="59"/>
  <c r="D21" i="59"/>
  <c r="D22" i="59"/>
  <c r="D23" i="59"/>
  <c r="D24" i="59"/>
  <c r="D25" i="59"/>
  <c r="D26" i="59"/>
  <c r="D27" i="59"/>
  <c r="D28" i="59"/>
  <c r="C9" i="59"/>
  <c r="E9" i="59" s="1"/>
  <c r="C10" i="59"/>
  <c r="E10" i="59" s="1"/>
  <c r="C11" i="59"/>
  <c r="E11" i="59" s="1"/>
  <c r="C12" i="59"/>
  <c r="E12" i="59" s="1"/>
  <c r="C13" i="59"/>
  <c r="E13" i="59" s="1"/>
  <c r="C14" i="59"/>
  <c r="E14" i="59" s="1"/>
  <c r="C15" i="59"/>
  <c r="E15" i="59" s="1"/>
  <c r="C16" i="59"/>
  <c r="E16" i="59" s="1"/>
  <c r="C17" i="59"/>
  <c r="E17" i="59" s="1"/>
  <c r="C18" i="59"/>
  <c r="E18" i="59" s="1"/>
  <c r="C19" i="59"/>
  <c r="E19" i="59" s="1"/>
  <c r="C20" i="59"/>
  <c r="E20" i="59" s="1"/>
  <c r="C21" i="59"/>
  <c r="E21" i="59" s="1"/>
  <c r="C22" i="59"/>
  <c r="E22" i="59" s="1"/>
  <c r="C23" i="59"/>
  <c r="E23" i="59" s="1"/>
  <c r="C24" i="59"/>
  <c r="E24" i="59" s="1"/>
  <c r="C25" i="59"/>
  <c r="E25" i="59" s="1"/>
  <c r="C26" i="59"/>
  <c r="E26" i="59" s="1"/>
  <c r="C27" i="59"/>
  <c r="E27" i="59" s="1"/>
  <c r="C28" i="59"/>
  <c r="E28" i="59" s="1"/>
  <c r="C8" i="59"/>
  <c r="E8" i="59"/>
  <c r="F9" i="58"/>
  <c r="E9" i="58"/>
  <c r="F51" i="58" a="1"/>
  <c r="F51" i="58"/>
  <c r="G50" i="58"/>
  <c r="H50" i="58"/>
  <c r="I50" i="58"/>
  <c r="H52" i="58" s="1"/>
  <c r="J50" i="58"/>
  <c r="K50" i="58"/>
  <c r="J52" i="58" s="1"/>
  <c r="L50" i="58"/>
  <c r="M50" i="58"/>
  <c r="L52" i="58" s="1"/>
  <c r="F50" i="58"/>
  <c r="G9" i="58"/>
  <c r="Q16" i="58" s="1" a="1"/>
  <c r="Q16" i="58" s="1"/>
  <c r="H9" i="58"/>
  <c r="K16" i="58" a="1"/>
  <c r="K16" i="58"/>
  <c r="J16" i="58" a="1"/>
  <c r="J16" i="58"/>
  <c r="D22" i="58"/>
  <c r="C22" i="58"/>
  <c r="J9" i="58"/>
  <c r="I9" i="58"/>
  <c r="X16" i="58" s="1" a="1"/>
  <c r="X16" i="58" s="1"/>
  <c r="L16" i="58" a="1"/>
  <c r="E18" i="58"/>
  <c r="E17" i="58"/>
  <c r="E16" i="58"/>
  <c r="D9" i="58"/>
  <c r="C9" i="58"/>
  <c r="G19" i="57"/>
  <c r="G21" i="57"/>
  <c r="G20" i="57"/>
  <c r="F8" i="59" l="1"/>
  <c r="C31" i="59"/>
  <c r="F27" i="59"/>
  <c r="F26" i="59"/>
  <c r="F25" i="59"/>
  <c r="F24" i="59"/>
  <c r="F23" i="59"/>
  <c r="F22" i="59"/>
  <c r="F21" i="59"/>
  <c r="F20" i="59"/>
  <c r="F19" i="59"/>
  <c r="F18" i="59"/>
  <c r="F17" i="59"/>
  <c r="F16" i="59"/>
  <c r="F15" i="59"/>
  <c r="F14" i="59"/>
  <c r="F13" i="59"/>
  <c r="F12" i="59"/>
  <c r="F11" i="59"/>
  <c r="F10" i="59"/>
  <c r="F9" i="59"/>
  <c r="F53" i="58"/>
  <c r="H53" i="58"/>
  <c r="J53" i="58"/>
  <c r="L53" i="58"/>
  <c r="F52" i="58"/>
  <c r="C39" i="58"/>
  <c r="Z16" i="58" a="1"/>
  <c r="Z16" i="58" s="1"/>
  <c r="Y16" i="58" a="1"/>
  <c r="Y16" i="58" s="1"/>
  <c r="S16" i="58" a="1"/>
  <c r="S16" i="58" s="1"/>
  <c r="R16" i="58" a="1"/>
  <c r="R16" i="58" s="1"/>
  <c r="AA16" i="58" a="1"/>
  <c r="AA16" i="58" s="1"/>
  <c r="AB16" i="58" a="1"/>
  <c r="AB16" i="58" s="1"/>
  <c r="T16" i="58" a="1"/>
  <c r="T16" i="58" s="1"/>
  <c r="U16" i="58" a="1"/>
  <c r="U16" i="58" s="1"/>
  <c r="C16" i="58"/>
  <c r="L16" i="58"/>
  <c r="N16" i="58" s="1" a="1"/>
  <c r="N16" i="58" s="1"/>
  <c r="C19" i="58"/>
  <c r="C18" i="58"/>
  <c r="C17" i="58"/>
  <c r="E19" i="58"/>
  <c r="D19" i="58"/>
  <c r="F19" i="58" s="1"/>
  <c r="D18" i="58"/>
  <c r="D17" i="58"/>
  <c r="F17" i="58" s="1"/>
  <c r="D16" i="58"/>
  <c r="E22" i="58" s="1"/>
  <c r="G16" i="58"/>
  <c r="G17" i="58"/>
  <c r="G18" i="58"/>
  <c r="G17" i="57"/>
  <c r="K15" i="57"/>
  <c r="K9" i="57"/>
  <c r="K10" i="57"/>
  <c r="K11" i="57"/>
  <c r="K12" i="57"/>
  <c r="K13" i="57"/>
  <c r="K14" i="57"/>
  <c r="K8" i="57"/>
  <c r="J15" i="57"/>
  <c r="J9" i="57"/>
  <c r="J10" i="57"/>
  <c r="J11" i="57"/>
  <c r="J12" i="57"/>
  <c r="J13" i="57"/>
  <c r="J14" i="57"/>
  <c r="J8" i="57"/>
  <c r="G9" i="57"/>
  <c r="H9" i="57"/>
  <c r="I9" i="57" s="1"/>
  <c r="G10" i="57"/>
  <c r="H10" i="57"/>
  <c r="I10" i="57" s="1"/>
  <c r="G11" i="57"/>
  <c r="H11" i="57"/>
  <c r="I11" i="57" s="1"/>
  <c r="G12" i="57"/>
  <c r="H12" i="57"/>
  <c r="I12" i="57" s="1"/>
  <c r="G13" i="57"/>
  <c r="H13" i="57"/>
  <c r="I13" i="57" s="1"/>
  <c r="G14" i="57"/>
  <c r="H14" i="57"/>
  <c r="I14" i="57" s="1"/>
  <c r="H8" i="57"/>
  <c r="G8" i="57"/>
  <c r="D24" i="56"/>
  <c r="C24" i="56"/>
  <c r="E20" i="56"/>
  <c r="E19" i="56"/>
  <c r="E18" i="56"/>
  <c r="C18" i="56"/>
  <c r="E17" i="56"/>
  <c r="D10" i="56"/>
  <c r="D20" i="56" s="1"/>
  <c r="C10" i="56"/>
  <c r="C21" i="56" s="1"/>
  <c r="C32" i="59" l="1"/>
  <c r="M16" i="58" a="1"/>
  <c r="M16" i="58" s="1"/>
  <c r="F16" i="58"/>
  <c r="F22" i="58"/>
  <c r="G19" i="58"/>
  <c r="F18" i="58"/>
  <c r="G15" i="57"/>
  <c r="I8" i="57"/>
  <c r="I15" i="57"/>
  <c r="H15" i="57"/>
  <c r="D18" i="56"/>
  <c r="F18" i="56" s="1"/>
  <c r="C20" i="56"/>
  <c r="F24" i="56" s="1"/>
  <c r="E21" i="56"/>
  <c r="C17" i="56"/>
  <c r="C19" i="56"/>
  <c r="D17" i="56"/>
  <c r="D19" i="56"/>
  <c r="D21" i="56"/>
  <c r="F21" i="56" s="1"/>
  <c r="F17" i="56" l="1"/>
  <c r="F20" i="56"/>
  <c r="E24" i="56"/>
  <c r="F19" i="56"/>
  <c r="Q27" i="48" l="1"/>
  <c r="Q26" i="48"/>
  <c r="P24" i="48"/>
  <c r="Q23" i="48"/>
  <c r="P23" i="48"/>
  <c r="Q18" i="48"/>
  <c r="I18" i="48"/>
  <c r="H18" i="48"/>
  <c r="C11" i="49" l="1"/>
  <c r="D11" i="49"/>
  <c r="C18" i="49"/>
  <c r="D18" i="49"/>
  <c r="F18" i="49" s="1"/>
  <c r="E18" i="49"/>
  <c r="G18" i="49"/>
  <c r="C19" i="49"/>
  <c r="F19" i="49" s="1"/>
  <c r="D19" i="49"/>
  <c r="E19" i="49"/>
  <c r="G19" i="49"/>
  <c r="C20" i="49"/>
  <c r="D20" i="49"/>
  <c r="F20" i="49" s="1"/>
  <c r="E20" i="49"/>
  <c r="G20" i="49"/>
  <c r="C21" i="49"/>
  <c r="D21" i="49"/>
  <c r="F21" i="49" s="1"/>
  <c r="E21" i="49"/>
  <c r="G21" i="49" s="1"/>
  <c r="C22" i="49"/>
  <c r="E26" i="49" s="1"/>
  <c r="D22" i="49"/>
  <c r="F22" i="49" s="1"/>
  <c r="E22" i="49"/>
  <c r="C23" i="49"/>
  <c r="F23" i="49" s="1"/>
  <c r="D23" i="49"/>
  <c r="E23" i="49"/>
  <c r="G22" i="49" s="1"/>
  <c r="G23" i="49"/>
  <c r="C26" i="49"/>
  <c r="D26" i="49"/>
  <c r="F26" i="49"/>
  <c r="L18" i="48" l="1"/>
  <c r="M18" i="48"/>
  <c r="N18" i="48"/>
  <c r="O18" i="48"/>
  <c r="R18" i="48"/>
  <c r="C18" i="48"/>
  <c r="C22" i="48" s="1"/>
  <c r="D18" i="48"/>
  <c r="E18" i="48"/>
  <c r="F18" i="48"/>
  <c r="Q22" i="48"/>
  <c r="P21" i="48"/>
  <c r="Q21" i="48"/>
  <c r="E22" i="48"/>
  <c r="E23" i="48"/>
  <c r="D24" i="48"/>
  <c r="E24" i="48"/>
  <c r="D25" i="48"/>
  <c r="E25" i="48"/>
  <c r="D26" i="48"/>
  <c r="E26" i="48"/>
  <c r="P26" i="48"/>
  <c r="D27" i="48"/>
  <c r="E27" i="48"/>
  <c r="D28" i="48"/>
  <c r="E28" i="48"/>
  <c r="D29" i="48"/>
  <c r="E29" i="48"/>
  <c r="D30" i="48"/>
  <c r="E30" i="48"/>
  <c r="C34" i="48"/>
  <c r="D34" i="48"/>
  <c r="R26" i="48" l="1"/>
  <c r="R23" i="48"/>
  <c r="C28" i="48"/>
  <c r="C30" i="48"/>
  <c r="F30" i="48" s="1"/>
  <c r="C25" i="48"/>
  <c r="F34" i="48" s="1"/>
  <c r="P27" i="48"/>
  <c r="R27" i="48" s="1"/>
  <c r="P22" i="48"/>
  <c r="R22" i="48" s="1"/>
  <c r="P25" i="48"/>
  <c r="R21" i="48"/>
  <c r="C23" i="48"/>
  <c r="C26" i="48"/>
  <c r="F26" i="48" s="1"/>
  <c r="Q25" i="48"/>
  <c r="C29" i="48"/>
  <c r="F29" i="48" s="1"/>
  <c r="C27" i="48"/>
  <c r="F27" i="48" s="1"/>
  <c r="E31" i="48"/>
  <c r="E34" i="48"/>
  <c r="C24" i="48"/>
  <c r="F24" i="48" s="1"/>
  <c r="R24" i="48"/>
  <c r="F28" i="48"/>
  <c r="D22" i="48"/>
  <c r="D23" i="48"/>
  <c r="F23" i="48" s="1"/>
  <c r="D10" i="29"/>
  <c r="C10" i="29"/>
  <c r="F25" i="48" l="1"/>
  <c r="R25" i="48"/>
  <c r="C31" i="48"/>
  <c r="F22" i="48"/>
  <c r="D31" i="48"/>
  <c r="H33" i="46"/>
  <c r="I33" i="46"/>
  <c r="J33" i="46" s="1"/>
  <c r="H34" i="46"/>
  <c r="J34" i="46" s="1"/>
  <c r="I34" i="46"/>
  <c r="H35" i="46"/>
  <c r="I35" i="46"/>
  <c r="J35" i="46" s="1"/>
  <c r="H36" i="46"/>
  <c r="I36" i="46"/>
  <c r="J36" i="46"/>
  <c r="H37" i="46"/>
  <c r="I37" i="46"/>
  <c r="H38" i="46"/>
  <c r="I38" i="46"/>
  <c r="J38" i="46"/>
  <c r="H39" i="46"/>
  <c r="H41" i="46" s="1"/>
  <c r="I39" i="46"/>
  <c r="H40" i="46"/>
  <c r="I40" i="46"/>
  <c r="I41" i="46"/>
  <c r="H42" i="46"/>
  <c r="I42" i="46"/>
  <c r="J42" i="46"/>
  <c r="H43" i="46"/>
  <c r="I43" i="46"/>
  <c r="H44" i="46"/>
  <c r="I44" i="46"/>
  <c r="J44" i="46"/>
  <c r="H45" i="46"/>
  <c r="I45" i="46"/>
  <c r="B48" i="46"/>
  <c r="C48" i="46"/>
  <c r="D48" i="46" s="1"/>
  <c r="B49" i="46"/>
  <c r="C49" i="46"/>
  <c r="D49" i="46" s="1"/>
  <c r="B50" i="46"/>
  <c r="D50" i="46" s="1"/>
  <c r="C50" i="46"/>
  <c r="B51" i="46"/>
  <c r="C51" i="46"/>
  <c r="D51" i="46" s="1"/>
  <c r="N51" i="46"/>
  <c r="B52" i="46"/>
  <c r="C52" i="46"/>
  <c r="N52" i="46"/>
  <c r="B53" i="46"/>
  <c r="C53" i="46"/>
  <c r="D53" i="46" s="1"/>
  <c r="N53" i="46"/>
  <c r="J39" i="46" l="1"/>
  <c r="J40" i="46"/>
  <c r="J43" i="46"/>
  <c r="J45" i="46"/>
  <c r="J41" i="46"/>
  <c r="D52" i="46"/>
  <c r="J37" i="46"/>
  <c r="F31" i="48"/>
  <c r="C18" i="29" l="1"/>
  <c r="D19" i="29"/>
  <c r="C17" i="29"/>
  <c r="D17" i="29"/>
  <c r="E17" i="29"/>
  <c r="D18" i="29"/>
  <c r="E18" i="29"/>
  <c r="C19" i="29"/>
  <c r="E19" i="29"/>
  <c r="E20" i="29"/>
  <c r="C21" i="29"/>
  <c r="D21" i="29"/>
  <c r="D20" i="29" l="1"/>
  <c r="F18" i="29"/>
  <c r="F21" i="29"/>
  <c r="C20" i="29"/>
  <c r="F19" i="29"/>
  <c r="F17" i="29"/>
  <c r="E21" i="29"/>
  <c r="F20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7323923A-291B-4B40-A435-0A8C6737190F}">
      <text>
        <r>
          <rPr>
            <sz val="9"/>
            <color indexed="81"/>
            <rFont val="Tahoma"/>
            <family val="2"/>
          </rPr>
          <t>WorldBank, SP.POP.0014.TO.ZS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6902B679-36F3-44B8-9B73-7D0C7560B6CB}">
      <text>
        <r>
          <rPr>
            <sz val="9"/>
            <color indexed="81"/>
            <rFont val="Tahoma"/>
            <family val="2"/>
          </rPr>
          <t>KSH, Népszámlálási adatbázis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265CEF1A-9953-4C31-918C-54449150BE37}">
      <text>
        <r>
          <rPr>
            <sz val="9"/>
            <color indexed="81"/>
            <rFont val="Tahoma"/>
            <family val="2"/>
          </rPr>
          <t>Adatok forrása:
https://www.mortality.org/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Balázsné Mócsai Andrea</author>
  </authors>
  <commentList>
    <comment ref="B2" authorId="0" shapeId="0" xr:uid="{937163C1-3E6C-4975-8116-708775B4E469}">
      <text>
        <r>
          <rPr>
            <sz val="9"/>
            <color indexed="81"/>
            <rFont val="Tahoma"/>
            <family val="2"/>
            <charset val="238"/>
          </rPr>
          <t>KSH, 27.1.1.4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Balázsné Mócsai Andrea</author>
  </authors>
  <commentList>
    <comment ref="B2" authorId="0" shapeId="0" xr:uid="{E6C5688E-A6E6-4088-9527-5455C921636D}">
      <text>
        <r>
          <rPr>
            <sz val="9"/>
            <color indexed="81"/>
            <rFont val="Tahoma"/>
            <family val="2"/>
            <charset val="238"/>
          </rPr>
          <t>KSH, 22.1.1.3, Eurostat</t>
        </r>
      </text>
    </comment>
    <comment ref="B98" authorId="0" shapeId="0" xr:uid="{5EEAEBB7-5140-4898-914E-F7E1B2ACE7CE}">
      <text>
        <r>
          <rPr>
            <sz val="9"/>
            <color indexed="81"/>
            <rFont val="Tahoma"/>
            <family val="2"/>
            <charset val="238"/>
          </rPr>
          <t xml:space="preserve">90+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A836E10A-60E2-440A-9B4E-514EC6C2233E}">
      <text>
        <r>
          <rPr>
            <sz val="9"/>
            <color indexed="81"/>
            <rFont val="Tahoma"/>
            <family val="2"/>
          </rPr>
          <t>KSH, 21.1.1.37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<sst xmlns="http://schemas.openxmlformats.org/spreadsheetml/2006/main" count="511" uniqueCount="270">
  <si>
    <t>A lenti táblázatban az egyetemre felvett alap és osztatlan képzésben részt vevő hallgatók nyilvántartása látható 2020-tól 2026-ig. (2021-től az új GM szakba olvadtak be a 2020-as képzésben még külön szereplő EE, KM, TV és VA szakok, így azokat 2020-ban is ahhoz számoltuk.)</t>
  </si>
  <si>
    <t>a) Elemezze a 2020-as és 2026-os értékeket viszonyszámokkal! (Töltse ki a táblázatot, és értelmezze az eredményeket!)
b) Adja meg a változás mértékét különböző értékekkel a GI szakra vonatkozóan!
c) Elemezze a 2020-as és 2026-os magyar nyelvű hallgatói létszámokat grafikusan!
d) A leírásban szereplő viszonyszámok segítségével mutassa be a hallgatói létszámokat!</t>
  </si>
  <si>
    <t>a)</t>
  </si>
  <si>
    <t>Magyar nyelvű szakok</t>
  </si>
  <si>
    <t>Hallgatók száma (fő)</t>
  </si>
  <si>
    <t>Angol nyelvű szakok</t>
  </si>
  <si>
    <t>2020. év</t>
  </si>
  <si>
    <t>2021. év</t>
  </si>
  <si>
    <t>2022. év</t>
  </si>
  <si>
    <t>2023. év</t>
  </si>
  <si>
    <t>2024. év</t>
  </si>
  <si>
    <t>2025. év</t>
  </si>
  <si>
    <t>2026. év</t>
  </si>
  <si>
    <t>alkalmazott közgazdaságtan</t>
  </si>
  <si>
    <t xml:space="preserve">alkalmazott közgazdaságtan </t>
  </si>
  <si>
    <t>gazdálkodási és menedzsment</t>
  </si>
  <si>
    <t>filozófia, politika, gazdaság</t>
  </si>
  <si>
    <t>gazdaság- és pénzügy-matematikai elemzés</t>
  </si>
  <si>
    <t xml:space="preserve">gazdálkodási és menedzsment </t>
  </si>
  <si>
    <t>gazdaságinformatikus</t>
  </si>
  <si>
    <t>kommunikáció- és médiatudomány</t>
  </si>
  <si>
    <t xml:space="preserve">kommunikáció- és médiatudomány </t>
  </si>
  <si>
    <t>nemzetközi tanulmányok</t>
  </si>
  <si>
    <t xml:space="preserve">nemzetközi gazdálkodás </t>
  </si>
  <si>
    <t>pénzügy és számvitel</t>
  </si>
  <si>
    <t xml:space="preserve">nemzetközi tanulmányok </t>
  </si>
  <si>
    <t>politikatudományok</t>
  </si>
  <si>
    <t xml:space="preserve">szociológia </t>
  </si>
  <si>
    <t>szociológia</t>
  </si>
  <si>
    <t>üzleti adattudomány</t>
  </si>
  <si>
    <t>Összesen</t>
  </si>
  <si>
    <t>Megoszlási viszonyszámok</t>
  </si>
  <si>
    <t>Dinamikus 
viszonyszám</t>
  </si>
  <si>
    <t>Megoszlás
dinamikája</t>
  </si>
  <si>
    <t>d)</t>
  </si>
  <si>
    <t>Meghatározás</t>
  </si>
  <si>
    <t>Viszonyszám típusa</t>
  </si>
  <si>
    <t>A</t>
  </si>
  <si>
    <t>B</t>
  </si>
  <si>
    <t>V</t>
  </si>
  <si>
    <t>Értelmezés</t>
  </si>
  <si>
    <t>a GI szak hallgatóinak aránya a magyar nyelvű szakoknál 2026-ban</t>
  </si>
  <si>
    <t>megoszlási</t>
  </si>
  <si>
    <t>a magyar hallgatók 14%-a gazdinfós</t>
  </si>
  <si>
    <t>az angol és a magyar nyelvű képzések hallgatói aránya 2026-ban</t>
  </si>
  <si>
    <t>bázis (dinamikus)</t>
  </si>
  <si>
    <t>koordinációs</t>
  </si>
  <si>
    <t>100 magyarul tanuló hallgatóra 136 angolul tanuló jut</t>
  </si>
  <si>
    <t>a gazdaságinformatikus hallgatók aránya az elsőévesek közt 2026-ban</t>
  </si>
  <si>
    <t>lánc (dinamikus)</t>
  </si>
  <si>
    <t>a GI szakos hallgatók számának változása 2021-hez képest</t>
  </si>
  <si>
    <t>dinamikus</t>
  </si>
  <si>
    <t>5%-kal csökkent, ami 158-166 = -8 fő</t>
  </si>
  <si>
    <t>az angol képzésekre járók arányának változása 2020-hoz képest</t>
  </si>
  <si>
    <t>megoszlásira dinamikus</t>
  </si>
  <si>
    <t>183%-kal nőtt, ami 58%-20% = 38%-pont</t>
  </si>
  <si>
    <t>a magyar GM kontra GI szakosok arányának változása tavalyhoz képest</t>
  </si>
  <si>
    <t>koordinációsra dinamikus</t>
  </si>
  <si>
    <t>22%-kal nőtt az egy GI-s hallgatóra jutó GM-es</t>
  </si>
  <si>
    <t>a magyar GM szakosok arányának az angolhoz képesti változása tavaly óta</t>
  </si>
  <si>
    <t>megoszlási lánc</t>
  </si>
  <si>
    <t>megoszlásira kordinációs dinamikus</t>
  </si>
  <si>
    <t>4%-kal csökkent</t>
  </si>
  <si>
    <t>Érték kül.</t>
  </si>
  <si>
    <t>Érték hányad</t>
  </si>
  <si>
    <t>Arány kül.</t>
  </si>
  <si>
    <t>Arány hányad</t>
  </si>
  <si>
    <t>b)</t>
  </si>
  <si>
    <r>
      <t xml:space="preserve">gazdaságinformatikus 2020 </t>
    </r>
    <r>
      <rPr>
        <sz val="10"/>
        <rFont val="Symbol"/>
        <family val="1"/>
        <charset val="2"/>
      </rPr>
      <t xml:space="preserve">® </t>
    </r>
    <r>
      <rPr>
        <sz val="10"/>
        <rFont val="Arial"/>
        <family val="2"/>
        <charset val="238"/>
      </rPr>
      <t>2025</t>
    </r>
  </si>
  <si>
    <t>c)</t>
  </si>
  <si>
    <t>Az alábbi táblázatban Niger, Japán, Dél-Korea és Magyarország népességének száma látható korcsoportok szerint 2000-ben és 2025-ben:</t>
  </si>
  <si>
    <t>Korcsoport</t>
  </si>
  <si>
    <t>Niger</t>
  </si>
  <si>
    <t>Japán</t>
  </si>
  <si>
    <t>Dél-Korea</t>
  </si>
  <si>
    <t>Magyarország</t>
  </si>
  <si>
    <t>2000. év</t>
  </si>
  <si>
    <t xml:space="preserve">  0-14</t>
  </si>
  <si>
    <t>15-64</t>
  </si>
  <si>
    <t>65+</t>
  </si>
  <si>
    <t>a) Elemezze viszonyszámokkal és grafikus ábrával a népesség számának és megoszlásának alakulását a 2000. és a 2025. évben!
b) Milyen változás következett be Nigerben a 0-14 éves korcsoportban?
c) Elemezze grafikus ábrával Nigerben a népesség számának és megoszlásának alakulását a 2000. és a 2025. évben!
d) Határozza meg az egyes években az egyes országokban a népesség öregedési indexét (100 gyerekkorúra jutó idősek számát) és idős-eltartottsági rátáját (100 munkaképes korúra jutó időskorú személy számát)! Milyen viszonyszámokat számolt? Melyik országban a legnagyobbak, illetve legkisebbek ezek, és hol volt legnagyobb/legkisebb változás ezekben?</t>
  </si>
  <si>
    <t>NIGER</t>
  </si>
  <si>
    <t>Dinamikus</t>
  </si>
  <si>
    <t>Megoszlásiból dinamikus = dinamikusból megoszlási</t>
  </si>
  <si>
    <t>JAPÁN</t>
  </si>
  <si>
    <t>DÉL-KOREA</t>
  </si>
  <si>
    <t>MAGYAR-ORSZÁG</t>
  </si>
  <si>
    <t>Érték különbség</t>
  </si>
  <si>
    <t>Érték hányados</t>
  </si>
  <si>
    <t>Arány különbség</t>
  </si>
  <si>
    <t>Arány hányados</t>
  </si>
  <si>
    <t>Változás 0-14</t>
  </si>
  <si>
    <r>
      <t>r</t>
    </r>
    <r>
      <rPr>
        <b/>
        <vertAlign val="subscript"/>
        <sz val="10"/>
        <rFont val="Arial"/>
        <family val="2"/>
        <charset val="238"/>
      </rPr>
      <t>2025</t>
    </r>
    <r>
      <rPr>
        <b/>
        <sz val="10"/>
        <rFont val="Arial"/>
        <family val="2"/>
        <charset val="238"/>
      </rPr>
      <t>/r</t>
    </r>
    <r>
      <rPr>
        <b/>
        <vertAlign val="subscript"/>
        <sz val="10"/>
        <rFont val="Arial"/>
        <family val="2"/>
        <charset val="238"/>
      </rPr>
      <t>2000</t>
    </r>
  </si>
  <si>
    <t>Név</t>
  </si>
  <si>
    <t>Öregedési index</t>
  </si>
  <si>
    <t>Idős-eltartottsági ráta</t>
  </si>
  <si>
    <t>Öregedési index változása</t>
  </si>
  <si>
    <t>koordinációs dinamikája</t>
  </si>
  <si>
    <t>Idős-eltartottsági ráta változása</t>
  </si>
  <si>
    <t>Lentebb a KSH adatai láthatók a 2001-es, illetve a 2022-es népszámlálás alapján: magyarországi régiók szerinti bontásban korcsoportonként a férfiak és a nők száma, valamint a lakások száma.</t>
  </si>
  <si>
    <t>a) Nevezze meg a meghatározásokhoz tartozó viszonyszámtípusokat, és határozza meg az értéküket! Ahol két válasz is lehetséges, ott adja meg mindkettőt!
b) Nevezze meg a képletekhez tartozó viszonyszámtípusokat, és adja meg az értelmezésüket! Ahol van alternatív képlet, ott azzal is számolja ki az értéket!</t>
  </si>
  <si>
    <t>Népesség száma</t>
  </si>
  <si>
    <t>Lakások száma</t>
  </si>
  <si>
    <t>0-14 éves</t>
  </si>
  <si>
    <t>15-64 éves</t>
  </si>
  <si>
    <t>65+ éves</t>
  </si>
  <si>
    <t>Régió</t>
  </si>
  <si>
    <t>Férfi</t>
  </si>
  <si>
    <t>Nő</t>
  </si>
  <si>
    <t>Budapest</t>
  </si>
  <si>
    <t>Pest</t>
  </si>
  <si>
    <t>Közép-Dunántúl régió</t>
  </si>
  <si>
    <t>Nyugat-Dunántúl régió</t>
  </si>
  <si>
    <t>Dél-Dunántúl régió</t>
  </si>
  <si>
    <t>Észak-Magyarország régió</t>
  </si>
  <si>
    <t>Észak-Alföld régió</t>
  </si>
  <si>
    <t>Dél-Alföld régió</t>
  </si>
  <si>
    <t>Válasz</t>
  </si>
  <si>
    <t>A népesség hány százaléka volt budapesti 2001-ben?</t>
  </si>
  <si>
    <t>A népesség 17,4%-a volt budapesti.</t>
  </si>
  <si>
    <t>Hogyan változott a budapestiek száma 2001-ről 2022-re?</t>
  </si>
  <si>
    <t>0,948-szeresére / 94,8%-ára / 5,2%-kal csökkent</t>
  </si>
  <si>
    <t>A 15 évnél fiatalabbak között milyen volt a nők aránya 2022-ben?</t>
  </si>
  <si>
    <t>A korcsoport 48,6%-a volt nő.</t>
  </si>
  <si>
    <t>A 15-64 korcsoportban milyen volt a férfi/nő arány 2022-ben?</t>
  </si>
  <si>
    <t>Egy férfira 1,017 nő jutott átlagosan.</t>
  </si>
  <si>
    <t>2022-ben átlagosan hányan laktak egy lakásban?</t>
  </si>
  <si>
    <t>intenzitási</t>
  </si>
  <si>
    <t>Egy lakásban átlagosan kicsit több, mint 2 fő lakik.</t>
  </si>
  <si>
    <t>2022-ben hány lakás jutott száz lakosra?</t>
  </si>
  <si>
    <t>A száz lakosra jutó lakások száma kb. 48.</t>
  </si>
  <si>
    <t>Hogyan változott az ország lakosságán belül a Pest megyeiek aránya 2001-ről 2022-re?</t>
  </si>
  <si>
    <t>30,7%-kal nőtt.</t>
  </si>
  <si>
    <t>dinamikusra megoszlási</t>
  </si>
  <si>
    <t>Hány %-ponttal változott a Pest megyeiek aránya?</t>
  </si>
  <si>
    <t>megoszlásira dinamikus kül.</t>
  </si>
  <si>
    <t>3,3%-ponttal nőtt.</t>
  </si>
  <si>
    <t>Hányszorosa volt a 0-14 éves népesség aránya Pest megyében Budapesthez képest 2022-ben?</t>
  </si>
  <si>
    <t>megoszlásira koordinációs</t>
  </si>
  <si>
    <t>1,358-szorosa.</t>
  </si>
  <si>
    <t>koordinációsra megoszlási</t>
  </si>
  <si>
    <t>Hogyan változott a népességen belül az idősek aránya Pest megyéhez képest Budapesten 2001-ről 2022-re?</t>
  </si>
  <si>
    <t>megoszlásira koordinációs din.</t>
  </si>
  <si>
    <t>12,7%-kal csökkent</t>
  </si>
  <si>
    <t>dinamikusra koord. megoszlási</t>
  </si>
  <si>
    <t>Alternatív típus</t>
  </si>
  <si>
    <t>Érték</t>
  </si>
  <si>
    <t>A lakások száma 17,1%-kal nőtt Budapesten.</t>
  </si>
  <si>
    <t>Budapesten az eltartottsági ráta kb. 0,5 (azaz 100 középkorúra 50 eltartott jut).</t>
  </si>
  <si>
    <t>Az idős nők aránya 3,1%-ponttal nőtt.</t>
  </si>
  <si>
    <t>megoszlásira din. különbség</t>
  </si>
  <si>
    <t>Az egy férfira jutó nők száma az időseknél 68,6%-kal több, mint a fiataloknál.</t>
  </si>
  <si>
    <t>koordinációsra koordinációs</t>
  </si>
  <si>
    <t>Az egy lakásra jutó lakosok száma Budapesten 19%-kal csökkent.</t>
  </si>
  <si>
    <t>intenzitásira dinamikus</t>
  </si>
  <si>
    <t>dinamikusra intenzitási</t>
  </si>
  <si>
    <t>Az egy lakosra jutó lakások száma Budapesten kb. 1,5-szerese Pest megyének.</t>
  </si>
  <si>
    <t>intenzitásira koordinációs</t>
  </si>
  <si>
    <t>koordinációsra intenzitási</t>
  </si>
  <si>
    <t>Az alábbi táblázatban a női halálozások száma (fő) látható Magyarországon,
korcsoportok szerint 2019-ben és 2020-ban:</t>
  </si>
  <si>
    <t>Női halálozások száma (fő)</t>
  </si>
  <si>
    <t>2019. év</t>
  </si>
  <si>
    <t>65-74</t>
  </si>
  <si>
    <t>75-84</t>
  </si>
  <si>
    <t>85+</t>
  </si>
  <si>
    <t>Elemezze viszonyszámokkal és grafikus ábrával a női halálozás számának és megoszlásának alakulását a 2019. és a 2020. évben!</t>
  </si>
  <si>
    <t>Dinamikus 
viszonyszámok</t>
  </si>
  <si>
    <t>Értelmezés:</t>
  </si>
  <si>
    <t>A korcsoport előrehaladtával (értelemszerűen) mindkét évben nő a halálozások száma. A 0-14 korcsoportban ez 0,3%, a 85+ korcsoportban 35% körüli.
A Covid időszakában a 0-14 korcsoportban csökkent (konkrétan 12,6%-kal) a halálozások száma (az indok alighanem az otthon maradás), a többi korcsoportban nőtt (a home-office sem tudta ellensúlyozni ezt). Ez a növekedés viszonyt nem volt egyforma mértékű: a 0-64 éves korcsoportot a többihez képest kevésbé érintette a Covid, és érdekes módon ez történt a 85+ korcsoportban is (bár ott az indok az oltás, illetve az elszigeteltség is lehet). A Covid legrosszabbul a 65-74 éves korcsoport halálozási arányát növelte (a többiekhez képest 12%-kal magasabb volt.)</t>
  </si>
  <si>
    <t>Az alábbi táblázatban a más kontinensekről Magyarországra tett külföldi utazások száma (ezer db) látható 2018-ban (a Covid előtt) és 2022-ben:</t>
  </si>
  <si>
    <t>Kontinens</t>
  </si>
  <si>
    <t>Utazások száma (ezer db)</t>
  </si>
  <si>
    <t>2018. év</t>
  </si>
  <si>
    <t>Afrika</t>
  </si>
  <si>
    <t>Amerika</t>
  </si>
  <si>
    <t>Ausztrália</t>
  </si>
  <si>
    <t>Ázsia</t>
  </si>
  <si>
    <t>Elemezze viszonyszámokkal és grafikus ábrával az utazások számának és megoszlásának alakulását a 2018. és a 2022. évben!</t>
  </si>
  <si>
    <t>Megoszlási viszonyszám %</t>
  </si>
  <si>
    <t>Dinamikus 
viszonyszámok %</t>
  </si>
  <si>
    <t>Megoszlás
dinamikája %</t>
  </si>
  <si>
    <t>A más kontinensről érkező külföldiek (pontosabban a külföldi utazások) 2018-ban legnagyobb arányban amerikaiak voltak, míg 2022-ben ázsiaiak. A másik két kontinensről érkezők aránya 10%-nál kisebb volt. 2022-ben minden földrészről kevesebben érkeztek, így összességében is. Emellett viszont megjelent egyfajta átstruktúrálódás: az összes érkező közül az amerikaiak aránya lecsökkent, a többi kontinensről érkezők aránya megnőtt. Számszerűsítve ez Ázsia kapcsán azt jelenti, hogy 2022-ben 290 ezerrel kevesebb utazás volt, ami 29,3%-os csökkenést jelent 2018-hoz képest. Ugyanakkor a többi kontinenshez képest Ázsia szerepe megnőtt, arányaiban 6,8%-kal több utazás volt, ami konkrétan 3,1%-pontos növekedést jelent.</t>
  </si>
  <si>
    <t>A lenti táblázatban Magyarország népessége látható korév és nem szerint, 2026. január 1-jén.</t>
  </si>
  <si>
    <t>a) Határozza meg a táblázatban megadott korcsoportok szerint a férfiak és a nők számát, illetve ezek összegét!
b) Határozza meg a férfiak arányát, valamint az 1000 férfira jutó nők számát az egyes korcsoportokban!
c) Határozza meg Magyarország öregedési indexét! Vesse össze ezt a 2020-as értékkel, ami 1,285 volt, illetve az EU kimagaslóan alacsony és kimagaslóan magas öregedési indexű két országával, Írországgal (0,83) és Olaszországgal (1,99)!
d) Milyen viszonyszámokat számolt? Értelmezze az eredményeket!</t>
  </si>
  <si>
    <t>Korév</t>
  </si>
  <si>
    <t>Férfi arány</t>
  </si>
  <si>
    <t>Nő 1000 férfira</t>
  </si>
  <si>
    <t>Sorcímkék</t>
  </si>
  <si>
    <t>Összeg / Férfi</t>
  </si>
  <si>
    <t>Összeg / Nő</t>
  </si>
  <si>
    <t xml:space="preserve"> 0 - 14</t>
  </si>
  <si>
    <t>&lt;15</t>
  </si>
  <si>
    <t>15 - 24</t>
  </si>
  <si>
    <t>15-24</t>
  </si>
  <si>
    <t>25 - 34</t>
  </si>
  <si>
    <t>25-34</t>
  </si>
  <si>
    <t>35 - 44</t>
  </si>
  <si>
    <t>35-44</t>
  </si>
  <si>
    <t>45 - 54</t>
  </si>
  <si>
    <t>45-54</t>
  </si>
  <si>
    <t>55 - 64</t>
  </si>
  <si>
    <t>55-64</t>
  </si>
  <si>
    <t>&gt;65</t>
  </si>
  <si>
    <t>Végösszeg</t>
  </si>
  <si>
    <t>Változás</t>
  </si>
  <si>
    <t>Írországhoz</t>
  </si>
  <si>
    <t>Olaszországhoz</t>
  </si>
  <si>
    <t>A népességen belül a férfiak aránya megoszlási viszonyszám. A fiatalabbaknál ez 50%-nál nagyobb, 55+ életkor után viszont már 50% alá kerül. Magyarország 2026-os népességének 48,3%-a férfi.
Az 1000 férfira jutó nők száma koordinációs viszonyszám. Magyarországon 1000 férfira 1070 nő jutott 2026. január 1-jén. A megoszlási viszonyszámok is mutatták, hogy 55+ életkortól az 1000 férfira jutó nők száma 1000-nél több. Ez az érték pedig a korcsoporttal radikálisan nő, a 90+ életkorúaknál (lásd 98. sor) már 3220 nő jut 1000 férfira.
Az öregedési index szintén koordinációs viszonyszám, melynek 1,48 értéke azt jelenti, hogy Magyarországon 100 fiatalkorúra (0-14 éves) 148 időskorú (65+ éves) jut.
Az öregedési viszonyszám időbeli változása koordinációs viszonyszám dinamikus viszonyszáma (azaz időbeli összehasonlító viszonyszáma), ami szerint az öregedési index 10 év alatt 15%-kal nőtt.
A magyar öregedési index Írországhoz való hasonlítása koordinációs viszonyszám (térbeli) összehasonlító viszonyszáma. A magyar öregedési index az írekénél 78%-kal több, az olaszoknál 26%-kal kevesebb.</t>
  </si>
  <si>
    <t>A feladatban Magyarország egyes megyéinek 2025-ös 15-64 éves munkanélküliségi rátájáról lesz szó. (Ha a munkanélküliségi ráta pontos jelentését nem ismeri, akkor keressen rá!)</t>
  </si>
  <si>
    <t>a) A KSH honlapján keresse meg a megfelelő táblát, majd töltse fel a lenti táblázatot adatokkal!
b) Határozza meg a 15-64 éves munkanélküliségi rátát az egyes megyékben, majd írja be a megyék sorszámát növekvő munkanélküliségi ráta szerint! Képletekkel dolgozzon!
c) Hányszorosa a 4. legnagyobb munkanélküliségi ráta a 2. legkisebbnek? Melyik megyékről van szó? Képletekkel dolgozzon!
d) Adja meg, hogy milyen típusú viszonyszámokat számolt az egyes kérdésekben!</t>
  </si>
  <si>
    <t>Megye</t>
  </si>
  <si>
    <t>Munka-nélküliek</t>
  </si>
  <si>
    <t>Gazdaságilag aktívak</t>
  </si>
  <si>
    <t>Munkanélküli-ségi ráta</t>
  </si>
  <si>
    <t>Sorszám</t>
  </si>
  <si>
    <t>20.1.2.2 tábla</t>
  </si>
  <si>
    <t xml:space="preserve">Bács-Kiskun </t>
  </si>
  <si>
    <t>Területi egység neve</t>
  </si>
  <si>
    <t>Területi egység szintje</t>
  </si>
  <si>
    <t>Foglalkoztatottak, ezer fő</t>
  </si>
  <si>
    <t>Munkanélküliek, ezer fő</t>
  </si>
  <si>
    <t>Gazdaságilag aktívak, ezer fő</t>
  </si>
  <si>
    <t>Baranya</t>
  </si>
  <si>
    <t>főváros, régió</t>
  </si>
  <si>
    <t>Békés</t>
  </si>
  <si>
    <t xml:space="preserve">Pest </t>
  </si>
  <si>
    <t>vármegye, régió</t>
  </si>
  <si>
    <t>Borsod-Abaúj-Zemplén</t>
  </si>
  <si>
    <t>Közép-Magyarország</t>
  </si>
  <si>
    <t>nagyrégió</t>
  </si>
  <si>
    <t>Fejér</t>
  </si>
  <si>
    <t>vármegye</t>
  </si>
  <si>
    <t>Csongrád-Csanád</t>
  </si>
  <si>
    <t>Komárom-Esztergom</t>
  </si>
  <si>
    <t>Veszprém</t>
  </si>
  <si>
    <t>Győr-Moson-Sopron</t>
  </si>
  <si>
    <t>Közép-Dunántúl</t>
  </si>
  <si>
    <t>régió</t>
  </si>
  <si>
    <t>Hajdú-Bihar</t>
  </si>
  <si>
    <t>Heves</t>
  </si>
  <si>
    <t>Vas</t>
  </si>
  <si>
    <t>Jász-Nagykun-Szolnok</t>
  </si>
  <si>
    <t>Zala</t>
  </si>
  <si>
    <t>Nyugat-Dunántúl</t>
  </si>
  <si>
    <t xml:space="preserve">Nógrád </t>
  </si>
  <si>
    <t>Somogy</t>
  </si>
  <si>
    <t xml:space="preserve">Tolna </t>
  </si>
  <si>
    <t>Szabolcs-Szatmár-Bereg</t>
  </si>
  <si>
    <t>Dél-Dunántúl</t>
  </si>
  <si>
    <t>Dunántúl</t>
  </si>
  <si>
    <t>Ország összesen</t>
  </si>
  <si>
    <t>Észak-Magyarország</t>
  </si>
  <si>
    <t>3. legnagyobb</t>
  </si>
  <si>
    <t>2. legkisebb</t>
  </si>
  <si>
    <t>Arányuk</t>
  </si>
  <si>
    <t>Észak-Alföld</t>
  </si>
  <si>
    <t>A munkanélküliségi ráta megoszlási viszonyszám, mivel egy részsokaság elemszámát viszonyítjuk a teljes elemszámhoz.
Az arányuk pedig megoszlási viszonyszám koordinációs viszonyszáma.</t>
  </si>
  <si>
    <t>Dél-Alföld</t>
  </si>
  <si>
    <t>Alföld és Észak</t>
  </si>
  <si>
    <t>ország</t>
  </si>
  <si>
    <t>A háztartások fogyasztási kiadásának alakulása a termékek tartóssága szerint, folyó áron:</t>
  </si>
  <si>
    <t>Megnevezés</t>
  </si>
  <si>
    <t>Kiadás (Milliárd Ft)</t>
  </si>
  <si>
    <t>2015. év</t>
  </si>
  <si>
    <t>Tartós termékek</t>
  </si>
  <si>
    <t>Féltartós termékek</t>
  </si>
  <si>
    <t>Nem tartós termékek</t>
  </si>
  <si>
    <t>Szolgáltatások</t>
  </si>
  <si>
    <t>Elemezze viszonyszámokkal és grafikus ábrával a háztartási kiadások nagyságának és megoszlásának alakulását!</t>
  </si>
  <si>
    <t>A kiadásokban mindkét évben a legnagyobb arányban a nem tartós termékek és a szolgáltatások szerepeltek. A 10 év alatt mindegyik terméktípusra nőtt a kiadás mértéke, de a nem tartós termékekre fordított kiadás kevésbé, mint a többi, így ott többihez képest relatív csökkenést látunk. (Megjegyzés: a kiadás növekedése nem feltétlenül jelenti a mennyiség növekedését, hisz a kiadást az árak is befolyásolják. Erről majd az indexszámítás témakörben lesz szó.)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</si>
</sst>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.000"/>
    <numFmt numFmtId="166" formatCode="0.0%&quot;-pont&quot;"/>
    <numFmt numFmtId="167" formatCode="0&quot; ezer db&quot;"/>
    <numFmt numFmtId="168" formatCode="0&quot; fő&quot;"/>
    <numFmt numFmtId="169" formatCode="0.000"/>
    <numFmt numFmtId="170" formatCode="0.00000000000"/>
    <numFmt numFmtId="171" formatCode="0.0"/>
  </numFmts>
  <fonts count="18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  <charset val="238"/>
    </font>
    <font>
      <b/>
      <sz val="10"/>
      <color indexed="9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</font>
    <font>
      <sz val="9"/>
      <color indexed="81"/>
      <name val="Tahoma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sz val="10"/>
      <color theme="4"/>
      <name val="Arial"/>
      <family val="2"/>
      <charset val="238"/>
    </font>
    <font>
      <b/>
      <sz val="10"/>
      <color theme="0"/>
      <name val="Arial"/>
      <family val="2"/>
      <charset val="238"/>
    </font>
    <font>
      <sz val="10"/>
      <color theme="0"/>
      <name val="Arial"/>
      <family val="2"/>
    </font>
    <font>
      <sz val="9"/>
      <color indexed="81"/>
      <name val="Tahoma"/>
      <family val="2"/>
      <charset val="238"/>
    </font>
    <font>
      <b/>
      <vertAlign val="subscript"/>
      <sz val="10"/>
      <name val="Arial"/>
      <family val="2"/>
      <charset val="238"/>
    </font>
    <font>
      <b/>
      <sz val="10"/>
      <color theme="4"/>
      <name val="Arial"/>
      <family val="2"/>
      <charset val="238"/>
    </font>
    <font>
      <sz val="8"/>
      <name val="Arial CE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8080"/>
        <bgColor indexed="64"/>
      </patternFill>
    </fill>
  </fills>
  <borders count="1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thin">
        <color indexed="9"/>
      </left>
      <right style="thin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indexed="9"/>
      </right>
      <top style="medium">
        <color auto="1"/>
      </top>
      <bottom style="medium">
        <color indexed="64"/>
      </bottom>
      <diagonal/>
    </border>
    <border>
      <left style="thin">
        <color indexed="9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9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/>
      <diagonal/>
    </border>
    <border>
      <left style="thin">
        <color indexed="9"/>
      </left>
      <right/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/>
      <right style="thin">
        <color indexed="9"/>
      </right>
      <top style="medium">
        <color indexed="64"/>
      </top>
      <bottom/>
      <diagonal/>
    </border>
    <border>
      <left/>
      <right/>
      <top/>
      <bottom style="medium">
        <color theme="4"/>
      </bottom>
      <diagonal/>
    </border>
    <border>
      <left style="thin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medium">
        <color theme="4"/>
      </bottom>
      <diagonal/>
    </border>
    <border>
      <left/>
      <right style="thin">
        <color theme="4"/>
      </right>
      <top/>
      <bottom style="medium">
        <color theme="4"/>
      </bottom>
      <diagonal/>
    </border>
    <border>
      <left style="thin">
        <color rgb="FF008080"/>
      </left>
      <right/>
      <top style="medium">
        <color rgb="FF008080"/>
      </top>
      <bottom/>
      <diagonal/>
    </border>
    <border>
      <left/>
      <right/>
      <top style="medium">
        <color rgb="FF008080"/>
      </top>
      <bottom/>
      <diagonal/>
    </border>
    <border>
      <left/>
      <right style="thin">
        <color rgb="FF008080"/>
      </right>
      <top style="medium">
        <color rgb="FF008080"/>
      </top>
      <bottom/>
      <diagonal/>
    </border>
    <border>
      <left style="thin">
        <color rgb="FF008080"/>
      </left>
      <right/>
      <top/>
      <bottom/>
      <diagonal/>
    </border>
    <border>
      <left/>
      <right style="thin">
        <color rgb="FF008080"/>
      </right>
      <top/>
      <bottom/>
      <diagonal/>
    </border>
    <border>
      <left style="thin">
        <color rgb="FF008080"/>
      </left>
      <right/>
      <top/>
      <bottom style="medium">
        <color rgb="FF008080"/>
      </bottom>
      <diagonal/>
    </border>
    <border>
      <left/>
      <right/>
      <top/>
      <bottom style="medium">
        <color rgb="FF008080"/>
      </bottom>
      <diagonal/>
    </border>
    <border>
      <left/>
      <right style="thin">
        <color rgb="FF008080"/>
      </right>
      <top/>
      <bottom style="medium">
        <color rgb="FF008080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medium">
        <color auto="1"/>
      </top>
      <bottom style="medium">
        <color indexed="64"/>
      </bottom>
      <diagonal/>
    </border>
    <border>
      <left style="thin">
        <color indexed="9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indexed="9"/>
      </right>
      <top style="medium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9"/>
      </left>
      <right/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theme="0"/>
      </left>
      <right/>
      <top style="medium">
        <color auto="1"/>
      </top>
      <bottom style="medium">
        <color indexed="64"/>
      </bottom>
      <diagonal/>
    </border>
    <border>
      <left/>
      <right style="thin">
        <color indexed="9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indexed="21"/>
      </left>
      <right/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/>
      <right style="thin">
        <color indexed="21"/>
      </right>
      <top style="medium">
        <color indexed="21"/>
      </top>
      <bottom style="medium">
        <color indexed="21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342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10" fontId="3" fillId="0" borderId="0" xfId="1" applyNumberFormat="1" applyFont="1" applyAlignment="1">
      <alignment vertical="center"/>
    </xf>
    <xf numFmtId="9" fontId="3" fillId="0" borderId="0" xfId="1" applyFont="1" applyAlignment="1">
      <alignment vertical="center"/>
    </xf>
    <xf numFmtId="0" fontId="3" fillId="0" borderId="0" xfId="0" applyFont="1" applyAlignment="1">
      <alignment horizontal="distributed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2" fontId="3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 wrapText="1" indent="3"/>
    </xf>
    <xf numFmtId="3" fontId="3" fillId="0" borderId="2" xfId="0" applyNumberFormat="1" applyFont="1" applyBorder="1" applyAlignment="1">
      <alignment horizontal="right" vertical="center" wrapText="1" indent="3"/>
    </xf>
    <xf numFmtId="0" fontId="5" fillId="0" borderId="2" xfId="0" applyFont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right" vertical="center" wrapText="1" indent="3"/>
    </xf>
    <xf numFmtId="10" fontId="3" fillId="0" borderId="1" xfId="1" applyNumberFormat="1" applyFont="1" applyBorder="1" applyAlignment="1">
      <alignment horizontal="right" vertical="center" indent="3"/>
    </xf>
    <xf numFmtId="10" fontId="3" fillId="0" borderId="2" xfId="1" applyNumberFormat="1" applyFont="1" applyBorder="1" applyAlignment="1">
      <alignment horizontal="right" vertical="center" wrapText="1" indent="3"/>
    </xf>
    <xf numFmtId="10" fontId="3" fillId="0" borderId="2" xfId="1" applyNumberFormat="1" applyFont="1" applyBorder="1" applyAlignment="1">
      <alignment horizontal="right" vertical="center" indent="3"/>
    </xf>
    <xf numFmtId="0" fontId="3" fillId="0" borderId="1" xfId="0" applyFont="1" applyBorder="1" applyAlignment="1">
      <alignment horizontal="left" vertical="center" wrapText="1" indent="2"/>
    </xf>
    <xf numFmtId="164" fontId="3" fillId="0" borderId="1" xfId="1" applyNumberFormat="1" applyFont="1" applyBorder="1" applyAlignment="1">
      <alignment horizontal="right" vertical="center" wrapText="1" indent="3"/>
    </xf>
    <xf numFmtId="164" fontId="3" fillId="0" borderId="1" xfId="1" applyNumberFormat="1" applyFont="1" applyBorder="1" applyAlignment="1">
      <alignment horizontal="right" vertical="center" indent="3"/>
    </xf>
    <xf numFmtId="164" fontId="3" fillId="0" borderId="2" xfId="1" applyNumberFormat="1" applyFont="1" applyBorder="1" applyAlignment="1">
      <alignment horizontal="right" vertical="center" wrapText="1" indent="3"/>
    </xf>
    <xf numFmtId="164" fontId="3" fillId="0" borderId="2" xfId="1" applyNumberFormat="1" applyFont="1" applyBorder="1" applyAlignment="1">
      <alignment horizontal="right" vertical="center" indent="3"/>
    </xf>
    <xf numFmtId="0" fontId="5" fillId="0" borderId="0" xfId="0" applyFont="1" applyAlignment="1">
      <alignment horizontal="center" vertical="center" wrapText="1"/>
    </xf>
    <xf numFmtId="164" fontId="3" fillId="0" borderId="0" xfId="1" applyNumberFormat="1" applyFont="1" applyBorder="1" applyAlignment="1">
      <alignment horizontal="right" vertical="center" wrapText="1" indent="3"/>
    </xf>
    <xf numFmtId="164" fontId="3" fillId="0" borderId="0" xfId="1" applyNumberFormat="1" applyFont="1" applyBorder="1" applyAlignment="1">
      <alignment horizontal="right" vertical="center" indent="3"/>
    </xf>
    <xf numFmtId="0" fontId="3" fillId="0" borderId="2" xfId="0" applyFont="1" applyBorder="1" applyAlignment="1">
      <alignment horizontal="left" vertical="center" wrapText="1" indent="2"/>
    </xf>
    <xf numFmtId="164" fontId="3" fillId="0" borderId="2" xfId="1" applyNumberFormat="1" applyFont="1" applyBorder="1" applyAlignment="1">
      <alignment horizontal="center" vertical="center"/>
    </xf>
    <xf numFmtId="166" fontId="3" fillId="0" borderId="2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 wrapText="1"/>
    </xf>
    <xf numFmtId="168" fontId="3" fillId="0" borderId="2" xfId="1" applyNumberFormat="1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3" fillId="0" borderId="0" xfId="1" applyNumberFormat="1" applyFont="1" applyAlignment="1">
      <alignment vertical="center"/>
    </xf>
    <xf numFmtId="3" fontId="0" fillId="0" borderId="0" xfId="0" applyNumberFormat="1"/>
    <xf numFmtId="0" fontId="3" fillId="0" borderId="1" xfId="0" applyFont="1" applyBorder="1" applyAlignment="1">
      <alignment horizontal="right" vertical="center" wrapText="1" indent="3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 wrapText="1" indent="2"/>
    </xf>
    <xf numFmtId="3" fontId="6" fillId="0" borderId="1" xfId="0" applyNumberFormat="1" applyFont="1" applyBorder="1" applyAlignment="1">
      <alignment horizontal="right" vertical="center" wrapText="1" indent="3"/>
    </xf>
    <xf numFmtId="10" fontId="6" fillId="0" borderId="0" xfId="1" applyNumberFormat="1" applyFont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right" vertical="center" wrapText="1" indent="3"/>
    </xf>
    <xf numFmtId="164" fontId="6" fillId="0" borderId="1" xfId="1" applyNumberFormat="1" applyFont="1" applyBorder="1" applyAlignment="1">
      <alignment horizontal="right" vertical="center" wrapText="1" indent="3"/>
    </xf>
    <xf numFmtId="164" fontId="6" fillId="0" borderId="1" xfId="1" applyNumberFormat="1" applyFont="1" applyBorder="1" applyAlignment="1">
      <alignment horizontal="right" vertical="center" indent="3"/>
    </xf>
    <xf numFmtId="9" fontId="6" fillId="0" borderId="0" xfId="1" applyFont="1" applyAlignment="1">
      <alignment vertical="center"/>
    </xf>
    <xf numFmtId="164" fontId="6" fillId="0" borderId="2" xfId="1" applyNumberFormat="1" applyFont="1" applyBorder="1" applyAlignment="1">
      <alignment horizontal="right" vertical="center" wrapText="1" indent="3"/>
    </xf>
    <xf numFmtId="164" fontId="6" fillId="0" borderId="2" xfId="1" applyNumberFormat="1" applyFont="1" applyBorder="1" applyAlignment="1">
      <alignment horizontal="right" vertical="center" indent="3"/>
    </xf>
    <xf numFmtId="0" fontId="9" fillId="0" borderId="0" xfId="0" applyFont="1" applyAlignment="1">
      <alignment horizontal="center" vertical="center" wrapText="1"/>
    </xf>
    <xf numFmtId="164" fontId="6" fillId="0" borderId="0" xfId="1" applyNumberFormat="1" applyFont="1" applyBorder="1" applyAlignment="1">
      <alignment horizontal="right" vertical="center" wrapText="1" indent="3"/>
    </xf>
    <xf numFmtId="164" fontId="6" fillId="0" borderId="0" xfId="1" applyNumberFormat="1" applyFont="1" applyBorder="1" applyAlignment="1">
      <alignment horizontal="right" vertical="center" indent="3"/>
    </xf>
    <xf numFmtId="0" fontId="8" fillId="4" borderId="1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 indent="2"/>
    </xf>
    <xf numFmtId="167" fontId="6" fillId="0" borderId="2" xfId="1" applyNumberFormat="1" applyFont="1" applyBorder="1" applyAlignment="1">
      <alignment horizontal="center"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166" fontId="6" fillId="0" borderId="2" xfId="1" applyNumberFormat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0" fontId="6" fillId="0" borderId="0" xfId="0" applyFont="1" applyAlignment="1">
      <alignment horizontal="distributed" vertical="center" wrapText="1"/>
    </xf>
    <xf numFmtId="169" fontId="3" fillId="0" borderId="3" xfId="1" applyNumberFormat="1" applyFont="1" applyBorder="1" applyAlignment="1">
      <alignment horizontal="center" vertical="center" wrapText="1"/>
    </xf>
    <xf numFmtId="165" fontId="3" fillId="0" borderId="3" xfId="1" applyNumberFormat="1" applyFont="1" applyBorder="1" applyAlignment="1">
      <alignment horizontal="center" vertical="center" wrapText="1"/>
    </xf>
    <xf numFmtId="169" fontId="3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3" fontId="3" fillId="0" borderId="2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169" fontId="3" fillId="0" borderId="4" xfId="1" applyNumberFormat="1" applyFont="1" applyBorder="1" applyAlignment="1">
      <alignment horizontal="center" vertical="center" wrapText="1"/>
    </xf>
    <xf numFmtId="165" fontId="3" fillId="0" borderId="18" xfId="1" applyNumberFormat="1" applyFont="1" applyBorder="1" applyAlignment="1">
      <alignment horizontal="center" vertical="center" wrapText="1"/>
    </xf>
    <xf numFmtId="165" fontId="3" fillId="0" borderId="21" xfId="1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vertical="center"/>
    </xf>
    <xf numFmtId="3" fontId="11" fillId="0" borderId="1" xfId="0" applyNumberFormat="1" applyFont="1" applyBorder="1" applyAlignment="1">
      <alignment horizontal="right" vertical="center" wrapText="1" indent="1"/>
    </xf>
    <xf numFmtId="3" fontId="11" fillId="0" borderId="0" xfId="0" applyNumberFormat="1" applyFont="1" applyAlignment="1">
      <alignment horizontal="right" vertical="center" wrapText="1" indent="1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 vertical="center"/>
    </xf>
    <xf numFmtId="3" fontId="3" fillId="0" borderId="1" xfId="1" applyNumberFormat="1" applyFont="1" applyBorder="1" applyAlignment="1">
      <alignment horizontal="right" vertical="center" wrapText="1" indent="3"/>
    </xf>
    <xf numFmtId="2" fontId="3" fillId="0" borderId="3" xfId="1" applyNumberFormat="1" applyFont="1" applyBorder="1" applyAlignment="1">
      <alignment horizontal="right" vertical="center" wrapText="1" indent="3"/>
    </xf>
    <xf numFmtId="0" fontId="3" fillId="0" borderId="2" xfId="0" applyFont="1" applyBorder="1" applyAlignment="1">
      <alignment vertical="center" wrapText="1"/>
    </xf>
    <xf numFmtId="164" fontId="3" fillId="0" borderId="0" xfId="1" applyNumberFormat="1" applyFont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right" vertical="center" wrapText="1" indent="3"/>
    </xf>
    <xf numFmtId="3" fontId="11" fillId="0" borderId="1" xfId="0" applyNumberFormat="1" applyFont="1" applyBorder="1" applyAlignment="1">
      <alignment horizontal="right" vertical="center" wrapText="1" indent="3"/>
    </xf>
    <xf numFmtId="0" fontId="4" fillId="3" borderId="59" xfId="0" applyFont="1" applyFill="1" applyBorder="1" applyAlignment="1">
      <alignment horizontal="center" vertical="center" wrapText="1"/>
    </xf>
    <xf numFmtId="3" fontId="3" fillId="0" borderId="57" xfId="0" applyNumberFormat="1" applyFont="1" applyBorder="1" applyAlignment="1">
      <alignment horizontal="right" vertical="center" wrapText="1" indent="3"/>
    </xf>
    <xf numFmtId="0" fontId="3" fillId="0" borderId="57" xfId="0" applyFont="1" applyBorder="1" applyAlignment="1">
      <alignment horizontal="left" vertical="center" wrapText="1" indent="2"/>
    </xf>
    <xf numFmtId="3" fontId="3" fillId="0" borderId="58" xfId="0" applyNumberFormat="1" applyFont="1" applyBorder="1" applyAlignment="1">
      <alignment horizontal="right" vertical="center" wrapText="1" indent="3"/>
    </xf>
    <xf numFmtId="0" fontId="3" fillId="0" borderId="58" xfId="0" applyFont="1" applyBorder="1" applyAlignment="1">
      <alignment horizontal="left" vertical="center" wrapText="1" indent="2"/>
    </xf>
    <xf numFmtId="0" fontId="0" fillId="0" borderId="0" xfId="0" applyAlignment="1">
      <alignment horizontal="left" vertical="center" wrapText="1"/>
    </xf>
    <xf numFmtId="3" fontId="11" fillId="0" borderId="65" xfId="0" applyNumberFormat="1" applyFont="1" applyBorder="1" applyAlignment="1">
      <alignment horizontal="right" vertical="center" wrapText="1" indent="3"/>
    </xf>
    <xf numFmtId="164" fontId="3" fillId="0" borderId="1" xfId="1" applyNumberFormat="1" applyFont="1" applyBorder="1" applyAlignment="1">
      <alignment horizontal="right" vertical="center" indent="2"/>
    </xf>
    <xf numFmtId="164" fontId="3" fillId="0" borderId="2" xfId="1" applyNumberFormat="1" applyFont="1" applyBorder="1" applyAlignment="1">
      <alignment horizontal="right" vertical="center" indent="2"/>
    </xf>
    <xf numFmtId="0" fontId="3" fillId="0" borderId="65" xfId="0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right" vertical="center" wrapText="1" indent="2"/>
    </xf>
    <xf numFmtId="9" fontId="3" fillId="0" borderId="2" xfId="1" applyFont="1" applyBorder="1" applyAlignment="1">
      <alignment horizontal="right" vertical="center" wrapText="1" indent="2"/>
    </xf>
    <xf numFmtId="0" fontId="0" fillId="0" borderId="0" xfId="0" pivotButton="1"/>
    <xf numFmtId="0" fontId="3" fillId="0" borderId="6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4" borderId="68" xfId="0" applyFont="1" applyFill="1" applyBorder="1" applyAlignment="1">
      <alignment horizontal="center" vertical="center"/>
    </xf>
    <xf numFmtId="0" fontId="12" fillId="4" borderId="69" xfId="0" applyFont="1" applyFill="1" applyBorder="1" applyAlignment="1">
      <alignment horizontal="center" vertical="center"/>
    </xf>
    <xf numFmtId="0" fontId="12" fillId="4" borderId="7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 wrapText="1" indent="1"/>
    </xf>
    <xf numFmtId="3" fontId="3" fillId="0" borderId="2" xfId="0" applyNumberFormat="1" applyFont="1" applyBorder="1" applyAlignment="1">
      <alignment horizontal="right" vertical="center" wrapText="1" indent="1"/>
    </xf>
    <xf numFmtId="0" fontId="3" fillId="0" borderId="0" xfId="0" applyFont="1" applyAlignment="1">
      <alignment horizontal="left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 wrapText="1" indent="2"/>
    </xf>
    <xf numFmtId="3" fontId="3" fillId="0" borderId="2" xfId="0" applyNumberFormat="1" applyFont="1" applyBorder="1" applyAlignment="1">
      <alignment horizontal="right" vertical="center" wrapText="1" indent="2"/>
    </xf>
    <xf numFmtId="2" fontId="3" fillId="0" borderId="4" xfId="0" applyNumberFormat="1" applyFont="1" applyBorder="1" applyAlignment="1">
      <alignment horizontal="center" vertical="center"/>
    </xf>
    <xf numFmtId="2" fontId="3" fillId="0" borderId="65" xfId="0" applyNumberFormat="1" applyFont="1" applyBorder="1" applyAlignment="1">
      <alignment horizontal="center" vertical="center"/>
    </xf>
    <xf numFmtId="0" fontId="12" fillId="4" borderId="71" xfId="0" applyFont="1" applyFill="1" applyBorder="1" applyAlignment="1">
      <alignment horizontal="left" vertical="center"/>
    </xf>
    <xf numFmtId="0" fontId="12" fillId="4" borderId="72" xfId="0" applyFont="1" applyFill="1" applyBorder="1" applyAlignment="1">
      <alignment horizontal="left" vertical="center"/>
    </xf>
    <xf numFmtId="0" fontId="12" fillId="4" borderId="73" xfId="0" applyFont="1" applyFill="1" applyBorder="1" applyAlignment="1">
      <alignment horizontal="left" vertical="center"/>
    </xf>
    <xf numFmtId="169" fontId="3" fillId="0" borderId="2" xfId="0" applyNumberFormat="1" applyFont="1" applyBorder="1" applyAlignment="1">
      <alignment horizontal="center" vertical="center"/>
    </xf>
    <xf numFmtId="3" fontId="3" fillId="0" borderId="58" xfId="0" applyNumberFormat="1" applyFont="1" applyBorder="1" applyAlignment="1">
      <alignment horizontal="right" vertical="center" wrapText="1" indent="1"/>
    </xf>
    <xf numFmtId="3" fontId="3" fillId="0" borderId="57" xfId="0" applyNumberFormat="1" applyFont="1" applyBorder="1" applyAlignment="1">
      <alignment horizontal="right" vertical="center" wrapText="1" indent="1"/>
    </xf>
    <xf numFmtId="2" fontId="3" fillId="0" borderId="2" xfId="1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65" xfId="0" applyFont="1" applyBorder="1" applyAlignment="1">
      <alignment horizontal="left" vertical="center"/>
    </xf>
    <xf numFmtId="0" fontId="12" fillId="4" borderId="69" xfId="0" applyFont="1" applyFill="1" applyBorder="1" applyAlignment="1">
      <alignment horizontal="center" vertical="center" wrapText="1"/>
    </xf>
    <xf numFmtId="0" fontId="12" fillId="4" borderId="70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 indent="2"/>
    </xf>
    <xf numFmtId="0" fontId="3" fillId="0" borderId="65" xfId="0" applyFont="1" applyBorder="1" applyAlignment="1">
      <alignment horizontal="right" vertical="center" indent="2"/>
    </xf>
    <xf numFmtId="0" fontId="3" fillId="0" borderId="2" xfId="0" applyFont="1" applyBorder="1" applyAlignment="1">
      <alignment horizontal="right" vertical="center" indent="2"/>
    </xf>
    <xf numFmtId="10" fontId="3" fillId="0" borderId="1" xfId="1" applyNumberFormat="1" applyFont="1" applyBorder="1" applyAlignment="1">
      <alignment horizontal="center" vertical="center"/>
    </xf>
    <xf numFmtId="10" fontId="3" fillId="0" borderId="65" xfId="1" applyNumberFormat="1" applyFont="1" applyBorder="1" applyAlignment="1">
      <alignment horizontal="center" vertical="center"/>
    </xf>
    <xf numFmtId="10" fontId="3" fillId="0" borderId="2" xfId="1" applyNumberFormat="1" applyFont="1" applyBorder="1" applyAlignment="1">
      <alignment horizontal="center" vertical="center"/>
    </xf>
    <xf numFmtId="10" fontId="3" fillId="0" borderId="80" xfId="1" applyNumberFormat="1" applyFont="1" applyBorder="1" applyAlignment="1">
      <alignment horizontal="center" vertical="center" wrapText="1"/>
    </xf>
    <xf numFmtId="10" fontId="3" fillId="0" borderId="65" xfId="1" applyNumberFormat="1" applyFont="1" applyBorder="1" applyAlignment="1">
      <alignment horizontal="center" vertical="center" wrapText="1"/>
    </xf>
    <xf numFmtId="0" fontId="5" fillId="0" borderId="80" xfId="0" applyFont="1" applyBorder="1" applyAlignment="1">
      <alignment horizontal="left" vertical="center" wrapText="1" indent="1"/>
    </xf>
    <xf numFmtId="0" fontId="5" fillId="0" borderId="65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171" fontId="3" fillId="0" borderId="4" xfId="1" applyNumberFormat="1" applyFont="1" applyBorder="1" applyAlignment="1">
      <alignment horizontal="center" vertical="center" wrapText="1"/>
    </xf>
    <xf numFmtId="0" fontId="3" fillId="0" borderId="80" xfId="1" applyNumberFormat="1" applyFont="1" applyBorder="1" applyAlignment="1">
      <alignment horizontal="center" vertical="center" wrapText="1"/>
    </xf>
    <xf numFmtId="0" fontId="3" fillId="0" borderId="65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right" vertical="center" wrapText="1" indent="1"/>
    </xf>
    <xf numFmtId="164" fontId="3" fillId="0" borderId="1" xfId="1" applyNumberFormat="1" applyFont="1" applyBorder="1" applyAlignment="1">
      <alignment horizontal="right" vertical="center" indent="1"/>
    </xf>
    <xf numFmtId="164" fontId="3" fillId="0" borderId="2" xfId="1" applyNumberFormat="1" applyFont="1" applyBorder="1" applyAlignment="1">
      <alignment horizontal="right" vertical="center" wrapText="1" indent="1"/>
    </xf>
    <xf numFmtId="164" fontId="3" fillId="0" borderId="2" xfId="1" applyNumberFormat="1" applyFont="1" applyBorder="1" applyAlignment="1">
      <alignment horizontal="right" vertical="center" indent="1"/>
    </xf>
    <xf numFmtId="0" fontId="4" fillId="6" borderId="59" xfId="0" applyFont="1" applyFill="1" applyBorder="1" applyAlignment="1">
      <alignment horizontal="center" vertical="center" wrapText="1"/>
    </xf>
    <xf numFmtId="0" fontId="4" fillId="6" borderId="81" xfId="0" applyFont="1" applyFill="1" applyBorder="1" applyAlignment="1">
      <alignment horizontal="center" vertical="center" wrapText="1"/>
    </xf>
    <xf numFmtId="0" fontId="4" fillId="6" borderId="82" xfId="0" applyFont="1" applyFill="1" applyBorder="1" applyAlignment="1">
      <alignment horizontal="center" vertical="center" wrapText="1"/>
    </xf>
    <xf numFmtId="0" fontId="3" fillId="0" borderId="83" xfId="0" applyFont="1" applyBorder="1" applyAlignment="1">
      <alignment vertical="center" wrapText="1"/>
    </xf>
    <xf numFmtId="3" fontId="11" fillId="0" borderId="83" xfId="0" applyNumberFormat="1" applyFont="1" applyBorder="1" applyAlignment="1">
      <alignment horizontal="right" vertical="center" wrapText="1" indent="3"/>
    </xf>
    <xf numFmtId="2" fontId="3" fillId="0" borderId="65" xfId="1" applyNumberFormat="1" applyFont="1" applyBorder="1" applyAlignment="1">
      <alignment horizontal="right" vertical="center" wrapText="1" indent="3"/>
    </xf>
    <xf numFmtId="3" fontId="3" fillId="0" borderId="65" xfId="1" applyNumberFormat="1" applyFont="1" applyBorder="1" applyAlignment="1">
      <alignment horizontal="right" vertical="center" wrapText="1" indent="3"/>
    </xf>
    <xf numFmtId="0" fontId="4" fillId="4" borderId="13" xfId="0" applyFont="1" applyFill="1" applyBorder="1" applyAlignment="1">
      <alignment horizontal="center" vertical="center" wrapText="1"/>
    </xf>
    <xf numFmtId="0" fontId="4" fillId="4" borderId="59" xfId="0" applyFont="1" applyFill="1" applyBorder="1" applyAlignment="1">
      <alignment horizontal="center" vertical="center" wrapText="1"/>
    </xf>
    <xf numFmtId="0" fontId="4" fillId="4" borderId="82" xfId="0" applyFont="1" applyFill="1" applyBorder="1" applyAlignment="1">
      <alignment horizontal="center" vertical="center" wrapText="1"/>
    </xf>
    <xf numFmtId="0" fontId="4" fillId="4" borderId="84" xfId="0" applyFont="1" applyFill="1" applyBorder="1" applyAlignment="1">
      <alignment horizontal="center" vertical="center" wrapText="1"/>
    </xf>
    <xf numFmtId="0" fontId="4" fillId="4" borderId="85" xfId="0" applyFont="1" applyFill="1" applyBorder="1" applyAlignment="1">
      <alignment horizontal="center" vertical="center" wrapText="1"/>
    </xf>
    <xf numFmtId="3" fontId="11" fillId="0" borderId="65" xfId="0" applyNumberFormat="1" applyFont="1" applyBorder="1" applyAlignment="1">
      <alignment horizontal="right" vertical="center" wrapText="1" indent="1"/>
    </xf>
    <xf numFmtId="3" fontId="11" fillId="0" borderId="83" xfId="0" applyNumberFormat="1" applyFont="1" applyBorder="1" applyAlignment="1">
      <alignment horizontal="right" vertical="center" wrapText="1" indent="1"/>
    </xf>
    <xf numFmtId="3" fontId="3" fillId="0" borderId="96" xfId="1" applyNumberFormat="1" applyFont="1" applyBorder="1" applyAlignment="1">
      <alignment horizontal="center" vertical="center" wrapText="1"/>
    </xf>
    <xf numFmtId="169" fontId="3" fillId="0" borderId="97" xfId="1" applyNumberFormat="1" applyFont="1" applyBorder="1" applyAlignment="1">
      <alignment horizontal="center" vertical="center" wrapText="1"/>
    </xf>
    <xf numFmtId="165" fontId="3" fillId="0" borderId="65" xfId="1" applyNumberFormat="1" applyFont="1" applyBorder="1" applyAlignment="1">
      <alignment horizontal="center" vertical="center" wrapText="1"/>
    </xf>
    <xf numFmtId="169" fontId="3" fillId="0" borderId="65" xfId="1" applyNumberFormat="1" applyFont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3" fontId="3" fillId="0" borderId="97" xfId="1" applyNumberFormat="1" applyFont="1" applyBorder="1" applyAlignment="1">
      <alignment horizontal="center" vertical="center" wrapText="1"/>
    </xf>
    <xf numFmtId="0" fontId="3" fillId="0" borderId="100" xfId="0" applyFont="1" applyBorder="1" applyAlignment="1">
      <alignment horizontal="right" vertical="center" wrapText="1" indent="3"/>
    </xf>
    <xf numFmtId="0" fontId="3" fillId="0" borderId="101" xfId="0" applyFont="1" applyBorder="1" applyAlignment="1">
      <alignment horizontal="right" vertical="center" wrapText="1" indent="3"/>
    </xf>
    <xf numFmtId="0" fontId="8" fillId="4" borderId="103" xfId="0" applyFont="1" applyFill="1" applyBorder="1" applyAlignment="1">
      <alignment horizontal="center" vertical="center" wrapText="1"/>
    </xf>
    <xf numFmtId="0" fontId="8" fillId="4" borderId="104" xfId="0" applyFont="1" applyFill="1" applyBorder="1" applyAlignment="1">
      <alignment horizontal="center" vertical="center" wrapText="1"/>
    </xf>
    <xf numFmtId="0" fontId="6" fillId="0" borderId="100" xfId="0" applyFont="1" applyBorder="1" applyAlignment="1">
      <alignment horizontal="left" vertical="center" wrapText="1" indent="2"/>
    </xf>
    <xf numFmtId="3" fontId="6" fillId="0" borderId="100" xfId="0" applyNumberFormat="1" applyFont="1" applyBorder="1" applyAlignment="1">
      <alignment horizontal="right" vertical="center" wrapText="1" indent="3"/>
    </xf>
    <xf numFmtId="0" fontId="6" fillId="0" borderId="101" xfId="0" applyFont="1" applyBorder="1" applyAlignment="1">
      <alignment horizontal="left" vertical="center" wrapText="1" indent="2"/>
    </xf>
    <xf numFmtId="3" fontId="6" fillId="0" borderId="101" xfId="0" applyNumberFormat="1" applyFont="1" applyBorder="1" applyAlignment="1">
      <alignment horizontal="right" vertical="center" wrapText="1" indent="3"/>
    </xf>
    <xf numFmtId="0" fontId="8" fillId="3" borderId="5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3" fontId="3" fillId="0" borderId="65" xfId="0" applyNumberFormat="1" applyFont="1" applyBorder="1" applyAlignment="1">
      <alignment horizontal="right" vertical="center" wrapText="1" indent="1"/>
    </xf>
    <xf numFmtId="164" fontId="3" fillId="0" borderId="65" xfId="1" applyNumberFormat="1" applyFont="1" applyBorder="1" applyAlignment="1">
      <alignment horizontal="center" vertical="center" wrapText="1"/>
    </xf>
    <xf numFmtId="3" fontId="3" fillId="0" borderId="65" xfId="0" applyNumberFormat="1" applyFont="1" applyBorder="1" applyAlignment="1">
      <alignment horizontal="right" vertical="center" wrapText="1" indent="2"/>
    </xf>
    <xf numFmtId="0" fontId="3" fillId="0" borderId="83" xfId="0" applyFont="1" applyBorder="1" applyAlignment="1">
      <alignment horizontal="center" vertical="center" wrapText="1"/>
    </xf>
    <xf numFmtId="3" fontId="3" fillId="0" borderId="83" xfId="0" applyNumberFormat="1" applyFont="1" applyBorder="1" applyAlignment="1">
      <alignment horizontal="right" vertical="center" wrapText="1" indent="1"/>
    </xf>
    <xf numFmtId="164" fontId="3" fillId="0" borderId="83" xfId="1" applyNumberFormat="1" applyFont="1" applyBorder="1" applyAlignment="1">
      <alignment horizontal="center" vertical="center" wrapText="1"/>
    </xf>
    <xf numFmtId="3" fontId="3" fillId="0" borderId="83" xfId="0" applyNumberFormat="1" applyFont="1" applyBorder="1" applyAlignment="1">
      <alignment horizontal="right" vertical="center" wrapText="1" indent="2"/>
    </xf>
    <xf numFmtId="0" fontId="12" fillId="4" borderId="108" xfId="0" applyFont="1" applyFill="1" applyBorder="1" applyAlignment="1">
      <alignment horizontal="left" vertical="center"/>
    </xf>
    <xf numFmtId="2" fontId="3" fillId="0" borderId="97" xfId="0" applyNumberFormat="1" applyFont="1" applyBorder="1" applyAlignment="1">
      <alignment horizontal="center" vertical="center"/>
    </xf>
    <xf numFmtId="0" fontId="3" fillId="0" borderId="83" xfId="0" applyFont="1" applyBorder="1" applyAlignment="1">
      <alignment horizontal="left" vertical="center"/>
    </xf>
    <xf numFmtId="0" fontId="3" fillId="0" borderId="83" xfId="0" applyFont="1" applyBorder="1" applyAlignment="1">
      <alignment horizontal="right" vertical="center" indent="2"/>
    </xf>
    <xf numFmtId="10" fontId="3" fillId="0" borderId="83" xfId="1" applyNumberFormat="1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 wrapText="1"/>
    </xf>
    <xf numFmtId="0" fontId="4" fillId="2" borderId="52" xfId="0" applyFont="1" applyFill="1" applyBorder="1" applyAlignment="1">
      <alignment horizontal="center" vertical="center" wrapText="1"/>
    </xf>
    <xf numFmtId="3" fontId="3" fillId="0" borderId="65" xfId="0" applyNumberFormat="1" applyFont="1" applyBorder="1" applyAlignment="1">
      <alignment horizontal="right" vertical="center" wrapText="1" indent="3"/>
    </xf>
    <xf numFmtId="0" fontId="3" fillId="0" borderId="57" xfId="0" applyFont="1" applyBorder="1" applyAlignment="1">
      <alignment vertical="center" wrapText="1"/>
    </xf>
    <xf numFmtId="10" fontId="3" fillId="0" borderId="65" xfId="1" applyNumberFormat="1" applyFont="1" applyBorder="1" applyAlignment="1">
      <alignment horizontal="right" vertical="center" wrapText="1" indent="3"/>
    </xf>
    <xf numFmtId="10" fontId="3" fillId="0" borderId="65" xfId="1" applyNumberFormat="1" applyFont="1" applyBorder="1" applyAlignment="1">
      <alignment horizontal="right" vertical="center" indent="3"/>
    </xf>
    <xf numFmtId="10" fontId="3" fillId="0" borderId="57" xfId="1" applyNumberFormat="1" applyFont="1" applyBorder="1" applyAlignment="1">
      <alignment horizontal="right" vertical="center" wrapText="1" indent="3"/>
    </xf>
    <xf numFmtId="10" fontId="3" fillId="0" borderId="57" xfId="1" applyNumberFormat="1" applyFont="1" applyBorder="1" applyAlignment="1">
      <alignment horizontal="right" vertical="center" indent="3"/>
    </xf>
    <xf numFmtId="0" fontId="6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170" fontId="3" fillId="0" borderId="65" xfId="1" applyNumberFormat="1" applyFont="1" applyBorder="1" applyAlignment="1">
      <alignment horizontal="left" vertical="center" wrapText="1"/>
    </xf>
    <xf numFmtId="170" fontId="3" fillId="0" borderId="3" xfId="1" applyNumberFormat="1" applyFont="1" applyBorder="1" applyAlignment="1">
      <alignment horizontal="left" vertical="center" wrapText="1"/>
    </xf>
    <xf numFmtId="0" fontId="4" fillId="5" borderId="15" xfId="0" applyFont="1" applyFill="1" applyBorder="1" applyAlignment="1">
      <alignment horizontal="center" vertical="center" wrapText="1"/>
    </xf>
    <xf numFmtId="170" fontId="3" fillId="0" borderId="1" xfId="1" applyNumberFormat="1" applyFont="1" applyBorder="1" applyAlignment="1">
      <alignment horizontal="left" vertical="center" wrapText="1"/>
    </xf>
    <xf numFmtId="0" fontId="3" fillId="0" borderId="6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6" borderId="34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4" fillId="5" borderId="55" xfId="0" applyFont="1" applyFill="1" applyBorder="1" applyAlignment="1">
      <alignment horizontal="center" vertical="center" wrapText="1"/>
    </xf>
    <xf numFmtId="0" fontId="4" fillId="5" borderId="54" xfId="0" applyFont="1" applyFill="1" applyBorder="1" applyAlignment="1">
      <alignment horizontal="center" vertical="center" wrapText="1"/>
    </xf>
    <xf numFmtId="0" fontId="4" fillId="4" borderId="6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4" fillId="3" borderId="63" xfId="0" applyFont="1" applyFill="1" applyBorder="1" applyAlignment="1">
      <alignment horizontal="center" vertical="center" wrapText="1"/>
    </xf>
    <xf numFmtId="0" fontId="4" fillId="3" borderId="82" xfId="0" applyFont="1" applyFill="1" applyBorder="1" applyAlignment="1">
      <alignment horizontal="center" vertical="center" wrapText="1"/>
    </xf>
    <xf numFmtId="0" fontId="4" fillId="4" borderId="71" xfId="0" applyFont="1" applyFill="1" applyBorder="1" applyAlignment="1">
      <alignment horizontal="center" vertical="center" wrapText="1"/>
    </xf>
    <xf numFmtId="0" fontId="4" fillId="4" borderId="56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5" xfId="0" applyFont="1" applyBorder="1" applyAlignment="1">
      <alignment vertical="center" wrapText="1"/>
    </xf>
    <xf numFmtId="164" fontId="3" fillId="0" borderId="67" xfId="1" applyNumberFormat="1" applyFont="1" applyBorder="1" applyAlignment="1">
      <alignment horizontal="center" vertical="center"/>
    </xf>
    <xf numFmtId="164" fontId="3" fillId="0" borderId="66" xfId="1" applyNumberFormat="1" applyFont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63" xfId="0" applyFont="1" applyFill="1" applyBorder="1" applyAlignment="1">
      <alignment horizontal="center" vertical="center"/>
    </xf>
    <xf numFmtId="0" fontId="4" fillId="4" borderId="74" xfId="0" applyFont="1" applyFill="1" applyBorder="1" applyAlignment="1">
      <alignment horizontal="center" vertical="center" wrapText="1"/>
    </xf>
    <xf numFmtId="0" fontId="4" fillId="4" borderId="75" xfId="0" applyFont="1" applyFill="1" applyBorder="1" applyAlignment="1">
      <alignment horizontal="center" vertical="center" wrapText="1"/>
    </xf>
    <xf numFmtId="0" fontId="4" fillId="4" borderId="77" xfId="0" applyFont="1" applyFill="1" applyBorder="1" applyAlignment="1">
      <alignment horizontal="center" vertical="center" wrapText="1"/>
    </xf>
    <xf numFmtId="0" fontId="4" fillId="4" borderId="78" xfId="0" applyFont="1" applyFill="1" applyBorder="1" applyAlignment="1">
      <alignment horizontal="center" vertical="center" wrapText="1"/>
    </xf>
    <xf numFmtId="0" fontId="4" fillId="4" borderId="76" xfId="0" applyFont="1" applyFill="1" applyBorder="1" applyAlignment="1">
      <alignment horizontal="center" vertical="center" wrapText="1"/>
    </xf>
    <xf numFmtId="0" fontId="4" fillId="4" borderId="79" xfId="0" applyFont="1" applyFill="1" applyBorder="1" applyAlignment="1">
      <alignment horizontal="center" vertical="center" wrapText="1"/>
    </xf>
    <xf numFmtId="0" fontId="4" fillId="3" borderId="61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4" borderId="62" xfId="0" applyFont="1" applyFill="1" applyBorder="1" applyAlignment="1">
      <alignment horizontal="distributed" vertical="center" wrapText="1"/>
    </xf>
    <xf numFmtId="0" fontId="4" fillId="4" borderId="60" xfId="0" applyFont="1" applyFill="1" applyBorder="1" applyAlignment="1">
      <alignment horizontal="distributed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4" fillId="4" borderId="64" xfId="0" applyFont="1" applyFill="1" applyBorder="1" applyAlignment="1">
      <alignment horizontal="distributed" vertical="center" wrapText="1"/>
    </xf>
    <xf numFmtId="0" fontId="4" fillId="4" borderId="7" xfId="0" applyFont="1" applyFill="1" applyBorder="1" applyAlignment="1">
      <alignment horizontal="distributed" vertical="center" wrapText="1"/>
    </xf>
    <xf numFmtId="9" fontId="3" fillId="0" borderId="22" xfId="1" applyFont="1" applyBorder="1" applyAlignment="1">
      <alignment horizontal="left" vertical="center" wrapText="1"/>
    </xf>
    <xf numFmtId="9" fontId="3" fillId="0" borderId="21" xfId="1" applyFont="1" applyBorder="1" applyAlignment="1">
      <alignment horizontal="left" vertical="center" wrapText="1"/>
    </xf>
    <xf numFmtId="9" fontId="3" fillId="0" borderId="20" xfId="1" applyFont="1" applyBorder="1" applyAlignment="1">
      <alignment horizontal="left" vertical="center" wrapText="1"/>
    </xf>
    <xf numFmtId="9" fontId="3" fillId="0" borderId="19" xfId="1" applyFont="1" applyBorder="1" applyAlignment="1">
      <alignment horizontal="left" vertical="center" wrapText="1"/>
    </xf>
    <xf numFmtId="0" fontId="4" fillId="5" borderId="91" xfId="0" applyFont="1" applyFill="1" applyBorder="1" applyAlignment="1">
      <alignment horizontal="center" vertical="center" wrapText="1"/>
    </xf>
    <xf numFmtId="0" fontId="4" fillId="5" borderId="92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99" xfId="0" applyFont="1" applyFill="1" applyBorder="1" applyAlignment="1">
      <alignment horizontal="center" vertical="center" wrapText="1"/>
    </xf>
    <xf numFmtId="0" fontId="3" fillId="0" borderId="94" xfId="0" applyFont="1" applyBorder="1" applyAlignment="1">
      <alignment horizontal="left" vertical="center" wrapText="1"/>
    </xf>
    <xf numFmtId="0" fontId="3" fillId="0" borderId="95" xfId="0" applyFont="1" applyBorder="1" applyAlignment="1">
      <alignment horizontal="left" vertical="center" wrapText="1"/>
    </xf>
    <xf numFmtId="0" fontId="3" fillId="0" borderId="96" xfId="0" applyFont="1" applyBorder="1" applyAlignment="1">
      <alignment horizontal="left" vertical="center" wrapText="1"/>
    </xf>
    <xf numFmtId="9" fontId="3" fillId="0" borderId="94" xfId="1" applyFont="1" applyBorder="1" applyAlignment="1">
      <alignment horizontal="left" vertical="center" wrapText="1"/>
    </xf>
    <xf numFmtId="9" fontId="3" fillId="0" borderId="96" xfId="1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9" fontId="3" fillId="0" borderId="23" xfId="1" applyFont="1" applyBorder="1" applyAlignment="1">
      <alignment horizontal="left" vertical="center" wrapText="1"/>
    </xf>
    <xf numFmtId="10" fontId="3" fillId="0" borderId="1" xfId="1" applyNumberFormat="1" applyFont="1" applyBorder="1" applyAlignment="1">
      <alignment horizontal="left" vertical="center" wrapText="1" indent="1"/>
    </xf>
    <xf numFmtId="10" fontId="3" fillId="0" borderId="3" xfId="1" applyNumberFormat="1" applyFont="1" applyBorder="1" applyAlignment="1">
      <alignment horizontal="left" vertical="center" wrapText="1" indent="1"/>
    </xf>
    <xf numFmtId="9" fontId="3" fillId="0" borderId="5" xfId="1" applyFont="1" applyBorder="1" applyAlignment="1">
      <alignment horizontal="left" vertical="center" wrapText="1"/>
    </xf>
    <xf numFmtId="9" fontId="3" fillId="0" borderId="18" xfId="1" applyFont="1" applyBorder="1" applyAlignment="1">
      <alignment horizontal="left" vertical="center" wrapText="1"/>
    </xf>
    <xf numFmtId="10" fontId="3" fillId="0" borderId="67" xfId="1" applyNumberFormat="1" applyFont="1" applyBorder="1" applyAlignment="1">
      <alignment horizontal="left" vertical="center" wrapText="1" indent="1"/>
    </xf>
    <xf numFmtId="10" fontId="3" fillId="0" borderId="98" xfId="1" applyNumberFormat="1" applyFont="1" applyBorder="1" applyAlignment="1">
      <alignment horizontal="left" vertical="center" wrapText="1" indent="1"/>
    </xf>
    <xf numFmtId="10" fontId="3" fillId="0" borderId="66" xfId="1" applyNumberFormat="1" applyFont="1" applyBorder="1" applyAlignment="1">
      <alignment horizontal="left" vertical="center" wrapText="1" inden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12" fillId="6" borderId="28" xfId="0" applyFont="1" applyFill="1" applyBorder="1" applyAlignment="1">
      <alignment horizontal="center" vertical="center" wrapText="1"/>
    </xf>
    <xf numFmtId="0" fontId="12" fillId="6" borderId="27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4" fillId="5" borderId="90" xfId="0" applyFont="1" applyFill="1" applyBorder="1" applyAlignment="1">
      <alignment horizontal="center" vertical="center" wrapText="1"/>
    </xf>
    <xf numFmtId="0" fontId="4" fillId="5" borderId="93" xfId="0" applyFont="1" applyFill="1" applyBorder="1" applyAlignment="1">
      <alignment horizontal="center" vertical="center" wrapText="1"/>
    </xf>
    <xf numFmtId="0" fontId="3" fillId="0" borderId="94" xfId="1" applyNumberFormat="1" applyFont="1" applyBorder="1" applyAlignment="1">
      <alignment horizontal="left" vertical="center" wrapText="1" indent="1"/>
    </xf>
    <xf numFmtId="0" fontId="3" fillId="0" borderId="95" xfId="1" applyNumberFormat="1" applyFont="1" applyBorder="1" applyAlignment="1">
      <alignment horizontal="left" vertical="center" wrapText="1" indent="1"/>
    </xf>
    <xf numFmtId="0" fontId="3" fillId="0" borderId="96" xfId="1" applyNumberFormat="1" applyFont="1" applyBorder="1" applyAlignment="1">
      <alignment horizontal="left" vertical="center" wrapText="1" indent="1"/>
    </xf>
    <xf numFmtId="0" fontId="4" fillId="4" borderId="89" xfId="0" applyFont="1" applyFill="1" applyBorder="1" applyAlignment="1">
      <alignment horizontal="center" vertical="center" wrapText="1"/>
    </xf>
    <xf numFmtId="0" fontId="4" fillId="4" borderId="90" xfId="0" applyFont="1" applyFill="1" applyBorder="1" applyAlignment="1">
      <alignment horizontal="center" vertical="center" wrapText="1"/>
    </xf>
    <xf numFmtId="9" fontId="3" fillId="0" borderId="65" xfId="1" applyFont="1" applyBorder="1" applyAlignment="1">
      <alignment horizontal="left" vertical="center" wrapText="1"/>
    </xf>
    <xf numFmtId="10" fontId="3" fillId="0" borderId="65" xfId="1" applyNumberFormat="1" applyFont="1" applyBorder="1" applyAlignment="1">
      <alignment horizontal="left" vertical="center" wrapText="1" indent="1"/>
    </xf>
    <xf numFmtId="0" fontId="3" fillId="0" borderId="67" xfId="1" applyNumberFormat="1" applyFont="1" applyBorder="1" applyAlignment="1">
      <alignment horizontal="left" vertical="center" wrapText="1" indent="1"/>
    </xf>
    <xf numFmtId="0" fontId="3" fillId="0" borderId="98" xfId="1" applyNumberFormat="1" applyFont="1" applyBorder="1" applyAlignment="1">
      <alignment horizontal="left" vertical="center" wrapText="1" indent="1"/>
    </xf>
    <xf numFmtId="0" fontId="3" fillId="0" borderId="66" xfId="1" applyNumberFormat="1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/>
    </xf>
    <xf numFmtId="0" fontId="4" fillId="6" borderId="86" xfId="0" applyFont="1" applyFill="1" applyBorder="1" applyAlignment="1">
      <alignment horizontal="center" vertical="center"/>
    </xf>
    <xf numFmtId="0" fontId="4" fillId="6" borderId="87" xfId="0" applyFont="1" applyFill="1" applyBorder="1" applyAlignment="1">
      <alignment horizontal="center" vertical="center"/>
    </xf>
    <xf numFmtId="0" fontId="4" fillId="6" borderId="88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left" vertical="top" wrapText="1"/>
    </xf>
    <xf numFmtId="0" fontId="6" fillId="0" borderId="38" xfId="0" applyFont="1" applyBorder="1" applyAlignment="1">
      <alignment horizontal="left" vertical="top" wrapText="1"/>
    </xf>
    <xf numFmtId="0" fontId="6" fillId="0" borderId="39" xfId="0" applyFont="1" applyBorder="1" applyAlignment="1">
      <alignment horizontal="left" vertical="top" wrapText="1"/>
    </xf>
    <xf numFmtId="0" fontId="6" fillId="0" borderId="4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41" xfId="0" applyFont="1" applyBorder="1" applyAlignment="1">
      <alignment horizontal="left" vertical="top" wrapText="1"/>
    </xf>
    <xf numFmtId="0" fontId="6" fillId="0" borderId="42" xfId="0" applyFont="1" applyBorder="1" applyAlignment="1">
      <alignment horizontal="left" vertical="top" wrapText="1"/>
    </xf>
    <xf numFmtId="0" fontId="6" fillId="0" borderId="36" xfId="0" applyFont="1" applyBorder="1" applyAlignment="1">
      <alignment horizontal="left" vertical="top" wrapText="1"/>
    </xf>
    <xf numFmtId="0" fontId="6" fillId="0" borderId="43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center" wrapText="1"/>
    </xf>
    <xf numFmtId="0" fontId="4" fillId="3" borderId="53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8" fillId="4" borderId="62" xfId="0" applyFont="1" applyFill="1" applyBorder="1" applyAlignment="1">
      <alignment horizontal="distributed" vertical="center" wrapText="1"/>
    </xf>
    <xf numFmtId="0" fontId="8" fillId="4" borderId="102" xfId="0" applyFont="1" applyFill="1" applyBorder="1" applyAlignment="1">
      <alignment horizontal="distributed" vertical="center" wrapText="1"/>
    </xf>
    <xf numFmtId="0" fontId="8" fillId="4" borderId="34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center" vertical="center"/>
    </xf>
    <xf numFmtId="0" fontId="8" fillId="4" borderId="64" xfId="0" applyFont="1" applyFill="1" applyBorder="1" applyAlignment="1">
      <alignment horizontal="distributed" vertical="center" wrapText="1"/>
    </xf>
    <xf numFmtId="0" fontId="8" fillId="4" borderId="7" xfId="0" applyFont="1" applyFill="1" applyBorder="1" applyAlignment="1">
      <alignment horizontal="distributed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105" xfId="0" applyFont="1" applyFill="1" applyBorder="1" applyAlignment="1">
      <alignment horizontal="center" vertical="center" wrapText="1"/>
    </xf>
    <xf numFmtId="0" fontId="8" fillId="3" borderId="10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0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6" fillId="0" borderId="44" xfId="0" applyFont="1" applyBorder="1" applyAlignment="1">
      <alignment horizontal="left" vertical="top" wrapText="1"/>
    </xf>
    <xf numFmtId="0" fontId="6" fillId="0" borderId="45" xfId="0" applyFont="1" applyBorder="1" applyAlignment="1">
      <alignment horizontal="left" vertical="top" wrapText="1"/>
    </xf>
    <xf numFmtId="0" fontId="6" fillId="0" borderId="46" xfId="0" applyFont="1" applyBorder="1" applyAlignment="1">
      <alignment horizontal="left" vertical="top" wrapText="1"/>
    </xf>
    <xf numFmtId="0" fontId="6" fillId="0" borderId="47" xfId="0" applyFont="1" applyBorder="1" applyAlignment="1">
      <alignment horizontal="left" vertical="top" wrapText="1"/>
    </xf>
    <xf numFmtId="0" fontId="6" fillId="0" borderId="48" xfId="0" applyFont="1" applyBorder="1" applyAlignment="1">
      <alignment horizontal="left" vertical="top" wrapText="1"/>
    </xf>
    <xf numFmtId="0" fontId="6" fillId="0" borderId="49" xfId="0" applyFont="1" applyBorder="1" applyAlignment="1">
      <alignment horizontal="left" vertical="top" wrapText="1"/>
    </xf>
    <xf numFmtId="0" fontId="6" fillId="0" borderId="50" xfId="0" applyFont="1" applyBorder="1" applyAlignment="1">
      <alignment horizontal="left" vertical="top" wrapText="1"/>
    </xf>
    <xf numFmtId="0" fontId="6" fillId="0" borderId="51" xfId="0" applyFont="1" applyBorder="1" applyAlignment="1">
      <alignment horizontal="left" vertical="top" wrapText="1"/>
    </xf>
    <xf numFmtId="0" fontId="4" fillId="3" borderId="52" xfId="0" applyFont="1" applyFill="1" applyBorder="1" applyAlignment="1">
      <alignment horizontal="center" vertical="center" wrapText="1"/>
    </xf>
    <xf numFmtId="0" fontId="0" fillId="0" borderId="109" xfId="0" applyBorder="1" applyAlignment="1">
      <alignment horizontal="left" vertical="center" wrapText="1"/>
    </xf>
    <xf numFmtId="0" fontId="0" fillId="0" borderId="110" xfId="0" applyBorder="1" applyAlignment="1">
      <alignment horizontal="left" vertical="center" wrapText="1"/>
    </xf>
    <xf numFmtId="0" fontId="0" fillId="0" borderId="111" xfId="0" applyBorder="1" applyAlignment="1">
      <alignment horizontal="left" vertical="center" wrapText="1"/>
    </xf>
    <xf numFmtId="0" fontId="4" fillId="2" borderId="62" xfId="0" applyFont="1" applyFill="1" applyBorder="1" applyAlignment="1">
      <alignment horizontal="distributed" vertical="center" wrapText="1"/>
    </xf>
    <xf numFmtId="0" fontId="4" fillId="2" borderId="60" xfId="0" applyFont="1" applyFill="1" applyBorder="1" applyAlignment="1">
      <alignment horizontal="distributed" vertical="center" wrapText="1"/>
    </xf>
    <xf numFmtId="0" fontId="4" fillId="2" borderId="34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</cellXfs>
  <cellStyles count="5">
    <cellStyle name="Normál" xfId="0" builtinId="0"/>
    <cellStyle name="Normál 2" xfId="3" xr:uid="{B1B42523-F6ED-432F-B5C7-AFAB7AAB6014}"/>
    <cellStyle name="Normál 2 2" xfId="2" xr:uid="{C7BBA4FC-52C7-4546-8AFA-CA7F5F9EFBAA}"/>
    <cellStyle name="Százalék" xfId="1" builtinId="5"/>
    <cellStyle name="Százalék 2" xfId="4" xr:uid="{36C66FFE-A8E6-42A8-BC63-3284ACBA62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>
                <a:latin typeface="Arial" panose="020B0604020202020204" pitchFamily="34" charset="0"/>
                <a:cs typeface="Arial" panose="020B0604020202020204" pitchFamily="34" charset="0"/>
              </a:rPr>
              <a:t>2026, magyar</a:t>
            </a:r>
          </a:p>
          <a:p>
            <a:pPr>
              <a:defRPr/>
            </a:pPr>
            <a:endParaRPr lang="hu-HU" sz="14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7942789524904893"/>
          <c:y val="3.5762796519275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4.3429581524272086E-2"/>
          <c:y val="9.7043214556482182E-2"/>
          <c:w val="0.80277154315990862"/>
          <c:h val="0.887793783169067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03-416B-A977-4966149306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03-416B-A977-4966149306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03-416B-A977-4966149306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03-416B-A977-4966149306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203-416B-A977-4966149306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203-416B-A977-4966149306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203-416B-A977-4966149306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203-416B-A977-4966149306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203-416B-A977-4966149306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203-416B-A977-49661493061C}"/>
              </c:ext>
            </c:extLst>
          </c:dPt>
          <c:dLbls>
            <c:dLbl>
              <c:idx val="0"/>
              <c:layout>
                <c:manualLayout>
                  <c:x val="4.5622277819950201E-2"/>
                  <c:y val="2.09314495028780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03-416B-A977-49661493061C}"/>
                </c:ext>
              </c:extLst>
            </c:dLbl>
            <c:dLbl>
              <c:idx val="1"/>
              <c:layout>
                <c:manualLayout>
                  <c:x val="5.7955391058147837E-3"/>
                  <c:y val="-6.499215070643642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03-416B-A977-49661493061C}"/>
                </c:ext>
              </c:extLst>
            </c:dLbl>
            <c:dLbl>
              <c:idx val="2"/>
              <c:layout>
                <c:manualLayout>
                  <c:x val="1.155724045618068E-3"/>
                  <c:y val="-3.050470339559203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323855692103907"/>
                      <c:h val="0.200227644023647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203-416B-A977-49661493061C}"/>
                </c:ext>
              </c:extLst>
            </c:dLbl>
            <c:dLbl>
              <c:idx val="3"/>
              <c:layout>
                <c:manualLayout>
                  <c:x val="-7.6299646799713676E-4"/>
                  <c:y val="1.01084891861045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03-416B-A977-4966149306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24089750901464418"/>
                      <c:h val="0.200227644023647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8203-416B-A977-4966149306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28029285518414676"/>
                      <c:h val="0.138120433358528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8203-416B-A977-49661493061C}"/>
                </c:ext>
              </c:extLst>
            </c:dLbl>
            <c:dLbl>
              <c:idx val="6"/>
              <c:layout>
                <c:manualLayout>
                  <c:x val="-5.3378610046818875E-2"/>
                  <c:y val="9.906714957333630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203-416B-A977-4966149306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27943387251386587"/>
                      <c:h val="0.1385394286031706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8203-416B-A977-4966149306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203-416B-A977-49661493061C}"/>
                </c:ext>
              </c:extLst>
            </c:dLbl>
            <c:dLbl>
              <c:idx val="9"/>
              <c:layout>
                <c:manualLayout>
                  <c:x val="-5.5416810776576557E-2"/>
                  <c:y val="0.37676609105180536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203-416B-A977-49661493061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'E1.1'!$B$9:$B$17</c:f>
              <c:strCache>
                <c:ptCount val="9"/>
                <c:pt idx="0">
                  <c:v>alkalmazott közgazdaságtan</c:v>
                </c:pt>
                <c:pt idx="1">
                  <c:v>gazdálkodási és menedzsment</c:v>
                </c:pt>
                <c:pt idx="2">
                  <c:v>gazdaság- és pénzügy-matematikai elemzés</c:v>
                </c:pt>
                <c:pt idx="3">
                  <c:v>gazdaságinformatikus</c:v>
                </c:pt>
                <c:pt idx="4">
                  <c:v>kommunikáció- és médiatudomány</c:v>
                </c:pt>
                <c:pt idx="5">
                  <c:v>nemzetközi tanulmányok</c:v>
                </c:pt>
                <c:pt idx="6">
                  <c:v>pénzügy és számvitel</c:v>
                </c:pt>
                <c:pt idx="7">
                  <c:v>politikatudományok</c:v>
                </c:pt>
                <c:pt idx="8">
                  <c:v>szociológia</c:v>
                </c:pt>
              </c:strCache>
            </c:strRef>
          </c:cat>
          <c:val>
            <c:numRef>
              <c:f>'E1.1'!$I$9:$I$17</c:f>
              <c:numCache>
                <c:formatCode>#,##0</c:formatCode>
                <c:ptCount val="9"/>
                <c:pt idx="0">
                  <c:v>86</c:v>
                </c:pt>
                <c:pt idx="1">
                  <c:v>360</c:v>
                </c:pt>
                <c:pt idx="2">
                  <c:v>78</c:v>
                </c:pt>
                <c:pt idx="3">
                  <c:v>110</c:v>
                </c:pt>
                <c:pt idx="4">
                  <c:v>0</c:v>
                </c:pt>
                <c:pt idx="5">
                  <c:v>0</c:v>
                </c:pt>
                <c:pt idx="6">
                  <c:v>143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203-416B-A977-49661493061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hu-HU" sz="1400">
                <a:latin typeface="Arial" panose="020B0604020202020204" pitchFamily="34" charset="0"/>
                <a:cs typeface="Arial" panose="020B0604020202020204" pitchFamily="34" charset="0"/>
              </a:rPr>
              <a:t>Hallgatói létszámok szakonként (magyar)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hu-H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'E1.1'!$B$9</c:f>
              <c:strCache>
                <c:ptCount val="1"/>
                <c:pt idx="0">
                  <c:v>alkalmazott közgazdaságtan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'E1.1'!$C$9:$I$9</c:f>
              <c:numCache>
                <c:formatCode>#,##0</c:formatCode>
                <c:ptCount val="7"/>
                <c:pt idx="0">
                  <c:v>86</c:v>
                </c:pt>
                <c:pt idx="1">
                  <c:v>71</c:v>
                </c:pt>
                <c:pt idx="2">
                  <c:v>88</c:v>
                </c:pt>
                <c:pt idx="3">
                  <c:v>74</c:v>
                </c:pt>
                <c:pt idx="4">
                  <c:v>54</c:v>
                </c:pt>
                <c:pt idx="5">
                  <c:v>77</c:v>
                </c:pt>
                <c:pt idx="6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C-408E-8723-29421CD1A617}"/>
            </c:ext>
          </c:extLst>
        </c:ser>
        <c:ser>
          <c:idx val="1"/>
          <c:order val="1"/>
          <c:tx>
            <c:strRef>
              <c:f>'E1.1'!$B$10</c:f>
              <c:strCache>
                <c:ptCount val="1"/>
                <c:pt idx="0">
                  <c:v>gazdálkodási és menedzsment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'E1.1'!$C$10:$I$10</c:f>
              <c:numCache>
                <c:formatCode>#,##0</c:formatCode>
                <c:ptCount val="7"/>
                <c:pt idx="0">
                  <c:v>729</c:v>
                </c:pt>
                <c:pt idx="1">
                  <c:v>525</c:v>
                </c:pt>
                <c:pt idx="2">
                  <c:v>446</c:v>
                </c:pt>
                <c:pt idx="3">
                  <c:v>411</c:v>
                </c:pt>
                <c:pt idx="4">
                  <c:v>358</c:v>
                </c:pt>
                <c:pt idx="5">
                  <c:v>358</c:v>
                </c:pt>
                <c:pt idx="6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C-408E-8723-29421CD1A617}"/>
            </c:ext>
          </c:extLst>
        </c:ser>
        <c:ser>
          <c:idx val="2"/>
          <c:order val="2"/>
          <c:tx>
            <c:strRef>
              <c:f>'E1.1'!$B$11</c:f>
              <c:strCache>
                <c:ptCount val="1"/>
                <c:pt idx="0">
                  <c:v>gazdaság- és pénzügy-matematikai elemzés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'E1.1'!$C$11:$I$11</c:f>
              <c:numCache>
                <c:formatCode>#,##0</c:formatCode>
                <c:ptCount val="7"/>
                <c:pt idx="0">
                  <c:v>61</c:v>
                </c:pt>
                <c:pt idx="1">
                  <c:v>71</c:v>
                </c:pt>
                <c:pt idx="2">
                  <c:v>77</c:v>
                </c:pt>
                <c:pt idx="3">
                  <c:v>66</c:v>
                </c:pt>
                <c:pt idx="4">
                  <c:v>56</c:v>
                </c:pt>
                <c:pt idx="5">
                  <c:v>81</c:v>
                </c:pt>
                <c:pt idx="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C-408E-8723-29421CD1A617}"/>
            </c:ext>
          </c:extLst>
        </c:ser>
        <c:ser>
          <c:idx val="3"/>
          <c:order val="3"/>
          <c:tx>
            <c:strRef>
              <c:f>'E1.1'!$B$12</c:f>
              <c:strCache>
                <c:ptCount val="1"/>
                <c:pt idx="0">
                  <c:v>gazdaságinformatikus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'E1.1'!$C$12:$I$12</c:f>
              <c:numCache>
                <c:formatCode>#,##0</c:formatCode>
                <c:ptCount val="7"/>
                <c:pt idx="0">
                  <c:v>166</c:v>
                </c:pt>
                <c:pt idx="1">
                  <c:v>111</c:v>
                </c:pt>
                <c:pt idx="2">
                  <c:v>130</c:v>
                </c:pt>
                <c:pt idx="3">
                  <c:v>128</c:v>
                </c:pt>
                <c:pt idx="4">
                  <c:v>118</c:v>
                </c:pt>
                <c:pt idx="5">
                  <c:v>134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2C-408E-8723-29421CD1A617}"/>
            </c:ext>
          </c:extLst>
        </c:ser>
        <c:ser>
          <c:idx val="4"/>
          <c:order val="4"/>
          <c:tx>
            <c:strRef>
              <c:f>'E1.1'!$B$13</c:f>
              <c:strCache>
                <c:ptCount val="1"/>
                <c:pt idx="0">
                  <c:v>kommunikáció- és médiatudomány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'E1.1'!$C$13:$I$13</c:f>
              <c:numCache>
                <c:formatCode>#,##0</c:formatCode>
                <c:ptCount val="7"/>
                <c:pt idx="0">
                  <c:v>76</c:v>
                </c:pt>
                <c:pt idx="1">
                  <c:v>57</c:v>
                </c:pt>
                <c:pt idx="2">
                  <c:v>49</c:v>
                </c:pt>
                <c:pt idx="3">
                  <c:v>45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2C-408E-8723-29421CD1A617}"/>
            </c:ext>
          </c:extLst>
        </c:ser>
        <c:ser>
          <c:idx val="5"/>
          <c:order val="5"/>
          <c:tx>
            <c:strRef>
              <c:f>'E1.1'!$B$14</c:f>
              <c:strCache>
                <c:ptCount val="1"/>
                <c:pt idx="0">
                  <c:v>nemzetközi tanulmányok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'E1.1'!$C$14:$I$14</c:f>
              <c:numCache>
                <c:formatCode>#,##0</c:formatCode>
                <c:ptCount val="7"/>
                <c:pt idx="0">
                  <c:v>162</c:v>
                </c:pt>
                <c:pt idx="1">
                  <c:v>62</c:v>
                </c:pt>
                <c:pt idx="2">
                  <c:v>52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2C-408E-8723-29421CD1A617}"/>
            </c:ext>
          </c:extLst>
        </c:ser>
        <c:ser>
          <c:idx val="6"/>
          <c:order val="6"/>
          <c:tx>
            <c:strRef>
              <c:f>'E1.1'!$B$15</c:f>
              <c:strCache>
                <c:ptCount val="1"/>
                <c:pt idx="0">
                  <c:v>pénzügy és számvitel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'E1.1'!$C$15:$I$15</c:f>
              <c:numCache>
                <c:formatCode>#,##0</c:formatCode>
                <c:ptCount val="7"/>
                <c:pt idx="0">
                  <c:v>173</c:v>
                </c:pt>
                <c:pt idx="1">
                  <c:v>139</c:v>
                </c:pt>
                <c:pt idx="2">
                  <c:v>143</c:v>
                </c:pt>
                <c:pt idx="3">
                  <c:v>124</c:v>
                </c:pt>
                <c:pt idx="4">
                  <c:v>114</c:v>
                </c:pt>
                <c:pt idx="5">
                  <c:v>133</c:v>
                </c:pt>
                <c:pt idx="6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2C-408E-8723-29421CD1A617}"/>
            </c:ext>
          </c:extLst>
        </c:ser>
        <c:ser>
          <c:idx val="7"/>
          <c:order val="7"/>
          <c:tx>
            <c:strRef>
              <c:f>'E1.1'!$B$16</c:f>
              <c:strCache>
                <c:ptCount val="1"/>
                <c:pt idx="0">
                  <c:v>politikatudományok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'E1.1'!$C$16:$I$16</c:f>
              <c:numCache>
                <c:formatCode>#,##0</c:formatCode>
                <c:ptCount val="7"/>
                <c:pt idx="0">
                  <c:v>41</c:v>
                </c:pt>
                <c:pt idx="1">
                  <c:v>34</c:v>
                </c:pt>
                <c:pt idx="2">
                  <c:v>47</c:v>
                </c:pt>
                <c:pt idx="3">
                  <c:v>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2C-408E-8723-29421CD1A617}"/>
            </c:ext>
          </c:extLst>
        </c:ser>
        <c:ser>
          <c:idx val="8"/>
          <c:order val="8"/>
          <c:tx>
            <c:strRef>
              <c:f>'E1.1'!$B$17</c:f>
              <c:strCache>
                <c:ptCount val="1"/>
                <c:pt idx="0">
                  <c:v>szociológia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'E1.1'!$C$17:$I$17</c:f>
              <c:numCache>
                <c:formatCode>#,##0</c:formatCode>
                <c:ptCount val="7"/>
                <c:pt idx="0">
                  <c:v>41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2C-408E-8723-29421CD1A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9427312"/>
        <c:axId val="569427872"/>
      </c:barChart>
      <c:catAx>
        <c:axId val="5694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9427872"/>
        <c:crosses val="autoZero"/>
        <c:auto val="1"/>
        <c:lblAlgn val="ctr"/>
        <c:lblOffset val="100"/>
        <c:noMultiLvlLbl val="0"/>
      </c:catAx>
      <c:valAx>
        <c:axId val="5694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942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17395529640431"/>
          <c:y val="0.30307802433786685"/>
          <c:w val="0.33916423712342081"/>
          <c:h val="0.605566439362543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hu-HU" sz="1400">
                <a:latin typeface="Arial" panose="020B0604020202020204" pitchFamily="34" charset="0"/>
                <a:cs typeface="Arial" panose="020B0604020202020204" pitchFamily="34" charset="0"/>
              </a:rPr>
              <a:t>Hallgatói megoszlás szakonként (magyar)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hu-H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'E1.1'!$B$9</c:f>
              <c:strCache>
                <c:ptCount val="1"/>
                <c:pt idx="0">
                  <c:v>alkalmazott közgazdaságtan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'E1.1'!$C$9:$I$9</c:f>
              <c:numCache>
                <c:formatCode>#,##0</c:formatCode>
                <c:ptCount val="7"/>
                <c:pt idx="0">
                  <c:v>86</c:v>
                </c:pt>
                <c:pt idx="1">
                  <c:v>71</c:v>
                </c:pt>
                <c:pt idx="2">
                  <c:v>88</c:v>
                </c:pt>
                <c:pt idx="3">
                  <c:v>74</c:v>
                </c:pt>
                <c:pt idx="4">
                  <c:v>54</c:v>
                </c:pt>
                <c:pt idx="5">
                  <c:v>77</c:v>
                </c:pt>
                <c:pt idx="6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8-4C29-A3E9-31ACA1E29E96}"/>
            </c:ext>
          </c:extLst>
        </c:ser>
        <c:ser>
          <c:idx val="1"/>
          <c:order val="1"/>
          <c:tx>
            <c:strRef>
              <c:f>'E1.1'!$B$10</c:f>
              <c:strCache>
                <c:ptCount val="1"/>
                <c:pt idx="0">
                  <c:v>gazdálkodási és menedzsment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'E1.1'!$C$10:$I$10</c:f>
              <c:numCache>
                <c:formatCode>#,##0</c:formatCode>
                <c:ptCount val="7"/>
                <c:pt idx="0">
                  <c:v>729</c:v>
                </c:pt>
                <c:pt idx="1">
                  <c:v>525</c:v>
                </c:pt>
                <c:pt idx="2">
                  <c:v>446</c:v>
                </c:pt>
                <c:pt idx="3">
                  <c:v>411</c:v>
                </c:pt>
                <c:pt idx="4">
                  <c:v>358</c:v>
                </c:pt>
                <c:pt idx="5">
                  <c:v>358</c:v>
                </c:pt>
                <c:pt idx="6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8-4C29-A3E9-31ACA1E29E96}"/>
            </c:ext>
          </c:extLst>
        </c:ser>
        <c:ser>
          <c:idx val="2"/>
          <c:order val="2"/>
          <c:tx>
            <c:strRef>
              <c:f>'E1.1'!$B$11</c:f>
              <c:strCache>
                <c:ptCount val="1"/>
                <c:pt idx="0">
                  <c:v>gazdaság- és pénzügy-matematikai elemzés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'E1.1'!$C$11:$I$11</c:f>
              <c:numCache>
                <c:formatCode>#,##0</c:formatCode>
                <c:ptCount val="7"/>
                <c:pt idx="0">
                  <c:v>61</c:v>
                </c:pt>
                <c:pt idx="1">
                  <c:v>71</c:v>
                </c:pt>
                <c:pt idx="2">
                  <c:v>77</c:v>
                </c:pt>
                <c:pt idx="3">
                  <c:v>66</c:v>
                </c:pt>
                <c:pt idx="4">
                  <c:v>56</c:v>
                </c:pt>
                <c:pt idx="5">
                  <c:v>81</c:v>
                </c:pt>
                <c:pt idx="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68-4C29-A3E9-31ACA1E29E96}"/>
            </c:ext>
          </c:extLst>
        </c:ser>
        <c:ser>
          <c:idx val="3"/>
          <c:order val="3"/>
          <c:tx>
            <c:strRef>
              <c:f>'E1.1'!$B$12</c:f>
              <c:strCache>
                <c:ptCount val="1"/>
                <c:pt idx="0">
                  <c:v>gazdaságinformatikus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'E1.1'!$C$12:$I$12</c:f>
              <c:numCache>
                <c:formatCode>#,##0</c:formatCode>
                <c:ptCount val="7"/>
                <c:pt idx="0">
                  <c:v>166</c:v>
                </c:pt>
                <c:pt idx="1">
                  <c:v>111</c:v>
                </c:pt>
                <c:pt idx="2">
                  <c:v>130</c:v>
                </c:pt>
                <c:pt idx="3">
                  <c:v>128</c:v>
                </c:pt>
                <c:pt idx="4">
                  <c:v>118</c:v>
                </c:pt>
                <c:pt idx="5">
                  <c:v>134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68-4C29-A3E9-31ACA1E29E96}"/>
            </c:ext>
          </c:extLst>
        </c:ser>
        <c:ser>
          <c:idx val="4"/>
          <c:order val="4"/>
          <c:tx>
            <c:strRef>
              <c:f>'E1.1'!$B$13</c:f>
              <c:strCache>
                <c:ptCount val="1"/>
                <c:pt idx="0">
                  <c:v>kommunikáció- és médiatudomány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'E1.1'!$C$13:$I$13</c:f>
              <c:numCache>
                <c:formatCode>#,##0</c:formatCode>
                <c:ptCount val="7"/>
                <c:pt idx="0">
                  <c:v>76</c:v>
                </c:pt>
                <c:pt idx="1">
                  <c:v>57</c:v>
                </c:pt>
                <c:pt idx="2">
                  <c:v>49</c:v>
                </c:pt>
                <c:pt idx="3">
                  <c:v>45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68-4C29-A3E9-31ACA1E29E96}"/>
            </c:ext>
          </c:extLst>
        </c:ser>
        <c:ser>
          <c:idx val="5"/>
          <c:order val="5"/>
          <c:tx>
            <c:strRef>
              <c:f>'E1.1'!$B$14</c:f>
              <c:strCache>
                <c:ptCount val="1"/>
                <c:pt idx="0">
                  <c:v>nemzetközi tanulmányok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'E1.1'!$C$14:$I$14</c:f>
              <c:numCache>
                <c:formatCode>#,##0</c:formatCode>
                <c:ptCount val="7"/>
                <c:pt idx="0">
                  <c:v>162</c:v>
                </c:pt>
                <c:pt idx="1">
                  <c:v>62</c:v>
                </c:pt>
                <c:pt idx="2">
                  <c:v>52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68-4C29-A3E9-31ACA1E29E96}"/>
            </c:ext>
          </c:extLst>
        </c:ser>
        <c:ser>
          <c:idx val="6"/>
          <c:order val="6"/>
          <c:tx>
            <c:strRef>
              <c:f>'E1.1'!$B$15</c:f>
              <c:strCache>
                <c:ptCount val="1"/>
                <c:pt idx="0">
                  <c:v>pénzügy és számvitel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'E1.1'!$C$15:$I$15</c:f>
              <c:numCache>
                <c:formatCode>#,##0</c:formatCode>
                <c:ptCount val="7"/>
                <c:pt idx="0">
                  <c:v>173</c:v>
                </c:pt>
                <c:pt idx="1">
                  <c:v>139</c:v>
                </c:pt>
                <c:pt idx="2">
                  <c:v>143</c:v>
                </c:pt>
                <c:pt idx="3">
                  <c:v>124</c:v>
                </c:pt>
                <c:pt idx="4">
                  <c:v>114</c:v>
                </c:pt>
                <c:pt idx="5">
                  <c:v>133</c:v>
                </c:pt>
                <c:pt idx="6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68-4C29-A3E9-31ACA1E29E96}"/>
            </c:ext>
          </c:extLst>
        </c:ser>
        <c:ser>
          <c:idx val="7"/>
          <c:order val="7"/>
          <c:tx>
            <c:strRef>
              <c:f>'E1.1'!$B$16</c:f>
              <c:strCache>
                <c:ptCount val="1"/>
                <c:pt idx="0">
                  <c:v>politikatudományok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'E1.1'!$C$16:$I$16</c:f>
              <c:numCache>
                <c:formatCode>#,##0</c:formatCode>
                <c:ptCount val="7"/>
                <c:pt idx="0">
                  <c:v>41</c:v>
                </c:pt>
                <c:pt idx="1">
                  <c:v>34</c:v>
                </c:pt>
                <c:pt idx="2">
                  <c:v>47</c:v>
                </c:pt>
                <c:pt idx="3">
                  <c:v>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68-4C29-A3E9-31ACA1E29E96}"/>
            </c:ext>
          </c:extLst>
        </c:ser>
        <c:ser>
          <c:idx val="8"/>
          <c:order val="8"/>
          <c:tx>
            <c:strRef>
              <c:f>'E1.1'!$B$17</c:f>
              <c:strCache>
                <c:ptCount val="1"/>
                <c:pt idx="0">
                  <c:v>szociológia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'E1.1'!$C$8:$I$8</c:f>
              <c:strCache>
                <c:ptCount val="7"/>
                <c:pt idx="0">
                  <c:v>2020. év</c:v>
                </c:pt>
                <c:pt idx="1">
                  <c:v>2021. év</c:v>
                </c:pt>
                <c:pt idx="2">
                  <c:v>2022. év</c:v>
                </c:pt>
                <c:pt idx="3">
                  <c:v>2023. év</c:v>
                </c:pt>
                <c:pt idx="4">
                  <c:v>2024. év</c:v>
                </c:pt>
                <c:pt idx="5">
                  <c:v>2025. év</c:v>
                </c:pt>
                <c:pt idx="6">
                  <c:v>2026. év</c:v>
                </c:pt>
              </c:strCache>
            </c:strRef>
          </c:cat>
          <c:val>
            <c:numRef>
              <c:f>'E1.1'!$C$17:$I$17</c:f>
              <c:numCache>
                <c:formatCode>#,##0</c:formatCode>
                <c:ptCount val="7"/>
                <c:pt idx="0">
                  <c:v>41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68-4C29-A3E9-31ACA1E29E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9427312"/>
        <c:axId val="569427872"/>
      </c:barChart>
      <c:catAx>
        <c:axId val="5694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9427872"/>
        <c:crosses val="autoZero"/>
        <c:auto val="1"/>
        <c:lblAlgn val="ctr"/>
        <c:lblOffset val="100"/>
        <c:noMultiLvlLbl val="0"/>
      </c:catAx>
      <c:valAx>
        <c:axId val="5694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942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17395529640431"/>
          <c:y val="0.30307802433786685"/>
          <c:w val="0.33916423712342081"/>
          <c:h val="0.605566439362543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'E1.2'!$B$6</c:f>
              <c:strCache>
                <c:ptCount val="1"/>
                <c:pt idx="0">
                  <c:v>  0-14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33868808567605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0B-47FF-9077-25A2DAAEF80C}"/>
                </c:ext>
              </c:extLst>
            </c:dLbl>
            <c:dLbl>
              <c:idx val="1"/>
              <c:layout>
                <c:manualLayout>
                  <c:x val="0"/>
                  <c:y val="-1.3386880856760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0B-47FF-9077-25A2DAAEF8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'E1.2'!$C$5:$D$5</c:f>
              <c:strCache>
                <c:ptCount val="2"/>
                <c:pt idx="0">
                  <c:v>2000. év</c:v>
                </c:pt>
                <c:pt idx="1">
                  <c:v>2025. év</c:v>
                </c:pt>
              </c:strCache>
            </c:strRef>
          </c:cat>
          <c:val>
            <c:numRef>
              <c:f>'E1.2'!$C$6:$D$6</c:f>
              <c:numCache>
                <c:formatCode>#,##0</c:formatCode>
                <c:ptCount val="2"/>
                <c:pt idx="0">
                  <c:v>5446375</c:v>
                </c:pt>
                <c:pt idx="1">
                  <c:v>12905398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0B-47FF-9077-25A2DAAEF80C}"/>
            </c:ext>
          </c:extLst>
        </c:ser>
        <c:ser>
          <c:idx val="1"/>
          <c:order val="1"/>
          <c:tx>
            <c:strRef>
              <c:f>'E1.2'!$B$7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'E1.2'!$C$5:$D$5</c:f>
              <c:strCache>
                <c:ptCount val="2"/>
                <c:pt idx="0">
                  <c:v>2000. év</c:v>
                </c:pt>
                <c:pt idx="1">
                  <c:v>2025. év</c:v>
                </c:pt>
              </c:strCache>
            </c:strRef>
          </c:cat>
          <c:val>
            <c:numRef>
              <c:f>'E1.2'!$C$7:$D$7</c:f>
              <c:numCache>
                <c:formatCode>#,##0</c:formatCode>
                <c:ptCount val="2"/>
                <c:pt idx="0">
                  <c:v>5804089</c:v>
                </c:pt>
                <c:pt idx="1">
                  <c:v>14281544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0B-47FF-9077-25A2DAAEF80C}"/>
            </c:ext>
          </c:extLst>
        </c:ser>
        <c:ser>
          <c:idx val="4"/>
          <c:order val="2"/>
          <c:tx>
            <c:strRef>
              <c:f>'E1.2'!$B$8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solidFill>
                  <a:schemeClr val="tx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2D0B-47FF-9077-25A2DAAEF80C}"/>
                </c:ext>
              </c:extLst>
            </c:dLbl>
            <c:dLbl>
              <c:idx val="1"/>
              <c:spPr>
                <a:solidFill>
                  <a:schemeClr val="tx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D0B-47FF-9077-25A2DAAEF80C}"/>
                </c:ext>
              </c:extLst>
            </c:dLbl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'E1.2'!$C$5:$D$5</c:f>
              <c:strCache>
                <c:ptCount val="2"/>
                <c:pt idx="0">
                  <c:v>2000. év</c:v>
                </c:pt>
                <c:pt idx="1">
                  <c:v>2025. év</c:v>
                </c:pt>
              </c:strCache>
            </c:strRef>
          </c:cat>
          <c:val>
            <c:numRef>
              <c:f>'E1.2'!$C$8:$D$8</c:f>
              <c:numCache>
                <c:formatCode>#,##0</c:formatCode>
                <c:ptCount val="2"/>
                <c:pt idx="0">
                  <c:v>259166</c:v>
                </c:pt>
                <c:pt idx="1">
                  <c:v>730889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0B-47FF-9077-25A2DAAEF8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8550592"/>
        <c:axId val="338551152"/>
      </c:barChart>
      <c:catAx>
        <c:axId val="33855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38551152"/>
        <c:crosses val="autoZero"/>
        <c:auto val="1"/>
        <c:lblAlgn val="ctr"/>
        <c:lblOffset val="100"/>
        <c:noMultiLvlLbl val="0"/>
      </c:catAx>
      <c:valAx>
        <c:axId val="3385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3855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1"/>
              <a:t>2000</a:t>
            </a:r>
          </a:p>
        </c:rich>
      </c:tx>
      <c:layout>
        <c:manualLayout>
          <c:xMode val="edge"/>
          <c:yMode val="edge"/>
          <c:x val="8.3710937500000009E-3"/>
          <c:y val="1.102430555555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4.1506076388888955E-3"/>
          <c:y val="4.3984374999999952E-3"/>
          <c:w val="0.99560156249999998"/>
          <c:h val="0.995601562499999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14-4DAC-8FAD-A4F039E5A1D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314-4DAC-8FAD-A4F039E5A1D5}"/>
              </c:ext>
            </c:extLst>
          </c:dPt>
          <c:dPt>
            <c:idx val="2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14-4DAC-8FAD-A4F039E5A1D5}"/>
              </c:ext>
            </c:extLst>
          </c:dPt>
          <c:dLbls>
            <c:dLbl>
              <c:idx val="0"/>
              <c:layout>
                <c:manualLayout>
                  <c:x val="9.5871527777777785E-2"/>
                  <c:y val="0.1752877604166666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14-4DAC-8FAD-A4F039E5A1D5}"/>
                </c:ext>
              </c:extLst>
            </c:dLbl>
            <c:dLbl>
              <c:idx val="1"/>
              <c:layout>
                <c:manualLayout>
                  <c:x val="-4.2008246527777779E-2"/>
                  <c:y val="-0.1933789062500000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14-4DAC-8FAD-A4F039E5A1D5}"/>
                </c:ext>
              </c:extLst>
            </c:dLbl>
            <c:dLbl>
              <c:idx val="2"/>
              <c:layout>
                <c:manualLayout>
                  <c:x val="9.3706597222222215E-2"/>
                  <c:y val="-5.5121527777778788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14-4DAC-8FAD-A4F039E5A1D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'E1.2'!$B$6:$B$8</c:f>
              <c:strCache>
                <c:ptCount val="3"/>
                <c:pt idx="0">
                  <c:v>  0-14</c:v>
                </c:pt>
                <c:pt idx="1">
                  <c:v>15-64</c:v>
                </c:pt>
                <c:pt idx="2">
                  <c:v>65+</c:v>
                </c:pt>
              </c:strCache>
            </c:strRef>
          </c:cat>
          <c:val>
            <c:numRef>
              <c:f>'E1.2'!$C$6:$C$8</c:f>
              <c:numCache>
                <c:formatCode>#,##0</c:formatCode>
                <c:ptCount val="3"/>
                <c:pt idx="0">
                  <c:v>5446375</c:v>
                </c:pt>
                <c:pt idx="1">
                  <c:v>5804089</c:v>
                </c:pt>
                <c:pt idx="2">
                  <c:v>259166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4-4DAC-8FAD-A4F039E5A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1"/>
              <a:t>2025</a:t>
            </a:r>
          </a:p>
        </c:rich>
      </c:tx>
      <c:layout>
        <c:manualLayout>
          <c:xMode val="edge"/>
          <c:yMode val="edge"/>
          <c:x val="8.3710937500000009E-3"/>
          <c:y val="1.102430555555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6.8743646461870054E-4"/>
          <c:y val="4.3983935637840685E-3"/>
          <c:w val="0.99560156249999998"/>
          <c:h val="0.995601562499999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61-4685-A3EE-3C7D34BD62B2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61-4685-A3EE-3C7D34BD62B2}"/>
              </c:ext>
            </c:extLst>
          </c:dPt>
          <c:dPt>
            <c:idx val="2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61-4685-A3EE-3C7D34BD62B2}"/>
              </c:ext>
            </c:extLst>
          </c:dPt>
          <c:dLbls>
            <c:dLbl>
              <c:idx val="0"/>
              <c:layout>
                <c:manualLayout>
                  <c:x val="9.5871527777777785E-2"/>
                  <c:y val="0.1752877604166666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61-4685-A3EE-3C7D34BD62B2}"/>
                </c:ext>
              </c:extLst>
            </c:dLbl>
            <c:dLbl>
              <c:idx val="1"/>
              <c:layout>
                <c:manualLayout>
                  <c:x val="-4.2008246527777779E-2"/>
                  <c:y val="-0.1933789062500000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61-4685-A3EE-3C7D34BD62B2}"/>
                </c:ext>
              </c:extLst>
            </c:dLbl>
            <c:dLbl>
              <c:idx val="2"/>
              <c:layout>
                <c:manualLayout>
                  <c:x val="9.3706597222222215E-2"/>
                  <c:y val="-5.5121527777778788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61-4685-A3EE-3C7D34BD62B2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'E1.2'!$B$6:$B$8</c:f>
              <c:strCache>
                <c:ptCount val="3"/>
                <c:pt idx="0">
                  <c:v>  0-14</c:v>
                </c:pt>
                <c:pt idx="1">
                  <c:v>15-64</c:v>
                </c:pt>
                <c:pt idx="2">
                  <c:v>65+</c:v>
                </c:pt>
              </c:strCache>
            </c:strRef>
          </c:cat>
          <c:val>
            <c:numRef>
              <c:f>'E1.2'!$D$6:$D$8</c:f>
              <c:numCache>
                <c:formatCode>#,##0</c:formatCode>
                <c:ptCount val="3"/>
                <c:pt idx="0">
                  <c:v>12905398</c:v>
                </c:pt>
                <c:pt idx="1">
                  <c:v>14281544</c:v>
                </c:pt>
                <c:pt idx="2">
                  <c:v>730889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61-4685-A3EE-3C7D34BD6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'E1.2'!$B$6</c:f>
              <c:strCache>
                <c:ptCount val="1"/>
                <c:pt idx="0">
                  <c:v>  0-14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33868808567605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A7-428D-9AB7-7376FB1AFB27}"/>
                </c:ext>
              </c:extLst>
            </c:dLbl>
            <c:dLbl>
              <c:idx val="1"/>
              <c:layout>
                <c:manualLayout>
                  <c:x val="0"/>
                  <c:y val="-1.3386880856760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A7-428D-9AB7-7376FB1AFB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'E1.2'!$C$5:$D$5</c:f>
              <c:strCache>
                <c:ptCount val="2"/>
                <c:pt idx="0">
                  <c:v>2000. év</c:v>
                </c:pt>
                <c:pt idx="1">
                  <c:v>2025. év</c:v>
                </c:pt>
              </c:strCache>
            </c:strRef>
          </c:cat>
          <c:val>
            <c:numRef>
              <c:f>'E1.2'!$C$6:$D$6</c:f>
              <c:numCache>
                <c:formatCode>#,##0</c:formatCode>
                <c:ptCount val="2"/>
                <c:pt idx="0">
                  <c:v>5446375</c:v>
                </c:pt>
                <c:pt idx="1">
                  <c:v>12905398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A7-428D-9AB7-7376FB1AFB27}"/>
            </c:ext>
          </c:extLst>
        </c:ser>
        <c:ser>
          <c:idx val="1"/>
          <c:order val="1"/>
          <c:tx>
            <c:strRef>
              <c:f>'E1.2'!$B$7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'E1.2'!$C$5:$D$5</c:f>
              <c:strCache>
                <c:ptCount val="2"/>
                <c:pt idx="0">
                  <c:v>2000. év</c:v>
                </c:pt>
                <c:pt idx="1">
                  <c:v>2025. év</c:v>
                </c:pt>
              </c:strCache>
            </c:strRef>
          </c:cat>
          <c:val>
            <c:numRef>
              <c:f>'E1.2'!$C$7:$D$7</c:f>
              <c:numCache>
                <c:formatCode>#,##0</c:formatCode>
                <c:ptCount val="2"/>
                <c:pt idx="0">
                  <c:v>5804089</c:v>
                </c:pt>
                <c:pt idx="1">
                  <c:v>14281544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A7-428D-9AB7-7376FB1AFB27}"/>
            </c:ext>
          </c:extLst>
        </c:ser>
        <c:ser>
          <c:idx val="4"/>
          <c:order val="2"/>
          <c:tx>
            <c:strRef>
              <c:f>'E1.2'!$B$8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CCA7-428D-9AB7-7376FB1AFB2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CA7-428D-9AB7-7376FB1AFB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'E1.2'!$C$5:$D$5</c:f>
              <c:strCache>
                <c:ptCount val="2"/>
                <c:pt idx="0">
                  <c:v>2000. év</c:v>
                </c:pt>
                <c:pt idx="1">
                  <c:v>2025. év</c:v>
                </c:pt>
              </c:strCache>
            </c:strRef>
          </c:cat>
          <c:val>
            <c:numRef>
              <c:f>'E1.2'!$C$8:$D$8</c:f>
              <c:numCache>
                <c:formatCode>#,##0</c:formatCode>
                <c:ptCount val="2"/>
                <c:pt idx="0">
                  <c:v>259166</c:v>
                </c:pt>
                <c:pt idx="1">
                  <c:v>730889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A7-428D-9AB7-7376FB1AFB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8550592"/>
        <c:axId val="338551152"/>
      </c:barChart>
      <c:catAx>
        <c:axId val="33855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38551152"/>
        <c:crosses val="autoZero"/>
        <c:auto val="1"/>
        <c:lblAlgn val="ctr"/>
        <c:lblOffset val="100"/>
        <c:noMultiLvlLbl val="0"/>
      </c:catAx>
      <c:valAx>
        <c:axId val="3385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3855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</a:t>
            </a:r>
            <a:r>
              <a:rPr lang="hu-HU"/>
              <a:t>9</a:t>
            </a:r>
            <a:endParaRPr lang="en-US"/>
          </a:p>
        </c:rich>
      </c:tx>
      <c:layout>
        <c:manualLayout>
          <c:xMode val="edge"/>
          <c:yMode val="edge"/>
          <c:x val="4.8304383788254787E-2"/>
          <c:y val="3.31910858226647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EC-C54C-B950-7DC7351CD086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EC-C54C-B950-7DC7351CD086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FEC-C54C-B950-7DC7351CD086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FEC-C54C-B950-7DC7351CD086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FEC-C54C-B950-7DC7351CD086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1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EC-C54C-B950-7DC7351CD086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EC-C54C-B950-7DC7351CD086}"/>
                </c:ext>
              </c:extLst>
            </c:dLbl>
            <c:dLbl>
              <c:idx val="2"/>
              <c:layout>
                <c:manualLayout>
                  <c:x val="-2.2646454383817858E-3"/>
                  <c:y val="-0.14680526359544424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197891703754419"/>
                      <c:h val="0.1868326905146246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FEC-C54C-B950-7DC7351CD086}"/>
                </c:ext>
              </c:extLst>
            </c:dLbl>
            <c:dLbl>
              <c:idx val="3"/>
              <c:layout>
                <c:manualLayout>
                  <c:x val="0.11775362318840579"/>
                  <c:y val="0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1">
                          <a:tint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FEC-C54C-B950-7DC7351CD086}"/>
                </c:ext>
              </c:extLst>
            </c:dLbl>
            <c:dLbl>
              <c:idx val="4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FEC-C54C-B950-7DC7351CD086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'E1.4'!$B$6:$B$10</c:f>
              <c:strCache>
                <c:ptCount val="5"/>
                <c:pt idx="0">
                  <c:v>  0-14</c:v>
                </c:pt>
                <c:pt idx="1">
                  <c:v>15-64</c:v>
                </c:pt>
                <c:pt idx="2">
                  <c:v>65-74</c:v>
                </c:pt>
                <c:pt idx="3">
                  <c:v>75-84</c:v>
                </c:pt>
                <c:pt idx="4">
                  <c:v>85+</c:v>
                </c:pt>
              </c:strCache>
            </c:strRef>
          </c:cat>
          <c:val>
            <c:numRef>
              <c:f>'E1.4'!$C$6:$C$10</c:f>
              <c:numCache>
                <c:formatCode>#,##0</c:formatCode>
                <c:ptCount val="5"/>
                <c:pt idx="0">
                  <c:v>215</c:v>
                </c:pt>
                <c:pt idx="1">
                  <c:v>9006</c:v>
                </c:pt>
                <c:pt idx="2">
                  <c:v>12079</c:v>
                </c:pt>
                <c:pt idx="3">
                  <c:v>21394</c:v>
                </c:pt>
                <c:pt idx="4">
                  <c:v>23919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EC-C54C-B950-7DC7351CD08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2020</a:t>
            </a:r>
          </a:p>
        </c:rich>
      </c:tx>
      <c:layout>
        <c:manualLayout>
          <c:xMode val="edge"/>
          <c:yMode val="edge"/>
          <c:x val="3.8277777777777786E-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0.21866318857382092"/>
          <c:y val="0.15754281656767283"/>
          <c:w val="0.63442206087875375"/>
          <c:h val="0.736254690092901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91-884A-8FC0-C94DF9A76B47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91-884A-8FC0-C94DF9A76B47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D91-884A-8FC0-C94DF9A76B47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D91-884A-8FC0-C94DF9A76B47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D91-884A-8FC0-C94DF9A76B47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91-884A-8FC0-C94DF9A76B47}"/>
                </c:ext>
              </c:extLst>
            </c:dLbl>
            <c:dLbl>
              <c:idx val="1"/>
              <c:layout>
                <c:manualLayout>
                  <c:x val="1.6985138004246208E-2"/>
                  <c:y val="1.2770528097133393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91-884A-8FC0-C94DF9A76B47}"/>
                </c:ext>
              </c:extLst>
            </c:dLbl>
            <c:dLbl>
              <c:idx val="2"/>
              <c:layout>
                <c:manualLayout>
                  <c:x val="-1.1807295394895556E-3"/>
                  <c:y val="-0.1610723262766757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91-884A-8FC0-C94DF9A76B47}"/>
                </c:ext>
              </c:extLst>
            </c:dLbl>
            <c:dLbl>
              <c:idx val="3"/>
              <c:layout>
                <c:manualLayout>
                  <c:x val="0.16560509554140113"/>
                  <c:y val="-5.2164840897236222E-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91-884A-8FC0-C94DF9A76B47}"/>
                </c:ext>
              </c:extLst>
            </c:dLbl>
            <c:dLbl>
              <c:idx val="4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91-884A-8FC0-C94DF9A76B4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'E1.4'!$B$6:$B$10</c:f>
              <c:strCache>
                <c:ptCount val="5"/>
                <c:pt idx="0">
                  <c:v>  0-14</c:v>
                </c:pt>
                <c:pt idx="1">
                  <c:v>15-64</c:v>
                </c:pt>
                <c:pt idx="2">
                  <c:v>65-74</c:v>
                </c:pt>
                <c:pt idx="3">
                  <c:v>75-84</c:v>
                </c:pt>
                <c:pt idx="4">
                  <c:v>85+</c:v>
                </c:pt>
              </c:strCache>
            </c:strRef>
          </c:cat>
          <c:val>
            <c:numRef>
              <c:f>'E1.4'!$D$6:$D$10</c:f>
              <c:numCache>
                <c:formatCode>#,##0</c:formatCode>
                <c:ptCount val="5"/>
                <c:pt idx="0">
                  <c:v>188</c:v>
                </c:pt>
                <c:pt idx="1">
                  <c:v>9085</c:v>
                </c:pt>
                <c:pt idx="2">
                  <c:v>14377</c:v>
                </c:pt>
                <c:pt idx="3">
                  <c:v>22846</c:v>
                </c:pt>
                <c:pt idx="4">
                  <c:v>24308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91-884A-8FC0-C94DF9A76B4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'E1.4'!$B$6</c:f>
              <c:strCache>
                <c:ptCount val="1"/>
                <c:pt idx="0">
                  <c:v>  0-14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5850527281063314E-3"/>
                  <c:y val="-1.5948963317384515E-2"/>
                </c:manualLayout>
              </c:layout>
              <c:tx>
                <c:rich>
                  <a:bodyPr/>
                  <a:lstStyle/>
                  <a:p>
                    <a:fld id="{E6290A4A-B5DA-4791-B71E-39B34F886290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26D-8D44-BC1D-2A574CE4DFE9}"/>
                </c:ext>
              </c:extLst>
            </c:dLbl>
            <c:dLbl>
              <c:idx val="1"/>
              <c:layout>
                <c:manualLayout>
                  <c:x val="4.5850527281062889E-3"/>
                  <c:y val="-1.5948963317384515E-2"/>
                </c:manualLayout>
              </c:layout>
              <c:tx>
                <c:rich>
                  <a:bodyPr/>
                  <a:lstStyle/>
                  <a:p>
                    <a:fld id="{789E7935-1CF9-4DB5-A1F6-364BE0E0E857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26D-8D44-BC1D-2A574CE4DF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'E1.4'!$C$5:$D$5</c:f>
              <c:strCache>
                <c:ptCount val="2"/>
                <c:pt idx="0">
                  <c:v>2019. év</c:v>
                </c:pt>
                <c:pt idx="1">
                  <c:v>2020. év</c:v>
                </c:pt>
              </c:strCache>
            </c:strRef>
          </c:cat>
          <c:val>
            <c:numRef>
              <c:f>'E1.4'!$C$6:$D$6</c:f>
              <c:numCache>
                <c:formatCode>#,##0</c:formatCode>
                <c:ptCount val="2"/>
                <c:pt idx="0">
                  <c:v>215</c:v>
                </c:pt>
                <c:pt idx="1">
                  <c:v>188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'E1.4'!$C$18:$D$18</c15:f>
                <c15:dlblRangeCache>
                  <c:ptCount val="2"/>
                  <c:pt idx="0">
                    <c:v>0,32%</c:v>
                  </c:pt>
                  <c:pt idx="1">
                    <c:v>0,27%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26D-8D44-BC1D-2A574CE4DFE9}"/>
            </c:ext>
          </c:extLst>
        </c:ser>
        <c:ser>
          <c:idx val="1"/>
          <c:order val="1"/>
          <c:tx>
            <c:strRef>
              <c:f>'E1.4'!$B$7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5948963317384369E-2"/>
                </c:manualLayout>
              </c:layout>
              <c:tx>
                <c:rich>
                  <a:bodyPr/>
                  <a:lstStyle/>
                  <a:p>
                    <a:fld id="{D04DB04D-7C39-4CC9-86DE-12D6D838CB6E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26D-8D44-BC1D-2A574CE4DFE9}"/>
                </c:ext>
              </c:extLst>
            </c:dLbl>
            <c:dLbl>
              <c:idx val="1"/>
              <c:layout>
                <c:manualLayout>
                  <c:x val="4.5850527281062889E-3"/>
                  <c:y val="-1.5948963317384515E-2"/>
                </c:manualLayout>
              </c:layout>
              <c:tx>
                <c:rich>
                  <a:bodyPr/>
                  <a:lstStyle/>
                  <a:p>
                    <a:fld id="{2AB543F8-22CF-48FB-A426-FB52A72E68FB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26D-8D44-BC1D-2A574CE4DF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'E1.4'!$C$5:$D$5</c:f>
              <c:strCache>
                <c:ptCount val="2"/>
                <c:pt idx="0">
                  <c:v>2019. év</c:v>
                </c:pt>
                <c:pt idx="1">
                  <c:v>2020. év</c:v>
                </c:pt>
              </c:strCache>
            </c:strRef>
          </c:cat>
          <c:val>
            <c:numRef>
              <c:f>'E1.4'!$C$7:$D$7</c:f>
              <c:numCache>
                <c:formatCode>#,##0</c:formatCode>
                <c:ptCount val="2"/>
                <c:pt idx="0">
                  <c:v>9006</c:v>
                </c:pt>
                <c:pt idx="1">
                  <c:v>9085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'E1.4'!$C$19:$D$19</c15:f>
                <c15:dlblRangeCache>
                  <c:ptCount val="2"/>
                  <c:pt idx="0">
                    <c:v>13,5%</c:v>
                  </c:pt>
                  <c:pt idx="1">
                    <c:v>12,8%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26D-8D44-BC1D-2A574CE4DFE9}"/>
            </c:ext>
          </c:extLst>
        </c:ser>
        <c:ser>
          <c:idx val="2"/>
          <c:order val="2"/>
          <c:tx>
            <c:strRef>
              <c:f>'E1.4'!$B$8</c:f>
              <c:strCache>
                <c:ptCount val="1"/>
                <c:pt idx="0">
                  <c:v>65-74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2A7C552-1997-4999-99E2-FFF994CFAC6A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26D-8D44-BC1D-2A574CE4DFE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07E742-F10B-4429-A3E0-24CCCE183754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26D-8D44-BC1D-2A574CE4DF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'E1.4'!$C$5:$D$5</c:f>
              <c:strCache>
                <c:ptCount val="2"/>
                <c:pt idx="0">
                  <c:v>2019. év</c:v>
                </c:pt>
                <c:pt idx="1">
                  <c:v>2020. év</c:v>
                </c:pt>
              </c:strCache>
            </c:strRef>
          </c:cat>
          <c:val>
            <c:numRef>
              <c:f>'E1.4'!$C$8:$D$8</c:f>
              <c:numCache>
                <c:formatCode>#,##0</c:formatCode>
                <c:ptCount val="2"/>
                <c:pt idx="0">
                  <c:v>12079</c:v>
                </c:pt>
                <c:pt idx="1">
                  <c:v>14377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'E1.4'!$C$20:$D$20</c15:f>
                <c15:dlblRangeCache>
                  <c:ptCount val="2"/>
                  <c:pt idx="0">
                    <c:v>18,1%</c:v>
                  </c:pt>
                  <c:pt idx="1">
                    <c:v>20,3%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626D-8D44-BC1D-2A574CE4DFE9}"/>
            </c:ext>
          </c:extLst>
        </c:ser>
        <c:ser>
          <c:idx val="3"/>
          <c:order val="3"/>
          <c:tx>
            <c:strRef>
              <c:f>'E1.4'!$B$9</c:f>
              <c:strCache>
                <c:ptCount val="1"/>
                <c:pt idx="0">
                  <c:v>75-84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6D13AD1-EE15-4D87-BC2F-18CCB5A774A3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26D-8D44-BC1D-2A574CE4DFE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8647DDF-F2B5-4A60-94E2-219AEA45ED50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26D-8D44-BC1D-2A574CE4DF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'E1.4'!$C$5:$D$5</c:f>
              <c:strCache>
                <c:ptCount val="2"/>
                <c:pt idx="0">
                  <c:v>2019. év</c:v>
                </c:pt>
                <c:pt idx="1">
                  <c:v>2020. év</c:v>
                </c:pt>
              </c:strCache>
            </c:strRef>
          </c:cat>
          <c:val>
            <c:numRef>
              <c:f>'E1.4'!$C$9:$D$9</c:f>
              <c:numCache>
                <c:formatCode>#,##0</c:formatCode>
                <c:ptCount val="2"/>
                <c:pt idx="0">
                  <c:v>21394</c:v>
                </c:pt>
                <c:pt idx="1">
                  <c:v>22846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'E1.4'!$C$21:$D$21</c15:f>
                <c15:dlblRangeCache>
                  <c:ptCount val="2"/>
                  <c:pt idx="0">
                    <c:v>32,1%</c:v>
                  </c:pt>
                  <c:pt idx="1">
                    <c:v>32,3%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626D-8D44-BC1D-2A574CE4DFE9}"/>
            </c:ext>
          </c:extLst>
        </c:ser>
        <c:ser>
          <c:idx val="4"/>
          <c:order val="4"/>
          <c:tx>
            <c:strRef>
              <c:f>'E1.4'!$B$10</c:f>
              <c:strCache>
                <c:ptCount val="1"/>
                <c:pt idx="0">
                  <c:v>85+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B04D92E-7F8E-4532-8EC5-9CA02B10E262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26D-8D44-BC1D-2A574CE4DFE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D34F077-921F-4621-B06C-C1B819E4AE3B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26D-8D44-BC1D-2A574CE4DF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'E1.4'!$C$5:$D$5</c:f>
              <c:strCache>
                <c:ptCount val="2"/>
                <c:pt idx="0">
                  <c:v>2019. év</c:v>
                </c:pt>
                <c:pt idx="1">
                  <c:v>2020. év</c:v>
                </c:pt>
              </c:strCache>
            </c:strRef>
          </c:cat>
          <c:val>
            <c:numRef>
              <c:f>'E1.4'!$C$10:$D$10</c:f>
              <c:numCache>
                <c:formatCode>#,##0</c:formatCode>
                <c:ptCount val="2"/>
                <c:pt idx="0">
                  <c:v>23919</c:v>
                </c:pt>
                <c:pt idx="1">
                  <c:v>24308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'E1.4'!$C$22:$D$22</c15:f>
                <c15:dlblRangeCache>
                  <c:ptCount val="2"/>
                  <c:pt idx="0">
                    <c:v>35,9%</c:v>
                  </c:pt>
                  <c:pt idx="1">
                    <c:v>34,3%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626D-8D44-BC1D-2A574CE4DF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9427312"/>
        <c:axId val="569427872"/>
      </c:barChart>
      <c:catAx>
        <c:axId val="5694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9427872"/>
        <c:crosses val="autoZero"/>
        <c:auto val="1"/>
        <c:lblAlgn val="ctr"/>
        <c:lblOffset val="100"/>
        <c:noMultiLvlLbl val="0"/>
      </c:catAx>
      <c:valAx>
        <c:axId val="5694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942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'E1.4'!$B$6</c:f>
              <c:strCache>
                <c:ptCount val="1"/>
                <c:pt idx="0">
                  <c:v>  0-14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33868808567605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44-2F4D-8F9E-6C8888607BF7}"/>
                </c:ext>
              </c:extLst>
            </c:dLbl>
            <c:dLbl>
              <c:idx val="1"/>
              <c:layout>
                <c:manualLayout>
                  <c:x val="0"/>
                  <c:y val="-1.3386880856760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44-2F4D-8F9E-6C8888607B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'E1.4'!$C$5:$D$5</c:f>
              <c:strCache>
                <c:ptCount val="2"/>
                <c:pt idx="0">
                  <c:v>2019. év</c:v>
                </c:pt>
                <c:pt idx="1">
                  <c:v>2020. év</c:v>
                </c:pt>
              </c:strCache>
            </c:strRef>
          </c:cat>
          <c:val>
            <c:numRef>
              <c:f>'E1.4'!$C$6:$D$6</c:f>
              <c:numCache>
                <c:formatCode>#,##0</c:formatCode>
                <c:ptCount val="2"/>
                <c:pt idx="0">
                  <c:v>215</c:v>
                </c:pt>
                <c:pt idx="1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44-2F4D-8F9E-6C8888607BF7}"/>
            </c:ext>
          </c:extLst>
        </c:ser>
        <c:ser>
          <c:idx val="1"/>
          <c:order val="1"/>
          <c:tx>
            <c:strRef>
              <c:f>'E1.4'!$B$7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'E1.4'!$C$5:$D$5</c:f>
              <c:strCache>
                <c:ptCount val="2"/>
                <c:pt idx="0">
                  <c:v>2019. év</c:v>
                </c:pt>
                <c:pt idx="1">
                  <c:v>2020. év</c:v>
                </c:pt>
              </c:strCache>
            </c:strRef>
          </c:cat>
          <c:val>
            <c:numRef>
              <c:f>'E1.4'!$C$7:$D$7</c:f>
              <c:numCache>
                <c:formatCode>#,##0</c:formatCode>
                <c:ptCount val="2"/>
                <c:pt idx="0">
                  <c:v>9006</c:v>
                </c:pt>
                <c:pt idx="1">
                  <c:v>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44-2F4D-8F9E-6C8888607BF7}"/>
            </c:ext>
          </c:extLst>
        </c:ser>
        <c:ser>
          <c:idx val="2"/>
          <c:order val="2"/>
          <c:tx>
            <c:strRef>
              <c:f>'E1.4'!$B$8</c:f>
              <c:strCache>
                <c:ptCount val="1"/>
                <c:pt idx="0">
                  <c:v>65-74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'E1.4'!$C$5:$D$5</c:f>
              <c:strCache>
                <c:ptCount val="2"/>
                <c:pt idx="0">
                  <c:v>2019. év</c:v>
                </c:pt>
                <c:pt idx="1">
                  <c:v>2020. év</c:v>
                </c:pt>
              </c:strCache>
            </c:strRef>
          </c:cat>
          <c:val>
            <c:numRef>
              <c:f>'E1.4'!$C$8:$D$8</c:f>
              <c:numCache>
                <c:formatCode>#,##0</c:formatCode>
                <c:ptCount val="2"/>
                <c:pt idx="0">
                  <c:v>12079</c:v>
                </c:pt>
                <c:pt idx="1">
                  <c:v>14377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44-2F4D-8F9E-6C8888607BF7}"/>
            </c:ext>
          </c:extLst>
        </c:ser>
        <c:ser>
          <c:idx val="3"/>
          <c:order val="3"/>
          <c:tx>
            <c:strRef>
              <c:f>'E1.4'!$B$9</c:f>
              <c:strCache>
                <c:ptCount val="1"/>
                <c:pt idx="0">
                  <c:v>75-84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'E1.4'!$C$5:$D$5</c:f>
              <c:strCache>
                <c:ptCount val="2"/>
                <c:pt idx="0">
                  <c:v>2019. év</c:v>
                </c:pt>
                <c:pt idx="1">
                  <c:v>2020. év</c:v>
                </c:pt>
              </c:strCache>
            </c:strRef>
          </c:cat>
          <c:val>
            <c:numRef>
              <c:f>'E1.4'!$C$9:$D$9</c:f>
              <c:numCache>
                <c:formatCode>#,##0</c:formatCode>
                <c:ptCount val="2"/>
                <c:pt idx="0">
                  <c:v>21394</c:v>
                </c:pt>
                <c:pt idx="1">
                  <c:v>22846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44-2F4D-8F9E-6C8888607BF7}"/>
            </c:ext>
          </c:extLst>
        </c:ser>
        <c:ser>
          <c:idx val="4"/>
          <c:order val="4"/>
          <c:tx>
            <c:strRef>
              <c:f>'E1.4'!$B$10</c:f>
              <c:strCache>
                <c:ptCount val="1"/>
                <c:pt idx="0">
                  <c:v>85+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C544-2F4D-8F9E-6C8888607BF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544-2F4D-8F9E-6C8888607B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'E1.4'!$C$5:$D$5</c:f>
              <c:strCache>
                <c:ptCount val="2"/>
                <c:pt idx="0">
                  <c:v>2019. év</c:v>
                </c:pt>
                <c:pt idx="1">
                  <c:v>2020. év</c:v>
                </c:pt>
              </c:strCache>
            </c:strRef>
          </c:cat>
          <c:val>
            <c:numRef>
              <c:f>'E1.4'!$C$10:$D$10</c:f>
              <c:numCache>
                <c:formatCode>#,##0</c:formatCode>
                <c:ptCount val="2"/>
                <c:pt idx="0">
                  <c:v>23919</c:v>
                </c:pt>
                <c:pt idx="1">
                  <c:v>24308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44-2F4D-8F9E-6C8888607B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8550592"/>
        <c:axId val="338551152"/>
      </c:barChart>
      <c:catAx>
        <c:axId val="33855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38551152"/>
        <c:crosses val="autoZero"/>
        <c:auto val="1"/>
        <c:lblAlgn val="ctr"/>
        <c:lblOffset val="100"/>
        <c:noMultiLvlLbl val="0"/>
      </c:catAx>
      <c:valAx>
        <c:axId val="3385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3855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</a:t>
            </a:r>
            <a:r>
              <a:rPr lang="hu-HU"/>
              <a:t>8</a:t>
            </a:r>
            <a:endParaRPr lang="en-US"/>
          </a:p>
        </c:rich>
      </c:tx>
      <c:layout>
        <c:manualLayout>
          <c:xMode val="edge"/>
          <c:yMode val="edge"/>
          <c:x val="4.8304383788254787E-2"/>
          <c:y val="3.31910858226647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748018785787371"/>
          <c:y val="0.17814210056483151"/>
          <c:w val="0.5655726296924749"/>
          <c:h val="0.7125007505734380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C1-4F84-80C8-8D7E6E3F1005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C1-4F84-80C8-8D7E6E3F1005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C1-4F84-80C8-8D7E6E3F1005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DC1-4F84-80C8-8D7E6E3F1005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1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C1-4F84-80C8-8D7E6E3F1005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C1-4F84-80C8-8D7E6E3F1005}"/>
                </c:ext>
              </c:extLst>
            </c:dLbl>
            <c:dLbl>
              <c:idx val="2"/>
              <c:layout>
                <c:manualLayout>
                  <c:x val="0.42960849224085706"/>
                  <c:y val="-2.5140239822963304E-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991367126854495"/>
                      <c:h val="0.186832697948955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DC1-4F84-80C8-8D7E6E3F1005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1">
                          <a:tint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C1-4F84-80C8-8D7E6E3F100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'E1.5'!$B$6:$B$9</c:f>
              <c:strCache>
                <c:ptCount val="4"/>
                <c:pt idx="0">
                  <c:v>Afrika</c:v>
                </c:pt>
                <c:pt idx="1">
                  <c:v>Amerika</c:v>
                </c:pt>
                <c:pt idx="2">
                  <c:v>Ausztrália</c:v>
                </c:pt>
                <c:pt idx="3">
                  <c:v>Ázsia</c:v>
                </c:pt>
              </c:strCache>
            </c:strRef>
          </c:cat>
          <c:val>
            <c:numRef>
              <c:f>'E1.5'!$C$6:$C$9</c:f>
              <c:numCache>
                <c:formatCode>#,##0</c:formatCode>
                <c:ptCount val="4"/>
                <c:pt idx="0">
                  <c:v>40</c:v>
                </c:pt>
                <c:pt idx="1">
                  <c:v>1014</c:v>
                </c:pt>
                <c:pt idx="2">
                  <c:v>119</c:v>
                </c:pt>
                <c:pt idx="3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C1-4F84-80C8-8D7E6E3F100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2022</a:t>
            </a:r>
          </a:p>
        </c:rich>
      </c:tx>
      <c:layout>
        <c:manualLayout>
          <c:xMode val="edge"/>
          <c:yMode val="edge"/>
          <c:x val="3.8277777777777786E-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0.31648921602191038"/>
          <c:y val="0.20824265387879146"/>
          <c:w val="0.4471286994298127"/>
          <c:h val="0.5459676750932450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C7-44F3-B66F-E1320088A7F6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0C7-44F3-B66F-E1320088A7F6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0C7-44F3-B66F-E1320088A7F6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0C7-44F3-B66F-E1320088A7F6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1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C7-44F3-B66F-E1320088A7F6}"/>
                </c:ext>
              </c:extLst>
            </c:dLbl>
            <c:dLbl>
              <c:idx val="1"/>
              <c:layout>
                <c:manualLayout>
                  <c:x val="0"/>
                  <c:y val="0.23707918444760559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C7-44F3-B66F-E1320088A7F6}"/>
                </c:ext>
              </c:extLst>
            </c:dLbl>
            <c:dLbl>
              <c:idx val="2"/>
              <c:layout>
                <c:manualLayout>
                  <c:x val="0.16628605691529938"/>
                  <c:y val="-3.9587811704532407E-7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7643479278466"/>
                      <c:h val="0.206651222587786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0C7-44F3-B66F-E1320088A7F6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1">
                          <a:tint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C7-44F3-B66F-E1320088A7F6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'E1.5'!$B$6:$B$9</c:f>
              <c:strCache>
                <c:ptCount val="4"/>
                <c:pt idx="0">
                  <c:v>Afrika</c:v>
                </c:pt>
                <c:pt idx="1">
                  <c:v>Amerika</c:v>
                </c:pt>
                <c:pt idx="2">
                  <c:v>Ausztrália</c:v>
                </c:pt>
                <c:pt idx="3">
                  <c:v>Ázsia</c:v>
                </c:pt>
              </c:strCache>
            </c:strRef>
          </c:cat>
          <c:val>
            <c:numRef>
              <c:f>'E1.5'!$D$6:$D$9</c:f>
              <c:numCache>
                <c:formatCode>#,##0</c:formatCode>
                <c:ptCount val="4"/>
                <c:pt idx="0">
                  <c:v>32</c:v>
                </c:pt>
                <c:pt idx="1">
                  <c:v>610</c:v>
                </c:pt>
                <c:pt idx="2">
                  <c:v>90</c:v>
                </c:pt>
                <c:pt idx="3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C7-44F3-B66F-E1320088A7F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'E1.5'!$B$6</c:f>
              <c:strCache>
                <c:ptCount val="1"/>
                <c:pt idx="0">
                  <c:v>Afrika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'E1.5'!$C$5:$D$5</c:f>
              <c:strCache>
                <c:ptCount val="2"/>
                <c:pt idx="0">
                  <c:v>2018. év</c:v>
                </c:pt>
                <c:pt idx="1">
                  <c:v>2022. év</c:v>
                </c:pt>
              </c:strCache>
            </c:strRef>
          </c:cat>
          <c:val>
            <c:numRef>
              <c:f>'E1.5'!$C$6:$D$6</c:f>
              <c:numCache>
                <c:formatCode>#,##0</c:formatCode>
                <c:ptCount val="2"/>
                <c:pt idx="0">
                  <c:v>40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0-45D8-ADB2-EEF59F70B369}"/>
            </c:ext>
          </c:extLst>
        </c:ser>
        <c:ser>
          <c:idx val="1"/>
          <c:order val="1"/>
          <c:tx>
            <c:strRef>
              <c:f>'E1.5'!$B$7</c:f>
              <c:strCache>
                <c:ptCount val="1"/>
                <c:pt idx="0">
                  <c:v>Amerika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'E1.5'!$C$5:$D$5</c:f>
              <c:strCache>
                <c:ptCount val="2"/>
                <c:pt idx="0">
                  <c:v>2018. év</c:v>
                </c:pt>
                <c:pt idx="1">
                  <c:v>2022. év</c:v>
                </c:pt>
              </c:strCache>
            </c:strRef>
          </c:cat>
          <c:val>
            <c:numRef>
              <c:f>'E1.5'!$C$7:$D$7</c:f>
              <c:numCache>
                <c:formatCode>#,##0</c:formatCode>
                <c:ptCount val="2"/>
                <c:pt idx="0">
                  <c:v>1014</c:v>
                </c:pt>
                <c:pt idx="1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0-45D8-ADB2-EEF59F70B369}"/>
            </c:ext>
          </c:extLst>
        </c:ser>
        <c:ser>
          <c:idx val="2"/>
          <c:order val="2"/>
          <c:tx>
            <c:strRef>
              <c:f>'E1.5'!$B$8</c:f>
              <c:strCache>
                <c:ptCount val="1"/>
                <c:pt idx="0">
                  <c:v>Ausztrália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'E1.5'!$C$5:$D$5</c:f>
              <c:strCache>
                <c:ptCount val="2"/>
                <c:pt idx="0">
                  <c:v>2018. év</c:v>
                </c:pt>
                <c:pt idx="1">
                  <c:v>2022. év</c:v>
                </c:pt>
              </c:strCache>
            </c:strRef>
          </c:cat>
          <c:val>
            <c:numRef>
              <c:f>'E1.5'!$C$8:$D$8</c:f>
              <c:numCache>
                <c:formatCode>#,##0</c:formatCode>
                <c:ptCount val="2"/>
                <c:pt idx="0">
                  <c:v>119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20-45D8-ADB2-EEF59F70B369}"/>
            </c:ext>
          </c:extLst>
        </c:ser>
        <c:ser>
          <c:idx val="3"/>
          <c:order val="3"/>
          <c:tx>
            <c:strRef>
              <c:f>'E1.5'!$B$9</c:f>
              <c:strCache>
                <c:ptCount val="1"/>
                <c:pt idx="0">
                  <c:v>Ázsia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'E1.5'!$C$5:$D$5</c:f>
              <c:strCache>
                <c:ptCount val="2"/>
                <c:pt idx="0">
                  <c:v>2018. év</c:v>
                </c:pt>
                <c:pt idx="1">
                  <c:v>2022. év</c:v>
                </c:pt>
              </c:strCache>
            </c:strRef>
          </c:cat>
          <c:val>
            <c:numRef>
              <c:f>'E1.5'!$C$9:$D$9</c:f>
              <c:numCache>
                <c:formatCode>#,##0</c:formatCode>
                <c:ptCount val="2"/>
                <c:pt idx="0">
                  <c:v>989</c:v>
                </c:pt>
                <c:pt idx="1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20-45D8-ADB2-EEF59F70B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9427312"/>
        <c:axId val="569427872"/>
      </c:barChart>
      <c:catAx>
        <c:axId val="5694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9427872"/>
        <c:crosses val="autoZero"/>
        <c:auto val="1"/>
        <c:lblAlgn val="ctr"/>
        <c:lblOffset val="100"/>
        <c:noMultiLvlLbl val="0"/>
      </c:catAx>
      <c:valAx>
        <c:axId val="5694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942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'E1.5'!$B$6</c:f>
              <c:strCache>
                <c:ptCount val="1"/>
                <c:pt idx="0">
                  <c:v>Afrika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33868808567605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54-414E-A014-04EE10B7FBE0}"/>
                </c:ext>
              </c:extLst>
            </c:dLbl>
            <c:dLbl>
              <c:idx val="1"/>
              <c:layout>
                <c:manualLayout>
                  <c:x val="0"/>
                  <c:y val="-1.3386880856760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54-414E-A014-04EE10B7FB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'E1.5'!$C$5:$D$5</c:f>
              <c:strCache>
                <c:ptCount val="2"/>
                <c:pt idx="0">
                  <c:v>2018. év</c:v>
                </c:pt>
                <c:pt idx="1">
                  <c:v>2022. év</c:v>
                </c:pt>
              </c:strCache>
            </c:strRef>
          </c:cat>
          <c:val>
            <c:numRef>
              <c:f>'E1.5'!$C$6:$D$6</c:f>
              <c:numCache>
                <c:formatCode>#,##0</c:formatCode>
                <c:ptCount val="2"/>
                <c:pt idx="0">
                  <c:v>40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54-414E-A014-04EE10B7FBE0}"/>
            </c:ext>
          </c:extLst>
        </c:ser>
        <c:ser>
          <c:idx val="1"/>
          <c:order val="1"/>
          <c:tx>
            <c:strRef>
              <c:f>'E1.5'!$B$7</c:f>
              <c:strCache>
                <c:ptCount val="1"/>
                <c:pt idx="0">
                  <c:v>Amerika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'E1.5'!$C$5:$D$5</c:f>
              <c:strCache>
                <c:ptCount val="2"/>
                <c:pt idx="0">
                  <c:v>2018. év</c:v>
                </c:pt>
                <c:pt idx="1">
                  <c:v>2022. év</c:v>
                </c:pt>
              </c:strCache>
            </c:strRef>
          </c:cat>
          <c:val>
            <c:numRef>
              <c:f>'E1.5'!$C$7:$D$7</c:f>
              <c:numCache>
                <c:formatCode>#,##0</c:formatCode>
                <c:ptCount val="2"/>
                <c:pt idx="0">
                  <c:v>1014</c:v>
                </c:pt>
                <c:pt idx="1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54-414E-A014-04EE10B7FBE0}"/>
            </c:ext>
          </c:extLst>
        </c:ser>
        <c:ser>
          <c:idx val="2"/>
          <c:order val="2"/>
          <c:tx>
            <c:strRef>
              <c:f>'E1.5'!$B$8</c:f>
              <c:strCache>
                <c:ptCount val="1"/>
                <c:pt idx="0">
                  <c:v>Ausztrália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'E1.5'!$C$5:$D$5</c:f>
              <c:strCache>
                <c:ptCount val="2"/>
                <c:pt idx="0">
                  <c:v>2018. év</c:v>
                </c:pt>
                <c:pt idx="1">
                  <c:v>2022. év</c:v>
                </c:pt>
              </c:strCache>
            </c:strRef>
          </c:cat>
          <c:val>
            <c:numRef>
              <c:f>'E1.5'!$C$8:$D$8</c:f>
              <c:numCache>
                <c:formatCode>#,##0</c:formatCode>
                <c:ptCount val="2"/>
                <c:pt idx="0">
                  <c:v>119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54-414E-A014-04EE10B7FBE0}"/>
            </c:ext>
          </c:extLst>
        </c:ser>
        <c:ser>
          <c:idx val="3"/>
          <c:order val="3"/>
          <c:tx>
            <c:strRef>
              <c:f>'E1.5'!$B$9</c:f>
              <c:strCache>
                <c:ptCount val="1"/>
                <c:pt idx="0">
                  <c:v>Ázsia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'E1.5'!$C$5:$D$5</c:f>
              <c:strCache>
                <c:ptCount val="2"/>
                <c:pt idx="0">
                  <c:v>2018. év</c:v>
                </c:pt>
                <c:pt idx="1">
                  <c:v>2022. év</c:v>
                </c:pt>
              </c:strCache>
            </c:strRef>
          </c:cat>
          <c:val>
            <c:numRef>
              <c:f>'E1.5'!$C$9:$D$9</c:f>
              <c:numCache>
                <c:formatCode>#,##0</c:formatCode>
                <c:ptCount val="2"/>
                <c:pt idx="0">
                  <c:v>989</c:v>
                </c:pt>
                <c:pt idx="1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54-414E-A014-04EE10B7FB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8550592"/>
        <c:axId val="338551152"/>
      </c:barChart>
      <c:catAx>
        <c:axId val="33855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38551152"/>
        <c:crosses val="autoZero"/>
        <c:auto val="1"/>
        <c:lblAlgn val="ctr"/>
        <c:lblOffset val="100"/>
        <c:noMultiLvlLbl val="0"/>
      </c:catAx>
      <c:valAx>
        <c:axId val="3385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3855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2015</a:t>
            </a:r>
          </a:p>
        </c:rich>
      </c:tx>
      <c:layout>
        <c:manualLayout>
          <c:xMode val="edge"/>
          <c:yMode val="edge"/>
          <c:x val="6.0783819345416441E-2"/>
          <c:y val="6.2142300752501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0.27213535315959525"/>
          <c:y val="0.34229355669129435"/>
          <c:w val="0.44385026737968097"/>
          <c:h val="0.5865734502219678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F6-40EE-8B28-5CCF57BBF2B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F6-40EE-8B28-5CCF57BBF2B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F6-40EE-8B28-5CCF57BBF2BF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F6-40EE-8B28-5CCF57BBF2BF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'Gy1.4v'!$B$17:$B$20</c:f>
              <c:strCache>
                <c:ptCount val="4"/>
                <c:pt idx="0">
                  <c:v>Tartós termékek</c:v>
                </c:pt>
                <c:pt idx="1">
                  <c:v>Féltartós termékek</c:v>
                </c:pt>
                <c:pt idx="2">
                  <c:v>Nem tartós termékek</c:v>
                </c:pt>
                <c:pt idx="3">
                  <c:v>Szolgáltatások</c:v>
                </c:pt>
              </c:strCache>
            </c:strRef>
          </c:cat>
          <c:val>
            <c:numRef>
              <c:f>'Gy1.4v'!$C$6:$C$9</c:f>
              <c:numCache>
                <c:formatCode>#,##0</c:formatCode>
                <c:ptCount val="4"/>
                <c:pt idx="0">
                  <c:v>1007</c:v>
                </c:pt>
                <c:pt idx="1">
                  <c:v>1245</c:v>
                </c:pt>
                <c:pt idx="2">
                  <c:v>7468</c:v>
                </c:pt>
                <c:pt idx="3">
                  <c:v>7795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F6-40EE-8B28-5CCF57BBF2B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36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950372345189135"/>
          <c:y val="6.214194096197196E-2"/>
          <c:w val="0.61695028278945452"/>
          <c:h val="0.2083952534102251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222" r="0.75000000000000222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2025</a:t>
            </a:r>
          </a:p>
        </c:rich>
      </c:tx>
      <c:layout>
        <c:manualLayout>
          <c:xMode val="edge"/>
          <c:yMode val="edge"/>
          <c:x val="8.6405503659868599E-2"/>
          <c:y val="6.441274758687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8.4852708628812709E-2"/>
          <c:y val="0.18794085165583813"/>
          <c:w val="0.84953945974144551"/>
          <c:h val="0.7474090328872826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40-4094-9DF4-88AAB665CBCD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40-4094-9DF4-88AAB665CBC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40-4094-9DF4-88AAB665CBC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340-4094-9DF4-88AAB665CBC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'Gy1.4v'!$B$17:$B$20</c:f>
              <c:strCache>
                <c:ptCount val="4"/>
                <c:pt idx="0">
                  <c:v>Tartós termékek</c:v>
                </c:pt>
                <c:pt idx="1">
                  <c:v>Féltartós termékek</c:v>
                </c:pt>
                <c:pt idx="2">
                  <c:v>Nem tartós termékek</c:v>
                </c:pt>
                <c:pt idx="3">
                  <c:v>Szolgáltatások</c:v>
                </c:pt>
              </c:strCache>
            </c:strRef>
          </c:cat>
          <c:val>
            <c:numRef>
              <c:f>'Gy1.4v'!$D$6:$D$9</c:f>
              <c:numCache>
                <c:formatCode>#,##0</c:formatCode>
                <c:ptCount val="4"/>
                <c:pt idx="0">
                  <c:v>2776</c:v>
                </c:pt>
                <c:pt idx="1">
                  <c:v>3680</c:v>
                </c:pt>
                <c:pt idx="2">
                  <c:v>16457</c:v>
                </c:pt>
                <c:pt idx="3">
                  <c:v>22617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40-4094-9DF4-88AAB665CBC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222" r="0.75000000000000222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799409003997987"/>
          <c:y val="0.15322015694329769"/>
          <c:w val="0.78641025235845363"/>
          <c:h val="0.7572668505950822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'Gy1.4v'!$B$6</c:f>
              <c:strCache>
                <c:ptCount val="1"/>
                <c:pt idx="0">
                  <c:v>Tartós termékek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'Gy1.4v'!$C$5:$D$5</c:f>
              <c:strCache>
                <c:ptCount val="2"/>
                <c:pt idx="0">
                  <c:v>2015. év</c:v>
                </c:pt>
                <c:pt idx="1">
                  <c:v>2025. év</c:v>
                </c:pt>
              </c:strCache>
            </c:strRef>
          </c:cat>
          <c:val>
            <c:numRef>
              <c:f>'Gy1.4v'!$C$6:$D$6</c:f>
              <c:numCache>
                <c:formatCode>#,##0</c:formatCode>
                <c:ptCount val="2"/>
                <c:pt idx="0">
                  <c:v>1007</c:v>
                </c:pt>
                <c:pt idx="1">
                  <c:v>2776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5-47D1-94C1-79A0EA6654D9}"/>
            </c:ext>
          </c:extLst>
        </c:ser>
        <c:ser>
          <c:idx val="1"/>
          <c:order val="1"/>
          <c:tx>
            <c:strRef>
              <c:f>'Gy1.4v'!$B$7</c:f>
              <c:strCache>
                <c:ptCount val="1"/>
                <c:pt idx="0">
                  <c:v>Féltartós termékek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'Gy1.4v'!$C$5:$D$5</c:f>
              <c:strCache>
                <c:ptCount val="2"/>
                <c:pt idx="0">
                  <c:v>2015. év</c:v>
                </c:pt>
                <c:pt idx="1">
                  <c:v>2025. év</c:v>
                </c:pt>
              </c:strCache>
            </c:strRef>
          </c:cat>
          <c:val>
            <c:numRef>
              <c:f>'Gy1.4v'!$C$7:$D$7</c:f>
              <c:numCache>
                <c:formatCode>#,##0</c:formatCode>
                <c:ptCount val="2"/>
                <c:pt idx="0">
                  <c:v>1245</c:v>
                </c:pt>
                <c:pt idx="1">
                  <c:v>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55-47D1-94C1-79A0EA6654D9}"/>
            </c:ext>
          </c:extLst>
        </c:ser>
        <c:ser>
          <c:idx val="2"/>
          <c:order val="2"/>
          <c:tx>
            <c:strRef>
              <c:f>'Gy1.4v'!$B$8</c:f>
              <c:strCache>
                <c:ptCount val="1"/>
                <c:pt idx="0">
                  <c:v>Nem tartós termékek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'Gy1.4v'!$C$5:$D$5</c:f>
              <c:strCache>
                <c:ptCount val="2"/>
                <c:pt idx="0">
                  <c:v>2015. év</c:v>
                </c:pt>
                <c:pt idx="1">
                  <c:v>2025. év</c:v>
                </c:pt>
              </c:strCache>
            </c:strRef>
          </c:cat>
          <c:val>
            <c:numRef>
              <c:f>'Gy1.4v'!$C$8:$D$8</c:f>
              <c:numCache>
                <c:formatCode>#,##0</c:formatCode>
                <c:ptCount val="2"/>
                <c:pt idx="0">
                  <c:v>7468</c:v>
                </c:pt>
                <c:pt idx="1">
                  <c:v>16457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55-47D1-94C1-79A0EA6654D9}"/>
            </c:ext>
          </c:extLst>
        </c:ser>
        <c:ser>
          <c:idx val="3"/>
          <c:order val="3"/>
          <c:tx>
            <c:strRef>
              <c:f>'Gy1.4v'!$B$9</c:f>
              <c:strCache>
                <c:ptCount val="1"/>
                <c:pt idx="0">
                  <c:v>Szolgáltatások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'Gy1.4v'!$C$5:$D$5</c:f>
              <c:strCache>
                <c:ptCount val="2"/>
                <c:pt idx="0">
                  <c:v>2015. év</c:v>
                </c:pt>
                <c:pt idx="1">
                  <c:v>2025. év</c:v>
                </c:pt>
              </c:strCache>
            </c:strRef>
          </c:cat>
          <c:val>
            <c:numRef>
              <c:f>'Gy1.4v'!$C$9:$D$9</c:f>
              <c:numCache>
                <c:formatCode>#,##0</c:formatCode>
                <c:ptCount val="2"/>
                <c:pt idx="0">
                  <c:v>7795</c:v>
                </c:pt>
                <c:pt idx="1">
                  <c:v>22617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55-47D1-94C1-79A0EA6654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09804720"/>
        <c:axId val="609805280"/>
      </c:barChart>
      <c:catAx>
        <c:axId val="60980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09805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09805280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09804720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222" r="0.75000000000000222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88413950034046"/>
          <c:y val="0.15136019762235603"/>
          <c:w val="0.76052020289809619"/>
          <c:h val="0.759126809916023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'Gy1.4v'!$B$6</c:f>
              <c:strCache>
                <c:ptCount val="1"/>
                <c:pt idx="0">
                  <c:v>Tartós termékek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'Gy1.4v'!$C$5:$D$5</c:f>
              <c:strCache>
                <c:ptCount val="2"/>
                <c:pt idx="0">
                  <c:v>2015. év</c:v>
                </c:pt>
                <c:pt idx="1">
                  <c:v>2025. év</c:v>
                </c:pt>
              </c:strCache>
            </c:strRef>
          </c:cat>
          <c:val>
            <c:numRef>
              <c:f>'Gy1.4v'!$C$6:$D$6</c:f>
              <c:numCache>
                <c:formatCode>#,##0</c:formatCode>
                <c:ptCount val="2"/>
                <c:pt idx="0">
                  <c:v>1007</c:v>
                </c:pt>
                <c:pt idx="1">
                  <c:v>2776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2-4641-B5C9-6C14977FBF7C}"/>
            </c:ext>
          </c:extLst>
        </c:ser>
        <c:ser>
          <c:idx val="1"/>
          <c:order val="1"/>
          <c:tx>
            <c:strRef>
              <c:f>'Gy1.4v'!$B$7</c:f>
              <c:strCache>
                <c:ptCount val="1"/>
                <c:pt idx="0">
                  <c:v>Féltartós termékek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'Gy1.4v'!$C$5:$D$5</c:f>
              <c:strCache>
                <c:ptCount val="2"/>
                <c:pt idx="0">
                  <c:v>2015. év</c:v>
                </c:pt>
                <c:pt idx="1">
                  <c:v>2025. év</c:v>
                </c:pt>
              </c:strCache>
            </c:strRef>
          </c:cat>
          <c:val>
            <c:numRef>
              <c:f>'Gy1.4v'!$C$7:$D$7</c:f>
              <c:numCache>
                <c:formatCode>#,##0</c:formatCode>
                <c:ptCount val="2"/>
                <c:pt idx="0">
                  <c:v>1245</c:v>
                </c:pt>
                <c:pt idx="1">
                  <c:v>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2-4641-B5C9-6C14977FBF7C}"/>
            </c:ext>
          </c:extLst>
        </c:ser>
        <c:ser>
          <c:idx val="2"/>
          <c:order val="2"/>
          <c:tx>
            <c:strRef>
              <c:f>'Gy1.4v'!$B$8</c:f>
              <c:strCache>
                <c:ptCount val="1"/>
                <c:pt idx="0">
                  <c:v>Nem tartós termékek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'Gy1.4v'!$C$5:$D$5</c:f>
              <c:strCache>
                <c:ptCount val="2"/>
                <c:pt idx="0">
                  <c:v>2015. év</c:v>
                </c:pt>
                <c:pt idx="1">
                  <c:v>2025. év</c:v>
                </c:pt>
              </c:strCache>
            </c:strRef>
          </c:cat>
          <c:val>
            <c:numRef>
              <c:f>'Gy1.4v'!$C$8:$D$8</c:f>
              <c:numCache>
                <c:formatCode>#,##0</c:formatCode>
                <c:ptCount val="2"/>
                <c:pt idx="0">
                  <c:v>7468</c:v>
                </c:pt>
                <c:pt idx="1">
                  <c:v>16457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2-4641-B5C9-6C14977FBF7C}"/>
            </c:ext>
          </c:extLst>
        </c:ser>
        <c:ser>
          <c:idx val="3"/>
          <c:order val="3"/>
          <c:tx>
            <c:strRef>
              <c:f>'Gy1.4v'!$B$9</c:f>
              <c:strCache>
                <c:ptCount val="1"/>
                <c:pt idx="0">
                  <c:v>Szolgáltatások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'Gy1.4v'!$C$5:$D$5</c:f>
              <c:strCache>
                <c:ptCount val="2"/>
                <c:pt idx="0">
                  <c:v>2015. év</c:v>
                </c:pt>
                <c:pt idx="1">
                  <c:v>2025. év</c:v>
                </c:pt>
              </c:strCache>
            </c:strRef>
          </c:cat>
          <c:val>
            <c:numRef>
              <c:f>'Gy1.4v'!$C$9:$D$9</c:f>
              <c:numCache>
                <c:formatCode>#,##0</c:formatCode>
                <c:ptCount val="2"/>
                <c:pt idx="0">
                  <c:v>7795</c:v>
                </c:pt>
                <c:pt idx="1">
                  <c:v>22617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02-4641-B5C9-6C14977FBF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09809760"/>
        <c:axId val="609810320"/>
      </c:barChart>
      <c:catAx>
        <c:axId val="60980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09810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09810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09809760"/>
        <c:crosses val="autoZero"/>
        <c:crossBetween val="between"/>
        <c:majorUnit val="0.1"/>
        <c:minorUnit val="0.0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222" r="0.75000000000000222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35</xdr:row>
      <xdr:rowOff>1905</xdr:rowOff>
    </xdr:from>
    <xdr:to>
      <xdr:col>6</xdr:col>
      <xdr:colOff>0</xdr:colOff>
      <xdr:row>50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9427D41-1627-46D5-A7A7-7F6992A86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</xdr:colOff>
      <xdr:row>51</xdr:row>
      <xdr:rowOff>0</xdr:rowOff>
    </xdr:from>
    <xdr:to>
      <xdr:col>6</xdr:col>
      <xdr:colOff>0</xdr:colOff>
      <xdr:row>70</xdr:row>
      <xdr:rowOff>22860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DB370003-D67C-477D-ABEF-E5D210F50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71</xdr:row>
      <xdr:rowOff>0</xdr:rowOff>
    </xdr:from>
    <xdr:to>
      <xdr:col>6</xdr:col>
      <xdr:colOff>0</xdr:colOff>
      <xdr:row>90</xdr:row>
      <xdr:rowOff>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3E0D9259-E484-4DCC-A8C2-07422E570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23</xdr:row>
      <xdr:rowOff>0</xdr:rowOff>
    </xdr:from>
    <xdr:to>
      <xdr:col>12</xdr:col>
      <xdr:colOff>15240</xdr:colOff>
      <xdr:row>44</xdr:row>
      <xdr:rowOff>160020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DC80DD17-3BDF-4096-8805-89712000F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163830</xdr:rowOff>
    </xdr:from>
    <xdr:to>
      <xdr:col>3</xdr:col>
      <xdr:colOff>514350</xdr:colOff>
      <xdr:row>37</xdr:row>
      <xdr:rowOff>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F722D8EC-F007-CABD-0FFB-F8DB42BCEA2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830580</xdr:colOff>
      <xdr:row>23</xdr:row>
      <xdr:rowOff>0</xdr:rowOff>
    </xdr:from>
    <xdr:to>
      <xdr:col>8</xdr:col>
      <xdr:colOff>2028</xdr:colOff>
      <xdr:row>45</xdr:row>
      <xdr:rowOff>7620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499A9971-901F-4BBF-B5C7-4A4A6B02217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182880</xdr:colOff>
      <xdr:row>23</xdr:row>
      <xdr:rowOff>0</xdr:rowOff>
    </xdr:from>
    <xdr:to>
      <xdr:col>15</xdr:col>
      <xdr:colOff>548640</xdr:colOff>
      <xdr:row>44</xdr:row>
      <xdr:rowOff>160020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0B7FADE6-54EE-4AED-8028-2C87C4FCC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163830</xdr:rowOff>
    </xdr:from>
    <xdr:to>
      <xdr:col>3</xdr:col>
      <xdr:colOff>480060</xdr:colOff>
      <xdr:row>42</xdr:row>
      <xdr:rowOff>7620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4F4DA65-9945-D842-B4F8-58FBC7CEB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495300</xdr:colOff>
      <xdr:row>27</xdr:row>
      <xdr:rowOff>1905</xdr:rowOff>
    </xdr:from>
    <xdr:to>
      <xdr:col>6</xdr:col>
      <xdr:colOff>0</xdr:colOff>
      <xdr:row>42</xdr:row>
      <xdr:rowOff>7620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99660B1-BF21-9642-BF6A-646F76660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</xdr:colOff>
      <xdr:row>43</xdr:row>
      <xdr:rowOff>0</xdr:rowOff>
    </xdr:from>
    <xdr:to>
      <xdr:col>3</xdr:col>
      <xdr:colOff>487680</xdr:colOff>
      <xdr:row>62</xdr:row>
      <xdr:rowOff>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90E8C26A-1145-F745-86E7-FFF4B5178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502920</xdr:colOff>
      <xdr:row>43</xdr:row>
      <xdr:rowOff>0</xdr:rowOff>
    </xdr:from>
    <xdr:to>
      <xdr:col>6</xdr:col>
      <xdr:colOff>0</xdr:colOff>
      <xdr:row>62</xdr:row>
      <xdr:rowOff>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86937ACB-9587-2B41-B0F4-D2C474B4D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163830</xdr:rowOff>
    </xdr:from>
    <xdr:to>
      <xdr:col>3</xdr:col>
      <xdr:colOff>480060</xdr:colOff>
      <xdr:row>40</xdr:row>
      <xdr:rowOff>7620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240835B-C364-4F2D-B5FB-81EE2E26A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495300</xdr:colOff>
      <xdr:row>24</xdr:row>
      <xdr:rowOff>163830</xdr:rowOff>
    </xdr:from>
    <xdr:to>
      <xdr:col>6</xdr:col>
      <xdr:colOff>0</xdr:colOff>
      <xdr:row>40</xdr:row>
      <xdr:rowOff>7620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737A15A-E8E3-4835-A850-5F0DB909D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</xdr:colOff>
      <xdr:row>41</xdr:row>
      <xdr:rowOff>0</xdr:rowOff>
    </xdr:from>
    <xdr:to>
      <xdr:col>3</xdr:col>
      <xdr:colOff>502920</xdr:colOff>
      <xdr:row>60</xdr:row>
      <xdr:rowOff>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75724555-CE51-4936-9BEA-5CFAF3D9A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514350</xdr:colOff>
      <xdr:row>41</xdr:row>
      <xdr:rowOff>0</xdr:rowOff>
    </xdr:from>
    <xdr:to>
      <xdr:col>6</xdr:col>
      <xdr:colOff>0</xdr:colOff>
      <xdr:row>60</xdr:row>
      <xdr:rowOff>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317A82B8-A36E-46CA-86B7-2D5634061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3</xdr:col>
      <xdr:colOff>1038225</xdr:colOff>
      <xdr:row>38</xdr:row>
      <xdr:rowOff>104775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1066800</xdr:colOff>
      <xdr:row>22</xdr:row>
      <xdr:rowOff>0</xdr:rowOff>
    </xdr:from>
    <xdr:to>
      <xdr:col>6</xdr:col>
      <xdr:colOff>0</xdr:colOff>
      <xdr:row>38</xdr:row>
      <xdr:rowOff>114300</xdr:rowOff>
    </xdr:to>
    <xdr:graphicFrame macro="">
      <xdr:nvGraphicFramePr>
        <xdr:cNvPr id="3" name="Diagram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39</xdr:row>
      <xdr:rowOff>0</xdr:rowOff>
    </xdr:from>
    <xdr:to>
      <xdr:col>3</xdr:col>
      <xdr:colOff>428625</xdr:colOff>
      <xdr:row>62</xdr:row>
      <xdr:rowOff>0</xdr:rowOff>
    </xdr:to>
    <xdr:graphicFrame macro="">
      <xdr:nvGraphicFramePr>
        <xdr:cNvPr id="4" name="Diagram 1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476250</xdr:colOff>
      <xdr:row>39</xdr:row>
      <xdr:rowOff>0</xdr:rowOff>
    </xdr:from>
    <xdr:to>
      <xdr:col>5</xdr:col>
      <xdr:colOff>1133475</xdr:colOff>
      <xdr:row>62</xdr:row>
      <xdr:rowOff>0</xdr:rowOff>
    </xdr:to>
    <xdr:graphicFrame macro="">
      <xdr:nvGraphicFramePr>
        <xdr:cNvPr id="5" name="Diagram 17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ázsné Mócsai Andrea" refreshedDate="46279.692073032405" createdVersion="8" refreshedVersion="8" minRefreshableVersion="3" recordCount="91" xr:uid="{61899E6A-048D-4195-BC07-C46FF7BD06A2}">
  <cacheSource type="worksheet">
    <worksheetSource ref="B7:D98" sheet="E1.6"/>
  </cacheSource>
  <cacheFields count="3">
    <cacheField name="Korév" numFmtId="0">
      <sharedItems containsSemiMixedTypes="0" containsString="0" containsNumber="1" containsInteger="1" minValue="0" maxValue="90" count="9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</sharedItems>
      <fieldGroup base="0">
        <rangePr autoStart="0" autoEnd="0" startNum="15" endNum="64" groupInterval="10"/>
        <groupItems count="7">
          <s v="&lt;15"/>
          <s v="15-24"/>
          <s v="25-34"/>
          <s v="35-44"/>
          <s v="45-54"/>
          <s v="55-64"/>
          <s v="&gt;65"/>
        </groupItems>
      </fieldGroup>
    </cacheField>
    <cacheField name="Férfi" numFmtId="0">
      <sharedItems containsSemiMixedTypes="0" containsString="0" containsNumber="1" containsInteger="1" minValue="4644" maxValue="91358"/>
    </cacheField>
    <cacheField name="Nő" numFmtId="0">
      <sharedItems containsSemiMixedTypes="0" containsString="0" containsNumber="1" containsInteger="1" minValue="13919" maxValue="885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x v="0"/>
    <n v="37431"/>
    <n v="35132"/>
  </r>
  <r>
    <x v="1"/>
    <n v="40695"/>
    <n v="37921"/>
  </r>
  <r>
    <x v="2"/>
    <n v="45036"/>
    <n v="42636"/>
  </r>
  <r>
    <x v="3"/>
    <n v="46391"/>
    <n v="43885"/>
  </r>
  <r>
    <x v="4"/>
    <n v="48851"/>
    <n v="45876"/>
  </r>
  <r>
    <x v="5"/>
    <n v="48675"/>
    <n v="46018"/>
  </r>
  <r>
    <x v="6"/>
    <n v="47353"/>
    <n v="44537"/>
  </r>
  <r>
    <x v="7"/>
    <n v="47520"/>
    <n v="45013"/>
  </r>
  <r>
    <x v="8"/>
    <n v="48709"/>
    <n v="45945"/>
  </r>
  <r>
    <x v="9"/>
    <n v="49247"/>
    <n v="46602"/>
  </r>
  <r>
    <x v="10"/>
    <n v="48492"/>
    <n v="45981"/>
  </r>
  <r>
    <x v="11"/>
    <n v="48194"/>
    <n v="45840"/>
  </r>
  <r>
    <x v="12"/>
    <n v="46145"/>
    <n v="43747"/>
  </r>
  <r>
    <x v="13"/>
    <n v="47143"/>
    <n v="44143"/>
  </r>
  <r>
    <x v="14"/>
    <n v="45584"/>
    <n v="42806"/>
  </r>
  <r>
    <x v="15"/>
    <n v="46243"/>
    <n v="44328"/>
  </r>
  <r>
    <x v="16"/>
    <n v="49392"/>
    <n v="46597"/>
  </r>
  <r>
    <x v="17"/>
    <n v="51005"/>
    <n v="48339"/>
  </r>
  <r>
    <x v="18"/>
    <n v="51102"/>
    <n v="48424"/>
  </r>
  <r>
    <x v="19"/>
    <n v="52567"/>
    <n v="50035"/>
  </r>
  <r>
    <x v="20"/>
    <n v="52137"/>
    <n v="48714"/>
  </r>
  <r>
    <x v="21"/>
    <n v="50777"/>
    <n v="48300"/>
  </r>
  <r>
    <x v="22"/>
    <n v="51259"/>
    <n v="48847"/>
  </r>
  <r>
    <x v="23"/>
    <n v="52718"/>
    <n v="50452"/>
  </r>
  <r>
    <x v="24"/>
    <n v="53403"/>
    <n v="50501"/>
  </r>
  <r>
    <x v="25"/>
    <n v="54008"/>
    <n v="50932"/>
  </r>
  <r>
    <x v="26"/>
    <n v="52108"/>
    <n v="48554"/>
  </r>
  <r>
    <x v="27"/>
    <n v="52815"/>
    <n v="49764"/>
  </r>
  <r>
    <x v="28"/>
    <n v="54629"/>
    <n v="50405"/>
  </r>
  <r>
    <x v="29"/>
    <n v="56755"/>
    <n v="52765"/>
  </r>
  <r>
    <x v="30"/>
    <n v="59561"/>
    <n v="55440"/>
  </r>
  <r>
    <x v="31"/>
    <n v="61035"/>
    <n v="56741"/>
  </r>
  <r>
    <x v="32"/>
    <n v="61155"/>
    <n v="57053"/>
  </r>
  <r>
    <x v="33"/>
    <n v="63371"/>
    <n v="58573"/>
  </r>
  <r>
    <x v="34"/>
    <n v="65536"/>
    <n v="60750"/>
  </r>
  <r>
    <x v="35"/>
    <n v="64957"/>
    <n v="60639"/>
  </r>
  <r>
    <x v="36"/>
    <n v="64242"/>
    <n v="59158"/>
  </r>
  <r>
    <x v="37"/>
    <n v="64230"/>
    <n v="59395"/>
  </r>
  <r>
    <x v="38"/>
    <n v="64267"/>
    <n v="59812"/>
  </r>
  <r>
    <x v="39"/>
    <n v="64316"/>
    <n v="61026"/>
  </r>
  <r>
    <x v="40"/>
    <n v="65086"/>
    <n v="61006"/>
  </r>
  <r>
    <x v="41"/>
    <n v="62042"/>
    <n v="59125"/>
  </r>
  <r>
    <x v="42"/>
    <n v="62644"/>
    <n v="60049"/>
  </r>
  <r>
    <x v="43"/>
    <n v="66004"/>
    <n v="62380"/>
  </r>
  <r>
    <x v="44"/>
    <n v="69362"/>
    <n v="66990"/>
  </r>
  <r>
    <x v="45"/>
    <n v="71925"/>
    <n v="69744"/>
  </r>
  <r>
    <x v="46"/>
    <n v="77122"/>
    <n v="74511"/>
  </r>
  <r>
    <x v="47"/>
    <n v="80821"/>
    <n v="77782"/>
  </r>
  <r>
    <x v="48"/>
    <n v="84674"/>
    <n v="81966"/>
  </r>
  <r>
    <x v="49"/>
    <n v="88036"/>
    <n v="84675"/>
  </r>
  <r>
    <x v="50"/>
    <n v="91358"/>
    <n v="88510"/>
  </r>
  <r>
    <x v="51"/>
    <n v="86897"/>
    <n v="84659"/>
  </r>
  <r>
    <x v="52"/>
    <n v="73018"/>
    <n v="71493"/>
  </r>
  <r>
    <x v="53"/>
    <n v="71541"/>
    <n v="69874"/>
  </r>
  <r>
    <x v="54"/>
    <n v="69527"/>
    <n v="68735"/>
  </r>
  <r>
    <x v="55"/>
    <n v="69522"/>
    <n v="69385"/>
  </r>
  <r>
    <x v="56"/>
    <n v="69606"/>
    <n v="69777"/>
  </r>
  <r>
    <x v="57"/>
    <n v="67810"/>
    <n v="69766"/>
  </r>
  <r>
    <x v="58"/>
    <n v="64109"/>
    <n v="66632"/>
  </r>
  <r>
    <x v="59"/>
    <n v="57629"/>
    <n v="60203"/>
  </r>
  <r>
    <x v="60"/>
    <n v="54234"/>
    <n v="57564"/>
  </r>
  <r>
    <x v="61"/>
    <n v="51980"/>
    <n v="56682"/>
  </r>
  <r>
    <x v="62"/>
    <n v="50197"/>
    <n v="55783"/>
  </r>
  <r>
    <x v="63"/>
    <n v="47075"/>
    <n v="53960"/>
  </r>
  <r>
    <x v="64"/>
    <n v="49006"/>
    <n v="57147"/>
  </r>
  <r>
    <x v="65"/>
    <n v="49130"/>
    <n v="58825"/>
  </r>
  <r>
    <x v="66"/>
    <n v="47708"/>
    <n v="59308"/>
  </r>
  <r>
    <x v="67"/>
    <n v="48151"/>
    <n v="60953"/>
  </r>
  <r>
    <x v="68"/>
    <n v="47869"/>
    <n v="61967"/>
  </r>
  <r>
    <x v="69"/>
    <n v="51685"/>
    <n v="69404"/>
  </r>
  <r>
    <x v="70"/>
    <n v="53771"/>
    <n v="73480"/>
  </r>
  <r>
    <x v="71"/>
    <n v="54002"/>
    <n v="75600"/>
  </r>
  <r>
    <x v="72"/>
    <n v="47527"/>
    <n v="67890"/>
  </r>
  <r>
    <x v="73"/>
    <n v="39743"/>
    <n v="59723"/>
  </r>
  <r>
    <x v="74"/>
    <n v="38222"/>
    <n v="59699"/>
  </r>
  <r>
    <x v="75"/>
    <n v="36916"/>
    <n v="57962"/>
  </r>
  <r>
    <x v="76"/>
    <n v="33602"/>
    <n v="54421"/>
  </r>
  <r>
    <x v="77"/>
    <n v="30957"/>
    <n v="51904"/>
  </r>
  <r>
    <x v="78"/>
    <n v="28210"/>
    <n v="48302"/>
  </r>
  <r>
    <x v="79"/>
    <n v="23265"/>
    <n v="40490"/>
  </r>
  <r>
    <x v="80"/>
    <n v="20366"/>
    <n v="37999"/>
  </r>
  <r>
    <x v="81"/>
    <n v="21615"/>
    <n v="41217"/>
  </r>
  <r>
    <x v="82"/>
    <n v="18081"/>
    <n v="35561"/>
  </r>
  <r>
    <x v="83"/>
    <n v="16264"/>
    <n v="34140"/>
  </r>
  <r>
    <x v="84"/>
    <n v="13298"/>
    <n v="29111"/>
  </r>
  <r>
    <x v="85"/>
    <n v="11491"/>
    <n v="27016"/>
  </r>
  <r>
    <x v="86"/>
    <n v="9080"/>
    <n v="22738"/>
  </r>
  <r>
    <x v="87"/>
    <n v="7457"/>
    <n v="19761"/>
  </r>
  <r>
    <x v="88"/>
    <n v="5940"/>
    <n v="16556"/>
  </r>
  <r>
    <x v="89"/>
    <n v="4644"/>
    <n v="13919"/>
  </r>
  <r>
    <x v="90"/>
    <n v="14495"/>
    <n v="466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B0294-D497-459C-A81C-00F9BD982DA2}" name="Kimutatás6" cacheId="0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outline="1" outlineData="1" multipleFieldFilters="0">
  <location ref="M7:O15" firstHeaderRow="0" firstDataRow="1" firstDataCol="1"/>
  <pivotFields count="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Összeg / Férfi" fld="1" baseField="0" baseItem="0"/>
    <dataField name="Összeg / Nő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B1E5-92D1-42E5-BBF9-38725E80E52A}">
  <sheetPr>
    <tabColor theme="4"/>
  </sheetPr>
  <dimension ref="A1:X56"/>
  <sheetViews>
    <sheetView tabSelected="1" zoomScaleNormal="100" workbookViewId="0"/>
  </sheetViews>
  <sheetFormatPr defaultColWidth="9.109375" defaultRowHeight="13.2" x14ac:dyDescent="0.25"/>
  <cols>
    <col min="1" max="1" width="2.44140625" style="1" customWidth="1"/>
    <col min="2" max="2" width="39.109375" style="1" bestFit="1" customWidth="1"/>
    <col min="3" max="9" width="13.44140625" style="1" customWidth="1"/>
    <col min="10" max="10" width="5.6640625" style="1" customWidth="1"/>
    <col min="11" max="11" width="30.6640625" style="1" customWidth="1"/>
    <col min="12" max="18" width="14.6640625" style="1" customWidth="1"/>
    <col min="19" max="23" width="15.33203125" style="1" customWidth="1"/>
    <col min="24" max="16384" width="9.109375" style="1"/>
  </cols>
  <sheetData>
    <row r="1" spans="1:18" ht="13.5" customHeight="1" thickBot="1" x14ac:dyDescent="0.3"/>
    <row r="2" spans="1:18" ht="43.2" customHeight="1" thickBot="1" x14ac:dyDescent="0.3">
      <c r="B2" s="199" t="s">
        <v>0</v>
      </c>
      <c r="C2" s="200"/>
      <c r="D2" s="200"/>
      <c r="E2" s="200"/>
      <c r="F2" s="200"/>
      <c r="G2" s="201"/>
      <c r="H2" s="91"/>
    </row>
    <row r="3" spans="1:18" ht="13.8" thickBot="1" x14ac:dyDescent="0.3"/>
    <row r="4" spans="1:18" ht="54.75" customHeight="1" thickBot="1" x14ac:dyDescent="0.3">
      <c r="B4" s="199" t="s">
        <v>1</v>
      </c>
      <c r="C4" s="200"/>
      <c r="D4" s="200"/>
      <c r="E4" s="200"/>
      <c r="F4" s="200"/>
      <c r="G4" s="201"/>
      <c r="H4" s="91"/>
    </row>
    <row r="5" spans="1:18" s="9" customFormat="1" ht="13.8" thickBot="1" x14ac:dyDescent="0.3">
      <c r="B5" s="10"/>
      <c r="C5" s="10"/>
      <c r="D5" s="10"/>
      <c r="E5" s="10"/>
      <c r="F5" s="10"/>
      <c r="G5" s="10"/>
      <c r="H5" s="10"/>
      <c r="I5" s="10"/>
      <c r="K5" s="10"/>
      <c r="L5" s="10"/>
      <c r="M5" s="10"/>
      <c r="N5" s="10"/>
      <c r="O5" s="10"/>
      <c r="P5" s="10"/>
      <c r="Q5" s="10"/>
    </row>
    <row r="6" spans="1:18" ht="13.8" thickBot="1" x14ac:dyDescent="0.3"/>
    <row r="7" spans="1:18" ht="13.2" customHeight="1" x14ac:dyDescent="0.25">
      <c r="A7" s="1" t="s">
        <v>2</v>
      </c>
      <c r="B7" s="213" t="s">
        <v>3</v>
      </c>
      <c r="C7" s="208" t="s">
        <v>4</v>
      </c>
      <c r="D7" s="209"/>
      <c r="E7" s="209"/>
      <c r="F7" s="209"/>
      <c r="G7" s="209"/>
      <c r="H7" s="209"/>
      <c r="I7" s="210"/>
      <c r="K7" s="213" t="s">
        <v>5</v>
      </c>
      <c r="L7" s="208" t="s">
        <v>4</v>
      </c>
      <c r="M7" s="209"/>
      <c r="N7" s="209"/>
      <c r="O7" s="209"/>
      <c r="P7" s="209"/>
      <c r="Q7" s="209"/>
      <c r="R7" s="210"/>
    </row>
    <row r="8" spans="1:18" ht="13.8" thickBot="1" x14ac:dyDescent="0.3">
      <c r="B8" s="214"/>
      <c r="C8" s="146" t="s">
        <v>6</v>
      </c>
      <c r="D8" s="146" t="s">
        <v>7</v>
      </c>
      <c r="E8" s="146" t="s">
        <v>8</v>
      </c>
      <c r="F8" s="146" t="s">
        <v>9</v>
      </c>
      <c r="G8" s="147" t="s">
        <v>10</v>
      </c>
      <c r="H8" s="147" t="s">
        <v>11</v>
      </c>
      <c r="I8" s="148" t="s">
        <v>12</v>
      </c>
      <c r="K8" s="214"/>
      <c r="L8" s="146" t="s">
        <v>6</v>
      </c>
      <c r="M8" s="146" t="s">
        <v>7</v>
      </c>
      <c r="N8" s="146" t="s">
        <v>8</v>
      </c>
      <c r="O8" s="146" t="s">
        <v>9</v>
      </c>
      <c r="P8" s="147" t="s">
        <v>10</v>
      </c>
      <c r="Q8" s="147" t="s">
        <v>11</v>
      </c>
      <c r="R8" s="148" t="s">
        <v>12</v>
      </c>
    </row>
    <row r="9" spans="1:18" x14ac:dyDescent="0.25">
      <c r="B9" s="2" t="s">
        <v>13</v>
      </c>
      <c r="C9" s="85">
        <v>86</v>
      </c>
      <c r="D9" s="85">
        <v>71</v>
      </c>
      <c r="E9" s="85">
        <v>88</v>
      </c>
      <c r="F9" s="85">
        <v>74</v>
      </c>
      <c r="G9" s="85">
        <v>54</v>
      </c>
      <c r="H9" s="85">
        <v>77</v>
      </c>
      <c r="I9" s="85">
        <v>86</v>
      </c>
      <c r="K9" s="2" t="s">
        <v>14</v>
      </c>
      <c r="L9" s="85">
        <v>17</v>
      </c>
      <c r="M9" s="85">
        <v>38</v>
      </c>
      <c r="N9" s="85">
        <v>34</v>
      </c>
      <c r="O9" s="85">
        <v>43</v>
      </c>
      <c r="P9" s="85">
        <v>30</v>
      </c>
      <c r="Q9" s="85">
        <v>46</v>
      </c>
      <c r="R9" s="85">
        <v>61</v>
      </c>
    </row>
    <row r="10" spans="1:18" x14ac:dyDescent="0.25">
      <c r="B10" s="95" t="s">
        <v>15</v>
      </c>
      <c r="C10" s="92">
        <v>729</v>
      </c>
      <c r="D10" s="92">
        <v>525</v>
      </c>
      <c r="E10" s="92">
        <v>446</v>
      </c>
      <c r="F10" s="92">
        <v>411</v>
      </c>
      <c r="G10" s="92">
        <v>358</v>
      </c>
      <c r="H10" s="92">
        <v>358</v>
      </c>
      <c r="I10" s="92">
        <v>360</v>
      </c>
      <c r="K10" s="2" t="s">
        <v>16</v>
      </c>
      <c r="L10" s="85">
        <v>0</v>
      </c>
      <c r="M10" s="85">
        <v>0</v>
      </c>
      <c r="N10" s="85">
        <v>0</v>
      </c>
      <c r="O10" s="85">
        <v>102</v>
      </c>
      <c r="P10" s="85">
        <v>111</v>
      </c>
      <c r="Q10" s="85">
        <v>118</v>
      </c>
      <c r="R10" s="85">
        <v>115</v>
      </c>
    </row>
    <row r="11" spans="1:18" x14ac:dyDescent="0.25">
      <c r="B11" s="95" t="s">
        <v>17</v>
      </c>
      <c r="C11" s="92">
        <v>61</v>
      </c>
      <c r="D11" s="92">
        <v>71</v>
      </c>
      <c r="E11" s="92">
        <v>77</v>
      </c>
      <c r="F11" s="92">
        <v>66</v>
      </c>
      <c r="G11" s="92">
        <v>56</v>
      </c>
      <c r="H11" s="92">
        <v>81</v>
      </c>
      <c r="I11" s="92">
        <v>78</v>
      </c>
      <c r="K11" s="95" t="s">
        <v>18</v>
      </c>
      <c r="L11" s="92">
        <v>84</v>
      </c>
      <c r="M11" s="92">
        <v>124</v>
      </c>
      <c r="N11" s="92">
        <v>114</v>
      </c>
      <c r="O11" s="92">
        <v>124</v>
      </c>
      <c r="P11" s="92">
        <v>156</v>
      </c>
      <c r="Q11" s="92">
        <v>227</v>
      </c>
      <c r="R11" s="92">
        <v>265</v>
      </c>
    </row>
    <row r="12" spans="1:18" x14ac:dyDescent="0.25">
      <c r="B12" s="149" t="s">
        <v>19</v>
      </c>
      <c r="C12" s="150">
        <v>166</v>
      </c>
      <c r="D12" s="150">
        <v>111</v>
      </c>
      <c r="E12" s="150">
        <v>130</v>
      </c>
      <c r="F12" s="150">
        <v>128</v>
      </c>
      <c r="G12" s="150">
        <v>118</v>
      </c>
      <c r="H12" s="150">
        <v>134</v>
      </c>
      <c r="I12" s="150">
        <v>110</v>
      </c>
      <c r="K12" s="95" t="s">
        <v>19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2">
        <v>0</v>
      </c>
      <c r="R12" s="92">
        <v>48</v>
      </c>
    </row>
    <row r="13" spans="1:18" x14ac:dyDescent="0.25">
      <c r="B13" s="149" t="s">
        <v>20</v>
      </c>
      <c r="C13" s="150">
        <v>76</v>
      </c>
      <c r="D13" s="150">
        <v>57</v>
      </c>
      <c r="E13" s="150">
        <v>49</v>
      </c>
      <c r="F13" s="150">
        <v>45</v>
      </c>
      <c r="G13" s="150">
        <v>31</v>
      </c>
      <c r="H13" s="150">
        <v>0</v>
      </c>
      <c r="I13" s="150">
        <v>0</v>
      </c>
      <c r="K13" s="95" t="s">
        <v>21</v>
      </c>
      <c r="L13" s="92">
        <v>49</v>
      </c>
      <c r="M13" s="92">
        <v>42</v>
      </c>
      <c r="N13" s="92">
        <v>45</v>
      </c>
      <c r="O13" s="92">
        <v>53</v>
      </c>
      <c r="P13" s="92">
        <v>38</v>
      </c>
      <c r="Q13" s="92">
        <v>80</v>
      </c>
      <c r="R13" s="92">
        <v>89</v>
      </c>
    </row>
    <row r="14" spans="1:18" x14ac:dyDescent="0.25">
      <c r="B14" s="149" t="s">
        <v>22</v>
      </c>
      <c r="C14" s="150">
        <v>162</v>
      </c>
      <c r="D14" s="150">
        <v>62</v>
      </c>
      <c r="E14" s="150">
        <v>52</v>
      </c>
      <c r="F14" s="150">
        <v>0</v>
      </c>
      <c r="G14" s="150">
        <v>0</v>
      </c>
      <c r="H14" s="150">
        <v>0</v>
      </c>
      <c r="I14" s="150">
        <v>0</v>
      </c>
      <c r="K14" s="149" t="s">
        <v>23</v>
      </c>
      <c r="L14" s="150">
        <v>178</v>
      </c>
      <c r="M14" s="150">
        <v>199</v>
      </c>
      <c r="N14" s="150">
        <v>224</v>
      </c>
      <c r="O14" s="150">
        <v>203</v>
      </c>
      <c r="P14" s="150">
        <v>200</v>
      </c>
      <c r="Q14" s="150">
        <v>234</v>
      </c>
      <c r="R14" s="150">
        <v>242</v>
      </c>
    </row>
    <row r="15" spans="1:18" x14ac:dyDescent="0.25">
      <c r="B15" s="149" t="s">
        <v>24</v>
      </c>
      <c r="C15" s="150">
        <v>173</v>
      </c>
      <c r="D15" s="150">
        <v>139</v>
      </c>
      <c r="E15" s="150">
        <v>143</v>
      </c>
      <c r="F15" s="150">
        <v>124</v>
      </c>
      <c r="G15" s="150">
        <v>114</v>
      </c>
      <c r="H15" s="150">
        <v>133</v>
      </c>
      <c r="I15" s="150">
        <v>143</v>
      </c>
      <c r="K15" s="149" t="s">
        <v>25</v>
      </c>
      <c r="L15" s="150">
        <v>50</v>
      </c>
      <c r="M15" s="150">
        <v>80</v>
      </c>
      <c r="N15" s="150">
        <v>100</v>
      </c>
      <c r="O15" s="150">
        <v>130</v>
      </c>
      <c r="P15" s="150">
        <v>137</v>
      </c>
      <c r="Q15" s="150">
        <v>190</v>
      </c>
      <c r="R15" s="150">
        <v>192</v>
      </c>
    </row>
    <row r="16" spans="1:18" x14ac:dyDescent="0.25">
      <c r="B16" s="149" t="s">
        <v>26</v>
      </c>
      <c r="C16" s="150">
        <v>41</v>
      </c>
      <c r="D16" s="150">
        <v>34</v>
      </c>
      <c r="E16" s="150">
        <v>47</v>
      </c>
      <c r="F16" s="150">
        <v>39</v>
      </c>
      <c r="G16" s="150">
        <v>0</v>
      </c>
      <c r="H16" s="150">
        <v>0</v>
      </c>
      <c r="I16" s="150">
        <v>0</v>
      </c>
      <c r="K16" s="149" t="s">
        <v>27</v>
      </c>
      <c r="L16" s="150">
        <v>13</v>
      </c>
      <c r="M16" s="150">
        <v>14</v>
      </c>
      <c r="N16" s="150">
        <v>19</v>
      </c>
      <c r="O16" s="150">
        <v>22</v>
      </c>
      <c r="P16" s="150">
        <v>0</v>
      </c>
      <c r="Q16" s="150">
        <v>0</v>
      </c>
      <c r="R16" s="150">
        <v>0</v>
      </c>
    </row>
    <row r="17" spans="2:24" ht="13.8" thickBot="1" x14ac:dyDescent="0.3">
      <c r="B17" s="149" t="s">
        <v>28</v>
      </c>
      <c r="C17" s="150">
        <v>41</v>
      </c>
      <c r="D17" s="150">
        <v>29</v>
      </c>
      <c r="E17" s="150">
        <v>0</v>
      </c>
      <c r="F17" s="150">
        <v>0</v>
      </c>
      <c r="G17" s="150">
        <v>0</v>
      </c>
      <c r="H17" s="150">
        <v>0</v>
      </c>
      <c r="I17" s="150">
        <v>0</v>
      </c>
      <c r="K17" s="149" t="s">
        <v>29</v>
      </c>
      <c r="L17" s="150">
        <v>0</v>
      </c>
      <c r="M17" s="150">
        <v>0</v>
      </c>
      <c r="N17" s="150">
        <v>0</v>
      </c>
      <c r="O17" s="150">
        <v>38</v>
      </c>
      <c r="P17" s="150">
        <v>55</v>
      </c>
      <c r="Q17" s="150">
        <v>61</v>
      </c>
      <c r="R17" s="150">
        <v>41</v>
      </c>
      <c r="V17" s="76"/>
      <c r="W17"/>
      <c r="X17"/>
    </row>
    <row r="18" spans="2:24" ht="13.8" thickBot="1" x14ac:dyDescent="0.3">
      <c r="B18" s="13" t="s">
        <v>30</v>
      </c>
      <c r="C18" s="84">
        <f>SUM(C9:C17)</f>
        <v>1535</v>
      </c>
      <c r="D18" s="84">
        <f>SUM(D9:D17)</f>
        <v>1099</v>
      </c>
      <c r="E18" s="84">
        <f>SUM(E9:E17)</f>
        <v>1032</v>
      </c>
      <c r="F18" s="84">
        <f>SUM(F9:F17)</f>
        <v>887</v>
      </c>
      <c r="G18" s="84">
        <v>731</v>
      </c>
      <c r="H18" s="84">
        <f>SUM(H9:H17)</f>
        <v>783</v>
      </c>
      <c r="I18" s="84">
        <f>SUM(I9:I17)</f>
        <v>777</v>
      </c>
      <c r="K18" s="13" t="s">
        <v>30</v>
      </c>
      <c r="L18" s="84">
        <f>SUM(L9:L17)</f>
        <v>391</v>
      </c>
      <c r="M18" s="84">
        <f>SUM(M9:M17)</f>
        <v>497</v>
      </c>
      <c r="N18" s="84">
        <f>SUM(N9:N17)</f>
        <v>536</v>
      </c>
      <c r="O18" s="84">
        <f>SUM(O9:O17)</f>
        <v>715</v>
      </c>
      <c r="P18" s="84">
        <v>727</v>
      </c>
      <c r="Q18" s="84">
        <f>SUM(Q9:Q17)</f>
        <v>956</v>
      </c>
      <c r="R18" s="84">
        <f>SUM(R9:R17)</f>
        <v>1053</v>
      </c>
      <c r="U18" s="76"/>
      <c r="V18"/>
      <c r="W18"/>
    </row>
    <row r="19" spans="2:24" ht="13.8" thickBot="1" x14ac:dyDescent="0.3">
      <c r="T19" s="76"/>
      <c r="U19" s="76"/>
      <c r="V19"/>
      <c r="W19"/>
    </row>
    <row r="20" spans="2:24" ht="13.5" customHeight="1" thickBot="1" x14ac:dyDescent="0.3">
      <c r="B20" s="213" t="s">
        <v>3</v>
      </c>
      <c r="C20" s="215" t="s">
        <v>31</v>
      </c>
      <c r="D20" s="215"/>
      <c r="E20" s="215" t="s">
        <v>32</v>
      </c>
      <c r="F20" s="217" t="s">
        <v>33</v>
      </c>
      <c r="G20" s="81"/>
      <c r="H20" s="81"/>
      <c r="J20" s="77" t="s">
        <v>34</v>
      </c>
      <c r="K20" s="219" t="s">
        <v>35</v>
      </c>
      <c r="L20" s="220"/>
      <c r="M20" s="221"/>
      <c r="N20" s="211" t="s">
        <v>36</v>
      </c>
      <c r="O20" s="212"/>
      <c r="P20" s="83" t="s">
        <v>37</v>
      </c>
      <c r="Q20" s="83" t="s">
        <v>38</v>
      </c>
      <c r="R20" s="83" t="s">
        <v>39</v>
      </c>
      <c r="S20" s="204" t="s">
        <v>40</v>
      </c>
      <c r="T20" s="204"/>
      <c r="U20" s="204"/>
    </row>
    <row r="21" spans="2:24" ht="13.8" thickBot="1" x14ac:dyDescent="0.3">
      <c r="B21" s="214"/>
      <c r="C21" s="86" t="s">
        <v>6</v>
      </c>
      <c r="D21" s="86" t="s">
        <v>12</v>
      </c>
      <c r="E21" s="216"/>
      <c r="F21" s="218"/>
      <c r="G21" s="81"/>
      <c r="H21" s="81"/>
      <c r="K21" s="222" t="s">
        <v>41</v>
      </c>
      <c r="L21" s="222"/>
      <c r="M21" s="222"/>
      <c r="N21" s="205" t="s">
        <v>42</v>
      </c>
      <c r="O21" s="205"/>
      <c r="P21" s="78">
        <f>I12</f>
        <v>110</v>
      </c>
      <c r="Q21" s="78">
        <f>I18</f>
        <v>777</v>
      </c>
      <c r="R21" s="151">
        <f t="shared" ref="R21:R27" si="0">P21/Q21</f>
        <v>0.14157014157014158</v>
      </c>
      <c r="S21" s="205" t="s">
        <v>43</v>
      </c>
      <c r="T21" s="205"/>
      <c r="U21" s="205"/>
    </row>
    <row r="22" spans="2:24" ht="13.5" customHeight="1" x14ac:dyDescent="0.25">
      <c r="B22" s="2" t="s">
        <v>13</v>
      </c>
      <c r="C22" s="96">
        <f t="shared" ref="C22:C30" si="1">C9/C$18</f>
        <v>5.6026058631921824E-2</v>
      </c>
      <c r="D22" s="96">
        <f t="shared" ref="D22:D30" si="2">I9/I$18</f>
        <v>0.11068211068211069</v>
      </c>
      <c r="E22" s="93">
        <f t="shared" ref="E22:E31" si="3">I9/C9</f>
        <v>1</v>
      </c>
      <c r="F22" s="93">
        <f t="shared" ref="F22:F31" si="4">D22/C22</f>
        <v>1.9755469755469757</v>
      </c>
      <c r="G22" s="81"/>
      <c r="H22" s="81"/>
      <c r="K22" s="206" t="s">
        <v>44</v>
      </c>
      <c r="L22" s="206"/>
      <c r="M22" s="206" t="s">
        <v>45</v>
      </c>
      <c r="N22" s="202" t="s">
        <v>46</v>
      </c>
      <c r="O22" s="202"/>
      <c r="P22" s="152">
        <f>R18</f>
        <v>1053</v>
      </c>
      <c r="Q22" s="152">
        <f>I18</f>
        <v>777</v>
      </c>
      <c r="R22" s="151">
        <f t="shared" si="0"/>
        <v>1.3552123552123552</v>
      </c>
      <c r="S22" s="202" t="s">
        <v>47</v>
      </c>
      <c r="T22" s="202"/>
      <c r="U22" s="202"/>
    </row>
    <row r="23" spans="2:24" ht="13.5" customHeight="1" x14ac:dyDescent="0.25">
      <c r="B23" s="95" t="s">
        <v>15</v>
      </c>
      <c r="C23" s="96">
        <f t="shared" si="1"/>
        <v>0.4749185667752443</v>
      </c>
      <c r="D23" s="96">
        <f t="shared" si="2"/>
        <v>0.46332046332046334</v>
      </c>
      <c r="E23" s="93">
        <f t="shared" si="3"/>
        <v>0.49382716049382713</v>
      </c>
      <c r="F23" s="93">
        <f t="shared" si="4"/>
        <v>0.97557875335653121</v>
      </c>
      <c r="G23" s="81"/>
      <c r="H23" s="81"/>
      <c r="K23" s="206" t="s">
        <v>48</v>
      </c>
      <c r="L23" s="206"/>
      <c r="M23" s="206" t="s">
        <v>49</v>
      </c>
      <c r="N23" s="202" t="s">
        <v>42</v>
      </c>
      <c r="O23" s="202"/>
      <c r="P23" s="152">
        <f>I12+R12</f>
        <v>158</v>
      </c>
      <c r="Q23" s="152">
        <f>I18+R18</f>
        <v>1830</v>
      </c>
      <c r="R23" s="151">
        <f t="shared" si="0"/>
        <v>8.6338797814207655E-2</v>
      </c>
      <c r="S23" s="202">
        <v>0.09</v>
      </c>
      <c r="T23" s="202"/>
      <c r="U23" s="202"/>
    </row>
    <row r="24" spans="2:24" ht="13.5" customHeight="1" x14ac:dyDescent="0.25">
      <c r="B24" s="95" t="s">
        <v>17</v>
      </c>
      <c r="C24" s="96">
        <f t="shared" si="1"/>
        <v>3.9739413680781759E-2</v>
      </c>
      <c r="D24" s="96">
        <f t="shared" si="2"/>
        <v>0.10038610038610038</v>
      </c>
      <c r="E24" s="93">
        <f t="shared" si="3"/>
        <v>1.278688524590164</v>
      </c>
      <c r="F24" s="93">
        <f t="shared" si="4"/>
        <v>2.5261092474207225</v>
      </c>
      <c r="G24" s="81"/>
      <c r="H24" s="81"/>
      <c r="K24" s="206" t="s">
        <v>50</v>
      </c>
      <c r="L24" s="206"/>
      <c r="M24" s="206" t="s">
        <v>45</v>
      </c>
      <c r="N24" s="202" t="s">
        <v>51</v>
      </c>
      <c r="O24" s="202"/>
      <c r="P24" s="152">
        <f>I12+R12</f>
        <v>158</v>
      </c>
      <c r="Q24" s="152">
        <f>M12+D12</f>
        <v>111</v>
      </c>
      <c r="R24" s="151">
        <f t="shared" si="0"/>
        <v>1.4234234234234233</v>
      </c>
      <c r="S24" s="202" t="s">
        <v>52</v>
      </c>
      <c r="T24" s="202"/>
      <c r="U24" s="202"/>
    </row>
    <row r="25" spans="2:24" ht="13.5" customHeight="1" x14ac:dyDescent="0.25">
      <c r="B25" s="149" t="s">
        <v>19</v>
      </c>
      <c r="C25" s="96">
        <f t="shared" si="1"/>
        <v>0.10814332247557003</v>
      </c>
      <c r="D25" s="96">
        <f t="shared" si="2"/>
        <v>0.14157014157014158</v>
      </c>
      <c r="E25" s="93">
        <f t="shared" si="3"/>
        <v>0.66265060240963858</v>
      </c>
      <c r="F25" s="93">
        <f t="shared" si="4"/>
        <v>1.309097393434743</v>
      </c>
      <c r="G25" s="81"/>
      <c r="H25" s="81"/>
      <c r="K25" s="206" t="s">
        <v>53</v>
      </c>
      <c r="L25" s="206"/>
      <c r="M25" s="206" t="s">
        <v>49</v>
      </c>
      <c r="N25" s="202" t="s">
        <v>54</v>
      </c>
      <c r="O25" s="202"/>
      <c r="P25" s="151">
        <f>R18/(R18+I18)</f>
        <v>0.57540983606557372</v>
      </c>
      <c r="Q25" s="151">
        <f>L18/(L18+C18)</f>
        <v>0.20301142263759087</v>
      </c>
      <c r="R25" s="151">
        <f t="shared" si="0"/>
        <v>2.8343717244559974</v>
      </c>
      <c r="S25" s="202" t="s">
        <v>55</v>
      </c>
      <c r="T25" s="202"/>
      <c r="U25" s="202"/>
    </row>
    <row r="26" spans="2:24" ht="13.5" customHeight="1" x14ac:dyDescent="0.25">
      <c r="B26" s="149" t="s">
        <v>20</v>
      </c>
      <c r="C26" s="96">
        <f t="shared" si="1"/>
        <v>4.9511400651465795E-2</v>
      </c>
      <c r="D26" s="96">
        <f t="shared" si="2"/>
        <v>0</v>
      </c>
      <c r="E26" s="93">
        <f t="shared" si="3"/>
        <v>0</v>
      </c>
      <c r="F26" s="93">
        <f t="shared" si="4"/>
        <v>0</v>
      </c>
      <c r="G26" s="81"/>
      <c r="H26" s="81"/>
      <c r="K26" s="206" t="s">
        <v>56</v>
      </c>
      <c r="L26" s="206"/>
      <c r="M26" s="206" t="s">
        <v>42</v>
      </c>
      <c r="N26" s="202" t="s">
        <v>57</v>
      </c>
      <c r="O26" s="202"/>
      <c r="P26" s="151">
        <f>I10/I12</f>
        <v>3.2727272727272729</v>
      </c>
      <c r="Q26" s="151">
        <f>H10/H15</f>
        <v>2.6917293233082709</v>
      </c>
      <c r="R26" s="151">
        <f t="shared" si="0"/>
        <v>1.2158456069070593</v>
      </c>
      <c r="S26" s="202" t="s">
        <v>58</v>
      </c>
      <c r="T26" s="202"/>
      <c r="U26" s="202"/>
    </row>
    <row r="27" spans="2:24" ht="13.5" customHeight="1" thickBot="1" x14ac:dyDescent="0.3">
      <c r="B27" s="149" t="s">
        <v>22</v>
      </c>
      <c r="C27" s="96">
        <f t="shared" si="1"/>
        <v>0.10553745928338762</v>
      </c>
      <c r="D27" s="96">
        <f t="shared" si="2"/>
        <v>0</v>
      </c>
      <c r="E27" s="93">
        <f t="shared" si="3"/>
        <v>0</v>
      </c>
      <c r="F27" s="93">
        <f t="shared" si="4"/>
        <v>0</v>
      </c>
      <c r="G27" s="81"/>
      <c r="H27" s="81"/>
      <c r="K27" s="207" t="s">
        <v>59</v>
      </c>
      <c r="L27" s="207"/>
      <c r="M27" s="207" t="s">
        <v>60</v>
      </c>
      <c r="N27" s="203" t="s">
        <v>61</v>
      </c>
      <c r="O27" s="203"/>
      <c r="P27" s="79">
        <f>(I10/I18)/(R11/R18)</f>
        <v>1.8410431995337657</v>
      </c>
      <c r="Q27" s="79">
        <f>(H10/H18)/(Q11/Q18)</f>
        <v>1.9255433467798653</v>
      </c>
      <c r="R27" s="79">
        <f t="shared" si="0"/>
        <v>0.95611620616725601</v>
      </c>
      <c r="S27" s="203" t="s">
        <v>62</v>
      </c>
      <c r="T27" s="203"/>
      <c r="U27" s="203"/>
    </row>
    <row r="28" spans="2:24" ht="13.5" customHeight="1" x14ac:dyDescent="0.25">
      <c r="B28" s="149" t="s">
        <v>24</v>
      </c>
      <c r="C28" s="96">
        <f t="shared" si="1"/>
        <v>0.11270358306188925</v>
      </c>
      <c r="D28" s="96">
        <f t="shared" si="2"/>
        <v>0.18404118404118405</v>
      </c>
      <c r="E28" s="93">
        <f t="shared" si="3"/>
        <v>0.82658959537572252</v>
      </c>
      <c r="F28" s="93">
        <f t="shared" si="4"/>
        <v>1.6329665751631071</v>
      </c>
      <c r="G28" s="81"/>
      <c r="H28" s="81"/>
    </row>
    <row r="29" spans="2:24" ht="13.5" customHeight="1" x14ac:dyDescent="0.25">
      <c r="B29" s="149" t="s">
        <v>26</v>
      </c>
      <c r="C29" s="96">
        <f t="shared" si="1"/>
        <v>2.6710097719869708E-2</v>
      </c>
      <c r="D29" s="96">
        <f t="shared" si="2"/>
        <v>0</v>
      </c>
      <c r="E29" s="93">
        <f t="shared" si="3"/>
        <v>0</v>
      </c>
      <c r="F29" s="93">
        <f t="shared" si="4"/>
        <v>0</v>
      </c>
      <c r="G29" s="81"/>
      <c r="H29" s="81"/>
      <c r="T29" s="73"/>
    </row>
    <row r="30" spans="2:24" ht="13.5" customHeight="1" thickBot="1" x14ac:dyDescent="0.3">
      <c r="B30" s="149" t="s">
        <v>28</v>
      </c>
      <c r="C30" s="96">
        <f t="shared" si="1"/>
        <v>2.6710097719869708E-2</v>
      </c>
      <c r="D30" s="96">
        <f t="shared" si="2"/>
        <v>0</v>
      </c>
      <c r="E30" s="93">
        <f t="shared" si="3"/>
        <v>0</v>
      </c>
      <c r="F30" s="93">
        <f t="shared" si="4"/>
        <v>0</v>
      </c>
      <c r="G30" s="81"/>
      <c r="H30" s="81"/>
      <c r="K30" s="76"/>
      <c r="L30"/>
    </row>
    <row r="31" spans="2:24" ht="13.8" thickBot="1" x14ac:dyDescent="0.3">
      <c r="B31" s="13" t="s">
        <v>30</v>
      </c>
      <c r="C31" s="97">
        <f>SUM(C22:C30)</f>
        <v>1</v>
      </c>
      <c r="D31" s="97">
        <f>SUM(D22:D30)</f>
        <v>1</v>
      </c>
      <c r="E31" s="94">
        <f t="shared" si="3"/>
        <v>0.50618892508143321</v>
      </c>
      <c r="F31" s="94">
        <f t="shared" si="4"/>
        <v>1</v>
      </c>
      <c r="G31" s="81"/>
      <c r="H31" s="81"/>
      <c r="K31" s="76"/>
      <c r="L31"/>
    </row>
    <row r="32" spans="2:24" ht="13.8" thickBot="1" x14ac:dyDescent="0.3">
      <c r="B32" s="23"/>
      <c r="C32" s="24"/>
      <c r="D32" s="24"/>
      <c r="E32" s="25"/>
      <c r="F32" s="25"/>
      <c r="G32" s="81"/>
      <c r="H32" s="81"/>
      <c r="I32" s="25"/>
      <c r="K32" s="76"/>
      <c r="L32"/>
    </row>
    <row r="33" spans="1:12" ht="13.5" customHeight="1" thickBot="1" x14ac:dyDescent="0.3">
      <c r="C33" s="153" t="s">
        <v>63</v>
      </c>
      <c r="D33" s="32" t="s">
        <v>64</v>
      </c>
      <c r="E33" s="32" t="s">
        <v>65</v>
      </c>
      <c r="F33" s="31" t="s">
        <v>66</v>
      </c>
      <c r="G33" s="81"/>
      <c r="H33" s="81"/>
      <c r="K33" s="76"/>
      <c r="L33"/>
    </row>
    <row r="34" spans="1:12" ht="13.5" customHeight="1" thickBot="1" x14ac:dyDescent="0.3">
      <c r="A34" s="1" t="s">
        <v>67</v>
      </c>
      <c r="B34" s="80" t="s">
        <v>68</v>
      </c>
      <c r="C34" s="30">
        <f>I12-C12</f>
        <v>-56</v>
      </c>
      <c r="D34" s="29">
        <f>I12/C12</f>
        <v>0.66265060240963858</v>
      </c>
      <c r="E34" s="28">
        <f>D25-C25</f>
        <v>3.3426819094571555E-2</v>
      </c>
      <c r="F34" s="27">
        <f>D25/C25</f>
        <v>1.309097393434743</v>
      </c>
      <c r="G34" s="81"/>
      <c r="H34" s="81"/>
      <c r="K34" s="76"/>
      <c r="L34"/>
    </row>
    <row r="35" spans="1:12" x14ac:dyDescent="0.25">
      <c r="K35" s="76"/>
      <c r="L35"/>
    </row>
    <row r="36" spans="1:12" x14ac:dyDescent="0.25">
      <c r="A36" s="1" t="s">
        <v>69</v>
      </c>
      <c r="K36" s="76"/>
      <c r="L36"/>
    </row>
    <row r="37" spans="1:12" x14ac:dyDescent="0.25">
      <c r="K37" s="76"/>
      <c r="L37"/>
    </row>
    <row r="38" spans="1:12" x14ac:dyDescent="0.25">
      <c r="K38" s="76"/>
      <c r="L38"/>
    </row>
    <row r="51" spans="2:3" ht="12.75" customHeight="1" x14ac:dyDescent="0.25">
      <c r="B51" s="5"/>
      <c r="C51" s="6"/>
    </row>
    <row r="52" spans="2:3" x14ac:dyDescent="0.25">
      <c r="B52" s="7"/>
      <c r="C52" s="8"/>
    </row>
    <row r="53" spans="2:3" x14ac:dyDescent="0.25">
      <c r="B53" s="7"/>
      <c r="C53" s="8"/>
    </row>
    <row r="54" spans="2:3" x14ac:dyDescent="0.25">
      <c r="B54" s="7"/>
      <c r="C54" s="8"/>
    </row>
    <row r="55" spans="2:3" x14ac:dyDescent="0.25">
      <c r="B55" s="7"/>
      <c r="C55" s="8"/>
    </row>
    <row r="56" spans="2:3" x14ac:dyDescent="0.25">
      <c r="B56" s="7"/>
      <c r="C56" s="8"/>
    </row>
  </sheetData>
  <mergeCells count="34">
    <mergeCell ref="L7:R7"/>
    <mergeCell ref="N20:O20"/>
    <mergeCell ref="B7:B8"/>
    <mergeCell ref="C7:I7"/>
    <mergeCell ref="K7:K8"/>
    <mergeCell ref="B20:B21"/>
    <mergeCell ref="C20:D20"/>
    <mergeCell ref="E20:E21"/>
    <mergeCell ref="F20:F21"/>
    <mergeCell ref="K20:M20"/>
    <mergeCell ref="K21:M21"/>
    <mergeCell ref="K27:M27"/>
    <mergeCell ref="N21:O21"/>
    <mergeCell ref="N23:O23"/>
    <mergeCell ref="N24:O24"/>
    <mergeCell ref="N25:O25"/>
    <mergeCell ref="N26:O26"/>
    <mergeCell ref="N27:O27"/>
    <mergeCell ref="B2:G2"/>
    <mergeCell ref="B4:G4"/>
    <mergeCell ref="S26:U26"/>
    <mergeCell ref="S23:U23"/>
    <mergeCell ref="S27:U27"/>
    <mergeCell ref="S20:U20"/>
    <mergeCell ref="S21:U21"/>
    <mergeCell ref="S22:U22"/>
    <mergeCell ref="S24:U24"/>
    <mergeCell ref="S25:U25"/>
    <mergeCell ref="K22:M22"/>
    <mergeCell ref="N22:O22"/>
    <mergeCell ref="K23:M23"/>
    <mergeCell ref="K24:M24"/>
    <mergeCell ref="K25:M25"/>
    <mergeCell ref="K26:M26"/>
  </mergeCells>
  <pageMargins left="0.75" right="0.75" top="1" bottom="1" header="0.5" footer="0.5"/>
  <pageSetup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DA59-9E25-4878-B35D-C72A7B4A4E51}">
  <sheetPr>
    <tabColor theme="4"/>
  </sheetPr>
  <dimension ref="A1:AB53"/>
  <sheetViews>
    <sheetView zoomScaleNormal="100" workbookViewId="0"/>
  </sheetViews>
  <sheetFormatPr defaultColWidth="9.109375" defaultRowHeight="13.2" x14ac:dyDescent="0.25"/>
  <cols>
    <col min="1" max="1" width="2.44140625" style="1" customWidth="1"/>
    <col min="2" max="2" width="13.6640625" style="1" customWidth="1"/>
    <col min="3" max="9" width="13.109375" style="1" customWidth="1"/>
    <col min="10" max="28" width="13.33203125" style="1" customWidth="1"/>
    <col min="29" max="16384" width="9.109375" style="1"/>
  </cols>
  <sheetData>
    <row r="1" spans="1:28" ht="13.5" customHeight="1" thickBot="1" x14ac:dyDescent="0.3"/>
    <row r="2" spans="1:28" ht="13.8" thickBot="1" x14ac:dyDescent="0.3">
      <c r="B2" s="240" t="s">
        <v>70</v>
      </c>
      <c r="C2" s="241"/>
      <c r="D2" s="241"/>
      <c r="E2" s="241"/>
      <c r="F2" s="241"/>
      <c r="G2" s="241"/>
      <c r="H2" s="241"/>
      <c r="I2" s="241"/>
      <c r="J2" s="242"/>
    </row>
    <row r="3" spans="1:28" ht="13.8" thickBot="1" x14ac:dyDescent="0.3"/>
    <row r="4" spans="1:28" ht="13.5" customHeight="1" x14ac:dyDescent="0.25">
      <c r="B4" s="243" t="s">
        <v>71</v>
      </c>
      <c r="C4" s="226" t="s">
        <v>72</v>
      </c>
      <c r="D4" s="226"/>
      <c r="E4" s="226" t="s">
        <v>73</v>
      </c>
      <c r="F4" s="226"/>
      <c r="G4" s="226" t="s">
        <v>74</v>
      </c>
      <c r="H4" s="226"/>
      <c r="I4" s="226" t="s">
        <v>75</v>
      </c>
      <c r="J4" s="227"/>
    </row>
    <row r="5" spans="1:28" ht="13.5" customHeight="1" thickBot="1" x14ac:dyDescent="0.3">
      <c r="B5" s="244"/>
      <c r="C5" s="154" t="s">
        <v>76</v>
      </c>
      <c r="D5" s="154" t="s">
        <v>11</v>
      </c>
      <c r="E5" s="154" t="s">
        <v>76</v>
      </c>
      <c r="F5" s="154" t="s">
        <v>11</v>
      </c>
      <c r="G5" s="154" t="s">
        <v>76</v>
      </c>
      <c r="H5" s="154" t="s">
        <v>11</v>
      </c>
      <c r="I5" s="154" t="s">
        <v>76</v>
      </c>
      <c r="J5" s="155" t="s">
        <v>11</v>
      </c>
    </row>
    <row r="6" spans="1:28" ht="13.5" customHeight="1" x14ac:dyDescent="0.25">
      <c r="B6" s="18" t="s">
        <v>77</v>
      </c>
      <c r="C6" s="105">
        <v>5446375</v>
      </c>
      <c r="D6" s="105">
        <v>12905398</v>
      </c>
      <c r="E6" s="105">
        <v>18240652</v>
      </c>
      <c r="F6" s="105">
        <v>13864445</v>
      </c>
      <c r="G6" s="105">
        <v>9862347</v>
      </c>
      <c r="H6" s="105">
        <v>5274134</v>
      </c>
      <c r="I6" s="105">
        <v>1752997</v>
      </c>
      <c r="J6" s="105">
        <v>1365528</v>
      </c>
    </row>
    <row r="7" spans="1:28" ht="13.5" customHeight="1" x14ac:dyDescent="0.25">
      <c r="B7" s="90" t="s">
        <v>78</v>
      </c>
      <c r="C7" s="117">
        <v>5804089</v>
      </c>
      <c r="D7" s="117">
        <v>14281544</v>
      </c>
      <c r="E7" s="117">
        <v>86478606</v>
      </c>
      <c r="F7" s="117">
        <v>72499552</v>
      </c>
      <c r="G7" s="117">
        <v>33812395</v>
      </c>
      <c r="H7" s="117">
        <v>35902741</v>
      </c>
      <c r="I7" s="117">
        <v>6969304</v>
      </c>
      <c r="J7" s="117">
        <v>6135748</v>
      </c>
    </row>
    <row r="8" spans="1:28" ht="13.5" customHeight="1" thickBot="1" x14ac:dyDescent="0.3">
      <c r="B8" s="88" t="s">
        <v>79</v>
      </c>
      <c r="C8" s="118">
        <v>259166</v>
      </c>
      <c r="D8" s="118">
        <v>730889</v>
      </c>
      <c r="E8" s="118">
        <v>22123742</v>
      </c>
      <c r="F8" s="118">
        <v>37002737</v>
      </c>
      <c r="G8" s="118">
        <v>3333369</v>
      </c>
      <c r="H8" s="118">
        <v>10507688</v>
      </c>
      <c r="I8" s="118">
        <v>1522247</v>
      </c>
      <c r="J8" s="118">
        <v>2012974</v>
      </c>
    </row>
    <row r="9" spans="1:28" ht="13.5" customHeight="1" thickBot="1" x14ac:dyDescent="0.3">
      <c r="B9" s="13" t="s">
        <v>30</v>
      </c>
      <c r="C9" s="106">
        <f t="shared" ref="C9:J9" si="0">SUM(C6:C8)</f>
        <v>11509630</v>
      </c>
      <c r="D9" s="106">
        <f t="shared" si="0"/>
        <v>27917831</v>
      </c>
      <c r="E9" s="106">
        <f t="shared" si="0"/>
        <v>126843000</v>
      </c>
      <c r="F9" s="106">
        <f t="shared" si="0"/>
        <v>123366734</v>
      </c>
      <c r="G9" s="106">
        <f t="shared" si="0"/>
        <v>47008111</v>
      </c>
      <c r="H9" s="106">
        <f t="shared" si="0"/>
        <v>51684563</v>
      </c>
      <c r="I9" s="106">
        <f t="shared" si="0"/>
        <v>10244548</v>
      </c>
      <c r="J9" s="106">
        <f t="shared" si="0"/>
        <v>9514250</v>
      </c>
    </row>
    <row r="10" spans="1:28" ht="13.8" thickBot="1" x14ac:dyDescent="0.3"/>
    <row r="11" spans="1:28" ht="81" customHeight="1" thickBot="1" x14ac:dyDescent="0.3">
      <c r="B11" s="240" t="s">
        <v>80</v>
      </c>
      <c r="C11" s="241"/>
      <c r="D11" s="241"/>
      <c r="E11" s="241"/>
      <c r="F11" s="241"/>
      <c r="G11" s="241"/>
      <c r="H11" s="241"/>
      <c r="I11" s="241"/>
      <c r="J11" s="242"/>
    </row>
    <row r="12" spans="1:28" s="9" customFormat="1" ht="13.8" thickBot="1" x14ac:dyDescent="0.3">
      <c r="B12" s="10"/>
      <c r="C12" s="10"/>
      <c r="D12" s="10"/>
      <c r="E12" s="10"/>
      <c r="F12" s="10"/>
    </row>
    <row r="13" spans="1:28" ht="13.8" thickBot="1" x14ac:dyDescent="0.3"/>
    <row r="14" spans="1:28" ht="13.5" customHeight="1" x14ac:dyDescent="0.25">
      <c r="A14" s="1" t="s">
        <v>2</v>
      </c>
      <c r="B14" s="238" t="s">
        <v>81</v>
      </c>
      <c r="C14" s="215" t="s">
        <v>31</v>
      </c>
      <c r="D14" s="215"/>
      <c r="E14" s="215" t="s">
        <v>82</v>
      </c>
      <c r="F14" s="234" t="s">
        <v>83</v>
      </c>
      <c r="G14" s="235"/>
      <c r="I14" s="238" t="s">
        <v>84</v>
      </c>
      <c r="J14" s="215" t="s">
        <v>31</v>
      </c>
      <c r="K14" s="215"/>
      <c r="L14" s="215" t="s">
        <v>82</v>
      </c>
      <c r="M14" s="234" t="s">
        <v>83</v>
      </c>
      <c r="N14" s="235"/>
      <c r="P14" s="238" t="s">
        <v>85</v>
      </c>
      <c r="Q14" s="215" t="s">
        <v>31</v>
      </c>
      <c r="R14" s="215"/>
      <c r="S14" s="215" t="s">
        <v>82</v>
      </c>
      <c r="T14" s="234" t="s">
        <v>83</v>
      </c>
      <c r="U14" s="235"/>
      <c r="W14" s="238" t="s">
        <v>86</v>
      </c>
      <c r="X14" s="215" t="s">
        <v>31</v>
      </c>
      <c r="Y14" s="215"/>
      <c r="Z14" s="215" t="s">
        <v>82</v>
      </c>
      <c r="AA14" s="234" t="s">
        <v>83</v>
      </c>
      <c r="AB14" s="235"/>
    </row>
    <row r="15" spans="1:28" ht="13.8" thickBot="1" x14ac:dyDescent="0.3">
      <c r="B15" s="239"/>
      <c r="C15" s="86" t="s">
        <v>76</v>
      </c>
      <c r="D15" s="86" t="s">
        <v>11</v>
      </c>
      <c r="E15" s="216"/>
      <c r="F15" s="236"/>
      <c r="G15" s="237"/>
      <c r="I15" s="239"/>
      <c r="J15" s="86" t="s">
        <v>76</v>
      </c>
      <c r="K15" s="86" t="s">
        <v>11</v>
      </c>
      <c r="L15" s="216"/>
      <c r="M15" s="236"/>
      <c r="N15" s="237"/>
      <c r="P15" s="239"/>
      <c r="Q15" s="86" t="s">
        <v>76</v>
      </c>
      <c r="R15" s="86" t="s">
        <v>11</v>
      </c>
      <c r="S15" s="216"/>
      <c r="T15" s="236"/>
      <c r="U15" s="237"/>
      <c r="W15" s="239"/>
      <c r="X15" s="86" t="s">
        <v>76</v>
      </c>
      <c r="Y15" s="86" t="s">
        <v>11</v>
      </c>
      <c r="Z15" s="216"/>
      <c r="AA15" s="236"/>
      <c r="AB15" s="237"/>
    </row>
    <row r="16" spans="1:28" ht="13.5" customHeight="1" x14ac:dyDescent="0.25">
      <c r="B16" s="18" t="s">
        <v>77</v>
      </c>
      <c r="C16" s="142">
        <f t="shared" ref="C16:D19" si="1">C6/C$9</f>
        <v>0.47320157120602485</v>
      </c>
      <c r="D16" s="142">
        <f t="shared" si="1"/>
        <v>0.46226363358958655</v>
      </c>
      <c r="E16" s="143">
        <f>D6/C6</f>
        <v>2.3695390053016916</v>
      </c>
      <c r="F16" s="143">
        <f t="shared" ref="F16:F19" si="2">D16/C16</f>
        <v>0.97688524662215015</v>
      </c>
      <c r="G16" s="143">
        <f>E16/$E$19</f>
        <v>0.97688524662215015</v>
      </c>
      <c r="H16" s="4"/>
      <c r="I16" s="18" t="s">
        <v>77</v>
      </c>
      <c r="J16" s="142" cm="1">
        <f t="array" ref="J16:J19">E6:E9/E9</f>
        <v>0.1438049557326774</v>
      </c>
      <c r="K16" s="142" cm="1">
        <f t="array" ref="K16:K19">F6:F9/F9</f>
        <v>0.11238398351374042</v>
      </c>
      <c r="L16" s="143" cm="1">
        <f t="array" ref="L16:L19">F6:F9/E6:E9</f>
        <v>0.76008494652493785</v>
      </c>
      <c r="M16" s="143" cm="1">
        <f t="array" ref="M16:M19">_xlfn.ANCHORARRAY(K16)/_xlfn.ANCHORARRAY(J16)</f>
        <v>0.78150285531643149</v>
      </c>
      <c r="N16" s="143" cm="1">
        <f t="array" ref="N16:N19">_xlfn.ANCHORARRAY(L16)/L19</f>
        <v>0.78150285531643149</v>
      </c>
      <c r="P16" s="18" t="s">
        <v>77</v>
      </c>
      <c r="Q16" s="142" cm="1">
        <f t="array" ref="Q16:Q19">G6:G9/G9</f>
        <v>0.2098009639230132</v>
      </c>
      <c r="R16" s="142" cm="1">
        <f t="array" ref="R16:R19">H6:H9/H9</f>
        <v>0.10204466660577163</v>
      </c>
      <c r="S16" s="143" cm="1">
        <f t="array" ref="S16:S19">H6:H9/G6:G9</f>
        <v>0.53477473465494574</v>
      </c>
      <c r="T16" s="143" cm="1">
        <f t="array" ref="T16:T19">_xlfn.ANCHORARRAY(R16)/_xlfn.ANCHORARRAY(Q16)</f>
        <v>0.48638797790851468</v>
      </c>
      <c r="U16" s="143" cm="1">
        <f t="array" ref="U16:U19">_xlfn.ANCHORARRAY(S16)/S19</f>
        <v>0.48638797790851468</v>
      </c>
      <c r="W16" s="18" t="s">
        <v>77</v>
      </c>
      <c r="X16" s="142" cm="1">
        <f t="array" ref="X16:X19">I6:I9/I9</f>
        <v>0.17111511410752334</v>
      </c>
      <c r="Y16" s="142" cm="1">
        <f t="array" ref="Y16:Y19">J6:J9/J9</f>
        <v>0.14352450271960479</v>
      </c>
      <c r="Z16" s="143" cm="1">
        <f t="array" ref="Z16:Z19">J6:J9/I6:I9</f>
        <v>0.7789676764991611</v>
      </c>
      <c r="AA16" s="143" cm="1">
        <f t="array" ref="AA16:AA19">_xlfn.ANCHORARRAY(Y16)/_xlfn.ANCHORARRAY(X16)</f>
        <v>0.83875993928519088</v>
      </c>
      <c r="AB16" s="143" cm="1">
        <f t="array" ref="AB16:AB19">_xlfn.ANCHORARRAY(Z16)/Z19</f>
        <v>0.83875993928519099</v>
      </c>
    </row>
    <row r="17" spans="1:28" ht="13.5" customHeight="1" x14ac:dyDescent="0.25">
      <c r="B17" s="90" t="s">
        <v>78</v>
      </c>
      <c r="C17" s="142">
        <f t="shared" si="1"/>
        <v>0.50428111068731141</v>
      </c>
      <c r="D17" s="142">
        <f t="shared" si="1"/>
        <v>0.51155635980459946</v>
      </c>
      <c r="E17" s="143">
        <f>D7/C7</f>
        <v>2.4606004490971798</v>
      </c>
      <c r="F17" s="143">
        <f t="shared" si="2"/>
        <v>1.0144269713124336</v>
      </c>
      <c r="G17" s="143">
        <f>E17/$E$19</f>
        <v>1.0144269713124339</v>
      </c>
      <c r="H17" s="4"/>
      <c r="I17" s="90" t="s">
        <v>78</v>
      </c>
      <c r="J17" s="142">
        <v>0.68177673186537691</v>
      </c>
      <c r="K17" s="142">
        <v>0.58767505347105975</v>
      </c>
      <c r="L17" s="143">
        <v>0.83835245910416267</v>
      </c>
      <c r="M17" s="143">
        <v>0.86197581408087953</v>
      </c>
      <c r="N17" s="143">
        <v>0.86197581408087942</v>
      </c>
      <c r="P17" s="90" t="s">
        <v>78</v>
      </c>
      <c r="Q17" s="142">
        <v>0.71928852873922122</v>
      </c>
      <c r="R17" s="142">
        <v>0.69465114757766255</v>
      </c>
      <c r="S17" s="143">
        <v>1.06182188514005</v>
      </c>
      <c r="T17" s="143">
        <v>0.96574756835793918</v>
      </c>
      <c r="U17" s="143">
        <v>0.96574756835793929</v>
      </c>
      <c r="W17" s="90" t="s">
        <v>78</v>
      </c>
      <c r="X17" s="142">
        <v>0.68029394757094208</v>
      </c>
      <c r="Y17" s="142">
        <v>0.64490085923745954</v>
      </c>
      <c r="Z17" s="143">
        <v>0.88039609120222051</v>
      </c>
      <c r="AA17" s="143">
        <v>0.94797383034222615</v>
      </c>
      <c r="AB17" s="143">
        <v>0.94797383034222626</v>
      </c>
    </row>
    <row r="18" spans="1:28" ht="13.5" customHeight="1" thickBot="1" x14ac:dyDescent="0.3">
      <c r="B18" s="88" t="s">
        <v>79</v>
      </c>
      <c r="C18" s="142">
        <f t="shared" si="1"/>
        <v>2.2517318106663724E-2</v>
      </c>
      <c r="D18" s="142">
        <f t="shared" si="1"/>
        <v>2.618000660581404E-2</v>
      </c>
      <c r="E18" s="143">
        <f>D8/C8</f>
        <v>2.8201577367401587</v>
      </c>
      <c r="F18" s="143">
        <f t="shared" si="2"/>
        <v>1.1626609564158703</v>
      </c>
      <c r="G18" s="143">
        <f>E18/$E$19</f>
        <v>1.1626609564158703</v>
      </c>
      <c r="I18" s="88" t="s">
        <v>79</v>
      </c>
      <c r="J18" s="142">
        <v>0.17441831240194572</v>
      </c>
      <c r="K18" s="142">
        <v>0.29994096301519985</v>
      </c>
      <c r="L18" s="143">
        <v>1.6725351886674507</v>
      </c>
      <c r="M18" s="143">
        <v>1.7196644026917776</v>
      </c>
      <c r="N18" s="143">
        <v>1.7196644026917778</v>
      </c>
      <c r="P18" s="88" t="s">
        <v>79</v>
      </c>
      <c r="Q18" s="142">
        <v>7.0910507337765605E-2</v>
      </c>
      <c r="R18" s="142">
        <v>0.20330418581656576</v>
      </c>
      <c r="S18" s="143">
        <v>3.1522726706824238</v>
      </c>
      <c r="T18" s="143">
        <v>2.8670530426213685</v>
      </c>
      <c r="U18" s="143">
        <v>2.8670530426213685</v>
      </c>
      <c r="W18" s="88" t="s">
        <v>79</v>
      </c>
      <c r="X18" s="142">
        <v>0.14859093832153453</v>
      </c>
      <c r="Y18" s="142">
        <v>0.21157463804293561</v>
      </c>
      <c r="Z18" s="143">
        <v>1.322370154120849</v>
      </c>
      <c r="AA18" s="143">
        <v>1.4238730869651772</v>
      </c>
      <c r="AB18" s="143">
        <v>1.423873086965177</v>
      </c>
    </row>
    <row r="19" spans="1:28" ht="13.5" customHeight="1" thickBot="1" x14ac:dyDescent="0.3">
      <c r="B19" s="13" t="s">
        <v>30</v>
      </c>
      <c r="C19" s="144">
        <f t="shared" si="1"/>
        <v>1</v>
      </c>
      <c r="D19" s="144">
        <f t="shared" si="1"/>
        <v>1</v>
      </c>
      <c r="E19" s="145">
        <f>D9/C9</f>
        <v>2.4256062966402916</v>
      </c>
      <c r="F19" s="145">
        <f t="shared" si="2"/>
        <v>1</v>
      </c>
      <c r="G19" s="145">
        <f>E19/$E$19</f>
        <v>1</v>
      </c>
      <c r="I19" s="13" t="s">
        <v>30</v>
      </c>
      <c r="J19" s="144">
        <v>1</v>
      </c>
      <c r="K19" s="144">
        <v>1</v>
      </c>
      <c r="L19" s="145">
        <v>0.97259394684767786</v>
      </c>
      <c r="M19" s="145">
        <v>1</v>
      </c>
      <c r="N19" s="145">
        <v>1</v>
      </c>
      <c r="P19" s="13" t="s">
        <v>30</v>
      </c>
      <c r="Q19" s="144">
        <v>1</v>
      </c>
      <c r="R19" s="144">
        <v>1</v>
      </c>
      <c r="S19" s="145">
        <v>1.0994818107028381</v>
      </c>
      <c r="T19" s="145">
        <v>1</v>
      </c>
      <c r="U19" s="145">
        <v>1</v>
      </c>
      <c r="W19" s="13" t="s">
        <v>30</v>
      </c>
      <c r="X19" s="144">
        <v>1</v>
      </c>
      <c r="Y19" s="144">
        <v>1</v>
      </c>
      <c r="Z19" s="145">
        <v>0.9287134971694212</v>
      </c>
      <c r="AA19" s="145">
        <v>1</v>
      </c>
      <c r="AB19" s="145">
        <v>1</v>
      </c>
    </row>
    <row r="20" spans="1:28" ht="13.5" customHeight="1" thickBot="1" x14ac:dyDescent="0.3">
      <c r="B20" s="23"/>
      <c r="C20" s="24"/>
      <c r="D20" s="24"/>
      <c r="E20" s="25"/>
      <c r="F20" s="25"/>
    </row>
    <row r="21" spans="1:28" ht="27" thickBot="1" x14ac:dyDescent="0.3">
      <c r="A21" s="1" t="s">
        <v>67</v>
      </c>
      <c r="C21" s="33" t="s">
        <v>87</v>
      </c>
      <c r="D21" s="32" t="s">
        <v>88</v>
      </c>
      <c r="E21" s="32" t="s">
        <v>89</v>
      </c>
      <c r="F21" s="31" t="s">
        <v>90</v>
      </c>
    </row>
    <row r="22" spans="1:28" ht="13.5" customHeight="1" thickBot="1" x14ac:dyDescent="0.3">
      <c r="B22" s="13" t="s">
        <v>91</v>
      </c>
      <c r="C22" s="30">
        <f>D6-C6</f>
        <v>7459023</v>
      </c>
      <c r="D22" s="29">
        <f>D6/C6-1</f>
        <v>1.3695390053016916</v>
      </c>
      <c r="E22" s="28">
        <f>D16-C16</f>
        <v>-1.0937937616438298E-2</v>
      </c>
      <c r="F22" s="27">
        <f>D16/C16-1</f>
        <v>-2.311475337784985E-2</v>
      </c>
    </row>
    <row r="24" spans="1:28" x14ac:dyDescent="0.25">
      <c r="A24" s="1" t="s">
        <v>69</v>
      </c>
    </row>
    <row r="38" spans="1:13" ht="13.8" thickBot="1" x14ac:dyDescent="0.3"/>
    <row r="39" spans="1:13" ht="12.6" customHeight="1" thickBot="1" x14ac:dyDescent="0.3">
      <c r="B39" s="13" t="s">
        <v>92</v>
      </c>
      <c r="C39" s="119">
        <f>SQRT(D9/C9)</f>
        <v>1.5574358081925213</v>
      </c>
    </row>
    <row r="47" spans="1:13" ht="13.8" thickBot="1" x14ac:dyDescent="0.3"/>
    <row r="48" spans="1:13" x14ac:dyDescent="0.25">
      <c r="A48" s="1" t="s">
        <v>34</v>
      </c>
      <c r="B48" s="228" t="s">
        <v>93</v>
      </c>
      <c r="C48" s="229"/>
      <c r="D48" s="229" t="s">
        <v>36</v>
      </c>
      <c r="E48" s="232"/>
      <c r="F48" s="226" t="s">
        <v>72</v>
      </c>
      <c r="G48" s="226"/>
      <c r="H48" s="226" t="s">
        <v>73</v>
      </c>
      <c r="I48" s="226"/>
      <c r="J48" s="226" t="s">
        <v>74</v>
      </c>
      <c r="K48" s="226"/>
      <c r="L48" s="226" t="s">
        <v>75</v>
      </c>
      <c r="M48" s="227"/>
    </row>
    <row r="49" spans="2:13" x14ac:dyDescent="0.25">
      <c r="B49" s="230"/>
      <c r="C49" s="231"/>
      <c r="D49" s="231"/>
      <c r="E49" s="233"/>
      <c r="F49" s="156" t="s">
        <v>76</v>
      </c>
      <c r="G49" s="156" t="s">
        <v>11</v>
      </c>
      <c r="H49" s="156" t="s">
        <v>76</v>
      </c>
      <c r="I49" s="156" t="s">
        <v>11</v>
      </c>
      <c r="J49" s="156" t="s">
        <v>76</v>
      </c>
      <c r="K49" s="156" t="s">
        <v>11</v>
      </c>
      <c r="L49" s="156" t="s">
        <v>76</v>
      </c>
      <c r="M49" s="157" t="s">
        <v>11</v>
      </c>
    </row>
    <row r="50" spans="2:13" x14ac:dyDescent="0.25">
      <c r="B50" s="223" t="s">
        <v>94</v>
      </c>
      <c r="C50" s="223"/>
      <c r="D50" s="206" t="s">
        <v>46</v>
      </c>
      <c r="E50" s="206"/>
      <c r="F50" s="112">
        <f t="shared" ref="F50:M50" si="3">C8/C6*100</f>
        <v>4.7585045098804253</v>
      </c>
      <c r="G50" s="112">
        <f t="shared" si="3"/>
        <v>5.663436338809543</v>
      </c>
      <c r="H50" s="112">
        <f t="shared" si="3"/>
        <v>121.28810965748373</v>
      </c>
      <c r="I50" s="112">
        <f t="shared" si="3"/>
        <v>266.88942110556894</v>
      </c>
      <c r="J50" s="112">
        <f t="shared" si="3"/>
        <v>33.798942584356439</v>
      </c>
      <c r="K50" s="112">
        <f t="shared" si="3"/>
        <v>199.2305845850712</v>
      </c>
      <c r="L50" s="112">
        <f t="shared" si="3"/>
        <v>86.836828585559473</v>
      </c>
      <c r="M50" s="112">
        <f t="shared" si="3"/>
        <v>147.41360118576841</v>
      </c>
    </row>
    <row r="51" spans="2:13" x14ac:dyDescent="0.25">
      <c r="B51" s="223" t="s">
        <v>95</v>
      </c>
      <c r="C51" s="223"/>
      <c r="D51" s="206" t="s">
        <v>46</v>
      </c>
      <c r="E51" s="206"/>
      <c r="F51" s="112" cm="1">
        <f t="array" ref="F51:M51">C8:J8/C7:J7*100</f>
        <v>4.4652313222626328</v>
      </c>
      <c r="G51" s="112">
        <v>5.117716963936112</v>
      </c>
      <c r="H51" s="112">
        <v>25.582907754086598</v>
      </c>
      <c r="I51" s="112">
        <v>51.038573314218553</v>
      </c>
      <c r="J51" s="112">
        <v>9.8584232202421624</v>
      </c>
      <c r="K51" s="112">
        <v>29.267091334335728</v>
      </c>
      <c r="L51" s="112">
        <v>21.842166735731432</v>
      </c>
      <c r="M51" s="112">
        <v>32.807312164710808</v>
      </c>
    </row>
    <row r="52" spans="2:13" x14ac:dyDescent="0.25">
      <c r="B52" s="223" t="s">
        <v>96</v>
      </c>
      <c r="C52" s="223"/>
      <c r="D52" s="206" t="s">
        <v>97</v>
      </c>
      <c r="E52" s="206"/>
      <c r="F52" s="224">
        <f>G50/F50-1</f>
        <v>0.19017147657423528</v>
      </c>
      <c r="G52" s="225"/>
      <c r="H52" s="224">
        <f>I50/H50-1</f>
        <v>1.2004582465607032</v>
      </c>
      <c r="I52" s="225"/>
      <c r="J52" s="224">
        <f>K50/J50-1</f>
        <v>4.8945804025621626</v>
      </c>
      <c r="K52" s="225"/>
      <c r="L52" s="224">
        <f>M50/L50-1</f>
        <v>0.69759310176238465</v>
      </c>
      <c r="M52" s="225"/>
    </row>
    <row r="53" spans="2:13" ht="13.2" customHeight="1" x14ac:dyDescent="0.25">
      <c r="B53" s="223" t="s">
        <v>98</v>
      </c>
      <c r="C53" s="223"/>
      <c r="D53" s="206" t="s">
        <v>97</v>
      </c>
      <c r="E53" s="206"/>
      <c r="F53" s="224">
        <f>G51/F51-1</f>
        <v>0.14612583191834516</v>
      </c>
      <c r="G53" s="225"/>
      <c r="H53" s="224">
        <f t="shared" ref="H53" si="4">I51/H51-1</f>
        <v>0.99502628101630397</v>
      </c>
      <c r="I53" s="225"/>
      <c r="J53" s="224">
        <f t="shared" ref="J53" si="5">K51/J51-1</f>
        <v>1.9687395925792694</v>
      </c>
      <c r="K53" s="225"/>
      <c r="L53" s="224">
        <f t="shared" ref="L53" si="6">M51/L51-1</f>
        <v>0.50201729350603208</v>
      </c>
      <c r="M53" s="225"/>
    </row>
  </sheetData>
  <mergeCells count="45">
    <mergeCell ref="B2:J2"/>
    <mergeCell ref="B4:B5"/>
    <mergeCell ref="C4:D4"/>
    <mergeCell ref="B11:J11"/>
    <mergeCell ref="B14:B15"/>
    <mergeCell ref="C14:D14"/>
    <mergeCell ref="E14:E15"/>
    <mergeCell ref="F14:G15"/>
    <mergeCell ref="E4:F4"/>
    <mergeCell ref="G4:H4"/>
    <mergeCell ref="X14:Y14"/>
    <mergeCell ref="Z14:Z15"/>
    <mergeCell ref="AA14:AB15"/>
    <mergeCell ref="I4:J4"/>
    <mergeCell ref="I14:I15"/>
    <mergeCell ref="J14:K14"/>
    <mergeCell ref="L14:L15"/>
    <mergeCell ref="M14:N15"/>
    <mergeCell ref="P14:P15"/>
    <mergeCell ref="Q14:R14"/>
    <mergeCell ref="S14:S15"/>
    <mergeCell ref="T14:U15"/>
    <mergeCell ref="W14:W15"/>
    <mergeCell ref="F48:G48"/>
    <mergeCell ref="H48:I48"/>
    <mergeCell ref="J48:K48"/>
    <mergeCell ref="L48:M48"/>
    <mergeCell ref="B48:C49"/>
    <mergeCell ref="D48:E49"/>
    <mergeCell ref="B51:C51"/>
    <mergeCell ref="D51:E51"/>
    <mergeCell ref="B50:C50"/>
    <mergeCell ref="D50:E50"/>
    <mergeCell ref="B52:C52"/>
    <mergeCell ref="D52:E52"/>
    <mergeCell ref="L53:M53"/>
    <mergeCell ref="L52:M52"/>
    <mergeCell ref="J52:K52"/>
    <mergeCell ref="H52:I52"/>
    <mergeCell ref="F52:G52"/>
    <mergeCell ref="B53:C53"/>
    <mergeCell ref="D53:E53"/>
    <mergeCell ref="F53:G53"/>
    <mergeCell ref="H53:I53"/>
    <mergeCell ref="J53:K53"/>
  </mergeCells>
  <pageMargins left="0.75" right="0.75" top="1" bottom="1" header="0.5" footer="0.5"/>
  <pageSetup scale="7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0DAA-AA64-4D7A-AA12-1403A5083557}">
  <sheetPr>
    <tabColor theme="0" tint="-0.499984740745262"/>
  </sheetPr>
  <dimension ref="A1:N53"/>
  <sheetViews>
    <sheetView zoomScaleNormal="100" workbookViewId="0"/>
  </sheetViews>
  <sheetFormatPr defaultColWidth="9.109375" defaultRowHeight="13.2" x14ac:dyDescent="0.25"/>
  <cols>
    <col min="1" max="1" width="2.44140625" style="1" customWidth="1"/>
    <col min="2" max="2" width="13.109375" style="1" customWidth="1"/>
    <col min="3" max="10" width="13.6640625" style="1" customWidth="1"/>
    <col min="11" max="14" width="13.109375" style="1" customWidth="1"/>
    <col min="15" max="16384" width="9.109375" style="1"/>
  </cols>
  <sheetData>
    <row r="1" spans="2:14" ht="13.5" customHeight="1" thickBot="1" x14ac:dyDescent="0.3"/>
    <row r="2" spans="2:14" ht="27" customHeight="1" thickBot="1" x14ac:dyDescent="0.3">
      <c r="B2" s="199" t="s">
        <v>99</v>
      </c>
      <c r="C2" s="293"/>
      <c r="D2" s="200"/>
      <c r="E2" s="200"/>
      <c r="F2" s="200"/>
      <c r="G2" s="200"/>
      <c r="H2" s="200"/>
      <c r="I2" s="200"/>
      <c r="J2" s="201"/>
    </row>
    <row r="3" spans="2:14" ht="13.8" thickBot="1" x14ac:dyDescent="0.3"/>
    <row r="4" spans="2:14" ht="55.2" customHeight="1" thickBot="1" x14ac:dyDescent="0.3">
      <c r="B4" s="199" t="s">
        <v>100</v>
      </c>
      <c r="C4" s="293"/>
      <c r="D4" s="200"/>
      <c r="E4" s="200"/>
      <c r="F4" s="200"/>
      <c r="G4" s="200"/>
      <c r="H4" s="200"/>
      <c r="I4" s="200"/>
      <c r="J4" s="201"/>
    </row>
    <row r="5" spans="2:14" s="9" customFormat="1" ht="13.8" thickBot="1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2:14" ht="13.8" thickBot="1" x14ac:dyDescent="0.3"/>
    <row r="7" spans="2:14" ht="13.2" customHeight="1" x14ac:dyDescent="0.25">
      <c r="B7" s="273">
        <v>2001</v>
      </c>
      <c r="C7" s="274"/>
      <c r="D7" s="208" t="s">
        <v>101</v>
      </c>
      <c r="E7" s="209"/>
      <c r="F7" s="209"/>
      <c r="G7" s="209"/>
      <c r="H7" s="209"/>
      <c r="I7" s="209"/>
      <c r="J7" s="297" t="s">
        <v>102</v>
      </c>
    </row>
    <row r="8" spans="2:14" ht="13.2" customHeight="1" x14ac:dyDescent="0.25">
      <c r="B8" s="275"/>
      <c r="C8" s="276"/>
      <c r="D8" s="294" t="s">
        <v>103</v>
      </c>
      <c r="E8" s="295"/>
      <c r="F8" s="294" t="s">
        <v>104</v>
      </c>
      <c r="G8" s="295"/>
      <c r="H8" s="294" t="s">
        <v>105</v>
      </c>
      <c r="I8" s="296"/>
      <c r="J8" s="298"/>
    </row>
    <row r="9" spans="2:14" ht="13.8" thickBot="1" x14ac:dyDescent="0.3">
      <c r="B9" s="277" t="s">
        <v>106</v>
      </c>
      <c r="C9" s="278"/>
      <c r="D9" s="146" t="s">
        <v>107</v>
      </c>
      <c r="E9" s="146" t="s">
        <v>108</v>
      </c>
      <c r="F9" s="146" t="s">
        <v>107</v>
      </c>
      <c r="G9" s="146" t="s">
        <v>108</v>
      </c>
      <c r="H9" s="146" t="s">
        <v>107</v>
      </c>
      <c r="I9" s="147" t="s">
        <v>108</v>
      </c>
      <c r="J9" s="299"/>
    </row>
    <row r="10" spans="2:14" x14ac:dyDescent="0.25">
      <c r="B10" s="279" t="s">
        <v>109</v>
      </c>
      <c r="C10" s="280"/>
      <c r="D10" s="74">
        <v>116311</v>
      </c>
      <c r="E10" s="74">
        <v>111311</v>
      </c>
      <c r="F10" s="74">
        <v>586597</v>
      </c>
      <c r="G10" s="74">
        <v>650162</v>
      </c>
      <c r="H10" s="74">
        <v>112115</v>
      </c>
      <c r="I10" s="74">
        <v>201425</v>
      </c>
      <c r="J10" s="74">
        <v>820977</v>
      </c>
      <c r="K10" s="75"/>
      <c r="L10" s="73"/>
    </row>
    <row r="11" spans="2:14" x14ac:dyDescent="0.25">
      <c r="B11" s="223" t="s">
        <v>110</v>
      </c>
      <c r="C11" s="223"/>
      <c r="D11" s="158">
        <v>98973</v>
      </c>
      <c r="E11" s="158">
        <v>94094</v>
      </c>
      <c r="F11" s="158">
        <v>370632</v>
      </c>
      <c r="G11" s="158">
        <v>378315</v>
      </c>
      <c r="H11" s="158">
        <v>52391</v>
      </c>
      <c r="I11" s="158">
        <v>89472</v>
      </c>
      <c r="J11" s="158">
        <v>393526</v>
      </c>
      <c r="K11" s="75"/>
      <c r="L11" s="73"/>
    </row>
    <row r="12" spans="2:14" x14ac:dyDescent="0.25">
      <c r="B12" s="223" t="s">
        <v>111</v>
      </c>
      <c r="C12" s="223"/>
      <c r="D12" s="158">
        <v>97956</v>
      </c>
      <c r="E12" s="158">
        <v>92269</v>
      </c>
      <c r="F12" s="158">
        <v>387672</v>
      </c>
      <c r="G12" s="158">
        <v>387187</v>
      </c>
      <c r="H12" s="158">
        <v>59143</v>
      </c>
      <c r="I12" s="158">
        <v>95253</v>
      </c>
      <c r="J12" s="158">
        <v>419631</v>
      </c>
      <c r="K12" s="75"/>
    </row>
    <row r="13" spans="2:14" x14ac:dyDescent="0.25">
      <c r="B13" s="223" t="s">
        <v>112</v>
      </c>
      <c r="C13" s="223"/>
      <c r="D13" s="159">
        <v>82712</v>
      </c>
      <c r="E13" s="159">
        <v>77911</v>
      </c>
      <c r="F13" s="159">
        <v>343741</v>
      </c>
      <c r="G13" s="159">
        <v>347102</v>
      </c>
      <c r="H13" s="159">
        <v>57724</v>
      </c>
      <c r="I13" s="159">
        <v>95110</v>
      </c>
      <c r="J13" s="159">
        <v>385559</v>
      </c>
      <c r="K13" s="75"/>
    </row>
    <row r="14" spans="2:14" x14ac:dyDescent="0.25">
      <c r="B14" s="223" t="s">
        <v>113</v>
      </c>
      <c r="C14" s="223"/>
      <c r="D14" s="159">
        <v>84532</v>
      </c>
      <c r="E14" s="159">
        <v>80690</v>
      </c>
      <c r="F14" s="159">
        <v>331925</v>
      </c>
      <c r="G14" s="159">
        <v>345026</v>
      </c>
      <c r="H14" s="159">
        <v>56413</v>
      </c>
      <c r="I14" s="159">
        <v>94936</v>
      </c>
      <c r="J14" s="159">
        <v>383314</v>
      </c>
      <c r="K14" s="75"/>
    </row>
    <row r="15" spans="2:14" x14ac:dyDescent="0.25">
      <c r="B15" s="223" t="s">
        <v>114</v>
      </c>
      <c r="C15" s="223"/>
      <c r="D15" s="159">
        <v>119086</v>
      </c>
      <c r="E15" s="159">
        <v>113565</v>
      </c>
      <c r="F15" s="159">
        <v>420753</v>
      </c>
      <c r="G15" s="159">
        <v>439416</v>
      </c>
      <c r="H15" s="159">
        <v>72562</v>
      </c>
      <c r="I15" s="159">
        <v>125010</v>
      </c>
      <c r="J15" s="159">
        <v>496868</v>
      </c>
      <c r="K15" s="75"/>
    </row>
    <row r="16" spans="2:14" x14ac:dyDescent="0.25">
      <c r="B16" s="223" t="s">
        <v>115</v>
      </c>
      <c r="C16" s="223"/>
      <c r="D16" s="159">
        <v>151094</v>
      </c>
      <c r="E16" s="159">
        <v>145231</v>
      </c>
      <c r="F16" s="159">
        <v>510522</v>
      </c>
      <c r="G16" s="159">
        <v>528005</v>
      </c>
      <c r="H16" s="159">
        <v>81490</v>
      </c>
      <c r="I16" s="159">
        <v>134829</v>
      </c>
      <c r="J16" s="159">
        <v>587950</v>
      </c>
      <c r="K16" s="75"/>
    </row>
    <row r="17" spans="1:14" ht="13.8" thickBot="1" x14ac:dyDescent="0.3">
      <c r="B17" s="264" t="s">
        <v>116</v>
      </c>
      <c r="C17" s="264"/>
      <c r="D17" s="72">
        <v>116718</v>
      </c>
      <c r="E17" s="72">
        <v>112483</v>
      </c>
      <c r="F17" s="72">
        <v>456444</v>
      </c>
      <c r="G17" s="72">
        <v>473630</v>
      </c>
      <c r="H17" s="72">
        <v>83144</v>
      </c>
      <c r="I17" s="72">
        <v>135233</v>
      </c>
      <c r="J17" s="72">
        <v>576828</v>
      </c>
      <c r="K17" s="75"/>
    </row>
    <row r="18" spans="1:14" ht="13.8" thickBot="1" x14ac:dyDescent="0.3"/>
    <row r="19" spans="1:14" ht="13.2" customHeight="1" x14ac:dyDescent="0.25">
      <c r="B19" s="273">
        <v>2022</v>
      </c>
      <c r="C19" s="274"/>
      <c r="D19" s="208" t="s">
        <v>101</v>
      </c>
      <c r="E19" s="209"/>
      <c r="F19" s="209"/>
      <c r="G19" s="209"/>
      <c r="H19" s="209"/>
      <c r="I19" s="209"/>
      <c r="J19" s="297" t="s">
        <v>102</v>
      </c>
    </row>
    <row r="20" spans="1:14" ht="13.5" customHeight="1" x14ac:dyDescent="0.25">
      <c r="B20" s="275"/>
      <c r="C20" s="276"/>
      <c r="D20" s="294" t="s">
        <v>103</v>
      </c>
      <c r="E20" s="295"/>
      <c r="F20" s="294" t="s">
        <v>104</v>
      </c>
      <c r="G20" s="295"/>
      <c r="H20" s="294" t="s">
        <v>105</v>
      </c>
      <c r="I20" s="296"/>
      <c r="J20" s="298"/>
    </row>
    <row r="21" spans="1:14" ht="13.8" thickBot="1" x14ac:dyDescent="0.3">
      <c r="B21" s="277" t="s">
        <v>106</v>
      </c>
      <c r="C21" s="278"/>
      <c r="D21" s="146" t="s">
        <v>107</v>
      </c>
      <c r="E21" s="146" t="s">
        <v>108</v>
      </c>
      <c r="F21" s="146" t="s">
        <v>107</v>
      </c>
      <c r="G21" s="146" t="s">
        <v>108</v>
      </c>
      <c r="H21" s="146" t="s">
        <v>107</v>
      </c>
      <c r="I21" s="147" t="s">
        <v>108</v>
      </c>
      <c r="J21" s="299"/>
      <c r="K21" s="25"/>
    </row>
    <row r="22" spans="1:14" ht="13.5" customHeight="1" x14ac:dyDescent="0.25">
      <c r="B22" s="279" t="s">
        <v>109</v>
      </c>
      <c r="C22" s="280"/>
      <c r="D22" s="74">
        <v>107944</v>
      </c>
      <c r="E22" s="74">
        <v>101789</v>
      </c>
      <c r="F22" s="74">
        <v>551484</v>
      </c>
      <c r="G22" s="74">
        <v>568863</v>
      </c>
      <c r="H22" s="74">
        <v>131614</v>
      </c>
      <c r="I22" s="74">
        <v>223648</v>
      </c>
      <c r="J22" s="74">
        <v>961061</v>
      </c>
      <c r="K22" s="25"/>
      <c r="L22" s="73"/>
      <c r="M22" s="73"/>
    </row>
    <row r="23" spans="1:14" ht="13.5" customHeight="1" x14ac:dyDescent="0.25">
      <c r="B23" s="223" t="s">
        <v>110</v>
      </c>
      <c r="C23" s="223"/>
      <c r="D23" s="158">
        <v>116021</v>
      </c>
      <c r="E23" s="158">
        <v>109378</v>
      </c>
      <c r="F23" s="158">
        <v>437658</v>
      </c>
      <c r="G23" s="158">
        <v>431596</v>
      </c>
      <c r="H23" s="158">
        <v>94521</v>
      </c>
      <c r="I23" s="158">
        <v>144359</v>
      </c>
      <c r="J23" s="158">
        <v>519421</v>
      </c>
      <c r="K23" s="25"/>
      <c r="L23" s="73"/>
      <c r="M23" s="73"/>
    </row>
    <row r="24" spans="1:14" ht="13.5" customHeight="1" x14ac:dyDescent="0.25">
      <c r="B24" s="223" t="s">
        <v>111</v>
      </c>
      <c r="C24" s="223"/>
      <c r="D24" s="158">
        <v>78190</v>
      </c>
      <c r="E24" s="158">
        <v>74118</v>
      </c>
      <c r="F24" s="158">
        <v>349557</v>
      </c>
      <c r="G24" s="158">
        <v>335288</v>
      </c>
      <c r="H24" s="158">
        <v>85682</v>
      </c>
      <c r="I24" s="158">
        <v>132813</v>
      </c>
      <c r="J24" s="158">
        <v>474371</v>
      </c>
      <c r="K24" s="25"/>
    </row>
    <row r="25" spans="1:14" ht="13.5" customHeight="1" x14ac:dyDescent="0.25">
      <c r="B25" s="223" t="s">
        <v>112</v>
      </c>
      <c r="C25" s="223"/>
      <c r="D25" s="159">
        <v>69073</v>
      </c>
      <c r="E25" s="159">
        <v>65542</v>
      </c>
      <c r="F25" s="159">
        <v>322449</v>
      </c>
      <c r="G25" s="159">
        <v>312731</v>
      </c>
      <c r="H25" s="159">
        <v>81526</v>
      </c>
      <c r="I25" s="159">
        <v>124937</v>
      </c>
      <c r="J25" s="159">
        <v>457369</v>
      </c>
      <c r="K25" s="25"/>
    </row>
    <row r="26" spans="1:14" ht="13.5" customHeight="1" x14ac:dyDescent="0.25">
      <c r="B26" s="223" t="s">
        <v>113</v>
      </c>
      <c r="C26" s="223"/>
      <c r="D26" s="159">
        <v>59908</v>
      </c>
      <c r="E26" s="159">
        <v>56486</v>
      </c>
      <c r="F26" s="159">
        <v>273202</v>
      </c>
      <c r="G26" s="159">
        <v>270306</v>
      </c>
      <c r="H26" s="159">
        <v>76379</v>
      </c>
      <c r="I26" s="159">
        <v>119142</v>
      </c>
      <c r="J26" s="159">
        <v>418847</v>
      </c>
      <c r="K26" s="25"/>
    </row>
    <row r="27" spans="1:14" ht="13.5" customHeight="1" x14ac:dyDescent="0.25">
      <c r="B27" s="223" t="s">
        <v>114</v>
      </c>
      <c r="C27" s="223"/>
      <c r="D27" s="159">
        <v>87182</v>
      </c>
      <c r="E27" s="159">
        <v>82566</v>
      </c>
      <c r="F27" s="159">
        <v>353816</v>
      </c>
      <c r="G27" s="159">
        <v>342719</v>
      </c>
      <c r="H27" s="159">
        <v>84129</v>
      </c>
      <c r="I27" s="159">
        <v>140963</v>
      </c>
      <c r="J27" s="159">
        <v>510187</v>
      </c>
      <c r="K27" s="25"/>
    </row>
    <row r="28" spans="1:14" ht="13.5" customHeight="1" x14ac:dyDescent="0.25">
      <c r="B28" s="223" t="s">
        <v>115</v>
      </c>
      <c r="C28" s="223"/>
      <c r="D28" s="159">
        <v>112412</v>
      </c>
      <c r="E28" s="159">
        <v>106308</v>
      </c>
      <c r="F28" s="159">
        <v>463683</v>
      </c>
      <c r="G28" s="159">
        <v>449358</v>
      </c>
      <c r="H28" s="159">
        <v>105001</v>
      </c>
      <c r="I28" s="159">
        <v>167569</v>
      </c>
      <c r="J28" s="159">
        <v>625854</v>
      </c>
      <c r="K28" s="25"/>
    </row>
    <row r="29" spans="1:14" ht="13.5" customHeight="1" thickBot="1" x14ac:dyDescent="0.3">
      <c r="B29" s="264" t="s">
        <v>116</v>
      </c>
      <c r="C29" s="264"/>
      <c r="D29" s="72">
        <v>85027</v>
      </c>
      <c r="E29" s="72">
        <v>81288</v>
      </c>
      <c r="F29" s="72">
        <v>390589</v>
      </c>
      <c r="G29" s="72">
        <v>377660</v>
      </c>
      <c r="H29" s="72">
        <v>103799</v>
      </c>
      <c r="I29" s="72">
        <v>163361</v>
      </c>
      <c r="J29" s="72">
        <v>613428</v>
      </c>
      <c r="K29" s="25"/>
    </row>
    <row r="30" spans="1:14" ht="13.5" customHeight="1" x14ac:dyDescent="0.25">
      <c r="B30" s="23"/>
      <c r="C30" s="23"/>
      <c r="D30" s="24"/>
      <c r="E30" s="24"/>
      <c r="F30" s="24"/>
      <c r="G30" s="24"/>
      <c r="H30" s="25"/>
      <c r="I30" s="25"/>
      <c r="J30" s="25"/>
      <c r="K30" s="25"/>
      <c r="L30" s="25"/>
      <c r="M30" s="25"/>
    </row>
    <row r="31" spans="1:14" ht="13.5" customHeight="1" thickBot="1" x14ac:dyDescent="0.3"/>
    <row r="32" spans="1:14" ht="13.5" customHeight="1" thickBot="1" x14ac:dyDescent="0.3">
      <c r="A32" s="1" t="s">
        <v>2</v>
      </c>
      <c r="B32" s="286" t="s">
        <v>35</v>
      </c>
      <c r="C32" s="287"/>
      <c r="D32" s="287"/>
      <c r="E32" s="287"/>
      <c r="F32" s="249" t="s">
        <v>36</v>
      </c>
      <c r="G32" s="250"/>
      <c r="H32" s="83" t="s">
        <v>37</v>
      </c>
      <c r="I32" s="83" t="s">
        <v>38</v>
      </c>
      <c r="J32" s="83" t="s">
        <v>39</v>
      </c>
      <c r="K32" s="211" t="s">
        <v>117</v>
      </c>
      <c r="L32" s="281"/>
      <c r="M32" s="281"/>
      <c r="N32" s="282"/>
    </row>
    <row r="33" spans="1:14" ht="13.5" customHeight="1" x14ac:dyDescent="0.25">
      <c r="B33" s="253" t="s">
        <v>118</v>
      </c>
      <c r="C33" s="254"/>
      <c r="D33" s="254"/>
      <c r="E33" s="255"/>
      <c r="F33" s="256" t="s">
        <v>42</v>
      </c>
      <c r="G33" s="257"/>
      <c r="H33" s="160">
        <f>SUM(D10:I10)</f>
        <v>1777921</v>
      </c>
      <c r="I33" s="160">
        <f>SUM(D10:I17)</f>
        <v>10198315</v>
      </c>
      <c r="J33" s="161">
        <f t="shared" ref="J33:J40" si="0">H33/I33</f>
        <v>0.17433477981411635</v>
      </c>
      <c r="K33" s="283" t="s">
        <v>119</v>
      </c>
      <c r="L33" s="284"/>
      <c r="M33" s="284"/>
      <c r="N33" s="285"/>
    </row>
    <row r="34" spans="1:14" x14ac:dyDescent="0.25">
      <c r="B34" s="258" t="s">
        <v>120</v>
      </c>
      <c r="C34" s="259"/>
      <c r="D34" s="259"/>
      <c r="E34" s="260"/>
      <c r="F34" s="245" t="s">
        <v>51</v>
      </c>
      <c r="G34" s="246"/>
      <c r="H34" s="67">
        <f>SUM(D22:I22)</f>
        <v>1685342</v>
      </c>
      <c r="I34" s="67">
        <f>SUM(D10:I10)</f>
        <v>1777921</v>
      </c>
      <c r="J34" s="65">
        <f t="shared" si="0"/>
        <v>0.94792850750961377</v>
      </c>
      <c r="K34" s="290" t="s">
        <v>121</v>
      </c>
      <c r="L34" s="291"/>
      <c r="M34" s="291"/>
      <c r="N34" s="292"/>
    </row>
    <row r="35" spans="1:14" x14ac:dyDescent="0.25">
      <c r="B35" s="258" t="s">
        <v>122</v>
      </c>
      <c r="C35" s="259"/>
      <c r="D35" s="259"/>
      <c r="E35" s="260"/>
      <c r="F35" s="245" t="s">
        <v>42</v>
      </c>
      <c r="G35" s="246"/>
      <c r="H35" s="67">
        <f>SUM(E22:E29)</f>
        <v>677475</v>
      </c>
      <c r="I35" s="67">
        <f>SUM(D22:E29)</f>
        <v>1393232</v>
      </c>
      <c r="J35" s="65">
        <f t="shared" si="0"/>
        <v>0.48626144102346197</v>
      </c>
      <c r="K35" s="270" t="s">
        <v>123</v>
      </c>
      <c r="L35" s="271"/>
      <c r="M35" s="271"/>
      <c r="N35" s="272"/>
    </row>
    <row r="36" spans="1:14" x14ac:dyDescent="0.25">
      <c r="B36" s="258" t="s">
        <v>124</v>
      </c>
      <c r="C36" s="259"/>
      <c r="D36" s="259"/>
      <c r="E36" s="260"/>
      <c r="F36" s="245" t="s">
        <v>46</v>
      </c>
      <c r="G36" s="246"/>
      <c r="H36" s="67">
        <f>SUM(F22:F29)</f>
        <v>3142438</v>
      </c>
      <c r="I36" s="67">
        <f>SUM(G22:G29)</f>
        <v>3088521</v>
      </c>
      <c r="J36" s="65">
        <f t="shared" si="0"/>
        <v>1.0174572230527168</v>
      </c>
      <c r="K36" s="270" t="s">
        <v>125</v>
      </c>
      <c r="L36" s="271"/>
      <c r="M36" s="271"/>
      <c r="N36" s="272"/>
    </row>
    <row r="37" spans="1:14" x14ac:dyDescent="0.25">
      <c r="B37" s="258" t="s">
        <v>126</v>
      </c>
      <c r="C37" s="259"/>
      <c r="D37" s="259"/>
      <c r="E37" s="260"/>
      <c r="F37" s="245" t="s">
        <v>127</v>
      </c>
      <c r="G37" s="246"/>
      <c r="H37" s="67">
        <f>SUM(D22:I29)</f>
        <v>9603634</v>
      </c>
      <c r="I37" s="67">
        <f>SUM(J22:J29)</f>
        <v>4580538</v>
      </c>
      <c r="J37" s="65">
        <f t="shared" si="0"/>
        <v>2.0966170349421835</v>
      </c>
      <c r="K37" s="270" t="s">
        <v>128</v>
      </c>
      <c r="L37" s="271"/>
      <c r="M37" s="271"/>
      <c r="N37" s="272"/>
    </row>
    <row r="38" spans="1:14" x14ac:dyDescent="0.25">
      <c r="B38" s="258" t="s">
        <v>129</v>
      </c>
      <c r="C38" s="259"/>
      <c r="D38" s="259"/>
      <c r="E38" s="260"/>
      <c r="F38" s="245" t="s">
        <v>127</v>
      </c>
      <c r="G38" s="246"/>
      <c r="H38" s="67">
        <f>SUM(J22:J29)</f>
        <v>4580538</v>
      </c>
      <c r="I38" s="67">
        <f>SUM(D22:I29)/100</f>
        <v>96036.34</v>
      </c>
      <c r="J38" s="65">
        <f t="shared" si="0"/>
        <v>47.695882621099472</v>
      </c>
      <c r="K38" s="270" t="s">
        <v>130</v>
      </c>
      <c r="L38" s="271"/>
      <c r="M38" s="271"/>
      <c r="N38" s="272"/>
    </row>
    <row r="39" spans="1:14" ht="12.75" customHeight="1" x14ac:dyDescent="0.25">
      <c r="B39" s="206" t="s">
        <v>131</v>
      </c>
      <c r="C39" s="206"/>
      <c r="D39" s="206"/>
      <c r="E39" s="206"/>
      <c r="F39" s="265" t="s">
        <v>54</v>
      </c>
      <c r="G39" s="246"/>
      <c r="H39" s="71">
        <f>SUM(D23:I23)/SUM(D22:I29)</f>
        <v>0.13885712429274169</v>
      </c>
      <c r="I39" s="71">
        <f>SUM(D11:I11)/SUM(D10:I17)</f>
        <v>0.10628000802093288</v>
      </c>
      <c r="J39" s="65">
        <f t="shared" si="0"/>
        <v>1.3065215827363548</v>
      </c>
      <c r="K39" s="289" t="s">
        <v>132</v>
      </c>
      <c r="L39" s="289"/>
      <c r="M39" s="289"/>
      <c r="N39" s="289"/>
    </row>
    <row r="40" spans="1:14" x14ac:dyDescent="0.25">
      <c r="B40" s="206"/>
      <c r="C40" s="206"/>
      <c r="D40" s="206"/>
      <c r="E40" s="206"/>
      <c r="F40" s="265" t="s">
        <v>133</v>
      </c>
      <c r="G40" s="246"/>
      <c r="H40" s="71">
        <f>SUM(D23:I23)/SUM(D11:I11)</f>
        <v>1.230336099022306</v>
      </c>
      <c r="I40" s="71">
        <f>SUM(D22:I29)/SUM(D10:I17)</f>
        <v>0.94168830831367734</v>
      </c>
      <c r="J40" s="65">
        <f t="shared" si="0"/>
        <v>1.3065215827363545</v>
      </c>
      <c r="K40" s="289"/>
      <c r="L40" s="289"/>
      <c r="M40" s="289"/>
      <c r="N40" s="289"/>
    </row>
    <row r="41" spans="1:14" ht="13.2" customHeight="1" x14ac:dyDescent="0.25">
      <c r="B41" s="258" t="s">
        <v>134</v>
      </c>
      <c r="C41" s="259"/>
      <c r="D41" s="259"/>
      <c r="E41" s="260"/>
      <c r="F41" s="265" t="s">
        <v>135</v>
      </c>
      <c r="G41" s="246"/>
      <c r="H41" s="71">
        <f>H39</f>
        <v>0.13885712429274169</v>
      </c>
      <c r="I41" s="71">
        <f>I39</f>
        <v>0.10628000802093288</v>
      </c>
      <c r="J41" s="65">
        <f>H41-I41</f>
        <v>3.2577116271808815E-2</v>
      </c>
      <c r="K41" s="270" t="s">
        <v>136</v>
      </c>
      <c r="L41" s="271"/>
      <c r="M41" s="271"/>
      <c r="N41" s="272"/>
    </row>
    <row r="42" spans="1:14" x14ac:dyDescent="0.25">
      <c r="B42" s="206" t="s">
        <v>137</v>
      </c>
      <c r="C42" s="206"/>
      <c r="D42" s="206"/>
      <c r="E42" s="206"/>
      <c r="F42" s="288" t="s">
        <v>138</v>
      </c>
      <c r="G42" s="288"/>
      <c r="H42" s="162">
        <f>SUM(D23:E23)/SUM(D23:I23)</f>
        <v>0.16902393866518489</v>
      </c>
      <c r="I42" s="162">
        <f>SUM(D22:E22)/SUM(D22:I22)</f>
        <v>0.12444536479836141</v>
      </c>
      <c r="J42" s="163">
        <f>H42/I42</f>
        <v>1.3582180335848915</v>
      </c>
      <c r="K42" s="289" t="s">
        <v>139</v>
      </c>
      <c r="L42" s="289"/>
      <c r="M42" s="289"/>
      <c r="N42" s="289"/>
    </row>
    <row r="43" spans="1:14" x14ac:dyDescent="0.25">
      <c r="B43" s="206"/>
      <c r="C43" s="206"/>
      <c r="D43" s="206"/>
      <c r="E43" s="206"/>
      <c r="F43" s="288" t="s">
        <v>140</v>
      </c>
      <c r="G43" s="288"/>
      <c r="H43" s="162">
        <f>SUM(D23:E23)/SUM(D22:E22)</f>
        <v>1.0746949693181331</v>
      </c>
      <c r="I43" s="162">
        <f>SUM(D23:I23)/SUM(D22:I22)</f>
        <v>0.79125364466084624</v>
      </c>
      <c r="J43" s="163">
        <f>H43/I43</f>
        <v>1.3582180335848917</v>
      </c>
      <c r="K43" s="289"/>
      <c r="L43" s="289"/>
      <c r="M43" s="289"/>
      <c r="N43" s="289"/>
    </row>
    <row r="44" spans="1:14" x14ac:dyDescent="0.25">
      <c r="B44" s="222" t="s">
        <v>141</v>
      </c>
      <c r="C44" s="222"/>
      <c r="D44" s="222"/>
      <c r="E44" s="222"/>
      <c r="F44" s="265" t="s">
        <v>142</v>
      </c>
      <c r="G44" s="246"/>
      <c r="H44" s="71">
        <f>((H22+I22)/SUM(D22:I22))/((H23+I23)/SUM(D23:I23))</f>
        <v>1.1767513073907467</v>
      </c>
      <c r="I44" s="71">
        <f>((H10+I10)/SUM(D10:I10))/((H11+I11)/SUM(D11:I11))</f>
        <v>1.3473839050278076</v>
      </c>
      <c r="J44" s="65">
        <f>H44/I44</f>
        <v>0.87336007428889451</v>
      </c>
      <c r="K44" s="266" t="s">
        <v>143</v>
      </c>
      <c r="L44" s="266"/>
      <c r="M44" s="266"/>
      <c r="N44" s="266"/>
    </row>
    <row r="45" spans="1:14" ht="13.8" thickBot="1" x14ac:dyDescent="0.3">
      <c r="B45" s="207"/>
      <c r="C45" s="207"/>
      <c r="D45" s="207"/>
      <c r="E45" s="207"/>
      <c r="F45" s="268" t="s">
        <v>144</v>
      </c>
      <c r="G45" s="269"/>
      <c r="H45" s="70">
        <f>((H22+I22)/(H10+I10))/((H23+I23)/(H11+I11))</f>
        <v>0.67289166951781665</v>
      </c>
      <c r="I45" s="70">
        <f>(SUM(D22:I22)/SUM(D10:I10))/(SUM(D23:I23)/SUM(D11:I11))</f>
        <v>0.77046305335825782</v>
      </c>
      <c r="J45" s="69">
        <f>H45/I45</f>
        <v>0.87336007428889462</v>
      </c>
      <c r="K45" s="267"/>
      <c r="L45" s="267"/>
      <c r="M45" s="267"/>
      <c r="N45" s="267"/>
    </row>
    <row r="46" spans="1:14" ht="13.8" thickBot="1" x14ac:dyDescent="0.3"/>
    <row r="47" spans="1:14" ht="13.8" thickBot="1" x14ac:dyDescent="0.3">
      <c r="A47" s="1" t="s">
        <v>67</v>
      </c>
      <c r="B47" s="33" t="s">
        <v>37</v>
      </c>
      <c r="C47" s="32" t="s">
        <v>38</v>
      </c>
      <c r="D47" s="32" t="s">
        <v>39</v>
      </c>
      <c r="E47" s="251" t="s">
        <v>40</v>
      </c>
      <c r="F47" s="251"/>
      <c r="G47" s="251"/>
      <c r="H47" s="251"/>
      <c r="I47" s="252"/>
      <c r="J47" s="249" t="s">
        <v>36</v>
      </c>
      <c r="K47" s="250"/>
      <c r="L47" s="249" t="s">
        <v>145</v>
      </c>
      <c r="M47" s="250"/>
      <c r="N47" s="164" t="s">
        <v>146</v>
      </c>
    </row>
    <row r="48" spans="1:14" x14ac:dyDescent="0.25">
      <c r="B48" s="165">
        <f>J22</f>
        <v>961061</v>
      </c>
      <c r="C48" s="160">
        <f>J10</f>
        <v>820977</v>
      </c>
      <c r="D48" s="161">
        <f>B48/C48</f>
        <v>1.1706308459311283</v>
      </c>
      <c r="E48" s="253" t="s">
        <v>147</v>
      </c>
      <c r="F48" s="254"/>
      <c r="G48" s="254"/>
      <c r="H48" s="254"/>
      <c r="I48" s="255"/>
      <c r="J48" s="256" t="s">
        <v>51</v>
      </c>
      <c r="K48" s="257"/>
      <c r="L48" s="256"/>
      <c r="M48" s="257"/>
      <c r="N48" s="161"/>
    </row>
    <row r="49" spans="2:14" x14ac:dyDescent="0.25">
      <c r="B49" s="68">
        <f>SUM(H22:I22)+SUM(D22:E22)</f>
        <v>564995</v>
      </c>
      <c r="C49" s="67">
        <f>F22+G22</f>
        <v>1120347</v>
      </c>
      <c r="D49" s="65">
        <f>B49/C49</f>
        <v>0.50430357737379583</v>
      </c>
      <c r="E49" s="258" t="s">
        <v>148</v>
      </c>
      <c r="F49" s="259"/>
      <c r="G49" s="259"/>
      <c r="H49" s="259"/>
      <c r="I49" s="260"/>
      <c r="J49" s="245" t="s">
        <v>46</v>
      </c>
      <c r="K49" s="246"/>
      <c r="L49" s="245"/>
      <c r="M49" s="246"/>
      <c r="N49" s="65"/>
    </row>
    <row r="50" spans="2:14" x14ac:dyDescent="0.25">
      <c r="B50" s="66">
        <f>SUM(I22:I29)/SUM(D22:I29)</f>
        <v>0.12670120498136433</v>
      </c>
      <c r="C50" s="66">
        <f>SUM(I10:I17)/SUM(D10:I17)</f>
        <v>9.5238085899484376E-2</v>
      </c>
      <c r="D50" s="163">
        <f>B50-C50</f>
        <v>3.1463119081879959E-2</v>
      </c>
      <c r="E50" s="258" t="s">
        <v>149</v>
      </c>
      <c r="F50" s="259"/>
      <c r="G50" s="259"/>
      <c r="H50" s="259"/>
      <c r="I50" s="260"/>
      <c r="J50" s="245" t="s">
        <v>150</v>
      </c>
      <c r="K50" s="246"/>
      <c r="L50" s="245"/>
      <c r="M50" s="246"/>
      <c r="N50" s="65"/>
    </row>
    <row r="51" spans="2:14" ht="13.2" customHeight="1" x14ac:dyDescent="0.25">
      <c r="B51" s="66">
        <f>SUM(I22:I29)/SUM(H22:H29)</f>
        <v>1.595476830162158</v>
      </c>
      <c r="C51" s="66">
        <f>SUM(E22:E29)/SUM(D22:D29)</f>
        <v>0.9465153676457233</v>
      </c>
      <c r="D51" s="163">
        <f>B51/C51</f>
        <v>1.685632251413522</v>
      </c>
      <c r="E51" s="258" t="s">
        <v>151</v>
      </c>
      <c r="F51" s="259"/>
      <c r="G51" s="259"/>
      <c r="H51" s="259"/>
      <c r="I51" s="260"/>
      <c r="J51" s="245" t="s">
        <v>152</v>
      </c>
      <c r="K51" s="246"/>
      <c r="L51" s="245" t="s">
        <v>152</v>
      </c>
      <c r="M51" s="246"/>
      <c r="N51" s="65">
        <f>(SUM(I22:I29)/SUM(E22:E29))/(SUM(H22:H29)/SUM(D22:D29))</f>
        <v>1.685632251413522</v>
      </c>
    </row>
    <row r="52" spans="2:14" x14ac:dyDescent="0.25">
      <c r="B52" s="66">
        <f>SUM(D22:I22)/J22</f>
        <v>1.7536264607553527</v>
      </c>
      <c r="C52" s="66">
        <f>SUM(D10:I10)/J10</f>
        <v>2.1656160891230813</v>
      </c>
      <c r="D52" s="163">
        <f>B52/C52</f>
        <v>0.80975869618028429</v>
      </c>
      <c r="E52" s="258" t="s">
        <v>153</v>
      </c>
      <c r="F52" s="259"/>
      <c r="G52" s="259"/>
      <c r="H52" s="259"/>
      <c r="I52" s="260"/>
      <c r="J52" s="245" t="s">
        <v>154</v>
      </c>
      <c r="K52" s="246"/>
      <c r="L52" s="245" t="s">
        <v>155</v>
      </c>
      <c r="M52" s="246"/>
      <c r="N52" s="65">
        <f>(SUM(D22:I22)/SUM(D10:I10))/(J22/J10)</f>
        <v>0.80975869618028429</v>
      </c>
    </row>
    <row r="53" spans="2:14" ht="13.8" thickBot="1" x14ac:dyDescent="0.3">
      <c r="B53" s="64">
        <f>J22/SUM(D22:I22)</f>
        <v>0.57024686977479944</v>
      </c>
      <c r="C53" s="64">
        <f>J23/SUM(D23:I23)</f>
        <v>0.38950742126366578</v>
      </c>
      <c r="D53" s="63">
        <f>B53/C53</f>
        <v>1.4640205517131528</v>
      </c>
      <c r="E53" s="261" t="s">
        <v>156</v>
      </c>
      <c r="F53" s="262"/>
      <c r="G53" s="262"/>
      <c r="H53" s="262"/>
      <c r="I53" s="263"/>
      <c r="J53" s="247" t="s">
        <v>157</v>
      </c>
      <c r="K53" s="248"/>
      <c r="L53" s="247" t="s">
        <v>158</v>
      </c>
      <c r="M53" s="248"/>
      <c r="N53" s="63">
        <f>(J22/J23)/(SUM(D22:I22)/SUM(D23:I23))</f>
        <v>1.464020551713153</v>
      </c>
    </row>
  </sheetData>
  <mergeCells count="89">
    <mergeCell ref="K34:N34"/>
    <mergeCell ref="B2:J2"/>
    <mergeCell ref="B4:J4"/>
    <mergeCell ref="D19:I19"/>
    <mergeCell ref="D20:E20"/>
    <mergeCell ref="F20:G20"/>
    <mergeCell ref="H20:I20"/>
    <mergeCell ref="J19:J21"/>
    <mergeCell ref="B7:C8"/>
    <mergeCell ref="B9:C9"/>
    <mergeCell ref="B10:C10"/>
    <mergeCell ref="D7:I7"/>
    <mergeCell ref="J7:J9"/>
    <mergeCell ref="D8:E8"/>
    <mergeCell ref="F8:G8"/>
    <mergeCell ref="H8:I8"/>
    <mergeCell ref="F43:G43"/>
    <mergeCell ref="B38:E38"/>
    <mergeCell ref="F38:G38"/>
    <mergeCell ref="K38:N38"/>
    <mergeCell ref="F39:G39"/>
    <mergeCell ref="B39:E40"/>
    <mergeCell ref="K39:N40"/>
    <mergeCell ref="F40:G40"/>
    <mergeCell ref="F41:G41"/>
    <mergeCell ref="K41:N41"/>
    <mergeCell ref="B42:E43"/>
    <mergeCell ref="F42:G42"/>
    <mergeCell ref="K42:N43"/>
    <mergeCell ref="B37:E37"/>
    <mergeCell ref="F37:G37"/>
    <mergeCell ref="B35:E35"/>
    <mergeCell ref="F35:G35"/>
    <mergeCell ref="B11:C11"/>
    <mergeCell ref="F32:G32"/>
    <mergeCell ref="B32:E32"/>
    <mergeCell ref="B33:E33"/>
    <mergeCell ref="F33:G33"/>
    <mergeCell ref="B34:E34"/>
    <mergeCell ref="F34:G34"/>
    <mergeCell ref="K36:N36"/>
    <mergeCell ref="B19:C20"/>
    <mergeCell ref="B21:C21"/>
    <mergeCell ref="B22:C22"/>
    <mergeCell ref="B23:C23"/>
    <mergeCell ref="B24:C24"/>
    <mergeCell ref="B25:C25"/>
    <mergeCell ref="B26:C26"/>
    <mergeCell ref="B28:C28"/>
    <mergeCell ref="B29:C29"/>
    <mergeCell ref="B27:C27"/>
    <mergeCell ref="B36:E36"/>
    <mergeCell ref="F36:G36"/>
    <mergeCell ref="K35:N35"/>
    <mergeCell ref="K32:N32"/>
    <mergeCell ref="K33:N33"/>
    <mergeCell ref="E50:I50"/>
    <mergeCell ref="J50:K50"/>
    <mergeCell ref="B12:C12"/>
    <mergeCell ref="B13:C13"/>
    <mergeCell ref="B14:C14"/>
    <mergeCell ref="B15:C15"/>
    <mergeCell ref="B16:C16"/>
    <mergeCell ref="B17:C17"/>
    <mergeCell ref="B41:E41"/>
    <mergeCell ref="B44:E45"/>
    <mergeCell ref="F44:G44"/>
    <mergeCell ref="K44:N45"/>
    <mergeCell ref="F45:G45"/>
    <mergeCell ref="E49:I49"/>
    <mergeCell ref="J49:K49"/>
    <mergeCell ref="K37:N37"/>
    <mergeCell ref="E51:I51"/>
    <mergeCell ref="J51:K51"/>
    <mergeCell ref="E52:I52"/>
    <mergeCell ref="J52:K52"/>
    <mergeCell ref="E53:I53"/>
    <mergeCell ref="J53:K53"/>
    <mergeCell ref="L47:M47"/>
    <mergeCell ref="E47:I47"/>
    <mergeCell ref="J47:K47"/>
    <mergeCell ref="E48:I48"/>
    <mergeCell ref="L48:M48"/>
    <mergeCell ref="J48:K48"/>
    <mergeCell ref="L49:M49"/>
    <mergeCell ref="L50:M50"/>
    <mergeCell ref="L51:M51"/>
    <mergeCell ref="L52:M52"/>
    <mergeCell ref="L53:M53"/>
  </mergeCells>
  <pageMargins left="0.75" right="0.75" top="1" bottom="1" header="0.5" footer="0.5"/>
  <pageSetup scale="7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7034-1476-8C49-A196-DF6C72CCC77D}">
  <sheetPr>
    <tabColor theme="0" tint="-0.499984740745262"/>
  </sheetPr>
  <dimension ref="B1:N48"/>
  <sheetViews>
    <sheetView zoomScaleNormal="100" workbookViewId="0"/>
  </sheetViews>
  <sheetFormatPr defaultColWidth="9.109375" defaultRowHeight="13.2" x14ac:dyDescent="0.25"/>
  <cols>
    <col min="1" max="1" width="2.44140625" style="1" customWidth="1"/>
    <col min="2" max="7" width="16.6640625" style="1" customWidth="1"/>
    <col min="8" max="16384" width="9.109375" style="1"/>
  </cols>
  <sheetData>
    <row r="1" spans="2:14" ht="13.5" customHeight="1" thickBot="1" x14ac:dyDescent="0.3"/>
    <row r="2" spans="2:14" ht="27" customHeight="1" thickBot="1" x14ac:dyDescent="0.3">
      <c r="B2" s="310" t="s">
        <v>159</v>
      </c>
      <c r="C2" s="200"/>
      <c r="D2" s="200"/>
      <c r="E2" s="200"/>
      <c r="F2" s="201"/>
    </row>
    <row r="3" spans="2:14" ht="13.8" thickBot="1" x14ac:dyDescent="0.3"/>
    <row r="4" spans="2:14" ht="13.5" customHeight="1" x14ac:dyDescent="0.25">
      <c r="B4" s="243" t="s">
        <v>71</v>
      </c>
      <c r="C4" s="226" t="s">
        <v>160</v>
      </c>
      <c r="D4" s="227"/>
      <c r="I4"/>
      <c r="J4"/>
    </row>
    <row r="5" spans="2:14" ht="13.5" customHeight="1" thickBot="1" x14ac:dyDescent="0.3">
      <c r="B5" s="244"/>
      <c r="C5" s="154" t="s">
        <v>161</v>
      </c>
      <c r="D5" s="155" t="s">
        <v>6</v>
      </c>
      <c r="I5" s="35"/>
      <c r="J5" s="35"/>
    </row>
    <row r="6" spans="2:14" ht="13.5" customHeight="1" x14ac:dyDescent="0.25">
      <c r="B6" s="18" t="s">
        <v>77</v>
      </c>
      <c r="C6" s="11">
        <v>215</v>
      </c>
      <c r="D6" s="11">
        <v>188</v>
      </c>
      <c r="F6" s="3"/>
      <c r="I6" s="35"/>
      <c r="J6" s="35"/>
    </row>
    <row r="7" spans="2:14" ht="13.5" customHeight="1" x14ac:dyDescent="0.25">
      <c r="B7" s="90" t="s">
        <v>78</v>
      </c>
      <c r="C7" s="89">
        <v>9006</v>
      </c>
      <c r="D7" s="89">
        <v>9085</v>
      </c>
      <c r="F7" s="3"/>
      <c r="I7" s="35"/>
      <c r="J7" s="35"/>
    </row>
    <row r="8" spans="2:14" ht="13.5" customHeight="1" x14ac:dyDescent="0.25">
      <c r="B8" s="90" t="s">
        <v>162</v>
      </c>
      <c r="C8" s="89">
        <v>12079</v>
      </c>
      <c r="D8" s="89">
        <v>14377</v>
      </c>
      <c r="F8" s="3"/>
      <c r="I8" s="35"/>
      <c r="J8" s="35"/>
    </row>
    <row r="9" spans="2:14" ht="13.5" customHeight="1" x14ac:dyDescent="0.25">
      <c r="B9" s="88" t="s">
        <v>163</v>
      </c>
      <c r="C9" s="87">
        <v>21394</v>
      </c>
      <c r="D9" s="87">
        <v>22846</v>
      </c>
      <c r="F9" s="3"/>
      <c r="I9" s="35"/>
      <c r="J9" s="35"/>
    </row>
    <row r="10" spans="2:14" ht="13.5" customHeight="1" thickBot="1" x14ac:dyDescent="0.3">
      <c r="B10" s="88" t="s">
        <v>164</v>
      </c>
      <c r="C10" s="87">
        <v>23919</v>
      </c>
      <c r="D10" s="87">
        <v>24308</v>
      </c>
      <c r="F10" s="34"/>
    </row>
    <row r="11" spans="2:14" ht="13.5" customHeight="1" thickBot="1" x14ac:dyDescent="0.3">
      <c r="B11" s="13" t="s">
        <v>30</v>
      </c>
      <c r="C11" s="12">
        <f>SUM(C6:C10)</f>
        <v>66613</v>
      </c>
      <c r="D11" s="12">
        <f>SUM(D6:D10)</f>
        <v>70804</v>
      </c>
    </row>
    <row r="12" spans="2:14" ht="13.8" thickBot="1" x14ac:dyDescent="0.3"/>
    <row r="13" spans="2:14" ht="27.45" customHeight="1" thickBot="1" x14ac:dyDescent="0.3">
      <c r="B13" s="310" t="s">
        <v>165</v>
      </c>
      <c r="C13" s="200"/>
      <c r="D13" s="200"/>
      <c r="E13" s="200"/>
      <c r="F13" s="201"/>
    </row>
    <row r="14" spans="2:14" s="9" customFormat="1" ht="13.8" thickBot="1" x14ac:dyDescent="0.3">
      <c r="B14" s="10"/>
      <c r="C14" s="10"/>
      <c r="D14" s="10"/>
      <c r="E14" s="10"/>
      <c r="F14" s="10"/>
    </row>
    <row r="15" spans="2:14" ht="13.8" thickBot="1" x14ac:dyDescent="0.3"/>
    <row r="16" spans="2:14" ht="13.5" customHeight="1" thickBot="1" x14ac:dyDescent="0.3">
      <c r="B16" s="238" t="s">
        <v>71</v>
      </c>
      <c r="C16" s="215" t="s">
        <v>31</v>
      </c>
      <c r="D16" s="215"/>
      <c r="E16" s="215" t="s">
        <v>166</v>
      </c>
      <c r="F16" s="234" t="s">
        <v>83</v>
      </c>
      <c r="G16" s="235"/>
      <c r="I16" s="300" t="s">
        <v>167</v>
      </c>
      <c r="J16" s="300"/>
      <c r="K16" s="37"/>
      <c r="L16" s="37"/>
      <c r="M16" s="37"/>
      <c r="N16" s="37"/>
    </row>
    <row r="17" spans="2:14" ht="13.8" thickBot="1" x14ac:dyDescent="0.3">
      <c r="B17" s="239"/>
      <c r="C17" s="82" t="s">
        <v>161</v>
      </c>
      <c r="D17" s="82" t="s">
        <v>6</v>
      </c>
      <c r="E17" s="311"/>
      <c r="F17" s="236"/>
      <c r="G17" s="237"/>
      <c r="I17" s="301" t="s">
        <v>168</v>
      </c>
      <c r="J17" s="302"/>
      <c r="K17" s="302"/>
      <c r="L17" s="302"/>
      <c r="M17" s="302"/>
      <c r="N17" s="303"/>
    </row>
    <row r="18" spans="2:14" ht="13.5" customHeight="1" x14ac:dyDescent="0.25">
      <c r="B18" s="36" t="s">
        <v>77</v>
      </c>
      <c r="C18" s="14">
        <f t="shared" ref="C18:D23" si="0">C6/C$11</f>
        <v>3.2275982165643341E-3</v>
      </c>
      <c r="D18" s="14">
        <f t="shared" si="0"/>
        <v>2.6552172193661373E-3</v>
      </c>
      <c r="E18" s="20">
        <f t="shared" ref="E18:E23" si="1">D6/C6</f>
        <v>0.87441860465116283</v>
      </c>
      <c r="F18" s="20">
        <f t="shared" ref="F18:F23" si="2">D18/C18</f>
        <v>0.82266039364482102</v>
      </c>
      <c r="G18" s="20">
        <f t="shared" ref="G18:G23" si="3">E18/$E$23</f>
        <v>0.82266039364482102</v>
      </c>
      <c r="H18" s="4"/>
      <c r="I18" s="304"/>
      <c r="J18" s="305"/>
      <c r="K18" s="305"/>
      <c r="L18" s="305"/>
      <c r="M18" s="305"/>
      <c r="N18" s="306"/>
    </row>
    <row r="19" spans="2:14" ht="13.5" customHeight="1" x14ac:dyDescent="0.25">
      <c r="B19" s="166" t="s">
        <v>78</v>
      </c>
      <c r="C19" s="19">
        <f t="shared" si="0"/>
        <v>0.1351988350622251</v>
      </c>
      <c r="D19" s="19">
        <f t="shared" si="0"/>
        <v>0.12831195977628382</v>
      </c>
      <c r="E19" s="20">
        <f t="shared" si="1"/>
        <v>1.0087719298245614</v>
      </c>
      <c r="F19" s="20">
        <f t="shared" si="2"/>
        <v>0.94906113441900875</v>
      </c>
      <c r="G19" s="20">
        <f t="shared" si="3"/>
        <v>0.94906113441900897</v>
      </c>
      <c r="H19" s="4"/>
      <c r="I19" s="304"/>
      <c r="J19" s="305"/>
      <c r="K19" s="305"/>
      <c r="L19" s="305"/>
      <c r="M19" s="305"/>
      <c r="N19" s="306"/>
    </row>
    <row r="20" spans="2:14" ht="13.5" customHeight="1" x14ac:dyDescent="0.25">
      <c r="B20" s="166" t="s">
        <v>162</v>
      </c>
      <c r="C20" s="19">
        <f t="shared" si="0"/>
        <v>0.18133097143200277</v>
      </c>
      <c r="D20" s="19">
        <f t="shared" si="0"/>
        <v>0.20305349980227105</v>
      </c>
      <c r="E20" s="20">
        <f t="shared" si="1"/>
        <v>1.1902475370477688</v>
      </c>
      <c r="F20" s="20">
        <f t="shared" si="2"/>
        <v>1.1197949153347695</v>
      </c>
      <c r="G20" s="20">
        <f t="shared" si="3"/>
        <v>1.1197949153347695</v>
      </c>
      <c r="I20" s="304"/>
      <c r="J20" s="305"/>
      <c r="K20" s="305"/>
      <c r="L20" s="305"/>
      <c r="M20" s="305"/>
      <c r="N20" s="306"/>
    </row>
    <row r="21" spans="2:14" ht="13.5" customHeight="1" x14ac:dyDescent="0.25">
      <c r="B21" s="167" t="s">
        <v>163</v>
      </c>
      <c r="C21" s="19">
        <f t="shared" si="0"/>
        <v>0.32116854067524359</v>
      </c>
      <c r="D21" s="19">
        <f t="shared" si="0"/>
        <v>0.32266538613637646</v>
      </c>
      <c r="E21" s="20">
        <f t="shared" si="1"/>
        <v>1.0678694961204076</v>
      </c>
      <c r="F21" s="20">
        <f t="shared" si="2"/>
        <v>1.0046606229177548</v>
      </c>
      <c r="G21" s="20">
        <f t="shared" si="3"/>
        <v>1.0046606229177548</v>
      </c>
      <c r="I21" s="304"/>
      <c r="J21" s="305"/>
      <c r="K21" s="305"/>
      <c r="L21" s="305"/>
      <c r="M21" s="305"/>
      <c r="N21" s="306"/>
    </row>
    <row r="22" spans="2:14" ht="13.5" customHeight="1" thickBot="1" x14ac:dyDescent="0.3">
      <c r="B22" s="167" t="s">
        <v>164</v>
      </c>
      <c r="C22" s="19">
        <f t="shared" si="0"/>
        <v>0.35907405461396424</v>
      </c>
      <c r="D22" s="19">
        <f t="shared" si="0"/>
        <v>0.34331393706570251</v>
      </c>
      <c r="E22" s="20">
        <f t="shared" si="1"/>
        <v>1.016263221706593</v>
      </c>
      <c r="F22" s="20">
        <f t="shared" si="2"/>
        <v>0.95610900496499185</v>
      </c>
      <c r="G22" s="20">
        <f t="shared" si="3"/>
        <v>0.95610900496499174</v>
      </c>
      <c r="I22" s="304"/>
      <c r="J22" s="305"/>
      <c r="K22" s="305"/>
      <c r="L22" s="305"/>
      <c r="M22" s="305"/>
      <c r="N22" s="306"/>
    </row>
    <row r="23" spans="2:14" ht="13.5" customHeight="1" thickBot="1" x14ac:dyDescent="0.3">
      <c r="B23" s="13" t="s">
        <v>30</v>
      </c>
      <c r="C23" s="21">
        <f t="shared" si="0"/>
        <v>1</v>
      </c>
      <c r="D23" s="21">
        <f t="shared" si="0"/>
        <v>1</v>
      </c>
      <c r="E23" s="22">
        <f t="shared" si="1"/>
        <v>1.0629156470959122</v>
      </c>
      <c r="F23" s="22">
        <f t="shared" si="2"/>
        <v>1</v>
      </c>
      <c r="G23" s="22">
        <f t="shared" si="3"/>
        <v>1</v>
      </c>
      <c r="I23" s="304"/>
      <c r="J23" s="305"/>
      <c r="K23" s="305"/>
      <c r="L23" s="305"/>
      <c r="M23" s="305"/>
      <c r="N23" s="306"/>
    </row>
    <row r="24" spans="2:14" ht="13.5" customHeight="1" thickBot="1" x14ac:dyDescent="0.3">
      <c r="B24" s="23"/>
      <c r="C24" s="24"/>
      <c r="D24" s="24"/>
      <c r="E24" s="25"/>
      <c r="F24" s="25"/>
      <c r="I24" s="304"/>
      <c r="J24" s="305"/>
      <c r="K24" s="305"/>
      <c r="L24" s="305"/>
      <c r="M24" s="305"/>
      <c r="N24" s="306"/>
    </row>
    <row r="25" spans="2:14" ht="13.5" customHeight="1" thickBot="1" x14ac:dyDescent="0.3">
      <c r="C25" s="33" t="s">
        <v>87</v>
      </c>
      <c r="D25" s="32" t="s">
        <v>88</v>
      </c>
      <c r="E25" s="32" t="s">
        <v>89</v>
      </c>
      <c r="F25" s="31" t="s">
        <v>90</v>
      </c>
      <c r="I25" s="304"/>
      <c r="J25" s="305"/>
      <c r="K25" s="305"/>
      <c r="L25" s="305"/>
      <c r="M25" s="305"/>
      <c r="N25" s="306"/>
    </row>
    <row r="26" spans="2:14" ht="13.5" customHeight="1" thickBot="1" x14ac:dyDescent="0.3">
      <c r="B26" s="26" t="s">
        <v>164</v>
      </c>
      <c r="C26" s="30">
        <f>D10-C10</f>
        <v>389</v>
      </c>
      <c r="D26" s="29">
        <f>D10/C10</f>
        <v>1.016263221706593</v>
      </c>
      <c r="E26" s="28">
        <f>D22-C22</f>
        <v>-1.5760117548261732E-2</v>
      </c>
      <c r="F26" s="27">
        <f>D22/C22</f>
        <v>0.95610900496499185</v>
      </c>
      <c r="I26" s="304"/>
      <c r="J26" s="305"/>
      <c r="K26" s="305"/>
      <c r="L26" s="305"/>
      <c r="M26" s="305"/>
      <c r="N26" s="306"/>
    </row>
    <row r="27" spans="2:14" x14ac:dyDescent="0.25">
      <c r="I27" s="304"/>
      <c r="J27" s="305"/>
      <c r="K27" s="305"/>
      <c r="L27" s="305"/>
      <c r="M27" s="305"/>
      <c r="N27" s="306"/>
    </row>
    <row r="28" spans="2:14" ht="13.8" thickBot="1" x14ac:dyDescent="0.3">
      <c r="I28" s="307"/>
      <c r="J28" s="308"/>
      <c r="K28" s="308"/>
      <c r="L28" s="308"/>
      <c r="M28" s="308"/>
      <c r="N28" s="309"/>
    </row>
    <row r="43" spans="2:3" ht="12.75" customHeight="1" x14ac:dyDescent="0.25">
      <c r="B43" s="5"/>
      <c r="C43" s="6"/>
    </row>
    <row r="44" spans="2:3" x14ac:dyDescent="0.25">
      <c r="B44" s="7"/>
      <c r="C44" s="8"/>
    </row>
    <row r="45" spans="2:3" x14ac:dyDescent="0.25">
      <c r="B45" s="7"/>
      <c r="C45" s="8"/>
    </row>
    <row r="46" spans="2:3" x14ac:dyDescent="0.25">
      <c r="B46" s="7"/>
      <c r="C46" s="8"/>
    </row>
    <row r="47" spans="2:3" x14ac:dyDescent="0.25">
      <c r="B47" s="7"/>
      <c r="C47" s="8"/>
    </row>
    <row r="48" spans="2:3" x14ac:dyDescent="0.25">
      <c r="B48" s="7"/>
      <c r="C48" s="8"/>
    </row>
  </sheetData>
  <mergeCells count="10">
    <mergeCell ref="I16:J16"/>
    <mergeCell ref="I17:N28"/>
    <mergeCell ref="B2:F2"/>
    <mergeCell ref="B4:B5"/>
    <mergeCell ref="C4:D4"/>
    <mergeCell ref="B13:F13"/>
    <mergeCell ref="B16:B17"/>
    <mergeCell ref="C16:D16"/>
    <mergeCell ref="E16:E17"/>
    <mergeCell ref="F16:G17"/>
  </mergeCells>
  <pageMargins left="0.75" right="0.75" top="1" bottom="1" header="0.5" footer="0.5"/>
  <pageSetup scale="79"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C7A7-6168-4498-AF39-7C3C9F9B9DA5}">
  <sheetPr>
    <tabColor theme="0" tint="-0.499984740745262"/>
  </sheetPr>
  <dimension ref="B1:M46"/>
  <sheetViews>
    <sheetView zoomScaleNormal="100" workbookViewId="0"/>
  </sheetViews>
  <sheetFormatPr defaultColWidth="9.109375" defaultRowHeight="13.2" x14ac:dyDescent="0.25"/>
  <cols>
    <col min="1" max="1" width="2.44140625" style="37" customWidth="1"/>
    <col min="2" max="6" width="17.44140625" style="37" customWidth="1"/>
    <col min="7" max="16384" width="9.109375" style="37"/>
  </cols>
  <sheetData>
    <row r="1" spans="2:13" ht="13.5" customHeight="1" thickBot="1" x14ac:dyDescent="0.3"/>
    <row r="2" spans="2:13" ht="27" customHeight="1" thickBot="1" x14ac:dyDescent="0.3">
      <c r="B2" s="199" t="s">
        <v>169</v>
      </c>
      <c r="C2" s="293"/>
      <c r="D2" s="293"/>
      <c r="E2" s="293"/>
      <c r="F2" s="312"/>
    </row>
    <row r="3" spans="2:13" ht="13.8" thickBot="1" x14ac:dyDescent="0.3"/>
    <row r="4" spans="2:13" ht="13.5" customHeight="1" x14ac:dyDescent="0.25">
      <c r="B4" s="313" t="s">
        <v>170</v>
      </c>
      <c r="C4" s="315" t="s">
        <v>171</v>
      </c>
      <c r="D4" s="316"/>
    </row>
    <row r="5" spans="2:13" ht="13.5" customHeight="1" thickBot="1" x14ac:dyDescent="0.3">
      <c r="B5" s="314"/>
      <c r="C5" s="168" t="s">
        <v>172</v>
      </c>
      <c r="D5" s="169" t="s">
        <v>8</v>
      </c>
    </row>
    <row r="6" spans="2:13" ht="13.5" customHeight="1" x14ac:dyDescent="0.25">
      <c r="B6" s="43" t="s">
        <v>173</v>
      </c>
      <c r="C6" s="44">
        <v>40</v>
      </c>
      <c r="D6" s="44">
        <v>32</v>
      </c>
      <c r="F6" s="45"/>
    </row>
    <row r="7" spans="2:13" ht="13.5" customHeight="1" x14ac:dyDescent="0.25">
      <c r="B7" s="170" t="s">
        <v>174</v>
      </c>
      <c r="C7" s="171">
        <v>1014</v>
      </c>
      <c r="D7" s="171">
        <v>610</v>
      </c>
      <c r="F7" s="45"/>
    </row>
    <row r="8" spans="2:13" ht="13.5" customHeight="1" x14ac:dyDescent="0.25">
      <c r="B8" s="170" t="s">
        <v>175</v>
      </c>
      <c r="C8" s="171">
        <v>119</v>
      </c>
      <c r="D8" s="171">
        <v>90</v>
      </c>
      <c r="F8" s="45"/>
    </row>
    <row r="9" spans="2:13" ht="13.5" customHeight="1" thickBot="1" x14ac:dyDescent="0.3">
      <c r="B9" s="172" t="s">
        <v>176</v>
      </c>
      <c r="C9" s="173">
        <v>989</v>
      </c>
      <c r="D9" s="173">
        <v>699</v>
      </c>
    </row>
    <row r="10" spans="2:13" ht="13.5" customHeight="1" thickBot="1" x14ac:dyDescent="0.3">
      <c r="B10" s="46" t="s">
        <v>30</v>
      </c>
      <c r="C10" s="47">
        <f>SUM(C6:C9)</f>
        <v>2162</v>
      </c>
      <c r="D10" s="47">
        <f>SUM(D6:D9)</f>
        <v>1431</v>
      </c>
    </row>
    <row r="11" spans="2:13" ht="13.8" thickBot="1" x14ac:dyDescent="0.3"/>
    <row r="12" spans="2:13" ht="27.45" customHeight="1" thickBot="1" x14ac:dyDescent="0.3">
      <c r="B12" s="199" t="s">
        <v>177</v>
      </c>
      <c r="C12" s="293"/>
      <c r="D12" s="293"/>
      <c r="E12" s="293"/>
      <c r="F12" s="312"/>
    </row>
    <row r="13" spans="2:13" s="39" customFormat="1" ht="13.8" thickBot="1" x14ac:dyDescent="0.3">
      <c r="B13" s="38"/>
      <c r="C13" s="38"/>
      <c r="D13" s="38"/>
      <c r="E13" s="38"/>
      <c r="F13" s="38"/>
    </row>
    <row r="14" spans="2:13" ht="13.8" thickBot="1" x14ac:dyDescent="0.3"/>
    <row r="15" spans="2:13" ht="13.5" customHeight="1" thickBot="1" x14ac:dyDescent="0.3">
      <c r="B15" s="317" t="s">
        <v>170</v>
      </c>
      <c r="C15" s="319" t="s">
        <v>178</v>
      </c>
      <c r="D15" s="320"/>
      <c r="E15" s="321" t="s">
        <v>179</v>
      </c>
      <c r="F15" s="323" t="s">
        <v>180</v>
      </c>
      <c r="H15" s="300" t="s">
        <v>167</v>
      </c>
      <c r="I15" s="300"/>
    </row>
    <row r="16" spans="2:13" ht="13.8" thickBot="1" x14ac:dyDescent="0.3">
      <c r="B16" s="318"/>
      <c r="C16" s="174" t="s">
        <v>172</v>
      </c>
      <c r="D16" s="174" t="s">
        <v>8</v>
      </c>
      <c r="E16" s="322"/>
      <c r="F16" s="324"/>
      <c r="H16" s="301" t="s">
        <v>181</v>
      </c>
      <c r="I16" s="302"/>
      <c r="J16" s="302"/>
      <c r="K16" s="302"/>
      <c r="L16" s="302"/>
      <c r="M16" s="303"/>
    </row>
    <row r="17" spans="2:13" ht="13.5" customHeight="1" x14ac:dyDescent="0.25">
      <c r="B17" s="43" t="s">
        <v>173</v>
      </c>
      <c r="C17" s="48">
        <f t="shared" ref="C17:D21" si="0">C6/C$10</f>
        <v>1.8501387604070305E-2</v>
      </c>
      <c r="D17" s="48">
        <f t="shared" si="0"/>
        <v>2.2361984626135568E-2</v>
      </c>
      <c r="E17" s="49">
        <f>D6/C6</f>
        <v>0.8</v>
      </c>
      <c r="F17" s="49">
        <f>D17/C17</f>
        <v>1.2086652690426274</v>
      </c>
      <c r="G17" s="50"/>
      <c r="H17" s="304"/>
      <c r="I17" s="305"/>
      <c r="J17" s="305"/>
      <c r="K17" s="305"/>
      <c r="L17" s="305"/>
      <c r="M17" s="306"/>
    </row>
    <row r="18" spans="2:13" ht="13.5" customHeight="1" x14ac:dyDescent="0.25">
      <c r="B18" s="170" t="s">
        <v>174</v>
      </c>
      <c r="C18" s="48">
        <f t="shared" si="0"/>
        <v>0.46901017576318221</v>
      </c>
      <c r="D18" s="48">
        <f t="shared" si="0"/>
        <v>0.42627533193570927</v>
      </c>
      <c r="E18" s="49">
        <f>D7/C7</f>
        <v>0.60157790927021693</v>
      </c>
      <c r="F18" s="49">
        <f>D18/C18</f>
        <v>0.90888290694773521</v>
      </c>
      <c r="G18" s="50"/>
      <c r="H18" s="304"/>
      <c r="I18" s="305"/>
      <c r="J18" s="305"/>
      <c r="K18" s="305"/>
      <c r="L18" s="305"/>
      <c r="M18" s="306"/>
    </row>
    <row r="19" spans="2:13" ht="13.5" customHeight="1" x14ac:dyDescent="0.25">
      <c r="B19" s="170" t="s">
        <v>175</v>
      </c>
      <c r="C19" s="48">
        <f t="shared" si="0"/>
        <v>5.5041628122109158E-2</v>
      </c>
      <c r="D19" s="48">
        <f t="shared" si="0"/>
        <v>6.2893081761006289E-2</v>
      </c>
      <c r="E19" s="49">
        <f>D8/C8</f>
        <v>0.75630252100840334</v>
      </c>
      <c r="F19" s="49">
        <f>D19/C19</f>
        <v>1.1426457375402992</v>
      </c>
      <c r="G19" s="50"/>
      <c r="H19" s="304"/>
      <c r="I19" s="305"/>
      <c r="J19" s="305"/>
      <c r="K19" s="305"/>
      <c r="L19" s="305"/>
      <c r="M19" s="306"/>
    </row>
    <row r="20" spans="2:13" ht="13.5" customHeight="1" thickBot="1" x14ac:dyDescent="0.3">
      <c r="B20" s="172" t="s">
        <v>176</v>
      </c>
      <c r="C20" s="48">
        <f t="shared" si="0"/>
        <v>0.45744680851063829</v>
      </c>
      <c r="D20" s="48">
        <f t="shared" si="0"/>
        <v>0.48846960167714887</v>
      </c>
      <c r="E20" s="49">
        <f>D9/C9</f>
        <v>0.70677451971688576</v>
      </c>
      <c r="F20" s="49">
        <f>D20/C20</f>
        <v>1.0678172687826044</v>
      </c>
      <c r="H20" s="304"/>
      <c r="I20" s="305"/>
      <c r="J20" s="305"/>
      <c r="K20" s="305"/>
      <c r="L20" s="305"/>
      <c r="M20" s="306"/>
    </row>
    <row r="21" spans="2:13" ht="13.5" customHeight="1" thickBot="1" x14ac:dyDescent="0.3">
      <c r="B21" s="46" t="s">
        <v>30</v>
      </c>
      <c r="C21" s="51">
        <f t="shared" si="0"/>
        <v>1</v>
      </c>
      <c r="D21" s="51">
        <f t="shared" si="0"/>
        <v>1</v>
      </c>
      <c r="E21" s="52">
        <f>D10/C10</f>
        <v>0.66188714153561512</v>
      </c>
      <c r="F21" s="52">
        <f>D21/C21</f>
        <v>1</v>
      </c>
      <c r="H21" s="304"/>
      <c r="I21" s="305"/>
      <c r="J21" s="305"/>
      <c r="K21" s="305"/>
      <c r="L21" s="305"/>
      <c r="M21" s="306"/>
    </row>
    <row r="22" spans="2:13" ht="13.5" customHeight="1" thickBot="1" x14ac:dyDescent="0.3">
      <c r="B22" s="53"/>
      <c r="C22" s="54"/>
      <c r="D22" s="54"/>
      <c r="E22" s="55"/>
      <c r="F22" s="55"/>
      <c r="H22" s="304"/>
      <c r="I22" s="305"/>
      <c r="J22" s="305"/>
      <c r="K22" s="305"/>
      <c r="L22" s="305"/>
      <c r="M22" s="306"/>
    </row>
    <row r="23" spans="2:13" ht="13.5" customHeight="1" thickBot="1" x14ac:dyDescent="0.3">
      <c r="C23" s="56" t="s">
        <v>87</v>
      </c>
      <c r="D23" s="175" t="s">
        <v>88</v>
      </c>
      <c r="E23" s="175" t="s">
        <v>89</v>
      </c>
      <c r="F23" s="176" t="s">
        <v>90</v>
      </c>
      <c r="H23" s="304"/>
      <c r="I23" s="305"/>
      <c r="J23" s="305"/>
      <c r="K23" s="305"/>
      <c r="L23" s="305"/>
      <c r="M23" s="306"/>
    </row>
    <row r="24" spans="2:13" ht="13.5" customHeight="1" thickBot="1" x14ac:dyDescent="0.3">
      <c r="B24" s="57" t="s">
        <v>176</v>
      </c>
      <c r="C24" s="58">
        <f>D9-C9</f>
        <v>-290</v>
      </c>
      <c r="D24" s="59">
        <f>D9/C9</f>
        <v>0.70677451971688576</v>
      </c>
      <c r="E24" s="60">
        <f>D20-C20</f>
        <v>3.1022793166510576E-2</v>
      </c>
      <c r="F24" s="61">
        <f>D20/C20</f>
        <v>1.0678172687826044</v>
      </c>
      <c r="H24" s="304"/>
      <c r="I24" s="305"/>
      <c r="J24" s="305"/>
      <c r="K24" s="305"/>
      <c r="L24" s="305"/>
      <c r="M24" s="306"/>
    </row>
    <row r="25" spans="2:13" x14ac:dyDescent="0.25">
      <c r="H25" s="304"/>
      <c r="I25" s="305"/>
      <c r="J25" s="305"/>
      <c r="K25" s="305"/>
      <c r="L25" s="305"/>
      <c r="M25" s="306"/>
    </row>
    <row r="26" spans="2:13" x14ac:dyDescent="0.25">
      <c r="H26" s="304"/>
      <c r="I26" s="305"/>
      <c r="J26" s="305"/>
      <c r="K26" s="305"/>
      <c r="L26" s="305"/>
      <c r="M26" s="306"/>
    </row>
    <row r="27" spans="2:13" ht="13.8" thickBot="1" x14ac:dyDescent="0.3">
      <c r="H27" s="307"/>
      <c r="I27" s="308"/>
      <c r="J27" s="308"/>
      <c r="K27" s="308"/>
      <c r="L27" s="308"/>
      <c r="M27" s="309"/>
    </row>
    <row r="41" spans="2:3" ht="12.75" customHeight="1" x14ac:dyDescent="0.25">
      <c r="B41" s="62"/>
      <c r="C41" s="40"/>
    </row>
    <row r="42" spans="2:3" x14ac:dyDescent="0.25">
      <c r="B42" s="42"/>
      <c r="C42" s="41"/>
    </row>
    <row r="43" spans="2:3" x14ac:dyDescent="0.25">
      <c r="B43" s="42"/>
      <c r="C43" s="41"/>
    </row>
    <row r="44" spans="2:3" x14ac:dyDescent="0.25">
      <c r="B44" s="42"/>
      <c r="C44" s="41"/>
    </row>
    <row r="45" spans="2:3" x14ac:dyDescent="0.25">
      <c r="B45" s="42"/>
      <c r="C45" s="41"/>
    </row>
    <row r="46" spans="2:3" x14ac:dyDescent="0.25">
      <c r="B46" s="42"/>
      <c r="C46" s="41"/>
    </row>
  </sheetData>
  <mergeCells count="10">
    <mergeCell ref="H15:I15"/>
    <mergeCell ref="H16:M27"/>
    <mergeCell ref="B2:F2"/>
    <mergeCell ref="B4:B5"/>
    <mergeCell ref="C4:D4"/>
    <mergeCell ref="B12:F12"/>
    <mergeCell ref="B15:B16"/>
    <mergeCell ref="C15:D15"/>
    <mergeCell ref="E15:E16"/>
    <mergeCell ref="F15:F16"/>
  </mergeCells>
  <pageMargins left="0.75" right="0.75" top="1" bottom="1" header="0.5" footer="0.5"/>
  <pageSetup scale="79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CCD6-7676-4957-8691-C3F940E750FC}">
  <sheetPr>
    <tabColor theme="0" tint="-0.499984740745262"/>
  </sheetPr>
  <dimension ref="A1:Q99"/>
  <sheetViews>
    <sheetView zoomScaleNormal="100" workbookViewId="0"/>
  </sheetViews>
  <sheetFormatPr defaultColWidth="9.109375" defaultRowHeight="13.2" x14ac:dyDescent="0.25"/>
  <cols>
    <col min="1" max="1" width="2.44140625" style="1" customWidth="1"/>
    <col min="2" max="5" width="10.6640625" style="1" customWidth="1"/>
    <col min="6" max="6" width="16.44140625" style="1" customWidth="1"/>
    <col min="7" max="11" width="14.33203125" style="1" customWidth="1"/>
    <col min="12" max="12" width="13.44140625" style="1" customWidth="1"/>
    <col min="13" max="13" width="12.6640625" style="1" bestFit="1" customWidth="1"/>
    <col min="14" max="14" width="13.44140625" style="1" customWidth="1"/>
    <col min="15" max="15" width="11.44140625" style="1" bestFit="1" customWidth="1"/>
    <col min="16" max="17" width="13.44140625" style="1" customWidth="1"/>
    <col min="18" max="16384" width="9.109375" style="1"/>
  </cols>
  <sheetData>
    <row r="1" spans="2:17" ht="13.5" customHeight="1" thickBot="1" x14ac:dyDescent="0.3"/>
    <row r="2" spans="2:17" ht="13.8" thickBot="1" x14ac:dyDescent="0.3">
      <c r="B2" s="240" t="s">
        <v>182</v>
      </c>
      <c r="C2" s="241"/>
      <c r="D2" s="241"/>
      <c r="E2" s="241"/>
      <c r="F2" s="241"/>
      <c r="G2" s="241"/>
      <c r="H2" s="241"/>
      <c r="I2" s="241"/>
      <c r="J2" s="241"/>
      <c r="K2" s="242"/>
      <c r="L2" s="107"/>
    </row>
    <row r="3" spans="2:17" ht="13.8" thickBot="1" x14ac:dyDescent="0.3"/>
    <row r="4" spans="2:17" ht="68.25" customHeight="1" thickBot="1" x14ac:dyDescent="0.3">
      <c r="B4" s="240" t="s">
        <v>183</v>
      </c>
      <c r="C4" s="241"/>
      <c r="D4" s="241"/>
      <c r="E4" s="241"/>
      <c r="F4" s="241"/>
      <c r="G4" s="241"/>
      <c r="H4" s="241"/>
      <c r="I4" s="241"/>
      <c r="J4" s="241"/>
      <c r="K4" s="242"/>
      <c r="L4" s="107"/>
    </row>
    <row r="5" spans="2:17" s="9" customFormat="1" ht="13.8" thickBot="1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2:17" ht="13.8" thickBot="1" x14ac:dyDescent="0.3"/>
    <row r="7" spans="2:17" ht="13.8" thickBot="1" x14ac:dyDescent="0.3">
      <c r="B7" s="101" t="s">
        <v>184</v>
      </c>
      <c r="C7" s="102" t="s">
        <v>107</v>
      </c>
      <c r="D7" s="103" t="s">
        <v>108</v>
      </c>
      <c r="F7" s="101" t="s">
        <v>71</v>
      </c>
      <c r="G7" s="102" t="s">
        <v>107</v>
      </c>
      <c r="H7" s="102" t="s">
        <v>108</v>
      </c>
      <c r="I7" s="102" t="s">
        <v>30</v>
      </c>
      <c r="J7" s="102" t="s">
        <v>185</v>
      </c>
      <c r="K7" s="103" t="s">
        <v>186</v>
      </c>
      <c r="M7" s="98" t="s">
        <v>187</v>
      </c>
      <c r="N7" t="s">
        <v>188</v>
      </c>
      <c r="O7" t="s">
        <v>189</v>
      </c>
    </row>
    <row r="8" spans="2:17" x14ac:dyDescent="0.25">
      <c r="B8" s="100">
        <v>0</v>
      </c>
      <c r="C8" s="100">
        <v>37431</v>
      </c>
      <c r="D8" s="100">
        <v>35132</v>
      </c>
      <c r="F8" s="104" t="s">
        <v>190</v>
      </c>
      <c r="G8" s="105">
        <f>N8</f>
        <v>695466</v>
      </c>
      <c r="H8" s="105">
        <f>O8</f>
        <v>656082</v>
      </c>
      <c r="I8" s="105">
        <f>H8+G8</f>
        <v>1351548</v>
      </c>
      <c r="J8" s="108">
        <f>G8/I8</f>
        <v>0.51456995977945286</v>
      </c>
      <c r="K8" s="109">
        <f>H8/G8*1000</f>
        <v>943.37034448844372</v>
      </c>
      <c r="M8" s="76" t="s">
        <v>191</v>
      </c>
      <c r="N8">
        <v>695466</v>
      </c>
      <c r="O8">
        <v>656082</v>
      </c>
    </row>
    <row r="9" spans="2:17" x14ac:dyDescent="0.25">
      <c r="B9" s="99">
        <v>1</v>
      </c>
      <c r="C9" s="99">
        <v>40695</v>
      </c>
      <c r="D9" s="99">
        <v>37921</v>
      </c>
      <c r="F9" s="177" t="s">
        <v>192</v>
      </c>
      <c r="G9" s="178">
        <f t="shared" ref="G9:G14" si="0">N9</f>
        <v>510603</v>
      </c>
      <c r="H9" s="178">
        <f t="shared" ref="H9:H14" si="1">O9</f>
        <v>484537</v>
      </c>
      <c r="I9" s="178">
        <f t="shared" ref="I9:I14" si="2">H9+G9</f>
        <v>995140</v>
      </c>
      <c r="J9" s="179">
        <f t="shared" ref="J9:J14" si="3">G9/I9</f>
        <v>0.5130966497176277</v>
      </c>
      <c r="K9" s="180">
        <f t="shared" ref="K9:K15" si="4">H9/G9*1000</f>
        <v>948.95055454041596</v>
      </c>
      <c r="M9" s="76" t="s">
        <v>193</v>
      </c>
      <c r="N9">
        <v>510603</v>
      </c>
      <c r="O9">
        <v>484537</v>
      </c>
    </row>
    <row r="10" spans="2:17" x14ac:dyDescent="0.25">
      <c r="B10" s="99">
        <v>2</v>
      </c>
      <c r="C10" s="99">
        <v>45036</v>
      </c>
      <c r="D10" s="99">
        <v>42636</v>
      </c>
      <c r="F10" s="177" t="s">
        <v>194</v>
      </c>
      <c r="G10" s="178">
        <f t="shared" si="0"/>
        <v>580973</v>
      </c>
      <c r="H10" s="178">
        <f t="shared" si="1"/>
        <v>540977</v>
      </c>
      <c r="I10" s="178">
        <f t="shared" si="2"/>
        <v>1121950</v>
      </c>
      <c r="J10" s="179">
        <f t="shared" si="3"/>
        <v>0.51782432372209097</v>
      </c>
      <c r="K10" s="180">
        <f t="shared" si="4"/>
        <v>931.15686959634957</v>
      </c>
      <c r="M10" s="76" t="s">
        <v>195</v>
      </c>
      <c r="N10">
        <v>580973</v>
      </c>
      <c r="O10">
        <v>540977</v>
      </c>
    </row>
    <row r="11" spans="2:17" x14ac:dyDescent="0.25">
      <c r="B11" s="99">
        <v>3</v>
      </c>
      <c r="C11" s="99">
        <v>46391</v>
      </c>
      <c r="D11" s="99">
        <v>43885</v>
      </c>
      <c r="F11" s="181" t="s">
        <v>196</v>
      </c>
      <c r="G11" s="182">
        <f t="shared" si="0"/>
        <v>647150</v>
      </c>
      <c r="H11" s="182">
        <f t="shared" si="1"/>
        <v>609580</v>
      </c>
      <c r="I11" s="182">
        <f t="shared" si="2"/>
        <v>1256730</v>
      </c>
      <c r="J11" s="183">
        <f t="shared" si="3"/>
        <v>0.51494752253865195</v>
      </c>
      <c r="K11" s="184">
        <f t="shared" si="4"/>
        <v>941.94545314069376</v>
      </c>
      <c r="M11" s="76" t="s">
        <v>197</v>
      </c>
      <c r="N11">
        <v>647150</v>
      </c>
      <c r="O11">
        <v>609580</v>
      </c>
    </row>
    <row r="12" spans="2:17" x14ac:dyDescent="0.25">
      <c r="B12" s="99">
        <v>4</v>
      </c>
      <c r="C12" s="99">
        <v>48851</v>
      </c>
      <c r="D12" s="99">
        <v>45876</v>
      </c>
      <c r="F12" s="181" t="s">
        <v>198</v>
      </c>
      <c r="G12" s="182">
        <f t="shared" si="0"/>
        <v>794919</v>
      </c>
      <c r="H12" s="182">
        <f t="shared" si="1"/>
        <v>771949</v>
      </c>
      <c r="I12" s="182">
        <f t="shared" si="2"/>
        <v>1566868</v>
      </c>
      <c r="J12" s="183">
        <f t="shared" si="3"/>
        <v>0.50732990909253362</v>
      </c>
      <c r="K12" s="184">
        <f t="shared" si="4"/>
        <v>971.10397411560166</v>
      </c>
      <c r="M12" s="76" t="s">
        <v>199</v>
      </c>
      <c r="N12">
        <v>794919</v>
      </c>
      <c r="O12">
        <v>771949</v>
      </c>
    </row>
    <row r="13" spans="2:17" x14ac:dyDescent="0.25">
      <c r="B13" s="99">
        <v>5</v>
      </c>
      <c r="C13" s="99">
        <v>48675</v>
      </c>
      <c r="D13" s="99">
        <v>46018</v>
      </c>
      <c r="F13" s="181" t="s">
        <v>200</v>
      </c>
      <c r="G13" s="182">
        <f t="shared" si="0"/>
        <v>581168</v>
      </c>
      <c r="H13" s="182">
        <f t="shared" si="1"/>
        <v>616899</v>
      </c>
      <c r="I13" s="182">
        <f t="shared" si="2"/>
        <v>1198067</v>
      </c>
      <c r="J13" s="183">
        <f t="shared" si="3"/>
        <v>0.48508806268764604</v>
      </c>
      <c r="K13" s="184">
        <f t="shared" si="4"/>
        <v>1061.4813616716681</v>
      </c>
      <c r="M13" s="76" t="s">
        <v>201</v>
      </c>
      <c r="N13">
        <v>581168</v>
      </c>
      <c r="O13">
        <v>616899</v>
      </c>
    </row>
    <row r="14" spans="2:17" ht="13.8" thickBot="1" x14ac:dyDescent="0.3">
      <c r="B14" s="99">
        <v>6</v>
      </c>
      <c r="C14" s="99">
        <v>47353</v>
      </c>
      <c r="D14" s="99">
        <v>44537</v>
      </c>
      <c r="F14" s="181" t="s">
        <v>79</v>
      </c>
      <c r="G14" s="182">
        <f t="shared" si="0"/>
        <v>773489</v>
      </c>
      <c r="H14" s="182">
        <f t="shared" si="1"/>
        <v>1224636</v>
      </c>
      <c r="I14" s="182">
        <f t="shared" si="2"/>
        <v>1998125</v>
      </c>
      <c r="J14" s="183">
        <f t="shared" si="3"/>
        <v>0.38710741319987491</v>
      </c>
      <c r="K14" s="184">
        <f t="shared" si="4"/>
        <v>1583.2623346938353</v>
      </c>
      <c r="M14" s="76" t="s">
        <v>202</v>
      </c>
      <c r="N14">
        <v>773489</v>
      </c>
      <c r="O14">
        <v>1224636</v>
      </c>
    </row>
    <row r="15" spans="2:17" ht="13.8" thickBot="1" x14ac:dyDescent="0.3">
      <c r="B15" s="99">
        <v>7</v>
      </c>
      <c r="C15" s="99">
        <v>47520</v>
      </c>
      <c r="D15" s="99">
        <v>45013</v>
      </c>
      <c r="F15" s="13" t="s">
        <v>30</v>
      </c>
      <c r="G15" s="106">
        <f t="shared" ref="G15:I15" si="5">SUM(G8:G14)</f>
        <v>4583768</v>
      </c>
      <c r="H15" s="106">
        <f t="shared" si="5"/>
        <v>4904660</v>
      </c>
      <c r="I15" s="106">
        <f t="shared" si="5"/>
        <v>9488428</v>
      </c>
      <c r="J15" s="29">
        <f>G15/I15</f>
        <v>0.48309034963431247</v>
      </c>
      <c r="K15" s="110">
        <f t="shared" si="4"/>
        <v>1070.0061608702708</v>
      </c>
      <c r="M15" s="76" t="s">
        <v>203</v>
      </c>
      <c r="N15">
        <v>4583768</v>
      </c>
      <c r="O15">
        <v>4904660</v>
      </c>
    </row>
    <row r="16" spans="2:17" ht="13.8" thickBot="1" x14ac:dyDescent="0.3">
      <c r="B16" s="99">
        <v>8</v>
      </c>
      <c r="C16" s="99">
        <v>48709</v>
      </c>
      <c r="D16" s="99">
        <v>45945</v>
      </c>
      <c r="M16"/>
      <c r="N16"/>
      <c r="O16"/>
    </row>
    <row r="17" spans="2:15" ht="13.8" thickBot="1" x14ac:dyDescent="0.3">
      <c r="B17" s="99">
        <v>9</v>
      </c>
      <c r="C17" s="99">
        <v>49247</v>
      </c>
      <c r="D17" s="99">
        <v>46602</v>
      </c>
      <c r="F17" s="113" t="s">
        <v>94</v>
      </c>
      <c r="G17" s="116">
        <f>I14/I8</f>
        <v>1.4783973636156467</v>
      </c>
      <c r="M17"/>
      <c r="N17"/>
      <c r="O17"/>
    </row>
    <row r="18" spans="2:15" ht="13.8" thickBot="1" x14ac:dyDescent="0.3">
      <c r="B18" s="99">
        <v>10</v>
      </c>
      <c r="C18" s="99">
        <v>48492</v>
      </c>
      <c r="D18" s="99">
        <v>45981</v>
      </c>
      <c r="M18"/>
      <c r="N18"/>
      <c r="O18"/>
    </row>
    <row r="19" spans="2:15" x14ac:dyDescent="0.25">
      <c r="B19" s="99">
        <v>11</v>
      </c>
      <c r="C19" s="99">
        <v>48194</v>
      </c>
      <c r="D19" s="99">
        <v>45840</v>
      </c>
      <c r="F19" s="185" t="s">
        <v>204</v>
      </c>
      <c r="G19" s="186">
        <f>G17/1.285</f>
        <v>1.1505037849149002</v>
      </c>
      <c r="M19"/>
      <c r="N19"/>
      <c r="O19"/>
    </row>
    <row r="20" spans="2:15" x14ac:dyDescent="0.25">
      <c r="B20" s="99">
        <v>12</v>
      </c>
      <c r="C20" s="99">
        <v>46145</v>
      </c>
      <c r="D20" s="99">
        <v>43747</v>
      </c>
      <c r="F20" s="114" t="s">
        <v>205</v>
      </c>
      <c r="G20" s="112">
        <f>G17/0.83</f>
        <v>1.7812016429104178</v>
      </c>
      <c r="M20"/>
      <c r="N20"/>
      <c r="O20"/>
    </row>
    <row r="21" spans="2:15" ht="13.8" thickBot="1" x14ac:dyDescent="0.3">
      <c r="B21" s="99">
        <v>13</v>
      </c>
      <c r="C21" s="99">
        <v>47143</v>
      </c>
      <c r="D21" s="99">
        <v>44143</v>
      </c>
      <c r="F21" s="115" t="s">
        <v>206</v>
      </c>
      <c r="G21" s="111">
        <f>G17/1.99</f>
        <v>0.74291324804806369</v>
      </c>
      <c r="M21"/>
      <c r="N21"/>
      <c r="O21"/>
    </row>
    <row r="22" spans="2:15" x14ac:dyDescent="0.25">
      <c r="B22" s="99">
        <v>14</v>
      </c>
      <c r="C22" s="99">
        <v>45584</v>
      </c>
      <c r="D22" s="99">
        <v>42806</v>
      </c>
      <c r="M22"/>
      <c r="N22"/>
      <c r="O22"/>
    </row>
    <row r="23" spans="2:15" x14ac:dyDescent="0.25">
      <c r="B23" s="99">
        <v>15</v>
      </c>
      <c r="C23" s="99">
        <v>46243</v>
      </c>
      <c r="D23" s="99">
        <v>44328</v>
      </c>
      <c r="M23"/>
      <c r="N23"/>
      <c r="O23"/>
    </row>
    <row r="24" spans="2:15" ht="13.8" thickBot="1" x14ac:dyDescent="0.3">
      <c r="B24" s="99">
        <v>16</v>
      </c>
      <c r="C24" s="99">
        <v>49392</v>
      </c>
      <c r="D24" s="99">
        <v>46597</v>
      </c>
      <c r="F24" s="300" t="s">
        <v>167</v>
      </c>
      <c r="G24" s="300"/>
      <c r="H24" s="37"/>
      <c r="I24" s="37"/>
      <c r="J24" s="37"/>
      <c r="K24" s="37"/>
      <c r="M24"/>
      <c r="N24"/>
      <c r="O24"/>
    </row>
    <row r="25" spans="2:15" ht="13.5" customHeight="1" x14ac:dyDescent="0.25">
      <c r="B25" s="99">
        <v>17</v>
      </c>
      <c r="C25" s="99">
        <v>51005</v>
      </c>
      <c r="D25" s="99">
        <v>48339</v>
      </c>
      <c r="F25" s="301" t="s">
        <v>207</v>
      </c>
      <c r="G25" s="302"/>
      <c r="H25" s="302"/>
      <c r="I25" s="302"/>
      <c r="J25" s="302"/>
      <c r="K25" s="303"/>
      <c r="M25"/>
      <c r="N25"/>
      <c r="O25"/>
    </row>
    <row r="26" spans="2:15" x14ac:dyDescent="0.25">
      <c r="B26" s="99">
        <v>18</v>
      </c>
      <c r="C26" s="99">
        <v>51102</v>
      </c>
      <c r="D26" s="99">
        <v>48424</v>
      </c>
      <c r="F26" s="304"/>
      <c r="G26" s="305"/>
      <c r="H26" s="305"/>
      <c r="I26" s="305"/>
      <c r="J26" s="305"/>
      <c r="K26" s="306"/>
      <c r="M26"/>
      <c r="N26"/>
      <c r="O26"/>
    </row>
    <row r="27" spans="2:15" x14ac:dyDescent="0.25">
      <c r="B27" s="99">
        <v>19</v>
      </c>
      <c r="C27" s="99">
        <v>52567</v>
      </c>
      <c r="D27" s="99">
        <v>50035</v>
      </c>
      <c r="F27" s="304"/>
      <c r="G27" s="305"/>
      <c r="H27" s="305"/>
      <c r="I27" s="305"/>
      <c r="J27" s="305"/>
      <c r="K27" s="306"/>
      <c r="M27"/>
      <c r="N27"/>
      <c r="O27"/>
    </row>
    <row r="28" spans="2:15" ht="13.5" customHeight="1" x14ac:dyDescent="0.25">
      <c r="B28" s="99">
        <v>20</v>
      </c>
      <c r="C28" s="99">
        <v>52137</v>
      </c>
      <c r="D28" s="99">
        <v>48714</v>
      </c>
      <c r="F28" s="304"/>
      <c r="G28" s="305"/>
      <c r="H28" s="305"/>
      <c r="I28" s="305"/>
      <c r="J28" s="305"/>
      <c r="K28" s="306"/>
      <c r="M28"/>
      <c r="N28"/>
      <c r="O28"/>
    </row>
    <row r="29" spans="2:15" ht="13.5" customHeight="1" x14ac:dyDescent="0.25">
      <c r="B29" s="99">
        <v>21</v>
      </c>
      <c r="C29" s="99">
        <v>50777</v>
      </c>
      <c r="D29" s="99">
        <v>48300</v>
      </c>
      <c r="F29" s="304"/>
      <c r="G29" s="305"/>
      <c r="H29" s="305"/>
      <c r="I29" s="305"/>
      <c r="J29" s="305"/>
      <c r="K29" s="306"/>
      <c r="M29"/>
      <c r="N29"/>
      <c r="O29"/>
    </row>
    <row r="30" spans="2:15" ht="13.5" customHeight="1" x14ac:dyDescent="0.25">
      <c r="B30" s="99">
        <v>22</v>
      </c>
      <c r="C30" s="99">
        <v>51259</v>
      </c>
      <c r="D30" s="99">
        <v>48847</v>
      </c>
      <c r="F30" s="304"/>
      <c r="G30" s="305"/>
      <c r="H30" s="305"/>
      <c r="I30" s="305"/>
      <c r="J30" s="305"/>
      <c r="K30" s="306"/>
      <c r="M30"/>
      <c r="N30"/>
      <c r="O30"/>
    </row>
    <row r="31" spans="2:15" x14ac:dyDescent="0.25">
      <c r="B31" s="99">
        <v>23</v>
      </c>
      <c r="C31" s="99">
        <v>52718</v>
      </c>
      <c r="D31" s="99">
        <v>50452</v>
      </c>
      <c r="F31" s="304"/>
      <c r="G31" s="305"/>
      <c r="H31" s="305"/>
      <c r="I31" s="305"/>
      <c r="J31" s="305"/>
      <c r="K31" s="306"/>
      <c r="M31"/>
      <c r="N31"/>
      <c r="O31"/>
    </row>
    <row r="32" spans="2:15" x14ac:dyDescent="0.25">
      <c r="B32" s="99">
        <v>24</v>
      </c>
      <c r="C32" s="99">
        <v>53403</v>
      </c>
      <c r="D32" s="99">
        <v>50501</v>
      </c>
      <c r="F32" s="304"/>
      <c r="G32" s="305"/>
      <c r="H32" s="305"/>
      <c r="I32" s="305"/>
      <c r="J32" s="305"/>
      <c r="K32" s="306"/>
      <c r="M32"/>
      <c r="N32"/>
      <c r="O32"/>
    </row>
    <row r="33" spans="1:15" x14ac:dyDescent="0.25">
      <c r="B33" s="99">
        <v>25</v>
      </c>
      <c r="C33" s="99">
        <v>54008</v>
      </c>
      <c r="D33" s="99">
        <v>50932</v>
      </c>
      <c r="F33" s="304"/>
      <c r="G33" s="305"/>
      <c r="H33" s="305"/>
      <c r="I33" s="305"/>
      <c r="J33" s="305"/>
      <c r="K33" s="306"/>
      <c r="M33"/>
      <c r="N33"/>
      <c r="O33"/>
    </row>
    <row r="34" spans="1:15" x14ac:dyDescent="0.25">
      <c r="A34" s="1" t="s">
        <v>67</v>
      </c>
      <c r="B34" s="99">
        <v>26</v>
      </c>
      <c r="C34" s="99">
        <v>52108</v>
      </c>
      <c r="D34" s="99">
        <v>48554</v>
      </c>
      <c r="F34" s="304"/>
      <c r="G34" s="305"/>
      <c r="H34" s="305"/>
      <c r="I34" s="305"/>
      <c r="J34" s="305"/>
      <c r="K34" s="306"/>
      <c r="M34"/>
      <c r="N34"/>
      <c r="O34"/>
    </row>
    <row r="35" spans="1:15" x14ac:dyDescent="0.25">
      <c r="B35" s="99">
        <v>27</v>
      </c>
      <c r="C35" s="99">
        <v>52815</v>
      </c>
      <c r="D35" s="99">
        <v>49764</v>
      </c>
      <c r="F35" s="304"/>
      <c r="G35" s="305"/>
      <c r="H35" s="305"/>
      <c r="I35" s="305"/>
      <c r="J35" s="305"/>
      <c r="K35" s="306"/>
      <c r="M35"/>
      <c r="N35"/>
      <c r="O35"/>
    </row>
    <row r="36" spans="1:15" ht="13.8" thickBot="1" x14ac:dyDescent="0.3">
      <c r="A36" s="1" t="s">
        <v>69</v>
      </c>
      <c r="B36" s="99">
        <v>28</v>
      </c>
      <c r="C36" s="99">
        <v>54629</v>
      </c>
      <c r="D36" s="99">
        <v>50405</v>
      </c>
      <c r="F36" s="307"/>
      <c r="G36" s="308"/>
      <c r="H36" s="308"/>
      <c r="I36" s="308"/>
      <c r="J36" s="308"/>
      <c r="K36" s="309"/>
      <c r="M36"/>
      <c r="N36"/>
      <c r="O36"/>
    </row>
    <row r="37" spans="1:15" x14ac:dyDescent="0.25">
      <c r="B37" s="99">
        <v>29</v>
      </c>
      <c r="C37" s="99">
        <v>56755</v>
      </c>
      <c r="D37" s="99">
        <v>52765</v>
      </c>
      <c r="M37"/>
      <c r="N37"/>
      <c r="O37"/>
    </row>
    <row r="38" spans="1:15" x14ac:dyDescent="0.25">
      <c r="B38" s="99">
        <v>30</v>
      </c>
      <c r="C38" s="99">
        <v>59561</v>
      </c>
      <c r="D38" s="99">
        <v>55440</v>
      </c>
      <c r="M38"/>
      <c r="N38"/>
      <c r="O38"/>
    </row>
    <row r="39" spans="1:15" x14ac:dyDescent="0.25">
      <c r="B39" s="99">
        <v>31</v>
      </c>
      <c r="C39" s="99">
        <v>61035</v>
      </c>
      <c r="D39" s="99">
        <v>56741</v>
      </c>
      <c r="M39"/>
      <c r="N39"/>
      <c r="O39"/>
    </row>
    <row r="40" spans="1:15" x14ac:dyDescent="0.25">
      <c r="B40" s="99">
        <v>32</v>
      </c>
      <c r="C40" s="99">
        <v>61155</v>
      </c>
      <c r="D40" s="99">
        <v>57053</v>
      </c>
      <c r="M40"/>
      <c r="N40"/>
      <c r="O40"/>
    </row>
    <row r="41" spans="1:15" x14ac:dyDescent="0.25">
      <c r="B41" s="99">
        <v>33</v>
      </c>
      <c r="C41" s="99">
        <v>63371</v>
      </c>
      <c r="D41" s="99">
        <v>58573</v>
      </c>
      <c r="M41"/>
      <c r="N41"/>
      <c r="O41"/>
    </row>
    <row r="42" spans="1:15" x14ac:dyDescent="0.25">
      <c r="B42" s="99">
        <v>34</v>
      </c>
      <c r="C42" s="99">
        <v>65536</v>
      </c>
      <c r="D42" s="99">
        <v>60750</v>
      </c>
      <c r="M42"/>
      <c r="N42"/>
      <c r="O42"/>
    </row>
    <row r="43" spans="1:15" x14ac:dyDescent="0.25">
      <c r="B43" s="99">
        <v>35</v>
      </c>
      <c r="C43" s="99">
        <v>64957</v>
      </c>
      <c r="D43" s="99">
        <v>60639</v>
      </c>
      <c r="M43"/>
      <c r="N43"/>
      <c r="O43"/>
    </row>
    <row r="44" spans="1:15" x14ac:dyDescent="0.25">
      <c r="B44" s="99">
        <v>36</v>
      </c>
      <c r="C44" s="99">
        <v>64242</v>
      </c>
      <c r="D44" s="99">
        <v>59158</v>
      </c>
      <c r="M44"/>
      <c r="N44"/>
      <c r="O44"/>
    </row>
    <row r="45" spans="1:15" x14ac:dyDescent="0.25">
      <c r="B45" s="99">
        <v>37</v>
      </c>
      <c r="C45" s="99">
        <v>64230</v>
      </c>
      <c r="D45" s="99">
        <v>59395</v>
      </c>
      <c r="M45"/>
      <c r="N45"/>
      <c r="O45"/>
    </row>
    <row r="46" spans="1:15" x14ac:dyDescent="0.25">
      <c r="B46" s="99">
        <v>38</v>
      </c>
      <c r="C46" s="99">
        <v>64267</v>
      </c>
      <c r="D46" s="99">
        <v>59812</v>
      </c>
      <c r="M46"/>
      <c r="N46"/>
      <c r="O46"/>
    </row>
    <row r="47" spans="1:15" x14ac:dyDescent="0.25">
      <c r="B47" s="99">
        <v>39</v>
      </c>
      <c r="C47" s="99">
        <v>64316</v>
      </c>
      <c r="D47" s="99">
        <v>61026</v>
      </c>
      <c r="M47"/>
      <c r="N47"/>
      <c r="O47"/>
    </row>
    <row r="48" spans="1:15" x14ac:dyDescent="0.25">
      <c r="B48" s="99">
        <v>40</v>
      </c>
      <c r="C48" s="99">
        <v>65086</v>
      </c>
      <c r="D48" s="99">
        <v>61006</v>
      </c>
      <c r="M48"/>
      <c r="N48"/>
      <c r="O48"/>
    </row>
    <row r="49" spans="2:15" x14ac:dyDescent="0.25">
      <c r="B49" s="99">
        <v>41</v>
      </c>
      <c r="C49" s="99">
        <v>62042</v>
      </c>
      <c r="D49" s="99">
        <v>59125</v>
      </c>
      <c r="M49"/>
      <c r="N49"/>
      <c r="O49"/>
    </row>
    <row r="50" spans="2:15" x14ac:dyDescent="0.25">
      <c r="B50" s="99">
        <v>42</v>
      </c>
      <c r="C50" s="99">
        <v>62644</v>
      </c>
      <c r="D50" s="99">
        <v>60049</v>
      </c>
      <c r="M50"/>
      <c r="N50"/>
      <c r="O50"/>
    </row>
    <row r="51" spans="2:15" ht="12.75" customHeight="1" x14ac:dyDescent="0.25">
      <c r="B51" s="99">
        <v>43</v>
      </c>
      <c r="C51" s="99">
        <v>66004</v>
      </c>
      <c r="D51" s="99">
        <v>62380</v>
      </c>
      <c r="M51"/>
      <c r="N51"/>
      <c r="O51"/>
    </row>
    <row r="52" spans="2:15" x14ac:dyDescent="0.25">
      <c r="B52" s="99">
        <v>44</v>
      </c>
      <c r="C52" s="99">
        <v>69362</v>
      </c>
      <c r="D52" s="99">
        <v>66990</v>
      </c>
      <c r="M52"/>
      <c r="N52"/>
      <c r="O52"/>
    </row>
    <row r="53" spans="2:15" x14ac:dyDescent="0.25">
      <c r="B53" s="99">
        <v>45</v>
      </c>
      <c r="C53" s="99">
        <v>71925</v>
      </c>
      <c r="D53" s="99">
        <v>69744</v>
      </c>
      <c r="M53"/>
      <c r="N53"/>
      <c r="O53"/>
    </row>
    <row r="54" spans="2:15" x14ac:dyDescent="0.25">
      <c r="B54" s="99">
        <v>46</v>
      </c>
      <c r="C54" s="99">
        <v>77122</v>
      </c>
      <c r="D54" s="99">
        <v>74511</v>
      </c>
      <c r="M54"/>
      <c r="N54"/>
      <c r="O54"/>
    </row>
    <row r="55" spans="2:15" x14ac:dyDescent="0.25">
      <c r="B55" s="99">
        <v>47</v>
      </c>
      <c r="C55" s="99">
        <v>80821</v>
      </c>
      <c r="D55" s="99">
        <v>77782</v>
      </c>
      <c r="M55"/>
      <c r="N55"/>
      <c r="O55"/>
    </row>
    <row r="56" spans="2:15" x14ac:dyDescent="0.25">
      <c r="B56" s="99">
        <v>48</v>
      </c>
      <c r="C56" s="99">
        <v>84674</v>
      </c>
      <c r="D56" s="99">
        <v>81966</v>
      </c>
      <c r="M56"/>
      <c r="N56"/>
      <c r="O56"/>
    </row>
    <row r="57" spans="2:15" x14ac:dyDescent="0.25">
      <c r="B57" s="99">
        <v>49</v>
      </c>
      <c r="C57" s="99">
        <v>88036</v>
      </c>
      <c r="D57" s="99">
        <v>84675</v>
      </c>
      <c r="M57"/>
      <c r="N57"/>
      <c r="O57"/>
    </row>
    <row r="58" spans="2:15" x14ac:dyDescent="0.25">
      <c r="B58" s="99">
        <v>50</v>
      </c>
      <c r="C58" s="99">
        <v>91358</v>
      </c>
      <c r="D58" s="99">
        <v>88510</v>
      </c>
      <c r="M58"/>
      <c r="N58"/>
      <c r="O58"/>
    </row>
    <row r="59" spans="2:15" x14ac:dyDescent="0.25">
      <c r="B59" s="99">
        <v>51</v>
      </c>
      <c r="C59" s="99">
        <v>86897</v>
      </c>
      <c r="D59" s="99">
        <v>84659</v>
      </c>
      <c r="M59"/>
      <c r="N59"/>
      <c r="O59"/>
    </row>
    <row r="60" spans="2:15" x14ac:dyDescent="0.25">
      <c r="B60" s="99">
        <v>52</v>
      </c>
      <c r="C60" s="99">
        <v>73018</v>
      </c>
      <c r="D60" s="99">
        <v>71493</v>
      </c>
      <c r="M60"/>
      <c r="N60"/>
      <c r="O60"/>
    </row>
    <row r="61" spans="2:15" x14ac:dyDescent="0.25">
      <c r="B61" s="99">
        <v>53</v>
      </c>
      <c r="C61" s="99">
        <v>71541</v>
      </c>
      <c r="D61" s="99">
        <v>69874</v>
      </c>
      <c r="M61"/>
      <c r="N61"/>
      <c r="O61"/>
    </row>
    <row r="62" spans="2:15" x14ac:dyDescent="0.25">
      <c r="B62" s="99">
        <v>54</v>
      </c>
      <c r="C62" s="99">
        <v>69527</v>
      </c>
      <c r="D62" s="99">
        <v>68735</v>
      </c>
      <c r="M62"/>
      <c r="N62"/>
      <c r="O62"/>
    </row>
    <row r="63" spans="2:15" x14ac:dyDescent="0.25">
      <c r="B63" s="99">
        <v>55</v>
      </c>
      <c r="C63" s="99">
        <v>69522</v>
      </c>
      <c r="D63" s="99">
        <v>69385</v>
      </c>
      <c r="M63"/>
      <c r="N63"/>
      <c r="O63"/>
    </row>
    <row r="64" spans="2:15" x14ac:dyDescent="0.25">
      <c r="B64" s="99">
        <v>56</v>
      </c>
      <c r="C64" s="99">
        <v>69606</v>
      </c>
      <c r="D64" s="99">
        <v>69777</v>
      </c>
      <c r="M64"/>
      <c r="N64"/>
      <c r="O64"/>
    </row>
    <row r="65" spans="2:15" x14ac:dyDescent="0.25">
      <c r="B65" s="99">
        <v>57</v>
      </c>
      <c r="C65" s="99">
        <v>67810</v>
      </c>
      <c r="D65" s="99">
        <v>69766</v>
      </c>
      <c r="M65"/>
      <c r="N65"/>
      <c r="O65"/>
    </row>
    <row r="66" spans="2:15" x14ac:dyDescent="0.25">
      <c r="B66" s="99">
        <v>58</v>
      </c>
      <c r="C66" s="99">
        <v>64109</v>
      </c>
      <c r="D66" s="99">
        <v>66632</v>
      </c>
      <c r="M66"/>
      <c r="N66"/>
      <c r="O66"/>
    </row>
    <row r="67" spans="2:15" x14ac:dyDescent="0.25">
      <c r="B67" s="99">
        <v>59</v>
      </c>
      <c r="C67" s="99">
        <v>57629</v>
      </c>
      <c r="D67" s="99">
        <v>60203</v>
      </c>
      <c r="M67"/>
      <c r="N67"/>
      <c r="O67"/>
    </row>
    <row r="68" spans="2:15" x14ac:dyDescent="0.25">
      <c r="B68" s="99">
        <v>60</v>
      </c>
      <c r="C68" s="99">
        <v>54234</v>
      </c>
      <c r="D68" s="99">
        <v>57564</v>
      </c>
      <c r="M68"/>
      <c r="N68"/>
      <c r="O68"/>
    </row>
    <row r="69" spans="2:15" x14ac:dyDescent="0.25">
      <c r="B69" s="99">
        <v>61</v>
      </c>
      <c r="C69" s="99">
        <v>51980</v>
      </c>
      <c r="D69" s="99">
        <v>56682</v>
      </c>
      <c r="M69"/>
      <c r="N69"/>
      <c r="O69"/>
    </row>
    <row r="70" spans="2:15" x14ac:dyDescent="0.25">
      <c r="B70" s="99">
        <v>62</v>
      </c>
      <c r="C70" s="99">
        <v>50197</v>
      </c>
      <c r="D70" s="99">
        <v>55783</v>
      </c>
      <c r="M70"/>
      <c r="N70"/>
      <c r="O70"/>
    </row>
    <row r="71" spans="2:15" x14ac:dyDescent="0.25">
      <c r="B71" s="99">
        <v>63</v>
      </c>
      <c r="C71" s="99">
        <v>47075</v>
      </c>
      <c r="D71" s="99">
        <v>53960</v>
      </c>
      <c r="M71"/>
      <c r="N71"/>
      <c r="O71"/>
    </row>
    <row r="72" spans="2:15" x14ac:dyDescent="0.25">
      <c r="B72" s="99">
        <v>64</v>
      </c>
      <c r="C72" s="99">
        <v>49006</v>
      </c>
      <c r="D72" s="99">
        <v>57147</v>
      </c>
      <c r="M72"/>
      <c r="N72"/>
      <c r="O72"/>
    </row>
    <row r="73" spans="2:15" x14ac:dyDescent="0.25">
      <c r="B73" s="99">
        <v>65</v>
      </c>
      <c r="C73" s="99">
        <v>49130</v>
      </c>
      <c r="D73" s="99">
        <v>58825</v>
      </c>
      <c r="M73"/>
      <c r="N73"/>
      <c r="O73"/>
    </row>
    <row r="74" spans="2:15" x14ac:dyDescent="0.25">
      <c r="B74" s="99">
        <v>66</v>
      </c>
      <c r="C74" s="99">
        <v>47708</v>
      </c>
      <c r="D74" s="99">
        <v>59308</v>
      </c>
      <c r="M74"/>
      <c r="N74"/>
      <c r="O74"/>
    </row>
    <row r="75" spans="2:15" x14ac:dyDescent="0.25">
      <c r="B75" s="99">
        <v>67</v>
      </c>
      <c r="C75" s="99">
        <v>48151</v>
      </c>
      <c r="D75" s="99">
        <v>60953</v>
      </c>
      <c r="M75"/>
      <c r="N75"/>
      <c r="O75"/>
    </row>
    <row r="76" spans="2:15" x14ac:dyDescent="0.25">
      <c r="B76" s="99">
        <v>68</v>
      </c>
      <c r="C76" s="99">
        <v>47869</v>
      </c>
      <c r="D76" s="99">
        <v>61967</v>
      </c>
      <c r="M76"/>
      <c r="N76"/>
      <c r="O76"/>
    </row>
    <row r="77" spans="2:15" x14ac:dyDescent="0.25">
      <c r="B77" s="99">
        <v>69</v>
      </c>
      <c r="C77" s="99">
        <v>51685</v>
      </c>
      <c r="D77" s="99">
        <v>69404</v>
      </c>
      <c r="M77"/>
      <c r="N77"/>
      <c r="O77"/>
    </row>
    <row r="78" spans="2:15" x14ac:dyDescent="0.25">
      <c r="B78" s="99">
        <v>70</v>
      </c>
      <c r="C78" s="99">
        <v>53771</v>
      </c>
      <c r="D78" s="99">
        <v>73480</v>
      </c>
      <c r="M78"/>
      <c r="N78"/>
      <c r="O78"/>
    </row>
    <row r="79" spans="2:15" x14ac:dyDescent="0.25">
      <c r="B79" s="99">
        <v>71</v>
      </c>
      <c r="C79" s="99">
        <v>54002</v>
      </c>
      <c r="D79" s="99">
        <v>75600</v>
      </c>
      <c r="M79"/>
      <c r="N79"/>
      <c r="O79"/>
    </row>
    <row r="80" spans="2:15" x14ac:dyDescent="0.25">
      <c r="B80" s="99">
        <v>72</v>
      </c>
      <c r="C80" s="99">
        <v>47527</v>
      </c>
      <c r="D80" s="99">
        <v>67890</v>
      </c>
      <c r="M80"/>
      <c r="N80"/>
      <c r="O80"/>
    </row>
    <row r="81" spans="2:15" x14ac:dyDescent="0.25">
      <c r="B81" s="99">
        <v>73</v>
      </c>
      <c r="C81" s="99">
        <v>39743</v>
      </c>
      <c r="D81" s="99">
        <v>59723</v>
      </c>
      <c r="M81"/>
      <c r="N81"/>
      <c r="O81"/>
    </row>
    <row r="82" spans="2:15" x14ac:dyDescent="0.25">
      <c r="B82" s="99">
        <v>74</v>
      </c>
      <c r="C82" s="99">
        <v>38222</v>
      </c>
      <c r="D82" s="99">
        <v>59699</v>
      </c>
      <c r="M82"/>
      <c r="N82"/>
      <c r="O82"/>
    </row>
    <row r="83" spans="2:15" x14ac:dyDescent="0.25">
      <c r="B83" s="99">
        <v>75</v>
      </c>
      <c r="C83" s="99">
        <v>36916</v>
      </c>
      <c r="D83" s="99">
        <v>57962</v>
      </c>
      <c r="M83"/>
      <c r="N83"/>
      <c r="O83"/>
    </row>
    <row r="84" spans="2:15" x14ac:dyDescent="0.25">
      <c r="B84" s="99">
        <v>76</v>
      </c>
      <c r="C84" s="99">
        <v>33602</v>
      </c>
      <c r="D84" s="99">
        <v>54421</v>
      </c>
      <c r="M84"/>
      <c r="N84"/>
      <c r="O84"/>
    </row>
    <row r="85" spans="2:15" x14ac:dyDescent="0.25">
      <c r="B85" s="99">
        <v>77</v>
      </c>
      <c r="C85" s="99">
        <v>30957</v>
      </c>
      <c r="D85" s="99">
        <v>51904</v>
      </c>
      <c r="M85"/>
      <c r="N85"/>
      <c r="O85"/>
    </row>
    <row r="86" spans="2:15" x14ac:dyDescent="0.25">
      <c r="B86" s="99">
        <v>78</v>
      </c>
      <c r="C86" s="99">
        <v>28210</v>
      </c>
      <c r="D86" s="99">
        <v>48302</v>
      </c>
      <c r="M86"/>
      <c r="N86"/>
      <c r="O86"/>
    </row>
    <row r="87" spans="2:15" x14ac:dyDescent="0.25">
      <c r="B87" s="99">
        <v>79</v>
      </c>
      <c r="C87" s="99">
        <v>23265</v>
      </c>
      <c r="D87" s="99">
        <v>40490</v>
      </c>
      <c r="M87"/>
      <c r="N87"/>
      <c r="O87"/>
    </row>
    <row r="88" spans="2:15" x14ac:dyDescent="0.25">
      <c r="B88" s="99">
        <v>80</v>
      </c>
      <c r="C88" s="99">
        <v>20366</v>
      </c>
      <c r="D88" s="99">
        <v>37999</v>
      </c>
      <c r="M88"/>
      <c r="N88"/>
      <c r="O88"/>
    </row>
    <row r="89" spans="2:15" x14ac:dyDescent="0.25">
      <c r="B89" s="99">
        <v>81</v>
      </c>
      <c r="C89" s="99">
        <v>21615</v>
      </c>
      <c r="D89" s="99">
        <v>41217</v>
      </c>
      <c r="M89"/>
      <c r="N89"/>
      <c r="O89"/>
    </row>
    <row r="90" spans="2:15" x14ac:dyDescent="0.25">
      <c r="B90" s="99">
        <v>82</v>
      </c>
      <c r="C90" s="99">
        <v>18081</v>
      </c>
      <c r="D90" s="99">
        <v>35561</v>
      </c>
      <c r="M90"/>
      <c r="N90"/>
      <c r="O90"/>
    </row>
    <row r="91" spans="2:15" x14ac:dyDescent="0.25">
      <c r="B91" s="99">
        <v>83</v>
      </c>
      <c r="C91" s="99">
        <v>16264</v>
      </c>
      <c r="D91" s="99">
        <v>34140</v>
      </c>
      <c r="M91"/>
      <c r="N91"/>
      <c r="O91"/>
    </row>
    <row r="92" spans="2:15" x14ac:dyDescent="0.25">
      <c r="B92" s="99">
        <v>84</v>
      </c>
      <c r="C92" s="99">
        <v>13298</v>
      </c>
      <c r="D92" s="99">
        <v>29111</v>
      </c>
      <c r="M92"/>
      <c r="N92"/>
      <c r="O92"/>
    </row>
    <row r="93" spans="2:15" x14ac:dyDescent="0.25">
      <c r="B93" s="99">
        <v>85</v>
      </c>
      <c r="C93" s="99">
        <v>11491</v>
      </c>
      <c r="D93" s="99">
        <v>27016</v>
      </c>
      <c r="M93"/>
      <c r="N93"/>
      <c r="O93"/>
    </row>
    <row r="94" spans="2:15" x14ac:dyDescent="0.25">
      <c r="B94" s="99">
        <v>86</v>
      </c>
      <c r="C94" s="99">
        <v>9080</v>
      </c>
      <c r="D94" s="99">
        <v>22738</v>
      </c>
      <c r="M94"/>
      <c r="N94"/>
      <c r="O94"/>
    </row>
    <row r="95" spans="2:15" x14ac:dyDescent="0.25">
      <c r="B95" s="99">
        <v>87</v>
      </c>
      <c r="C95" s="99">
        <v>7457</v>
      </c>
      <c r="D95" s="99">
        <v>19761</v>
      </c>
      <c r="M95"/>
      <c r="N95"/>
      <c r="O95"/>
    </row>
    <row r="96" spans="2:15" x14ac:dyDescent="0.25">
      <c r="B96" s="99">
        <v>88</v>
      </c>
      <c r="C96" s="99">
        <v>5940</v>
      </c>
      <c r="D96" s="99">
        <v>16556</v>
      </c>
      <c r="M96"/>
      <c r="N96"/>
      <c r="O96"/>
    </row>
    <row r="97" spans="2:15" x14ac:dyDescent="0.25">
      <c r="B97" s="99">
        <v>89</v>
      </c>
      <c r="C97" s="99">
        <v>4644</v>
      </c>
      <c r="D97" s="99">
        <v>13919</v>
      </c>
      <c r="M97"/>
      <c r="N97"/>
      <c r="O97"/>
    </row>
    <row r="98" spans="2:15" x14ac:dyDescent="0.25">
      <c r="B98" s="99">
        <v>90</v>
      </c>
      <c r="C98" s="99">
        <v>14495</v>
      </c>
      <c r="D98" s="99">
        <v>46690</v>
      </c>
      <c r="M98"/>
      <c r="N98"/>
      <c r="O98"/>
    </row>
    <row r="99" spans="2:15" x14ac:dyDescent="0.25">
      <c r="M99"/>
      <c r="N99"/>
      <c r="O99"/>
    </row>
  </sheetData>
  <mergeCells count="4">
    <mergeCell ref="B2:K2"/>
    <mergeCell ref="B4:K4"/>
    <mergeCell ref="F24:G24"/>
    <mergeCell ref="F25:K36"/>
  </mergeCells>
  <pageMargins left="0.75" right="0.75" top="1" bottom="1" header="0.5" footer="0.5"/>
  <pageSetup scale="79" orientation="portrait" r:id="rId2"/>
  <headerFooter alignWithMargins="0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E38A-1062-47E7-9E2E-A91678D7488C}">
  <sheetPr>
    <tabColor theme="0" tint="-0.499984740745262"/>
  </sheetPr>
  <dimension ref="B1:O41"/>
  <sheetViews>
    <sheetView zoomScaleNormal="100" workbookViewId="0"/>
  </sheetViews>
  <sheetFormatPr defaultColWidth="9.109375" defaultRowHeight="13.2" x14ac:dyDescent="0.25"/>
  <cols>
    <col min="1" max="1" width="2.44140625" style="1" customWidth="1"/>
    <col min="2" max="2" width="21.5546875" style="1" bestFit="1" customWidth="1"/>
    <col min="3" max="10" width="14.109375" style="1" customWidth="1"/>
    <col min="11" max="11" width="21.5546875" style="1" bestFit="1" customWidth="1"/>
    <col min="12" max="12" width="19.109375" style="1" bestFit="1" customWidth="1"/>
    <col min="13" max="13" width="21.33203125" style="1" bestFit="1" customWidth="1"/>
    <col min="14" max="14" width="20.33203125" style="1" bestFit="1" customWidth="1"/>
    <col min="15" max="15" width="25.109375" style="1" bestFit="1" customWidth="1"/>
    <col min="16" max="16384" width="9.109375" style="1"/>
  </cols>
  <sheetData>
    <row r="1" spans="2:15" ht="13.5" customHeight="1" thickBot="1" x14ac:dyDescent="0.3"/>
    <row r="2" spans="2:15" ht="27.6" customHeight="1" thickBot="1" x14ac:dyDescent="0.3">
      <c r="B2" s="240" t="s">
        <v>208</v>
      </c>
      <c r="C2" s="241"/>
      <c r="D2" s="241"/>
      <c r="E2" s="241"/>
      <c r="F2" s="241"/>
      <c r="G2" s="241"/>
      <c r="H2" s="241"/>
      <c r="I2" s="241"/>
      <c r="J2" s="242"/>
      <c r="K2" s="107"/>
    </row>
    <row r="3" spans="2:15" ht="13.8" thickBot="1" x14ac:dyDescent="0.3"/>
    <row r="4" spans="2:15" ht="70.95" customHeight="1" thickBot="1" x14ac:dyDescent="0.3">
      <c r="B4" s="240" t="s">
        <v>209</v>
      </c>
      <c r="C4" s="241"/>
      <c r="D4" s="241"/>
      <c r="E4" s="241"/>
      <c r="F4" s="241"/>
      <c r="G4" s="241"/>
      <c r="H4" s="241"/>
      <c r="I4" s="241"/>
      <c r="J4" s="242"/>
      <c r="K4" s="107"/>
    </row>
    <row r="5" spans="2:15" s="9" customFormat="1" ht="13.8" thickBot="1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2:15" ht="13.8" thickBot="1" x14ac:dyDescent="0.3"/>
    <row r="7" spans="2:15" ht="27" thickBot="1" x14ac:dyDescent="0.3">
      <c r="B7" s="101" t="s">
        <v>210</v>
      </c>
      <c r="C7" s="123" t="s">
        <v>211</v>
      </c>
      <c r="D7" s="123" t="s">
        <v>212</v>
      </c>
      <c r="E7" s="123" t="s">
        <v>213</v>
      </c>
      <c r="F7" s="124" t="s">
        <v>214</v>
      </c>
      <c r="K7" s="125" t="s">
        <v>215</v>
      </c>
    </row>
    <row r="8" spans="2:15" x14ac:dyDescent="0.25">
      <c r="B8" s="121" t="s">
        <v>216</v>
      </c>
      <c r="C8" s="128">
        <f t="shared" ref="C8:C28" si="0">_xlfn.XLOOKUP($B8,$K$9:$K$38,N$9:N$38,,0)</f>
        <v>11.4</v>
      </c>
      <c r="D8" s="128">
        <f t="shared" ref="D8:D28" si="1">_xlfn.XLOOKUP($B8,$K$9:$K$38,O$9:O$38,,0)</f>
        <v>238.6</v>
      </c>
      <c r="E8" s="131">
        <f>C8/D8</f>
        <v>4.7778709136630348E-2</v>
      </c>
      <c r="F8" s="100">
        <f>RANK(E8,$E$8:$E$27)</f>
        <v>10</v>
      </c>
      <c r="K8" s="1" t="s">
        <v>217</v>
      </c>
      <c r="L8" s="1" t="s">
        <v>218</v>
      </c>
      <c r="M8" s="1" t="s">
        <v>219</v>
      </c>
      <c r="N8" s="1" t="s">
        <v>220</v>
      </c>
      <c r="O8" s="1" t="s">
        <v>221</v>
      </c>
    </row>
    <row r="9" spans="2:15" x14ac:dyDescent="0.25">
      <c r="B9" s="122" t="s">
        <v>222</v>
      </c>
      <c r="C9" s="129">
        <f t="shared" si="0"/>
        <v>9.6</v>
      </c>
      <c r="D9" s="129">
        <f t="shared" si="1"/>
        <v>166.5</v>
      </c>
      <c r="E9" s="132">
        <f t="shared" ref="E9:E28" si="2">C9/D9</f>
        <v>5.7657657657657659E-2</v>
      </c>
      <c r="F9" s="99">
        <f t="shared" ref="F9:F27" si="3">RANK(E9,$E$8:$E$27)</f>
        <v>7</v>
      </c>
      <c r="K9" s="1" t="s">
        <v>109</v>
      </c>
      <c r="L9" s="1" t="s">
        <v>223</v>
      </c>
      <c r="M9" s="1">
        <v>876.4</v>
      </c>
      <c r="N9" s="1">
        <v>29.1</v>
      </c>
      <c r="O9" s="1">
        <v>905.5</v>
      </c>
    </row>
    <row r="10" spans="2:15" x14ac:dyDescent="0.25">
      <c r="B10" s="122" t="s">
        <v>224</v>
      </c>
      <c r="C10" s="129">
        <f t="shared" si="0"/>
        <v>9.3000000000000007</v>
      </c>
      <c r="D10" s="129">
        <f t="shared" si="1"/>
        <v>149.4</v>
      </c>
      <c r="E10" s="132">
        <f t="shared" si="2"/>
        <v>6.2248995983935747E-2</v>
      </c>
      <c r="F10" s="99">
        <f t="shared" si="3"/>
        <v>6</v>
      </c>
      <c r="K10" s="1" t="s">
        <v>225</v>
      </c>
      <c r="L10" s="1" t="s">
        <v>226</v>
      </c>
      <c r="M10" s="1">
        <v>670.2</v>
      </c>
      <c r="N10" s="1">
        <v>20.8</v>
      </c>
      <c r="O10" s="1">
        <v>691</v>
      </c>
    </row>
    <row r="11" spans="2:15" x14ac:dyDescent="0.25">
      <c r="B11" s="122" t="s">
        <v>227</v>
      </c>
      <c r="C11" s="129">
        <f t="shared" si="0"/>
        <v>23.4</v>
      </c>
      <c r="D11" s="129">
        <f t="shared" si="1"/>
        <v>283.10000000000002</v>
      </c>
      <c r="E11" s="132">
        <f t="shared" si="2"/>
        <v>8.2656305192511464E-2</v>
      </c>
      <c r="F11" s="99">
        <f t="shared" si="3"/>
        <v>2</v>
      </c>
      <c r="K11" s="1" t="s">
        <v>228</v>
      </c>
      <c r="L11" s="1" t="s">
        <v>229</v>
      </c>
      <c r="M11" s="120">
        <v>1546.6</v>
      </c>
      <c r="N11" s="1">
        <v>49.9</v>
      </c>
      <c r="O11" s="120">
        <v>1596.5</v>
      </c>
    </row>
    <row r="12" spans="2:15" x14ac:dyDescent="0.25">
      <c r="B12" s="122" t="s">
        <v>109</v>
      </c>
      <c r="C12" s="129">
        <f t="shared" si="0"/>
        <v>29.1</v>
      </c>
      <c r="D12" s="129">
        <f t="shared" si="1"/>
        <v>905.5</v>
      </c>
      <c r="E12" s="132">
        <f t="shared" si="2"/>
        <v>3.213694091662065E-2</v>
      </c>
      <c r="F12" s="99">
        <f t="shared" si="3"/>
        <v>15</v>
      </c>
      <c r="K12" s="1" t="s">
        <v>230</v>
      </c>
      <c r="L12" s="1" t="s">
        <v>231</v>
      </c>
      <c r="M12" s="1">
        <v>199.4</v>
      </c>
      <c r="N12" s="1">
        <v>6.8</v>
      </c>
      <c r="O12" s="1">
        <v>206.2</v>
      </c>
    </row>
    <row r="13" spans="2:15" x14ac:dyDescent="0.25">
      <c r="B13" s="122" t="s">
        <v>232</v>
      </c>
      <c r="C13" s="129">
        <f t="shared" si="0"/>
        <v>7</v>
      </c>
      <c r="D13" s="129">
        <f t="shared" si="1"/>
        <v>189.5</v>
      </c>
      <c r="E13" s="132">
        <f t="shared" si="2"/>
        <v>3.6939313984168866E-2</v>
      </c>
      <c r="F13" s="99">
        <f t="shared" si="3"/>
        <v>12</v>
      </c>
      <c r="K13" s="1" t="s">
        <v>233</v>
      </c>
      <c r="L13" s="1" t="s">
        <v>231</v>
      </c>
      <c r="M13" s="1">
        <v>148.9</v>
      </c>
      <c r="N13" s="1">
        <v>3.9</v>
      </c>
      <c r="O13" s="1">
        <v>152.80000000000001</v>
      </c>
    </row>
    <row r="14" spans="2:15" x14ac:dyDescent="0.25">
      <c r="B14" s="122" t="s">
        <v>230</v>
      </c>
      <c r="C14" s="129">
        <f t="shared" si="0"/>
        <v>6.8</v>
      </c>
      <c r="D14" s="129">
        <f t="shared" si="1"/>
        <v>206.2</v>
      </c>
      <c r="E14" s="132">
        <f t="shared" si="2"/>
        <v>3.2977691561590687E-2</v>
      </c>
      <c r="F14" s="99">
        <f t="shared" si="3"/>
        <v>14</v>
      </c>
      <c r="K14" s="1" t="s">
        <v>234</v>
      </c>
      <c r="L14" s="1" t="s">
        <v>231</v>
      </c>
      <c r="M14" s="1">
        <v>160.1</v>
      </c>
      <c r="N14" s="1">
        <v>5.9</v>
      </c>
      <c r="O14" s="1">
        <v>166</v>
      </c>
    </row>
    <row r="15" spans="2:15" x14ac:dyDescent="0.25">
      <c r="B15" s="122" t="s">
        <v>235</v>
      </c>
      <c r="C15" s="129">
        <f t="shared" si="0"/>
        <v>6.2</v>
      </c>
      <c r="D15" s="129">
        <f t="shared" si="1"/>
        <v>242.6</v>
      </c>
      <c r="E15" s="132">
        <f t="shared" si="2"/>
        <v>2.5556471558120363E-2</v>
      </c>
      <c r="F15" s="99">
        <f t="shared" si="3"/>
        <v>19</v>
      </c>
      <c r="K15" s="1" t="s">
        <v>236</v>
      </c>
      <c r="L15" s="1" t="s">
        <v>237</v>
      </c>
      <c r="M15" s="1">
        <v>508.4</v>
      </c>
      <c r="N15" s="1">
        <v>16.600000000000001</v>
      </c>
      <c r="O15" s="1">
        <v>525</v>
      </c>
    </row>
    <row r="16" spans="2:15" x14ac:dyDescent="0.25">
      <c r="B16" s="122" t="s">
        <v>238</v>
      </c>
      <c r="C16" s="129">
        <f t="shared" si="0"/>
        <v>12.6</v>
      </c>
      <c r="D16" s="129">
        <f t="shared" si="1"/>
        <v>254</v>
      </c>
      <c r="E16" s="132">
        <f t="shared" si="2"/>
        <v>4.9606299212598425E-2</v>
      </c>
      <c r="F16" s="99">
        <f t="shared" si="3"/>
        <v>9</v>
      </c>
      <c r="K16" s="1" t="s">
        <v>235</v>
      </c>
      <c r="L16" s="1" t="s">
        <v>231</v>
      </c>
      <c r="M16" s="1">
        <v>236.4</v>
      </c>
      <c r="N16" s="1">
        <v>6.2</v>
      </c>
      <c r="O16" s="1">
        <v>242.6</v>
      </c>
    </row>
    <row r="17" spans="2:15" x14ac:dyDescent="0.25">
      <c r="B17" s="122" t="s">
        <v>239</v>
      </c>
      <c r="C17" s="129">
        <f t="shared" si="0"/>
        <v>4</v>
      </c>
      <c r="D17" s="129">
        <f t="shared" si="1"/>
        <v>130.19999999999999</v>
      </c>
      <c r="E17" s="132">
        <f t="shared" si="2"/>
        <v>3.0721966205837177E-2</v>
      </c>
      <c r="F17" s="99">
        <f t="shared" si="3"/>
        <v>16</v>
      </c>
      <c r="K17" s="1" t="s">
        <v>240</v>
      </c>
      <c r="L17" s="1" t="s">
        <v>231</v>
      </c>
      <c r="M17" s="1">
        <v>117.5</v>
      </c>
      <c r="N17" s="1">
        <v>3.2</v>
      </c>
      <c r="O17" s="1">
        <v>120.7</v>
      </c>
    </row>
    <row r="18" spans="2:15" x14ac:dyDescent="0.25">
      <c r="B18" s="122" t="s">
        <v>241</v>
      </c>
      <c r="C18" s="129">
        <f t="shared" si="0"/>
        <v>9.6999999999999993</v>
      </c>
      <c r="D18" s="129">
        <f t="shared" si="1"/>
        <v>171.3</v>
      </c>
      <c r="E18" s="132">
        <f t="shared" si="2"/>
        <v>5.6625802685347337E-2</v>
      </c>
      <c r="F18" s="99">
        <f t="shared" si="3"/>
        <v>8</v>
      </c>
      <c r="K18" s="1" t="s">
        <v>242</v>
      </c>
      <c r="L18" s="1" t="s">
        <v>231</v>
      </c>
      <c r="M18" s="1">
        <v>111.5</v>
      </c>
      <c r="N18" s="1">
        <v>5.4</v>
      </c>
      <c r="O18" s="1">
        <v>116.9</v>
      </c>
    </row>
    <row r="19" spans="2:15" x14ac:dyDescent="0.25">
      <c r="B19" s="122" t="s">
        <v>233</v>
      </c>
      <c r="C19" s="129">
        <f t="shared" si="0"/>
        <v>3.9</v>
      </c>
      <c r="D19" s="129">
        <f t="shared" si="1"/>
        <v>152.80000000000001</v>
      </c>
      <c r="E19" s="132">
        <f t="shared" si="2"/>
        <v>2.5523560209424083E-2</v>
      </c>
      <c r="F19" s="99">
        <f t="shared" si="3"/>
        <v>20</v>
      </c>
      <c r="K19" s="1" t="s">
        <v>243</v>
      </c>
      <c r="L19" s="1" t="s">
        <v>237</v>
      </c>
      <c r="M19" s="1">
        <v>465.3</v>
      </c>
      <c r="N19" s="1">
        <v>14.8</v>
      </c>
      <c r="O19" s="1">
        <v>480.2</v>
      </c>
    </row>
    <row r="20" spans="2:15" x14ac:dyDescent="0.25">
      <c r="B20" s="122" t="s">
        <v>244</v>
      </c>
      <c r="C20" s="129">
        <f t="shared" si="0"/>
        <v>8.1999999999999993</v>
      </c>
      <c r="D20" s="129">
        <f t="shared" si="1"/>
        <v>86.1</v>
      </c>
      <c r="E20" s="132">
        <f t="shared" si="2"/>
        <v>9.5238095238095233E-2</v>
      </c>
      <c r="F20" s="99">
        <f t="shared" si="3"/>
        <v>1</v>
      </c>
      <c r="K20" s="1" t="s">
        <v>222</v>
      </c>
      <c r="L20" s="1" t="s">
        <v>231</v>
      </c>
      <c r="M20" s="1">
        <v>156.80000000000001</v>
      </c>
      <c r="N20" s="1">
        <v>9.6</v>
      </c>
      <c r="O20" s="1">
        <v>166.5</v>
      </c>
    </row>
    <row r="21" spans="2:15" x14ac:dyDescent="0.25">
      <c r="B21" s="122" t="s">
        <v>225</v>
      </c>
      <c r="C21" s="129">
        <f t="shared" si="0"/>
        <v>20.8</v>
      </c>
      <c r="D21" s="129">
        <f t="shared" si="1"/>
        <v>691</v>
      </c>
      <c r="E21" s="132">
        <f t="shared" si="2"/>
        <v>3.0101302460202605E-2</v>
      </c>
      <c r="F21" s="99">
        <f t="shared" si="3"/>
        <v>17</v>
      </c>
      <c r="K21" s="1" t="s">
        <v>245</v>
      </c>
      <c r="L21" s="1" t="s">
        <v>231</v>
      </c>
      <c r="M21" s="1">
        <v>125.8</v>
      </c>
      <c r="N21" s="1">
        <v>10.1</v>
      </c>
      <c r="O21" s="1">
        <v>135.9</v>
      </c>
    </row>
    <row r="22" spans="2:15" x14ac:dyDescent="0.25">
      <c r="B22" s="122" t="s">
        <v>245</v>
      </c>
      <c r="C22" s="129">
        <f t="shared" si="0"/>
        <v>10.1</v>
      </c>
      <c r="D22" s="129">
        <f t="shared" si="1"/>
        <v>135.9</v>
      </c>
      <c r="E22" s="132">
        <f t="shared" si="2"/>
        <v>7.4319352465047825E-2</v>
      </c>
      <c r="F22" s="99">
        <f t="shared" si="3"/>
        <v>4</v>
      </c>
      <c r="K22" s="1" t="s">
        <v>246</v>
      </c>
      <c r="L22" s="1" t="s">
        <v>231</v>
      </c>
      <c r="M22" s="1">
        <v>90.1</v>
      </c>
      <c r="N22" s="1">
        <v>6.3</v>
      </c>
      <c r="O22" s="1">
        <v>96.4</v>
      </c>
    </row>
    <row r="23" spans="2:15" x14ac:dyDescent="0.25">
      <c r="B23" s="122" t="s">
        <v>247</v>
      </c>
      <c r="C23" s="129">
        <f t="shared" si="0"/>
        <v>19.7</v>
      </c>
      <c r="D23" s="129">
        <f t="shared" si="1"/>
        <v>249.7</v>
      </c>
      <c r="E23" s="132">
        <f t="shared" si="2"/>
        <v>7.8894673608329996E-2</v>
      </c>
      <c r="F23" s="99">
        <f t="shared" si="3"/>
        <v>3</v>
      </c>
      <c r="K23" s="1" t="s">
        <v>248</v>
      </c>
      <c r="L23" s="1" t="s">
        <v>237</v>
      </c>
      <c r="M23" s="1">
        <v>372.8</v>
      </c>
      <c r="N23" s="1">
        <v>26</v>
      </c>
      <c r="O23" s="1">
        <v>398.8</v>
      </c>
    </row>
    <row r="24" spans="2:15" x14ac:dyDescent="0.25">
      <c r="B24" s="122" t="s">
        <v>246</v>
      </c>
      <c r="C24" s="129">
        <f t="shared" si="0"/>
        <v>6.3</v>
      </c>
      <c r="D24" s="129">
        <f t="shared" si="1"/>
        <v>96.4</v>
      </c>
      <c r="E24" s="132">
        <f t="shared" si="2"/>
        <v>6.5352697095435675E-2</v>
      </c>
      <c r="F24" s="99">
        <f t="shared" si="3"/>
        <v>5</v>
      </c>
      <c r="K24" s="1" t="s">
        <v>249</v>
      </c>
      <c r="L24" s="1" t="s">
        <v>229</v>
      </c>
      <c r="M24" s="120">
        <v>1346.5</v>
      </c>
      <c r="N24" s="1">
        <v>57.5</v>
      </c>
      <c r="O24" s="120">
        <v>1404</v>
      </c>
    </row>
    <row r="25" spans="2:15" ht="13.5" customHeight="1" x14ac:dyDescent="0.25">
      <c r="B25" s="122" t="s">
        <v>240</v>
      </c>
      <c r="C25" s="129">
        <f t="shared" si="0"/>
        <v>3.2</v>
      </c>
      <c r="D25" s="129">
        <f t="shared" si="1"/>
        <v>120.7</v>
      </c>
      <c r="E25" s="132">
        <f t="shared" si="2"/>
        <v>2.651201325600663E-2</v>
      </c>
      <c r="F25" s="99">
        <f t="shared" si="3"/>
        <v>18</v>
      </c>
      <c r="K25" s="1" t="s">
        <v>227</v>
      </c>
      <c r="L25" s="1" t="s">
        <v>231</v>
      </c>
      <c r="M25" s="1">
        <v>259.7</v>
      </c>
      <c r="N25" s="1">
        <v>23.4</v>
      </c>
      <c r="O25" s="1">
        <v>283.10000000000002</v>
      </c>
    </row>
    <row r="26" spans="2:15" x14ac:dyDescent="0.25">
      <c r="B26" s="122" t="s">
        <v>234</v>
      </c>
      <c r="C26" s="129">
        <f t="shared" si="0"/>
        <v>5.9</v>
      </c>
      <c r="D26" s="129">
        <f t="shared" si="1"/>
        <v>166</v>
      </c>
      <c r="E26" s="132">
        <f t="shared" si="2"/>
        <v>3.5542168674698796E-2</v>
      </c>
      <c r="F26" s="99">
        <f t="shared" si="3"/>
        <v>13</v>
      </c>
      <c r="K26" s="1" t="s">
        <v>239</v>
      </c>
      <c r="L26" s="1" t="s">
        <v>231</v>
      </c>
      <c r="M26" s="1">
        <v>126.2</v>
      </c>
      <c r="N26" s="1">
        <v>4</v>
      </c>
      <c r="O26" s="1">
        <v>130.19999999999999</v>
      </c>
    </row>
    <row r="27" spans="2:15" ht="13.8" thickBot="1" x14ac:dyDescent="0.3">
      <c r="B27" s="187" t="s">
        <v>242</v>
      </c>
      <c r="C27" s="188">
        <f t="shared" si="0"/>
        <v>5.4</v>
      </c>
      <c r="D27" s="188">
        <f t="shared" si="1"/>
        <v>116.9</v>
      </c>
      <c r="E27" s="189">
        <f t="shared" si="2"/>
        <v>4.6193327630453376E-2</v>
      </c>
      <c r="F27" s="190">
        <f t="shared" si="3"/>
        <v>11</v>
      </c>
      <c r="K27" s="1" t="s">
        <v>244</v>
      </c>
      <c r="L27" s="1" t="s">
        <v>231</v>
      </c>
      <c r="M27" s="1">
        <v>77.900000000000006</v>
      </c>
      <c r="N27" s="1">
        <v>8.1999999999999993</v>
      </c>
      <c r="O27" s="1">
        <v>86.1</v>
      </c>
    </row>
    <row r="28" spans="2:15" ht="13.5" customHeight="1" thickBot="1" x14ac:dyDescent="0.3">
      <c r="B28" s="126" t="s">
        <v>250</v>
      </c>
      <c r="C28" s="130">
        <f t="shared" si="0"/>
        <v>212.8</v>
      </c>
      <c r="D28" s="130">
        <f t="shared" si="1"/>
        <v>4752.5</v>
      </c>
      <c r="E28" s="133">
        <f t="shared" si="2"/>
        <v>4.4776433456075751E-2</v>
      </c>
      <c r="F28" s="127"/>
      <c r="K28" s="1" t="s">
        <v>251</v>
      </c>
      <c r="L28" s="1" t="s">
        <v>237</v>
      </c>
      <c r="M28" s="1">
        <v>463.8</v>
      </c>
      <c r="N28" s="1">
        <v>35.6</v>
      </c>
      <c r="O28" s="1">
        <v>499.4</v>
      </c>
    </row>
    <row r="29" spans="2:15" ht="13.5" customHeight="1" thickBot="1" x14ac:dyDescent="0.3">
      <c r="K29" s="1" t="s">
        <v>238</v>
      </c>
      <c r="L29" s="1" t="s">
        <v>231</v>
      </c>
      <c r="M29" s="1">
        <v>241.4</v>
      </c>
      <c r="N29" s="1">
        <v>12.6</v>
      </c>
      <c r="O29" s="1">
        <v>254</v>
      </c>
    </row>
    <row r="30" spans="2:15" ht="13.5" customHeight="1" x14ac:dyDescent="0.25">
      <c r="B30" s="136" t="s">
        <v>252</v>
      </c>
      <c r="C30" s="134">
        <f>LARGE(E8:E27,4)</f>
        <v>7.4319352465047825E-2</v>
      </c>
      <c r="D30" s="140" t="str">
        <f>_xlfn.XLOOKUP(C30,$E$8:$E$27,B8:B27,,0)</f>
        <v>Somogy</v>
      </c>
      <c r="K30" s="1" t="s">
        <v>241</v>
      </c>
      <c r="L30" s="1" t="s">
        <v>231</v>
      </c>
      <c r="M30" s="1">
        <v>161.6</v>
      </c>
      <c r="N30" s="1">
        <v>9.6999999999999993</v>
      </c>
      <c r="O30" s="1">
        <v>171.3</v>
      </c>
    </row>
    <row r="31" spans="2:15" x14ac:dyDescent="0.25">
      <c r="B31" s="137" t="s">
        <v>253</v>
      </c>
      <c r="C31" s="135">
        <f>SMALL(E9:E28,2)</f>
        <v>2.5556471558120363E-2</v>
      </c>
      <c r="D31" s="141" t="str">
        <f>_xlfn.XLOOKUP(C31,$E$8:$E$27,B9:B28,,0)</f>
        <v>Hajdú-Bihar</v>
      </c>
      <c r="K31" s="1" t="s">
        <v>247</v>
      </c>
      <c r="L31" s="1" t="s">
        <v>231</v>
      </c>
      <c r="M31" s="1">
        <v>230</v>
      </c>
      <c r="N31" s="1">
        <v>19.7</v>
      </c>
      <c r="O31" s="1">
        <v>249.7</v>
      </c>
    </row>
    <row r="32" spans="2:15" ht="13.8" thickBot="1" x14ac:dyDescent="0.3">
      <c r="B32" s="138" t="s">
        <v>254</v>
      </c>
      <c r="C32" s="139">
        <f>C30/C31</f>
        <v>2.9080443400033231</v>
      </c>
      <c r="D32" s="139"/>
      <c r="K32" s="1" t="s">
        <v>255</v>
      </c>
      <c r="L32" s="1" t="s">
        <v>237</v>
      </c>
      <c r="M32" s="1">
        <v>633.1</v>
      </c>
      <c r="N32" s="1">
        <v>42</v>
      </c>
      <c r="O32" s="1">
        <v>675.1</v>
      </c>
    </row>
    <row r="33" spans="2:15" ht="13.8" thickBot="1" x14ac:dyDescent="0.3">
      <c r="K33" s="1" t="s">
        <v>216</v>
      </c>
      <c r="L33" s="1" t="s">
        <v>231</v>
      </c>
      <c r="M33" s="1">
        <v>227.2</v>
      </c>
      <c r="N33" s="1">
        <v>11.4</v>
      </c>
      <c r="O33" s="1">
        <v>238.6</v>
      </c>
    </row>
    <row r="34" spans="2:15" x14ac:dyDescent="0.25">
      <c r="B34" s="301" t="s">
        <v>256</v>
      </c>
      <c r="C34" s="302"/>
      <c r="D34" s="302"/>
      <c r="E34" s="302"/>
      <c r="F34" s="303"/>
      <c r="K34" s="1" t="s">
        <v>224</v>
      </c>
      <c r="L34" s="1" t="s">
        <v>231</v>
      </c>
      <c r="M34" s="1">
        <v>140.1</v>
      </c>
      <c r="N34" s="1">
        <v>9.3000000000000007</v>
      </c>
      <c r="O34" s="1">
        <v>149.4</v>
      </c>
    </row>
    <row r="35" spans="2:15" x14ac:dyDescent="0.25">
      <c r="B35" s="304"/>
      <c r="C35" s="305"/>
      <c r="D35" s="305"/>
      <c r="E35" s="305"/>
      <c r="F35" s="306"/>
      <c r="K35" s="1" t="s">
        <v>232</v>
      </c>
      <c r="L35" s="1" t="s">
        <v>231</v>
      </c>
      <c r="M35" s="1">
        <v>182.5</v>
      </c>
      <c r="N35" s="1">
        <v>7</v>
      </c>
      <c r="O35" s="1">
        <v>189.5</v>
      </c>
    </row>
    <row r="36" spans="2:15" ht="13.8" thickBot="1" x14ac:dyDescent="0.3">
      <c r="B36" s="307"/>
      <c r="C36" s="308"/>
      <c r="D36" s="308"/>
      <c r="E36" s="308"/>
      <c r="F36" s="309"/>
      <c r="K36" s="1" t="s">
        <v>257</v>
      </c>
      <c r="L36" s="1" t="s">
        <v>237</v>
      </c>
      <c r="M36" s="1">
        <v>549.79999999999995</v>
      </c>
      <c r="N36" s="1">
        <v>27.8</v>
      </c>
      <c r="O36" s="1">
        <v>577.6</v>
      </c>
    </row>
    <row r="37" spans="2:15" x14ac:dyDescent="0.25">
      <c r="K37" s="1" t="s">
        <v>258</v>
      </c>
      <c r="L37" s="1" t="s">
        <v>229</v>
      </c>
      <c r="M37" s="120">
        <v>1646.7</v>
      </c>
      <c r="N37" s="1">
        <v>105.4</v>
      </c>
      <c r="O37" s="120">
        <v>1752.1</v>
      </c>
    </row>
    <row r="38" spans="2:15" x14ac:dyDescent="0.25">
      <c r="K38" s="1" t="s">
        <v>250</v>
      </c>
      <c r="L38" s="1" t="s">
        <v>259</v>
      </c>
      <c r="M38" s="120">
        <v>4539.7</v>
      </c>
      <c r="N38" s="1">
        <v>212.8</v>
      </c>
      <c r="O38" s="120">
        <v>4752.5</v>
      </c>
    </row>
    <row r="41" spans="2:15" x14ac:dyDescent="0.25">
      <c r="D41" s="37"/>
      <c r="E41" s="37"/>
      <c r="F41" s="37"/>
      <c r="G41" s="37"/>
    </row>
  </sheetData>
  <mergeCells count="3">
    <mergeCell ref="B2:J2"/>
    <mergeCell ref="B4:J4"/>
    <mergeCell ref="B34:F36"/>
  </mergeCells>
  <phoneticPr fontId="17" type="noConversion"/>
  <pageMargins left="0.75" right="0.75" top="1" bottom="1" header="0.5" footer="0.5"/>
  <pageSetup scale="7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B1:M44"/>
  <sheetViews>
    <sheetView zoomScaleNormal="100" workbookViewId="0"/>
  </sheetViews>
  <sheetFormatPr defaultColWidth="9.109375" defaultRowHeight="13.2" x14ac:dyDescent="0.25"/>
  <cols>
    <col min="1" max="1" width="2.44140625" style="1" customWidth="1"/>
    <col min="2" max="2" width="20.6640625" style="1" customWidth="1"/>
    <col min="3" max="6" width="17.109375" style="1" customWidth="1"/>
    <col min="7" max="16384" width="9.109375" style="1"/>
  </cols>
  <sheetData>
    <row r="1" spans="2:13" ht="13.5" customHeight="1" thickBot="1" x14ac:dyDescent="0.3"/>
    <row r="2" spans="2:13" ht="13.5" customHeight="1" thickBot="1" x14ac:dyDescent="0.3">
      <c r="B2" s="335" t="s">
        <v>260</v>
      </c>
      <c r="C2" s="336"/>
      <c r="D2" s="336"/>
      <c r="E2" s="336"/>
      <c r="F2" s="337"/>
    </row>
    <row r="3" spans="2:13" ht="13.8" thickBot="1" x14ac:dyDescent="0.3"/>
    <row r="4" spans="2:13" ht="13.5" customHeight="1" x14ac:dyDescent="0.25">
      <c r="B4" s="338" t="s">
        <v>261</v>
      </c>
      <c r="C4" s="340" t="s">
        <v>262</v>
      </c>
      <c r="D4" s="341"/>
    </row>
    <row r="5" spans="2:13" ht="13.5" customHeight="1" thickBot="1" x14ac:dyDescent="0.3">
      <c r="B5" s="339"/>
      <c r="C5" s="191" t="s">
        <v>263</v>
      </c>
      <c r="D5" s="192" t="s">
        <v>11</v>
      </c>
    </row>
    <row r="6" spans="2:13" ht="13.5" customHeight="1" x14ac:dyDescent="0.25">
      <c r="B6" s="2" t="s">
        <v>264</v>
      </c>
      <c r="C6" s="11">
        <v>1007</v>
      </c>
      <c r="D6" s="11">
        <v>2776</v>
      </c>
      <c r="F6" s="3"/>
    </row>
    <row r="7" spans="2:13" ht="13.5" customHeight="1" x14ac:dyDescent="0.25">
      <c r="B7" s="95" t="s">
        <v>265</v>
      </c>
      <c r="C7" s="193">
        <v>1245</v>
      </c>
      <c r="D7" s="193">
        <v>3680</v>
      </c>
      <c r="F7" s="3"/>
    </row>
    <row r="8" spans="2:13" ht="13.5" customHeight="1" x14ac:dyDescent="0.25">
      <c r="B8" s="95" t="s">
        <v>266</v>
      </c>
      <c r="C8" s="193">
        <v>7468</v>
      </c>
      <c r="D8" s="193">
        <v>16457</v>
      </c>
    </row>
    <row r="9" spans="2:13" ht="13.5" customHeight="1" thickBot="1" x14ac:dyDescent="0.3">
      <c r="B9" s="194" t="s">
        <v>267</v>
      </c>
      <c r="C9" s="87">
        <v>7795</v>
      </c>
      <c r="D9" s="87">
        <v>22617</v>
      </c>
    </row>
    <row r="10" spans="2:13" ht="13.5" customHeight="1" thickBot="1" x14ac:dyDescent="0.3">
      <c r="B10" s="13" t="s">
        <v>30</v>
      </c>
      <c r="C10" s="12">
        <f>SUM(C6:C9)</f>
        <v>17515</v>
      </c>
      <c r="D10" s="12">
        <f>SUM(D6:D9)</f>
        <v>45530</v>
      </c>
    </row>
    <row r="11" spans="2:13" ht="13.8" thickBot="1" x14ac:dyDescent="0.3"/>
    <row r="12" spans="2:13" ht="27" customHeight="1" thickBot="1" x14ac:dyDescent="0.3">
      <c r="B12" s="335" t="s">
        <v>268</v>
      </c>
      <c r="C12" s="336"/>
      <c r="D12" s="336"/>
      <c r="E12" s="336"/>
      <c r="F12" s="337"/>
    </row>
    <row r="13" spans="2:13" s="9" customFormat="1" ht="13.8" thickBot="1" x14ac:dyDescent="0.3">
      <c r="B13" s="10"/>
      <c r="C13" s="10"/>
      <c r="D13" s="10"/>
      <c r="E13" s="10"/>
      <c r="F13" s="10"/>
    </row>
    <row r="14" spans="2:13" ht="13.8" thickBot="1" x14ac:dyDescent="0.3"/>
    <row r="15" spans="2:13" ht="13.5" customHeight="1" thickBot="1" x14ac:dyDescent="0.3">
      <c r="B15" s="338" t="s">
        <v>261</v>
      </c>
      <c r="C15" s="215" t="s">
        <v>178</v>
      </c>
      <c r="D15" s="215"/>
      <c r="E15" s="215" t="s">
        <v>179</v>
      </c>
      <c r="F15" s="217" t="s">
        <v>180</v>
      </c>
      <c r="H15" s="325" t="s">
        <v>167</v>
      </c>
      <c r="I15" s="325"/>
      <c r="J15" s="37"/>
      <c r="K15" s="37"/>
      <c r="L15" s="37"/>
      <c r="M15" s="37"/>
    </row>
    <row r="16" spans="2:13" ht="13.8" thickBot="1" x14ac:dyDescent="0.3">
      <c r="B16" s="339"/>
      <c r="C16" s="82">
        <v>2015</v>
      </c>
      <c r="D16" s="82">
        <v>2025</v>
      </c>
      <c r="E16" s="311"/>
      <c r="F16" s="334"/>
      <c r="H16" s="326" t="s">
        <v>269</v>
      </c>
      <c r="I16" s="327"/>
      <c r="J16" s="327"/>
      <c r="K16" s="327"/>
      <c r="L16" s="327"/>
      <c r="M16" s="328"/>
    </row>
    <row r="17" spans="2:13" ht="13.5" customHeight="1" x14ac:dyDescent="0.25">
      <c r="B17" s="2" t="s">
        <v>264</v>
      </c>
      <c r="C17" s="14">
        <f t="shared" ref="C17:D21" si="0">C6/C$10</f>
        <v>5.7493576934056524E-2</v>
      </c>
      <c r="D17" s="14">
        <f t="shared" si="0"/>
        <v>6.0970788491104766E-2</v>
      </c>
      <c r="E17" s="15">
        <f>D6/C6</f>
        <v>2.7567030784508439</v>
      </c>
      <c r="F17" s="15">
        <f>D17/C17</f>
        <v>1.0604800004187687</v>
      </c>
      <c r="G17" s="4"/>
      <c r="H17" s="329"/>
      <c r="I17" s="305"/>
      <c r="J17" s="305"/>
      <c r="K17" s="305"/>
      <c r="L17" s="305"/>
      <c r="M17" s="330"/>
    </row>
    <row r="18" spans="2:13" ht="13.5" customHeight="1" x14ac:dyDescent="0.25">
      <c r="B18" s="95" t="s">
        <v>265</v>
      </c>
      <c r="C18" s="195">
        <f t="shared" si="0"/>
        <v>7.1081929774479025E-2</v>
      </c>
      <c r="D18" s="195">
        <f t="shared" si="0"/>
        <v>8.0825829123654727E-2</v>
      </c>
      <c r="E18" s="196">
        <f>D7/C7</f>
        <v>2.9558232931726907</v>
      </c>
      <c r="F18" s="196">
        <f>D18/C18</f>
        <v>1.1370798370287649</v>
      </c>
      <c r="G18" s="4"/>
      <c r="H18" s="329"/>
      <c r="I18" s="305"/>
      <c r="J18" s="305"/>
      <c r="K18" s="305"/>
      <c r="L18" s="305"/>
      <c r="M18" s="330"/>
    </row>
    <row r="19" spans="2:13" ht="13.5" customHeight="1" x14ac:dyDescent="0.25">
      <c r="B19" s="95" t="s">
        <v>266</v>
      </c>
      <c r="C19" s="195">
        <f t="shared" si="0"/>
        <v>0.42637739080787895</v>
      </c>
      <c r="D19" s="195">
        <f t="shared" si="0"/>
        <v>0.3614539863826049</v>
      </c>
      <c r="E19" s="196">
        <f>D8/C8</f>
        <v>2.2036689876807714</v>
      </c>
      <c r="F19" s="196">
        <f>D19/C19</f>
        <v>0.84773253501490697</v>
      </c>
      <c r="G19" s="4"/>
      <c r="H19" s="329"/>
      <c r="I19" s="305"/>
      <c r="J19" s="305"/>
      <c r="K19" s="305"/>
      <c r="L19" s="305"/>
      <c r="M19" s="330"/>
    </row>
    <row r="20" spans="2:13" ht="13.5" customHeight="1" thickBot="1" x14ac:dyDescent="0.3">
      <c r="B20" s="194" t="s">
        <v>267</v>
      </c>
      <c r="C20" s="197">
        <f t="shared" si="0"/>
        <v>0.44504710248358548</v>
      </c>
      <c r="D20" s="197">
        <f t="shared" si="0"/>
        <v>0.49674939600263562</v>
      </c>
      <c r="E20" s="198">
        <f>D9/C9</f>
        <v>2.9014753046824886</v>
      </c>
      <c r="F20" s="198">
        <f>D20/C20</f>
        <v>1.1161726325832153</v>
      </c>
      <c r="H20" s="329"/>
      <c r="I20" s="305"/>
      <c r="J20" s="305"/>
      <c r="K20" s="305"/>
      <c r="L20" s="305"/>
      <c r="M20" s="330"/>
    </row>
    <row r="21" spans="2:13" ht="13.5" customHeight="1" thickBot="1" x14ac:dyDescent="0.3">
      <c r="B21" s="13" t="s">
        <v>30</v>
      </c>
      <c r="C21" s="16">
        <f t="shared" si="0"/>
        <v>1</v>
      </c>
      <c r="D21" s="16">
        <f t="shared" si="0"/>
        <v>1</v>
      </c>
      <c r="E21" s="17">
        <f>D10/C10</f>
        <v>2.5994861547245218</v>
      </c>
      <c r="F21" s="17">
        <f>D21/C21</f>
        <v>1</v>
      </c>
      <c r="H21" s="329"/>
      <c r="I21" s="305"/>
      <c r="J21" s="305"/>
      <c r="K21" s="305"/>
      <c r="L21" s="305"/>
      <c r="M21" s="330"/>
    </row>
    <row r="22" spans="2:13" x14ac:dyDescent="0.25">
      <c r="H22" s="329"/>
      <c r="I22" s="305"/>
      <c r="J22" s="305"/>
      <c r="K22" s="305"/>
      <c r="L22" s="305"/>
      <c r="M22" s="330"/>
    </row>
    <row r="23" spans="2:13" ht="13.8" thickBot="1" x14ac:dyDescent="0.3">
      <c r="H23" s="331"/>
      <c r="I23" s="332"/>
      <c r="J23" s="332"/>
      <c r="K23" s="332"/>
      <c r="L23" s="332"/>
      <c r="M23" s="333"/>
    </row>
    <row r="38" spans="2:3" ht="12.75" customHeight="1" x14ac:dyDescent="0.25">
      <c r="B38" s="5"/>
      <c r="C38" s="6"/>
    </row>
    <row r="39" spans="2:3" ht="13.5" customHeight="1" x14ac:dyDescent="0.25">
      <c r="B39" s="5"/>
      <c r="C39" s="6"/>
    </row>
    <row r="40" spans="2:3" x14ac:dyDescent="0.25">
      <c r="B40" s="7"/>
      <c r="C40" s="8"/>
    </row>
    <row r="41" spans="2:3" x14ac:dyDescent="0.25">
      <c r="B41" s="7"/>
      <c r="C41" s="8"/>
    </row>
    <row r="42" spans="2:3" x14ac:dyDescent="0.25">
      <c r="B42" s="7"/>
      <c r="C42" s="8"/>
    </row>
    <row r="43" spans="2:3" x14ac:dyDescent="0.25">
      <c r="B43" s="7"/>
      <c r="C43" s="8"/>
    </row>
    <row r="44" spans="2:3" x14ac:dyDescent="0.25">
      <c r="B44" s="7"/>
      <c r="C44" s="8"/>
    </row>
  </sheetData>
  <mergeCells count="10">
    <mergeCell ref="H15:I15"/>
    <mergeCell ref="H16:M23"/>
    <mergeCell ref="E15:E16"/>
    <mergeCell ref="F15:F16"/>
    <mergeCell ref="B2:F2"/>
    <mergeCell ref="B12:F12"/>
    <mergeCell ref="B4:B5"/>
    <mergeCell ref="C4:D4"/>
    <mergeCell ref="B15:B16"/>
    <mergeCell ref="C15:D15"/>
  </mergeCells>
  <pageMargins left="0.75" right="0.75" top="1" bottom="1" header="0.5" footer="0.5"/>
  <pageSetup scale="7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E1.1</vt:lpstr>
      <vt:lpstr>E1.2</vt:lpstr>
      <vt:lpstr>E1.3</vt:lpstr>
      <vt:lpstr>E1.4</vt:lpstr>
      <vt:lpstr>E1.5</vt:lpstr>
      <vt:lpstr>E1.6</vt:lpstr>
      <vt:lpstr>E1.7</vt:lpstr>
      <vt:lpstr>Gy1.4v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Balázsné Mócsai Andrea</cp:lastModifiedBy>
  <cp:revision/>
  <dcterms:created xsi:type="dcterms:W3CDTF">1997-01-17T14:02:09Z</dcterms:created>
  <dcterms:modified xsi:type="dcterms:W3CDTF">2026-10-09T16:43:54Z</dcterms:modified>
  <cp:category/>
  <cp:contentStatus/>
</cp:coreProperties>
</file>